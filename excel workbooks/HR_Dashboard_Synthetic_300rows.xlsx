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ata" sheetId="1" state="visible" r:id="rId3"/>
    <sheet name="Calc" sheetId="2" state="visible" r:id="rId4"/>
    <sheet name="Dashboard" sheetId="3" state="visible" r:id="rId5"/>
    <sheet name="Data_Summary" sheetId="4" state="visible" r:id="rId6"/>
    <sheet name="Data_Insight" sheetId="5" state="visible" r:id="rId7"/>
    <sheet name="Unmatched_Data" sheetId="6" state="hidden" r:id="rId8"/>
  </sheets>
  <definedNames>
    <definedName function="false" hidden="false" name="Data_Insight" vbProcedure="false">Data_Insight!$1:$1048576</definedName>
    <definedName function="false" hidden="false" name="Data_Summary" vbProcedure="false">Data_Summary!$1:$1048576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<sst xmlns="http://schemas.openxmlformats.org/spreadsheetml/2006/main" count="44813" uniqueCount="2375">
  <si>
    <t xml:space="preserve">ID</t>
  </si>
  <si>
    <t xml:space="preserve">Start time</t>
  </si>
  <si>
    <t xml:space="preserve">Completion time</t>
  </si>
  <si>
    <t xml:space="preserve">Email</t>
  </si>
  <si>
    <t xml:space="preserve">Name</t>
  </si>
  <si>
    <t xml:space="preserve">BHR Name</t>
  </si>
  <si>
    <t xml:space="preserve">BHR Employee ID</t>
  </si>
  <si>
    <t xml:space="preserve">Date of Connect</t>
  </si>
  <si>
    <t xml:space="preserve">Engagement Type</t>
  </si>
  <si>
    <t xml:space="preserve">IBU/Practice/Location</t>
  </si>
  <si>
    <t xml:space="preserve">Mention your location {Ex. Noida}</t>
  </si>
  <si>
    <t xml:space="preserve">PRACTICE CODE (As per head count report) {Ex. DEA-D-2007}</t>
  </si>
  <si>
    <t xml:space="preserve">Band</t>
  </si>
  <si>
    <t xml:space="preserve">Engagement Mode</t>
  </si>
  <si>
    <t xml:space="preserve">Service Line</t>
  </si>
  <si>
    <t xml:space="preserve">EMPLOYEE IBU CODE (As per head count report) {Ex. DEA-D-4031}</t>
  </si>
  <si>
    <t xml:space="preserve">PROJECT DESCRIPTION (As per head count report) {If Mixed then list down all the Project name/Practice/ SL}</t>
  </si>
  <si>
    <t xml:space="preserve">LSA Connect (In detail)</t>
  </si>
  <si>
    <t xml:space="preserve">Exclusive Award Ceremony (Not part of Townhall) (In detail)</t>
  </si>
  <si>
    <t xml:space="preserve">Cadence Connect</t>
  </si>
  <si>
    <t xml:space="preserve">CARES Framework</t>
  </si>
  <si>
    <t xml:space="preserve">Career</t>
  </si>
  <si>
    <t xml:space="preserve">Alignment</t>
  </si>
  <si>
    <t xml:space="preserve">Recognition</t>
  </si>
  <si>
    <t xml:space="preserve">Empowerment</t>
  </si>
  <si>
    <t xml:space="preserve">Strive</t>
  </si>
  <si>
    <t xml:space="preserve">Townhall - Coverage</t>
  </si>
  <si>
    <t xml:space="preserve">Townhall - Key Insight
</t>
  </si>
  <si>
    <t xml:space="preserve"> Townhall - Action Plan</t>
  </si>
  <si>
    <t xml:space="preserve">SL Induction - Coverage</t>
  </si>
  <si>
    <t xml:space="preserve">SL Induction - Key Insight</t>
  </si>
  <si>
    <t xml:space="preserve">SL Induction - Action Plan</t>
  </si>
  <si>
    <t xml:space="preserve">Business Wait Connect - Coverage</t>
  </si>
  <si>
    <t xml:space="preserve">Business Wait Connect - Key Insight</t>
  </si>
  <si>
    <t xml:space="preserve">Business Wait Connect - Action Plan</t>
  </si>
  <si>
    <t xml:space="preserve">ELTP Connect (Practice Level) - Coverage</t>
  </si>
  <si>
    <t xml:space="preserve">ELTP Connect (Practice Level) - Key Insight</t>
  </si>
  <si>
    <t xml:space="preserve">ELTP Connect (Practice Level) - Action Plan
</t>
  </si>
  <si>
    <t xml:space="preserve">ELTP Connect (&lt;6m) - Coverage</t>
  </si>
  <si>
    <t xml:space="preserve">ELTP Connect (&lt;6m) - Key Insight</t>
  </si>
  <si>
    <t xml:space="preserve">ELTP Connect (&lt;6m) - Action Plan</t>
  </si>
  <si>
    <t xml:space="preserve">ELTP Connect (6-12m) - Coverage</t>
  </si>
  <si>
    <t xml:space="preserve">ELTP Connect (6-12m) - Key Insight</t>
  </si>
  <si>
    <t xml:space="preserve">ELTP Connect (6-12m) - Action Plan</t>
  </si>
  <si>
    <t xml:space="preserve">ELTP Connect (12-24m) - Coverage</t>
  </si>
  <si>
    <t xml:space="preserve">ELTP Connect (12-24m) - Key Insight</t>
  </si>
  <si>
    <t xml:space="preserve">ELTP Connect (12-24m) - Action Plan</t>
  </si>
  <si>
    <t xml:space="preserve">HR Connect (Project Wise) - Coverage</t>
  </si>
  <si>
    <t xml:space="preserve">HR Connect (Project Wise) - Key Insights </t>
  </si>
  <si>
    <t xml:space="preserve">HR Connect (Project Wise) - Action Plan</t>
  </si>
  <si>
    <t xml:space="preserve">HR Connect (General) - Coverage</t>
  </si>
  <si>
    <t xml:space="preserve">HR Connect (General) - Key Insights</t>
  </si>
  <si>
    <t xml:space="preserve">HR Connect (General) - Action Plan</t>
  </si>
  <si>
    <t xml:space="preserve">Top Talent Connect - Coverage</t>
  </si>
  <si>
    <t xml:space="preserve">Top Talent Connect - Key Insights</t>
  </si>
  <si>
    <t xml:space="preserve">Top Talent Connect - Action Plan</t>
  </si>
  <si>
    <t xml:space="preserve">Top Talent FGD Connect - Coverage</t>
  </si>
  <si>
    <t xml:space="preserve">Top Talent FGD Connect - Key Insights</t>
  </si>
  <si>
    <t xml:space="preserve">Top Talent FGD Connect - Action Plan</t>
  </si>
  <si>
    <t xml:space="preserve">New Joiner Connect (7 Days) - Coverage</t>
  </si>
  <si>
    <t xml:space="preserve">New Joiner Connect (7 Days) - Key Insights</t>
  </si>
  <si>
    <t xml:space="preserve">New Joiner Connect (7 Days) - Action Plan</t>
  </si>
  <si>
    <t xml:space="preserve">New Joiner Connect (30 Days) - Coverage</t>
  </si>
  <si>
    <t xml:space="preserve">New Joiner Connect (30 Days) - Key Insights</t>
  </si>
  <si>
    <t xml:space="preserve">New Joiner Connect (30 Days) - Action Plan</t>
  </si>
  <si>
    <t xml:space="preserve">New Joiner Connect (60 Days) - Coverage</t>
  </si>
  <si>
    <t xml:space="preserve">New Joiner Connect (60 Days) - Key Insights</t>
  </si>
  <si>
    <t xml:space="preserve">New Joiner Connect (60 Days) - Action Plan</t>
  </si>
  <si>
    <t xml:space="preserve">New Joiner Connect (90 Days) - Coverage</t>
  </si>
  <si>
    <t xml:space="preserve">New Joiner Connect (90 Days) - Key Insights</t>
  </si>
  <si>
    <t xml:space="preserve">New Joiner Connect (90 Days) - Action Plan</t>
  </si>
  <si>
    <t xml:space="preserve">ML Returnee Connect - Coverage</t>
  </si>
  <si>
    <t xml:space="preserve">ML Returnee Connect - Key Insights</t>
  </si>
  <si>
    <t xml:space="preserve">ML Returnee Connect - Action Plan</t>
  </si>
  <si>
    <t xml:space="preserve">Skip Meeting - Coverage</t>
  </si>
  <si>
    <t xml:space="preserve">Skip Meeting - Key Insights</t>
  </si>
  <si>
    <t xml:space="preserve">Skip Meeting - Action Plan</t>
  </si>
  <si>
    <t xml:space="preserve">Women Associate Connect - Coverage</t>
  </si>
  <si>
    <t xml:space="preserve">Women Associate Connect - Key Insights</t>
  </si>
  <si>
    <t xml:space="preserve">Women Associate Connect - Action Plan</t>
  </si>
  <si>
    <t xml:space="preserve">Band Specific FGD Connect - Coverage</t>
  </si>
  <si>
    <t xml:space="preserve">Band Specific FGD Connect - Key Insights</t>
  </si>
  <si>
    <t xml:space="preserve">Band Specific FGD Connect - Action Plan</t>
  </si>
  <si>
    <t xml:space="preserve">Leadership Connect - Coverage</t>
  </si>
  <si>
    <t xml:space="preserve">Leadership Connect - Key Insights</t>
  </si>
  <si>
    <t xml:space="preserve">Leadership Connect - Action Plan</t>
  </si>
  <si>
    <t xml:space="preserve">Josh (Fun Engagements) - Coverage</t>
  </si>
  <si>
    <t xml:space="preserve">Josh (Fun Engagements) - Key Insights</t>
  </si>
  <si>
    <t xml:space="preserve">Josh (Fun Engagements) - Action Plan</t>
  </si>
  <si>
    <t xml:space="preserve">Wellness Session - Coverage</t>
  </si>
  <si>
    <t xml:space="preserve">Wellness Session - Key Insights</t>
  </si>
  <si>
    <t xml:space="preserve">Wellness Session - Action Plan</t>
  </si>
  <si>
    <t xml:space="preserve">ISR Activity - Coverage</t>
  </si>
  <si>
    <t xml:space="preserve">ISR Activity - Key Insights</t>
  </si>
  <si>
    <t xml:space="preserve">ISR Activity - Action Plan</t>
  </si>
  <si>
    <t xml:space="preserve">Overall Sentiment</t>
  </si>
  <si>
    <t xml:space="preserve">Action Owner</t>
  </si>
  <si>
    <t xml:space="preserve">Engagement related Queries</t>
  </si>
  <si>
    <t xml:space="preserve">Severity</t>
  </si>
  <si>
    <t xml:space="preserve">Status</t>
  </si>
  <si>
    <t xml:space="preserve">IBU Level Connect (Points discussed if any)</t>
  </si>
  <si>
    <t xml:space="preserve">SL Level Connect (Points discussed if any)</t>
  </si>
  <si>
    <t xml:space="preserve">Practice Level Connect ( (Points discussed if any)</t>
  </si>
  <si>
    <t xml:space="preserve">AK216739@techmahindra.com</t>
  </si>
  <si>
    <t xml:space="preserve">Anvi Konda</t>
  </si>
  <si>
    <t xml:space="preserve">Liam Chaudry</t>
  </si>
  <si>
    <t xml:space="preserve">216739</t>
  </si>
  <si>
    <t xml:space="preserve">Large Connect</t>
  </si>
  <si>
    <t xml:space="preserve">IBU Specific Connect </t>
  </si>
  <si>
    <t xml:space="preserve">Gudivada</t>
  </si>
  <si>
    <t xml:space="preserve">DEA-D-2003</t>
  </si>
  <si>
    <t xml:space="preserve">MIX</t>
  </si>
  <si>
    <t xml:space="preserve">Virtual</t>
  </si>
  <si>
    <t xml:space="preserve">DEA Service Line</t>
  </si>
  <si>
    <t xml:space="preserve">DEA-D-2004</t>
  </si>
  <si>
    <t xml:space="preserve">Practice</t>
  </si>
  <si>
    <t xml:space="preserve">ML Returnee Connect</t>
  </si>
  <si>
    <t xml:space="preserve">Review of ongoing concerns;</t>
  </si>
  <si>
    <t xml:space="preserve">No major concerns raised;Minor process related queries;</t>
  </si>
  <si>
    <t xml:space="preserve">NA;Continue regular check-ins;</t>
  </si>
  <si>
    <t xml:space="preserve">Neutral</t>
  </si>
  <si>
    <t xml:space="preserve">No specific Action, Issue addressed in meeting;</t>
  </si>
  <si>
    <t xml:space="preserve">NA</t>
  </si>
  <si>
    <t xml:space="preserve">Moderate</t>
  </si>
  <si>
    <t xml:space="preserve">Closed</t>
  </si>
  <si>
    <t xml:space="preserve">GK145561@techmahindra.com</t>
  </si>
  <si>
    <t xml:space="preserve">Girik Kamdar</t>
  </si>
  <si>
    <t xml:space="preserve">145561</t>
  </si>
  <si>
    <t xml:space="preserve">Location Specific Connect</t>
  </si>
  <si>
    <t xml:space="preserve">Dibrugarh</t>
  </si>
  <si>
    <t xml:space="preserve">DEA-D-4021</t>
  </si>
  <si>
    <t xml:space="preserve">U</t>
  </si>
  <si>
    <t xml:space="preserve">CIS Service Line</t>
  </si>
  <si>
    <t xml:space="preserve">DEA-D-4031</t>
  </si>
  <si>
    <t xml:space="preserve">EY Project</t>
  </si>
  <si>
    <t xml:space="preserve">Townhall</t>
  </si>
  <si>
    <t xml:space="preserve">Business &amp; Strategy Clarity;Career Visibility &amp; Skill Roadmap;AI/future Readiness Messaging Is High-level;</t>
  </si>
  <si>
    <t xml:space="preserve">Associates are unsure how unit goals translate into day-to-day delivery expectations;</t>
  </si>
  <si>
    <t xml:space="preserve">Capture workload hotspots and review with delivery leads for rebalancing;NA;</t>
  </si>
  <si>
    <t xml:space="preserve">Open</t>
  </si>
  <si>
    <t xml:space="preserve">OK356702@techmahindra.com</t>
  </si>
  <si>
    <t xml:space="preserve">Oni Kannan</t>
  </si>
  <si>
    <t xml:space="preserve">356702</t>
  </si>
  <si>
    <t xml:space="preserve">Hyderabad</t>
  </si>
  <si>
    <t xml:space="preserve">DEA-D-4026</t>
  </si>
  <si>
    <t xml:space="preserve">In-person-Tech M </t>
  </si>
  <si>
    <t xml:space="preserve">CIS D 2001</t>
  </si>
  <si>
    <t xml:space="preserve">Kimberly Clark</t>
  </si>
  <si>
    <t xml:space="preserve">SL Induction</t>
  </si>
  <si>
    <t xml:space="preserve">Visibility on Allocation &amp; Demand;</t>
  </si>
  <si>
    <t xml:space="preserve">Associates lack clarity on practice goals and IBU priorities;HR/WFM/Training updates not actionable;</t>
  </si>
  <si>
    <t xml:space="preserve">TLS SPOC had cleared all the queries w.r.t learning;Provide FAQs, guides, refresher sessions;</t>
  </si>
  <si>
    <t xml:space="preserve">Positive</t>
  </si>
  <si>
    <t xml:space="preserve">Team was contented with the fun connect as it was a nice short break from work and the whole account was able to connect virtually</t>
  </si>
  <si>
    <t xml:space="preserve">AD634277@techmahindra.com</t>
  </si>
  <si>
    <t xml:space="preserve">Abeer Dutta</t>
  </si>
  <si>
    <t xml:space="preserve">634277</t>
  </si>
  <si>
    <t xml:space="preserve">Location-Offshore</t>
  </si>
  <si>
    <t xml:space="preserve">Mau</t>
  </si>
  <si>
    <t xml:space="preserve">NGS-D-2004</t>
  </si>
  <si>
    <t xml:space="preserve">DEA-D-4022</t>
  </si>
  <si>
    <t xml:space="preserve">Rating Calibration call with IBU Head</t>
  </si>
  <si>
    <t xml:space="preserve">General wellbeing check-in;</t>
  </si>
  <si>
    <t xml:space="preserve">Associates are settling in well;NA;</t>
  </si>
  <si>
    <t xml:space="preserve">Share update with relevant stakeholder;Continue regular check-ins;</t>
  </si>
  <si>
    <t xml:space="preserve">WFM;Delivery;</t>
  </si>
  <si>
    <t xml:space="preserve">No response on IJP applied on Rapid</t>
  </si>
  <si>
    <t xml:space="preserve">High</t>
  </si>
  <si>
    <t xml:space="preserve">In-progress</t>
  </si>
  <si>
    <t xml:space="preserve">GC632323@techmahindra.com</t>
  </si>
  <si>
    <t xml:space="preserve">Gayathri Chaudry</t>
  </si>
  <si>
    <t xml:space="preserve">632323</t>
  </si>
  <si>
    <t xml:space="preserve">FGD</t>
  </si>
  <si>
    <t xml:space="preserve">Bengaluru</t>
  </si>
  <si>
    <t xml:space="preserve">NGS-D-4037</t>
  </si>
  <si>
    <t xml:space="preserve">Keysight</t>
  </si>
  <si>
    <t xml:space="preserve">HR Connect (General)</t>
  </si>
  <si>
    <t xml:space="preserve">Connect for recognition;Clarity On Role-based Learning Expectations;On Hybrid/WFO Rules And Monthly Compliance Expectations;</t>
  </si>
  <si>
    <t xml:space="preserve">Discussed on how to simply WFH exception requests and about various projects;NA;</t>
  </si>
  <si>
    <t xml:space="preserve">Share role-based learning pathways and recommended certifications;</t>
  </si>
  <si>
    <t xml:space="preserve">Delivery;</t>
  </si>
  <si>
    <t xml:space="preserve">JP518373@techmahindra.com</t>
  </si>
  <si>
    <t xml:space="preserve">Jagrati Padmanabhan</t>
  </si>
  <si>
    <t xml:space="preserve">518373</t>
  </si>
  <si>
    <t xml:space="preserve">DEA-D-2026</t>
  </si>
  <si>
    <t xml:space="preserve">DEA-D-4032</t>
  </si>
  <si>
    <t xml:space="preserve">GE</t>
  </si>
  <si>
    <t xml:space="preserve">ELTP Connect (6-12m)</t>
  </si>
  <si>
    <t xml:space="preserve">Business Context &amp; Org Awareness;</t>
  </si>
  <si>
    <t xml:space="preserve">Feedback is irregular or not tied to a rubric;</t>
  </si>
  <si>
    <t xml:space="preserve">Run fortnightly utilization reviews with WFM + delivery owners to rebalance work;</t>
  </si>
  <si>
    <t xml:space="preserve">Need budget clarity</t>
  </si>
  <si>
    <t xml:space="preserve">Low</t>
  </si>
  <si>
    <t xml:space="preserve">TY946721@techmahindra.com</t>
  </si>
  <si>
    <t xml:space="preserve">Tripti Yadav</t>
  </si>
  <si>
    <t xml:space="preserve">946721</t>
  </si>
  <si>
    <t xml:space="preserve">Pune</t>
  </si>
  <si>
    <t xml:space="preserve">DEA- D-4023, DEA-D-4024, DEA-D-4025</t>
  </si>
  <si>
    <t xml:space="preserve">In-person-Client Location</t>
  </si>
  <si>
    <t xml:space="preserve">DEA-D-4018</t>
  </si>
  <si>
    <t xml:space="preserve">TMC-D-1001- TMC ALL</t>
  </si>
  <si>
    <t xml:space="preserve">Business &amp; Practice Awareness;</t>
  </si>
  <si>
    <t xml:space="preserve">Low interaction and hesitation in raising questions;</t>
  </si>
  <si>
    <t xml:space="preserve">Create consistent onboarding framework across practice;Provide FAQs, guides, refresher sessions;</t>
  </si>
  <si>
    <t xml:space="preserve">Allocation related queries and opportunities</t>
  </si>
  <si>
    <t xml:space="preserve">Practice level priorities and bench status reviewed.</t>
  </si>
  <si>
    <t xml:space="preserve">FM197793@techmahindra.com</t>
  </si>
  <si>
    <t xml:space="preserve">Farhan Memon</t>
  </si>
  <si>
    <t xml:space="preserve">197793</t>
  </si>
  <si>
    <t xml:space="preserve">Gangtok</t>
  </si>
  <si>
    <t xml:space="preserve">IIGA</t>
  </si>
  <si>
    <t xml:space="preserve">E</t>
  </si>
  <si>
    <t xml:space="preserve">DEA-D-4016</t>
  </si>
  <si>
    <t xml:space="preserve">IBU Head of SNOW Europe</t>
  </si>
  <si>
    <t xml:space="preserve">Band Specific FGD Connect</t>
  </si>
  <si>
    <t xml:space="preserve">Clarity on expectations;Review of ongoing concerns;</t>
  </si>
  <si>
    <t xml:space="preserve">No major concerns raised;</t>
  </si>
  <si>
    <t xml:space="preserve">Continue regular check-ins;NA;</t>
  </si>
  <si>
    <t xml:space="preserve">All was resolved</t>
  </si>
  <si>
    <t xml:space="preserve">SALESFORCE PRACTICE</t>
  </si>
  <si>
    <t xml:space="preserve">CK992697@techmahindra.com</t>
  </si>
  <si>
    <t xml:space="preserve">Chakradev Kari</t>
  </si>
  <si>
    <t xml:space="preserve">992697</t>
  </si>
  <si>
    <t xml:space="preserve">Women Associate Connect</t>
  </si>
  <si>
    <t xml:space="preserve">Recognition &amp; Visibility;Grievance/speak-up Clarity;Empathy And Communication;</t>
  </si>
  <si>
    <t xml:space="preserve">Need empathy and communication;Grievance/speak-up clarity;</t>
  </si>
  <si>
    <t xml:space="preserve">There werenot much queries;Promote DEI initiatives;</t>
  </si>
  <si>
    <t xml:space="preserve">Mixed</t>
  </si>
  <si>
    <t xml:space="preserve">HRBP;Delivery;</t>
  </si>
  <si>
    <t xml:space="preserve">VC172132@techmahindra.com</t>
  </si>
  <si>
    <t xml:space="preserve">Viraj Chaudhuri</t>
  </si>
  <si>
    <t xml:space="preserve">172132</t>
  </si>
  <si>
    <t xml:space="preserve">Hyderbad</t>
  </si>
  <si>
    <t xml:space="preserve">all</t>
  </si>
  <si>
    <t xml:space="preserve">DIG-D-4001, DIG-D-4005, DIG-D-4007</t>
  </si>
  <si>
    <t xml:space="preserve">DEA BLR (Women Associates)</t>
  </si>
  <si>
    <t xml:space="preserve">Career Support &amp; Sponsorship;Work-Life Balance &amp; Flexibility;</t>
  </si>
  <si>
    <t xml:space="preserve">Inclusive team practices;</t>
  </si>
  <si>
    <t xml:space="preserve">Promote DEI initiatives;Reinforce speak-up channels;</t>
  </si>
  <si>
    <t xml:space="preserve">RTO management and Bench</t>
  </si>
  <si>
    <t xml:space="preserve">JG146228@techmahindra.com</t>
  </si>
  <si>
    <t xml:space="preserve">Janya Gaba</t>
  </si>
  <si>
    <t xml:space="preserve">Isha Kadakia</t>
  </si>
  <si>
    <t xml:space="preserve">146228</t>
  </si>
  <si>
    <t xml:space="preserve">1:1</t>
  </si>
  <si>
    <t xml:space="preserve">PUNE</t>
  </si>
  <si>
    <t xml:space="preserve">DAI-D-2005</t>
  </si>
  <si>
    <t xml:space="preserve">Mix (Virtual &amp; In-person)</t>
  </si>
  <si>
    <t xml:space="preserve">COM D 4018</t>
  </si>
  <si>
    <t xml:space="preserve">SAP</t>
  </si>
  <si>
    <t xml:space="preserve">Top Talent FGD Connect</t>
  </si>
  <si>
    <t xml:space="preserve">Review of ongoing concerns;Feedback on recent processes;Clarity on expectations;</t>
  </si>
  <si>
    <t xml:space="preserve">NA;</t>
  </si>
  <si>
    <t xml:space="preserve">Monitor and follow up in next cycle;NA;</t>
  </si>
  <si>
    <t xml:space="preserve">OW270395@techmahindra.com</t>
  </si>
  <si>
    <t xml:space="preserve">Onveer Walla</t>
  </si>
  <si>
    <t xml:space="preserve">270395</t>
  </si>
  <si>
    <t xml:space="preserve">Kolkata</t>
  </si>
  <si>
    <t xml:space="preserve">DEA-D-4001</t>
  </si>
  <si>
    <t xml:space="preserve">DIG-D-4005, DIG-D-4008, DIG-D-4009</t>
  </si>
  <si>
    <t xml:space="preserve">Leadership Connect</t>
  </si>
  <si>
    <t xml:space="preserve">AI Session;Review Cadence;</t>
  </si>
  <si>
    <t xml:space="preserve">Need AI/skill readiness;</t>
  </si>
  <si>
    <t xml:space="preserve">Publish budget guidelines;Identify hotspots;</t>
  </si>
  <si>
    <t xml:space="preserve">Delivery;HRBP;</t>
  </si>
  <si>
    <t xml:space="preserve">TR519093@techmahindra.com</t>
  </si>
  <si>
    <t xml:space="preserve">Turvi Raghavan</t>
  </si>
  <si>
    <t xml:space="preserve">519093</t>
  </si>
  <si>
    <t xml:space="preserve">DEA-D-2006</t>
  </si>
  <si>
    <t xml:space="preserve">DEA-D-4040</t>
  </si>
  <si>
    <t xml:space="preserve">New Joiner Connect - 60 days</t>
  </si>
  <si>
    <t xml:space="preserve">New Joiner Connect (30 Days)</t>
  </si>
  <si>
    <t xml:space="preserve">Role Expectation Clarity;Initial Engagement Level;</t>
  </si>
  <si>
    <t xml:space="preserve">Most of the associates are undergoing trainings as there are FCTP's;Delay or lack of clarity in project onboarding;</t>
  </si>
  <si>
    <t xml:space="preserve">Define timeline for project allocation (max  0 days);Ensure weekly  :  connect with manager;</t>
  </si>
  <si>
    <t xml:space="preserve">EB753425@techmahindra.com</t>
  </si>
  <si>
    <t xml:space="preserve">Ekta Bhalla</t>
  </si>
  <si>
    <t xml:space="preserve">753425</t>
  </si>
  <si>
    <t xml:space="preserve">Floor Connect</t>
  </si>
  <si>
    <t xml:space="preserve">DEA-D-4019</t>
  </si>
  <si>
    <t xml:space="preserve">Scotia</t>
  </si>
  <si>
    <t xml:space="preserve">Learning &amp; Skill Building;Grievance/speak-up Clarity;Inclusive Team Practices;</t>
  </si>
  <si>
    <t xml:space="preserve">Promote DEI initiatives;There werenot much queries;</t>
  </si>
  <si>
    <t xml:space="preserve">DR188914@techmahindra.com</t>
  </si>
  <si>
    <t xml:space="preserve">Diya Rattan</t>
  </si>
  <si>
    <t xml:space="preserve">188914</t>
  </si>
  <si>
    <t xml:space="preserve">DEA-D-2007</t>
  </si>
  <si>
    <t xml:space="preserve">Oracle HCM – UKG &amp; Workday</t>
  </si>
  <si>
    <t xml:space="preserve">HR / WFM / Training Communication Effectiveness;Business &amp; Practice Awareness;</t>
  </si>
  <si>
    <t xml:space="preserve">HR/WFM/Training updates not actionable;NA;</t>
  </si>
  <si>
    <t xml:space="preserve">Create consistent onboarding framework across practice;</t>
  </si>
  <si>
    <t xml:space="preserve">Bench guidelines are explained</t>
  </si>
  <si>
    <t xml:space="preserve">DK361303@techmahindra.com</t>
  </si>
  <si>
    <t xml:space="preserve">Divya Kala</t>
  </si>
  <si>
    <t xml:space="preserve">361303</t>
  </si>
  <si>
    <t xml:space="preserve">Practice Specific Connect (Across IBU)</t>
  </si>
  <si>
    <t xml:space="preserve">NWS-D-1001</t>
  </si>
  <si>
    <t xml:space="preserve">SAP HLS</t>
  </si>
  <si>
    <t xml:space="preserve">HR Connect (Project Wise)</t>
  </si>
  <si>
    <t xml:space="preserve">Timesheet Submission/approval Process Inconsistencies Create;Workload &amp; Work-Life Balance;Manager Support &amp; Local Leadership Effectiveness;</t>
  </si>
  <si>
    <t xml:space="preserve">Timesheet submission/approval process inconsistencies create compliance risk;</t>
  </si>
  <si>
    <t xml:space="preserve">Share project-specific policy FAQ (WFO, exceptions, leave, timesheet);Implement monthly recognition cadence (kudos, spotlight, customer praise);</t>
  </si>
  <si>
    <t xml:space="preserve">TD827659@techmahindra.com</t>
  </si>
  <si>
    <t xml:space="preserve">Tara Dhar</t>
  </si>
  <si>
    <t xml:space="preserve">827659</t>
  </si>
  <si>
    <t xml:space="preserve">NGS Service Line</t>
  </si>
  <si>
    <t xml:space="preserve">Suncorp Bank</t>
  </si>
  <si>
    <t xml:space="preserve">ELTP Connect (12-24m)</t>
  </si>
  <si>
    <t xml:space="preserve">Internal Mobility / Rotation Opportunities;Recognition &amp; Visibility of Growth;Career Progression &amp; Next-Level Readiness;</t>
  </si>
  <si>
    <t xml:space="preserve">Rotation/mobility interest is high but process and eligibility are unclear;na;</t>
  </si>
  <si>
    <t xml:space="preserve">Highlight ELTP success stories + learning milestones in leadership forums/townhalls;Run structured mobility/rotation sessions with examples and process FAQs;</t>
  </si>
  <si>
    <t xml:space="preserve">AS660069@techmahindra.com</t>
  </si>
  <si>
    <t xml:space="preserve">Adya Sangha</t>
  </si>
  <si>
    <t xml:space="preserve">Janaki Kanda</t>
  </si>
  <si>
    <t xml:space="preserve">660069</t>
  </si>
  <si>
    <t xml:space="preserve">Danapur</t>
  </si>
  <si>
    <t xml:space="preserve">Location connect with DEA team. AI session by Natesh.</t>
  </si>
  <si>
    <t xml:space="preserve">Project Allocation Clarity;Manager Connect Effectiveness;</t>
  </si>
  <si>
    <t xml:space="preserve">Difficulty in understanding tools/processes;Associates undergoing project training;</t>
  </si>
  <si>
    <t xml:space="preserve">Define timeline for project allocation (max  0 days);NA;</t>
  </si>
  <si>
    <t xml:space="preserve">Negative</t>
  </si>
  <si>
    <t xml:space="preserve">the associates had doubts related to the RTO guidelines and seat allocations</t>
  </si>
  <si>
    <t xml:space="preserve">ID232352@techmahindra.com</t>
  </si>
  <si>
    <t xml:space="preserve">Imaran Dua</t>
  </si>
  <si>
    <t xml:space="preserve">232352</t>
  </si>
  <si>
    <t xml:space="preserve">DIG Vertical</t>
  </si>
  <si>
    <t xml:space="preserve">MFG-D-4003</t>
  </si>
  <si>
    <t xml:space="preserve">Josh (Fun Engagements)</t>
  </si>
  <si>
    <t xml:space="preserve">General wellbeing check-in;Discussion on team dynamics;Clarity on expectations;</t>
  </si>
  <si>
    <t xml:space="preserve">Minor process related queries;No major concerns raised;</t>
  </si>
  <si>
    <t xml:space="preserve">No specific action required;</t>
  </si>
  <si>
    <t xml:space="preserve">Discussed general SL level updates and priorities.</t>
  </si>
  <si>
    <t xml:space="preserve">DR658623@techmahindra.com</t>
  </si>
  <si>
    <t xml:space="preserve">Devansh Rajan</t>
  </si>
  <si>
    <t xml:space="preserve">658623</t>
  </si>
  <si>
    <t xml:space="preserve">Kavali</t>
  </si>
  <si>
    <t xml:space="preserve">Network Services Service Line</t>
  </si>
  <si>
    <t xml:space="preserve">DIG-D-1001</t>
  </si>
  <si>
    <t xml:space="preserve">OPTUS</t>
  </si>
  <si>
    <t xml:space="preserve">New Joiner Connect (60 Days)</t>
  </si>
  <si>
    <t xml:space="preserve">Workload Management;</t>
  </si>
  <si>
    <t xml:space="preserve">Skill gaps becoming visible during execution;The associates had questions around WFH and leaves.;</t>
  </si>
  <si>
    <t xml:space="preserve">Mandate structured monthly feedback from manager;The associates had queries mainly related to WFH and leaves.;</t>
  </si>
  <si>
    <t xml:space="preserve">AC497399@techmahindra.com</t>
  </si>
  <si>
    <t xml:space="preserve">Advay Contractor</t>
  </si>
  <si>
    <t xml:space="preserve">497399</t>
  </si>
  <si>
    <t xml:space="preserve">DEA-D-40026</t>
  </si>
  <si>
    <t xml:space="preserve">SAP MEA</t>
  </si>
  <si>
    <t xml:space="preserve">Top Talent Connect</t>
  </si>
  <si>
    <t xml:space="preserve">Clarity on Org Changes &amp; Priorities;</t>
  </si>
  <si>
    <t xml:space="preserve">No hike/VP alignment with performance;</t>
  </si>
  <si>
    <t xml:space="preserve">Run quarterly nominations;</t>
  </si>
  <si>
    <t xml:space="preserve">HRBP;</t>
  </si>
  <si>
    <t xml:space="preserve">NS656711@techmahindra.com</t>
  </si>
  <si>
    <t xml:space="preserve">Nakul Setty</t>
  </si>
  <si>
    <t xml:space="preserve">656711</t>
  </si>
  <si>
    <t xml:space="preserve">Firozabad</t>
  </si>
  <si>
    <t xml:space="preserve">IFS</t>
  </si>
  <si>
    <t xml:space="preserve">Empathy And Communication;</t>
  </si>
  <si>
    <t xml:space="preserve">Inclusive team practices;Need flexible arrangements during caregiving;</t>
  </si>
  <si>
    <t xml:space="preserve">Leadership acknowledgment;There werenot much queries;</t>
  </si>
  <si>
    <t xml:space="preserve">YC889359@techmahindra.com</t>
  </si>
  <si>
    <t xml:space="preserve">Yashica Cherian</t>
  </si>
  <si>
    <t xml:space="preserve">889359</t>
  </si>
  <si>
    <t xml:space="preserve">Chennai</t>
  </si>
  <si>
    <t xml:space="preserve">CIS D 4001,4004,4025,4026</t>
  </si>
  <si>
    <t xml:space="preserve">Business &amp; Strategy Clarity;</t>
  </si>
  <si>
    <t xml:space="preserve">Associates are unsure how unit goals translate into day-to-day delivery expectations;associates seek practical relevance;</t>
  </si>
  <si>
    <t xml:space="preserve">Publish role-based learning paths (beginner/intermediate/advanced) with links;</t>
  </si>
  <si>
    <t xml:space="preserve">No Projects for New Joiners in Bench</t>
  </si>
  <si>
    <t xml:space="preserve">Discussed regarding MCares Dissemination, attrition and diversity. IBU Head was happy with progress made so far.</t>
  </si>
  <si>
    <t xml:space="preserve">YI696251@techmahindra.com</t>
  </si>
  <si>
    <t xml:space="preserve">Yashica Issac</t>
  </si>
  <si>
    <t xml:space="preserve">696251</t>
  </si>
  <si>
    <t xml:space="preserve">ELTP Connect (Practice Level)</t>
  </si>
  <si>
    <t xml:space="preserve">Engagement &amp; Motivation Across Stages;Career Clarity &amp; Growth Continuity;Allocation &amp; Deployment Transparency;</t>
  </si>
  <si>
    <t xml:space="preserve">Inconsistent visibility on allocation timelines and decision-making creates confusion across all ELTP groups;</t>
  </si>
  <si>
    <t xml:space="preserve">Work with work force management and delivery closely to ensure the ELTP associates are mapped to projects once their trainings are completed;Introduce ELTP engagement framework by stage: 0–6M → onboarding support, 6–M → performance alignment, –M → growth &amp; retention;</t>
  </si>
  <si>
    <t xml:space="preserve">AN378535@techmahindra.com</t>
  </si>
  <si>
    <t xml:space="preserve">Aadi Naik</t>
  </si>
  <si>
    <t xml:space="preserve">378535</t>
  </si>
  <si>
    <t xml:space="preserve">New Joiner Connect (90 Days)</t>
  </si>
  <si>
    <t xml:space="preserve">Career Path Visibility;</t>
  </si>
  <si>
    <t xml:space="preserve">seat allocation;Lack of awareness of internal opportunities;</t>
  </si>
  <si>
    <t xml:space="preserve">Align role expectations vs aspiration through discussion;shared CS SPOC details;</t>
  </si>
  <si>
    <t xml:space="preserve">aNA</t>
  </si>
  <si>
    <t xml:space="preserve">JM283700@techmahindra.com</t>
  </si>
  <si>
    <t xml:space="preserve">Janani Mohanty</t>
  </si>
  <si>
    <t xml:space="preserve">283700</t>
  </si>
  <si>
    <t xml:space="preserve">TMC-D-1001</t>
  </si>
  <si>
    <t xml:space="preserve">P</t>
  </si>
  <si>
    <t xml:space="preserve">DEA-D-4009</t>
  </si>
  <si>
    <t xml:space="preserve">For Role Rotation (PM/PGM/architect);Recognition Equity &amp; Visibility;</t>
  </si>
  <si>
    <t xml:space="preserve">Not happy with no hike;</t>
  </si>
  <si>
    <t xml:space="preserve">FC296694@techmahindra.com</t>
  </si>
  <si>
    <t xml:space="preserve">Farhan Chada</t>
  </si>
  <si>
    <t xml:space="preserve">296694</t>
  </si>
  <si>
    <t xml:space="preserve">DIG-D-4005</t>
  </si>
  <si>
    <t xml:space="preserve">Paragon</t>
  </si>
  <si>
    <t xml:space="preserve">slows improvement;</t>
  </si>
  <si>
    <t xml:space="preserve">Supervisor;</t>
  </si>
  <si>
    <t xml:space="preserve">Queries were related to AI being implemented in day-to-day projects practically to which leader had addressed that specific agents are identified at DEA level to work with and implement changes.</t>
  </si>
  <si>
    <t xml:space="preserve">JD386706@techmahindra.com</t>
  </si>
  <si>
    <t xml:space="preserve">Jeremiah Dave</t>
  </si>
  <si>
    <t xml:space="preserve">386706</t>
  </si>
  <si>
    <t xml:space="preserve">Induction</t>
  </si>
  <si>
    <t xml:space="preserve">NWS-D-4001</t>
  </si>
  <si>
    <t xml:space="preserve">Bench connect for the IBUs</t>
  </si>
  <si>
    <t xml:space="preserve">Team Integration;Queries related to BGV check;</t>
  </si>
  <si>
    <t xml:space="preserve">NA;The associates had queries mainly related to WFH and leaves.;</t>
  </si>
  <si>
    <t xml:space="preserve">AW831380@techmahindra.com</t>
  </si>
  <si>
    <t xml:space="preserve">Alka Wable</t>
  </si>
  <si>
    <t xml:space="preserve">831380</t>
  </si>
  <si>
    <t xml:space="preserve">Rajpur Sonarpur</t>
  </si>
  <si>
    <t xml:space="preserve">ZF Consultancy</t>
  </si>
  <si>
    <t xml:space="preserve">Career Support &amp; Sponsorship;Empathy And Communication;</t>
  </si>
  <si>
    <t xml:space="preserve">Upskilling for future roles;Female assocaites in Haleon office are quite happy with the setup;</t>
  </si>
  <si>
    <t xml:space="preserve">Leadership acknowledgment;Reinforce speak-up channels;</t>
  </si>
  <si>
    <t xml:space="preserve">DR781403@techmahindra.com</t>
  </si>
  <si>
    <t xml:space="preserve">Devika Rastogi</t>
  </si>
  <si>
    <t xml:space="preserve">Raksha Varughese</t>
  </si>
  <si>
    <t xml:space="preserve">781403</t>
  </si>
  <si>
    <t xml:space="preserve">ServiceNow Practice</t>
  </si>
  <si>
    <t xml:space="preserve">Career Support &amp; Sponsorship;Inclusive Team Practices;Work-Life Balance &amp; Flexibility;</t>
  </si>
  <si>
    <t xml:space="preserve">Need empathy and communication;</t>
  </si>
  <si>
    <t xml:space="preserve">Reinforce speak-up channels;</t>
  </si>
  <si>
    <t xml:space="preserve">None</t>
  </si>
  <si>
    <t xml:space="preserve">UB278240@techmahindra.com</t>
  </si>
  <si>
    <t xml:space="preserve">Umang Bhatt</t>
  </si>
  <si>
    <t xml:space="preserve">278240</t>
  </si>
  <si>
    <t xml:space="preserve">Jaipur</t>
  </si>
  <si>
    <t xml:space="preserve">DEA-D-2005</t>
  </si>
  <si>
    <t xml:space="preserve">Adani</t>
  </si>
  <si>
    <t xml:space="preserve">Review of ongoing concerns;Feedback on recent processes;</t>
  </si>
  <si>
    <t xml:space="preserve">Minor process related queries;</t>
  </si>
  <si>
    <t xml:space="preserve">No specific action required;Monitor and follow up in next cycle;</t>
  </si>
  <si>
    <t xml:space="preserve">TA410244@techmahindra.com</t>
  </si>
  <si>
    <t xml:space="preserve">Thomas Amble</t>
  </si>
  <si>
    <t xml:space="preserve">410244</t>
  </si>
  <si>
    <t xml:space="preserve">SAP Retail</t>
  </si>
  <si>
    <t xml:space="preserve">IFS SELL TO</t>
  </si>
  <si>
    <t xml:space="preserve">Distributed TMC specific Swag Kit</t>
  </si>
  <si>
    <t xml:space="preserve">Exclusive Award Ceremony</t>
  </si>
  <si>
    <t xml:space="preserve">VB423939@techmahindra.com</t>
  </si>
  <si>
    <t xml:space="preserve">Veer Bir</t>
  </si>
  <si>
    <t xml:space="preserve">423939</t>
  </si>
  <si>
    <t xml:space="preserve">Bathinda</t>
  </si>
  <si>
    <t xml:space="preserve">MFG-N-4007</t>
  </si>
  <si>
    <t xml:space="preserve">Skip Meeting</t>
  </si>
  <si>
    <t xml:space="preserve">Timely Policy/process Updates;Manager Effectiveness &amp; Delegation;Communication &amp; Transparency;</t>
  </si>
  <si>
    <t xml:space="preserve">Need timely policy/process updates;Need clarity on growth opportunities;</t>
  </si>
  <si>
    <t xml:space="preserve">Set comms cadence;Standardize messaging;</t>
  </si>
  <si>
    <t xml:space="preserve">tracker</t>
  </si>
  <si>
    <t xml:space="preserve">AS377304@techmahindra.com</t>
  </si>
  <si>
    <t xml:space="preserve">Arya Sunder</t>
  </si>
  <si>
    <t xml:space="preserve">377304</t>
  </si>
  <si>
    <t xml:space="preserve">Panvel</t>
  </si>
  <si>
    <t xml:space="preserve">ELTP Connect (&lt;6m)</t>
  </si>
  <si>
    <t xml:space="preserve">Share update with relevant stakeholder;NA;</t>
  </si>
  <si>
    <t xml:space="preserve">XS830316@techmahindra.com</t>
  </si>
  <si>
    <t xml:space="preserve">Xavier Solanki</t>
  </si>
  <si>
    <t xml:space="preserve">830316</t>
  </si>
  <si>
    <t xml:space="preserve">Bhubaneswar</t>
  </si>
  <si>
    <t xml:space="preserve">Internal Growth Opportunities;</t>
  </si>
  <si>
    <t xml:space="preserve">seat allocation;</t>
  </si>
  <si>
    <t xml:space="preserve">Share internal job/cross-skill opportunities;Align role expectations vs aspiration through discussion;</t>
  </si>
  <si>
    <t xml:space="preserve">GC449709@techmahindra.com</t>
  </si>
  <si>
    <t xml:space="preserve">Girindra Chatterjee</t>
  </si>
  <si>
    <t xml:space="preserve">449709</t>
  </si>
  <si>
    <t xml:space="preserve">SAP Sell To</t>
  </si>
  <si>
    <t xml:space="preserve">Career Progression &amp; Next-Level Readiness;</t>
  </si>
  <si>
    <t xml:space="preserve">ELTPs want clarity on progression timelines and competencies for the next band/role;na;</t>
  </si>
  <si>
    <t xml:space="preserve">Highlight ELTP success stories + learning milestones in leadership forums/townhalls;</t>
  </si>
  <si>
    <t xml:space="preserve">PR570050@techmahindra.com</t>
  </si>
  <si>
    <t xml:space="preserve">Pallavi Roy</t>
  </si>
  <si>
    <t xml:space="preserve">570050</t>
  </si>
  <si>
    <t xml:space="preserve">Meerut</t>
  </si>
  <si>
    <t xml:space="preserve">DEA-D-4008</t>
  </si>
  <si>
    <t xml:space="preserve">Leadership Communication &amp; Q&amp;A Effectiveness;</t>
  </si>
  <si>
    <t xml:space="preserve">Org/structural updates are heard but not fully understood (what changes for me?);Need clearer articulation of business direction and priorities for the quarter;</t>
  </si>
  <si>
    <t xml:space="preserve">Open house connect for offshore</t>
  </si>
  <si>
    <t xml:space="preserve">DR499407@techmahindra.com</t>
  </si>
  <si>
    <t xml:space="preserve">Darsh Rau</t>
  </si>
  <si>
    <t xml:space="preserve">499407</t>
  </si>
  <si>
    <t xml:space="preserve">NGS-D-4018</t>
  </si>
  <si>
    <t xml:space="preserve">HR / WFM / Training Communication Effectiveness;Engagement with Leadership &amp; Confidence Level;</t>
  </si>
  <si>
    <t xml:space="preserve">Associates unclear how their role contributes to business;Associates lack clarity on practice goals and IBU priorities;</t>
  </si>
  <si>
    <t xml:space="preserve">Checked the action plan for pending allocation of new joiners and highlighted to IBU head and it was closed;TLS SPOC had cleared all the queries w.r.t learning;</t>
  </si>
  <si>
    <t xml:space="preserve">YH530764@techmahindra.com</t>
  </si>
  <si>
    <t xml:space="preserve">Yuvraj Handa</t>
  </si>
  <si>
    <t xml:space="preserve">530764</t>
  </si>
  <si>
    <t xml:space="preserve">DIG-D-4002, 4003, 4007,4009</t>
  </si>
  <si>
    <t xml:space="preserve">DEA-D-4023</t>
  </si>
  <si>
    <t xml:space="preserve">Manager Effectiveness &amp; Delegation;Communication &amp; Transparency;Learning/cert Support Requests;</t>
  </si>
  <si>
    <t xml:space="preserve">Need timely policy/process updates;</t>
  </si>
  <si>
    <t xml:space="preserve">Team recognition cadence;</t>
  </si>
  <si>
    <t xml:space="preserve">WFM;</t>
  </si>
  <si>
    <t xml:space="preserve">LS789275@techmahindra.com</t>
  </si>
  <si>
    <t xml:space="preserve">Logan Sami</t>
  </si>
  <si>
    <t xml:space="preserve">789275</t>
  </si>
  <si>
    <t xml:space="preserve">Alwar</t>
  </si>
  <si>
    <t xml:space="preserve">DEA-D-4015</t>
  </si>
  <si>
    <t xml:space="preserve">20 Years Long service anniversary celebration of Dharmateja Chava - 243623 at HYD location</t>
  </si>
  <si>
    <t xml:space="preserve">LSA Connect</t>
  </si>
  <si>
    <t xml:space="preserve">SC219346@techmahindra.com</t>
  </si>
  <si>
    <t xml:space="preserve">Saanvi Chaudhari</t>
  </si>
  <si>
    <t xml:space="preserve">219346</t>
  </si>
  <si>
    <t xml:space="preserve">DEA -D-4020</t>
  </si>
  <si>
    <t xml:space="preserve">IFS project [bench guidelines policy, WFO GUIDLINES    ]</t>
  </si>
  <si>
    <t xml:space="preserve">Grievance/speak-up Clarity;Work-Life Balance &amp; Flexibility;</t>
  </si>
  <si>
    <t xml:space="preserve">Female assocaites in Haleon office are quite happy with the setup;</t>
  </si>
  <si>
    <t xml:space="preserve">There werenot much queries;Leadership acknowledgment;</t>
  </si>
  <si>
    <t xml:space="preserve">GK181644@techmahindra.com</t>
  </si>
  <si>
    <t xml:space="preserve">Girik Khalsa</t>
  </si>
  <si>
    <t xml:space="preserve">181644</t>
  </si>
  <si>
    <t xml:space="preserve">DEA-N-4011</t>
  </si>
  <si>
    <t xml:space="preserve">Recognition &amp; Motivation;</t>
  </si>
  <si>
    <t xml:space="preserve">Need clarity on growth opportunities;</t>
  </si>
  <si>
    <t xml:space="preserve">Team recognition cadence;Standardize messaging;</t>
  </si>
  <si>
    <t xml:space="preserve">VK466346@techmahindra.com</t>
  </si>
  <si>
    <t xml:space="preserve">Vasana Kala</t>
  </si>
  <si>
    <t xml:space="preserve">466346</t>
  </si>
  <si>
    <t xml:space="preserve">Allahabad</t>
  </si>
  <si>
    <t xml:space="preserve">ELTP Connect</t>
  </si>
  <si>
    <t xml:space="preserve">Review of ongoing concerns;Clarity on expectations;</t>
  </si>
  <si>
    <t xml:space="preserve">Associates are settling in well;No major concerns raised;</t>
  </si>
  <si>
    <t xml:space="preserve">NA;Share update with relevant stakeholder;</t>
  </si>
  <si>
    <t xml:space="preserve">ML775981@techmahindra.com</t>
  </si>
  <si>
    <t xml:space="preserve">Madhavi Lanka</t>
  </si>
  <si>
    <t xml:space="preserve">775981</t>
  </si>
  <si>
    <t xml:space="preserve">AI/future Readiness Messaging Is High-level;Career Visibility &amp; Skill Roadmap;</t>
  </si>
  <si>
    <t xml:space="preserve">Associates seek clarity on role progression and career paths within the unit;</t>
  </si>
  <si>
    <t xml:space="preserve">Add ‘Wall of Fame’ segment: delivery wins, customer shoutouts, milestone highlights;</t>
  </si>
  <si>
    <t xml:space="preserve">BS927564@techmahindra.com</t>
  </si>
  <si>
    <t xml:space="preserve">Bhavika Sampath</t>
  </si>
  <si>
    <t xml:space="preserve">927564</t>
  </si>
  <si>
    <t xml:space="preserve">Policy &amp; Process Clarity;Strategic Connect;</t>
  </si>
  <si>
    <t xml:space="preserve">Seat availability and office logistics impact productivity;</t>
  </si>
  <si>
    <t xml:space="preserve">Coach managers on feedback, delegation, and communication;</t>
  </si>
  <si>
    <t xml:space="preserve">MG479404@techmahindra.com</t>
  </si>
  <si>
    <t xml:space="preserve">Mohammed Gupta</t>
  </si>
  <si>
    <t xml:space="preserve">Teerth Bhardwaj</t>
  </si>
  <si>
    <t xml:space="preserve">479404</t>
  </si>
  <si>
    <t xml:space="preserve">NGS-D-4038</t>
  </si>
  <si>
    <t xml:space="preserve">WSS</t>
  </si>
  <si>
    <t xml:space="preserve">Recognition &amp; Visibility of Growth;Career Progression &amp; Next-Level Readiness;Internal Mobility / Rotation Opportunities;</t>
  </si>
  <si>
    <t xml:space="preserve">na;</t>
  </si>
  <si>
    <t xml:space="preserve">Improve Hybrid compliance, IBU heads need to validate the data and share action plan</t>
  </si>
  <si>
    <t xml:space="preserve">DB398768@techmahindra.com</t>
  </si>
  <si>
    <t xml:space="preserve">Dipta Bhandari</t>
  </si>
  <si>
    <t xml:space="preserve">398768</t>
  </si>
  <si>
    <t xml:space="preserve">Engg Services Service Line</t>
  </si>
  <si>
    <t xml:space="preserve">USA TTLH</t>
  </si>
  <si>
    <t xml:space="preserve">Team Integration;Role Confidence Level;Feedback Mechanism;</t>
  </si>
  <si>
    <t xml:space="preserve">Skill gaps becoming visible during execution;</t>
  </si>
  <si>
    <t xml:space="preserve">Include in team rituals (scrum, meetings, discussions);</t>
  </si>
  <si>
    <t xml:space="preserve">YW638289@techmahindra.com</t>
  </si>
  <si>
    <t xml:space="preserve">Yadavi Wali</t>
  </si>
  <si>
    <t xml:space="preserve">Dakshesh Trivedi</t>
  </si>
  <si>
    <t xml:space="preserve">638289</t>
  </si>
  <si>
    <t xml:space="preserve">Cadence with IBU Head.</t>
  </si>
  <si>
    <t xml:space="preserve">Capture workload hotspots and review with delivery leads for rebalancing;</t>
  </si>
  <si>
    <t xml:space="preserve">Queries with regards with access card were raised.</t>
  </si>
  <si>
    <t xml:space="preserve">EB862560@techmahindra.com</t>
  </si>
  <si>
    <t xml:space="preserve">Ekapad Bir</t>
  </si>
  <si>
    <t xml:space="preserve">862560</t>
  </si>
  <si>
    <t xml:space="preserve">CIS-D-4007</t>
  </si>
  <si>
    <t xml:space="preserve">Paragon Project</t>
  </si>
  <si>
    <t xml:space="preserve">Recognition Visibility;Work-Life &amp; Sustainability Signals;Business &amp; Strategy Clarity;</t>
  </si>
  <si>
    <t xml:space="preserve">Add a ‘What changes for teams’ section with 3–5 concrete takeaways;Publish role-based learning paths (beginner/intermediate/advanced) with links;</t>
  </si>
  <si>
    <t xml:space="preserve">ND121322@techmahindra.com</t>
  </si>
  <si>
    <t xml:space="preserve">Netra Dar</t>
  </si>
  <si>
    <t xml:space="preserve">121322</t>
  </si>
  <si>
    <t xml:space="preserve">IBU Head liked the concept of Cadence and appreciated the efforts we are putting into publishing this data. He also wanted to work on retention strategies and diversity going forward.</t>
  </si>
  <si>
    <t xml:space="preserve">BB850827@techmahindra.com</t>
  </si>
  <si>
    <t xml:space="preserve">Balveer Bumb</t>
  </si>
  <si>
    <t xml:space="preserve">850827</t>
  </si>
  <si>
    <t xml:space="preserve">Comms Vertical</t>
  </si>
  <si>
    <t xml:space="preserve">DEA-D-4028</t>
  </si>
  <si>
    <t xml:space="preserve">On Hybrid/WFO Rules And Monthly Compliance Expectations;Queries On Performance Cycle Steps And Deadlines;</t>
  </si>
  <si>
    <t xml:space="preserve">Need simplified updates on policy changes and timelines;</t>
  </si>
  <si>
    <t xml:space="preserve">Feedback to be shared with IBU head;NA;</t>
  </si>
  <si>
    <t xml:space="preserve">AJ940064@techmahindra.com</t>
  </si>
  <si>
    <t xml:space="preserve">Advika Jayaraman</t>
  </si>
  <si>
    <t xml:space="preserve">William Lanka</t>
  </si>
  <si>
    <t xml:space="preserve">940064</t>
  </si>
  <si>
    <t xml:space="preserve">SAP Sell To - Non PS</t>
  </si>
  <si>
    <t xml:space="preserve">Timesheet Submission/approval Process Inconsistencies Create;Recognition &amp; Engagement within Project;On Leave/comp-off Due To Client Calendar Mismatches;</t>
  </si>
  <si>
    <t xml:space="preserve">associates want clear routes;</t>
  </si>
  <si>
    <t xml:space="preserve">NA;Define issue escalation ladder and response SLAs;</t>
  </si>
  <si>
    <t xml:space="preserve">CS;</t>
  </si>
  <si>
    <t xml:space="preserve">TM249715@techmahindra.com</t>
  </si>
  <si>
    <t xml:space="preserve">Tanvi Mutti</t>
  </si>
  <si>
    <t xml:space="preserve">249715</t>
  </si>
  <si>
    <t xml:space="preserve">DIG-D-4003</t>
  </si>
  <si>
    <t xml:space="preserve">New Joiners Connect - 60 Days</t>
  </si>
  <si>
    <t xml:space="preserve">Communication &amp; Transparency;Learning/cert Support Requests;</t>
  </si>
  <si>
    <t xml:space="preserve">Set comms cadence;Team recognition cadence;</t>
  </si>
  <si>
    <t xml:space="preserve">AS615060@techmahindra.com</t>
  </si>
  <si>
    <t xml:space="preserve">Aditya Shanker</t>
  </si>
  <si>
    <t xml:space="preserve">615060</t>
  </si>
  <si>
    <t xml:space="preserve">Discussion on team dynamics;Review of ongoing concerns;General wellbeing check-in;</t>
  </si>
  <si>
    <t xml:space="preserve">Associates are settling in well;</t>
  </si>
  <si>
    <t xml:space="preserve">EY168941@techmahindra.com</t>
  </si>
  <si>
    <t xml:space="preserve">Ethan Yogi</t>
  </si>
  <si>
    <t xml:space="preserve">168941</t>
  </si>
  <si>
    <t xml:space="preserve">Rating Calibration Call</t>
  </si>
  <si>
    <t xml:space="preserve">Review of ongoing concerns;Feedback on recent processes;General wellbeing check-in;</t>
  </si>
  <si>
    <t xml:space="preserve">Positive feedback overall;NA;</t>
  </si>
  <si>
    <t xml:space="preserve">KP677599@techmahindra.com</t>
  </si>
  <si>
    <t xml:space="preserve">Kevin Palla</t>
  </si>
  <si>
    <t xml:space="preserve">677599</t>
  </si>
  <si>
    <t xml:space="preserve">DEA-D-4011</t>
  </si>
  <si>
    <t xml:space="preserve">SAP Manufacturing</t>
  </si>
  <si>
    <t xml:space="preserve">Team will start having SAP Syniti related training shortly</t>
  </si>
  <si>
    <t xml:space="preserve">KM575575@techmahindra.com</t>
  </si>
  <si>
    <t xml:space="preserve">Kala Mane</t>
  </si>
  <si>
    <t xml:space="preserve">Raksha Mittal</t>
  </si>
  <si>
    <t xml:space="preserve">575575</t>
  </si>
  <si>
    <t xml:space="preserve">Review of ongoing concerns;General wellbeing check-in;</t>
  </si>
  <si>
    <t xml:space="preserve">Monitor and follow up in next cycle;</t>
  </si>
  <si>
    <t xml:space="preserve">DEA-D-4011, Suresh Boddu</t>
  </si>
  <si>
    <t xml:space="preserve">CC427905@techmahindra.com</t>
  </si>
  <si>
    <t xml:space="preserve">Chandani Chawla</t>
  </si>
  <si>
    <t xml:space="preserve">427905</t>
  </si>
  <si>
    <t xml:space="preserve">Ford</t>
  </si>
  <si>
    <t xml:space="preserve">Career Visibility &amp; Skill Roadmap;</t>
  </si>
  <si>
    <t xml:space="preserve">associates seek practical relevance;Associates seek clarity on role progression and career paths within the unit;</t>
  </si>
  <si>
    <t xml:space="preserve">Share a 1-page business snapshot (targets, priorities, key wins) post townhall;</t>
  </si>
  <si>
    <t xml:space="preserve">AD177103@techmahindra.com</t>
  </si>
  <si>
    <t xml:space="preserve">Aishani D’Alia</t>
  </si>
  <si>
    <t xml:space="preserve">177103</t>
  </si>
  <si>
    <t xml:space="preserve">Learning &amp; Skill Building;</t>
  </si>
  <si>
    <t xml:space="preserve">Need equitable recognition;Female assocaites in Haleon office are quite happy with the setup;</t>
  </si>
  <si>
    <t xml:space="preserve">Leadership acknowledgment;</t>
  </si>
  <si>
    <t xml:space="preserve">AM875232@techmahindra.com</t>
  </si>
  <si>
    <t xml:space="preserve">Anita Manda</t>
  </si>
  <si>
    <t xml:space="preserve">875232</t>
  </si>
  <si>
    <t xml:space="preserve">SAP PS- Connect with P&amp;I team</t>
  </si>
  <si>
    <t xml:space="preserve">Leadership Communication &amp; Q&amp;A Effectiveness;Career Visibility &amp; Skill Roadmap;Business &amp; Strategy Clarity;</t>
  </si>
  <si>
    <t xml:space="preserve">associates seek practical relevance;</t>
  </si>
  <si>
    <t xml:space="preserve">Had a walkthrough of the DEA line and provided an overview of the following:
RTO (Return to Office) guidelines
Timesheet process
Training structure
Medical insurance details</t>
  </si>
  <si>
    <t xml:space="preserve">SL428930@techmahindra.com</t>
  </si>
  <si>
    <t xml:space="preserve">Samar Lalla</t>
  </si>
  <si>
    <t xml:space="preserve">428930</t>
  </si>
  <si>
    <t xml:space="preserve">PEGA</t>
  </si>
  <si>
    <t xml:space="preserve">Project Allocation Clarity;</t>
  </si>
  <si>
    <t xml:space="preserve">Most of the associates are undergoing trainings as there are FCTP's;Difficulty in understanding tools/processes;</t>
  </si>
  <si>
    <t xml:space="preserve">NA;Ensure weekly  :  connect with manager;</t>
  </si>
  <si>
    <t xml:space="preserve">CC603110@techmahindra.com</t>
  </si>
  <si>
    <t xml:space="preserve">Charan Chanda</t>
  </si>
  <si>
    <t xml:space="preserve">603110</t>
  </si>
  <si>
    <t xml:space="preserve">DEA-D-4006</t>
  </si>
  <si>
    <t xml:space="preserve">Systra</t>
  </si>
  <si>
    <t xml:space="preserve">Career Clarity &amp; Growth Continuity;Engagement &amp; Motivation Across Stages;Allocation &amp; Deployment Transparency;</t>
  </si>
  <si>
    <t xml:space="preserve">Variation in how learning is translating into actual delivery readiness across different ELTP stages (early-stage ready, mid-stage struggling, late-stage stagnation);</t>
  </si>
  <si>
    <t xml:space="preserve">CA205428@techmahindra.com</t>
  </si>
  <si>
    <t xml:space="preserve">Chaitanya Aggarwal</t>
  </si>
  <si>
    <t xml:space="preserve">205428</t>
  </si>
  <si>
    <t xml:space="preserve">Visibility on Allocation &amp; Demand;Business &amp; Practice Awareness;Engagement with Leadership &amp; Confidence Level;</t>
  </si>
  <si>
    <t xml:space="preserve">Associates lack clarity on practice goals and IBU priorities;</t>
  </si>
  <si>
    <t xml:space="preserve">Create consistent onboarding framework across practice;Checked the action plan for pending allocation of new joiners and highlighted to IBU head and it was closed;</t>
  </si>
  <si>
    <t xml:space="preserve">AE451317@techmahindra.com</t>
  </si>
  <si>
    <t xml:space="preserve">Adweta Edwin</t>
  </si>
  <si>
    <t xml:space="preserve">451317</t>
  </si>
  <si>
    <t xml:space="preserve">Salesforce Comms</t>
  </si>
  <si>
    <t xml:space="preserve">Recognition &amp; Engagement within Project;</t>
  </si>
  <si>
    <t xml:space="preserve">Seat availability and office logistics impact productivity;Timesheet submission/approval process inconsistencies create compliance risk;</t>
  </si>
  <si>
    <t xml:space="preserve">All the queries were resolved in the session;</t>
  </si>
  <si>
    <t xml:space="preserve">AC107161@techmahindra.com</t>
  </si>
  <si>
    <t xml:space="preserve">Aditya Choudhury</t>
  </si>
  <si>
    <t xml:space="preserve">107161</t>
  </si>
  <si>
    <t xml:space="preserve">Oracle HCM ¿ UKG &amp; Workday</t>
  </si>
  <si>
    <t xml:space="preserve">Team Integration;Queries related to BGV check;BGV queries;</t>
  </si>
  <si>
    <t xml:space="preserve">NA;Skill gaps becoming visible during execution;</t>
  </si>
  <si>
    <t xml:space="preserve">Explained the complete process to associates;</t>
  </si>
  <si>
    <t xml:space="preserve">BP359486@techmahindra.com</t>
  </si>
  <si>
    <t xml:space="preserve">Balendra Pingle</t>
  </si>
  <si>
    <t xml:space="preserve">359486</t>
  </si>
  <si>
    <t xml:space="preserve">Feedback on recent processes;</t>
  </si>
  <si>
    <t xml:space="preserve">Positive feedback overall;Minor process related queries;</t>
  </si>
  <si>
    <t xml:space="preserve">Continue regular check-ins;</t>
  </si>
  <si>
    <t xml:space="preserve">Queries related to compensation.</t>
  </si>
  <si>
    <t xml:space="preserve">QD805448@techmahindra.com</t>
  </si>
  <si>
    <t xml:space="preserve">Qushi Datta</t>
  </si>
  <si>
    <t xml:space="preserve">805448</t>
  </si>
  <si>
    <t xml:space="preserve">CIS D 4001,4004,4021,4025,4026</t>
  </si>
  <si>
    <t xml:space="preserve">Wellness Session</t>
  </si>
  <si>
    <t xml:space="preserve">Stress &amp; Burnout Management;</t>
  </si>
  <si>
    <t xml:space="preserve">Low awareness;Flexibility alignment;</t>
  </si>
  <si>
    <t xml:space="preserve">Workshops;Wellbeing check-ins;</t>
  </si>
  <si>
    <t xml:space="preserve">BP512151@techmahindra.com</t>
  </si>
  <si>
    <t xml:space="preserve">Balveer Parmar</t>
  </si>
  <si>
    <t xml:space="preserve">512151</t>
  </si>
  <si>
    <t xml:space="preserve">DEA-D-4013</t>
  </si>
  <si>
    <t xml:space="preserve">HR / WFM / Training Communication Effectiveness;</t>
  </si>
  <si>
    <t xml:space="preserve">Checked the action plan for pending allocation of new joiners and highlighted to IBU head and it was closed;</t>
  </si>
  <si>
    <t xml:space="preserve">HP159185@techmahindra.com</t>
  </si>
  <si>
    <t xml:space="preserve">Harshil Pandya</t>
  </si>
  <si>
    <t xml:space="preserve">Mohammed Khalsa</t>
  </si>
  <si>
    <t xml:space="preserve">159185</t>
  </si>
  <si>
    <t xml:space="preserve">NS MT Intern connect with Ahmed Bilal</t>
  </si>
  <si>
    <t xml:space="preserve">Recognition Visibility;Business &amp; Strategy Clarity;Leadership Communication &amp; Q&amp;A Effectiveness;</t>
  </si>
  <si>
    <t xml:space="preserve">AI/future readiness messaging is high-level;Associates seek clarity on role progression and career paths within the unit;</t>
  </si>
  <si>
    <t xml:space="preserve">Share a 1-page business snapshot (targets, priorities, key wins) post townhall;Publish role-based learning paths (beginner/intermediate/advanced) with links;</t>
  </si>
  <si>
    <t xml:space="preserve">NB585517@techmahindra.com</t>
  </si>
  <si>
    <t xml:space="preserve">Nitara Bakshi</t>
  </si>
  <si>
    <t xml:space="preserve">585517</t>
  </si>
  <si>
    <t xml:space="preserve">slows improvement;Feedback is irregular or not tied to a rubric;</t>
  </si>
  <si>
    <t xml:space="preserve">NK877493@techmahindra.com</t>
  </si>
  <si>
    <t xml:space="preserve">Nisha Kothari</t>
  </si>
  <si>
    <t xml:space="preserve">Nathaniel Chokshi</t>
  </si>
  <si>
    <t xml:space="preserve">877493</t>
  </si>
  <si>
    <t xml:space="preserve">Location-Mixed</t>
  </si>
  <si>
    <t xml:space="preserve">Salesforce Practice</t>
  </si>
  <si>
    <t xml:space="preserve">New Joiner Connect (7 Days)</t>
  </si>
  <si>
    <t xml:space="preserve">Tool &amp; System Access;Initial Organization Understanding;</t>
  </si>
  <si>
    <t xml:space="preserve">Delays in access to systems/tools required for work;New joiners feel overwhelmed or unclear post induction;</t>
  </si>
  <si>
    <t xml:space="preserve">Hybrid working policy was explained in detail;Implement Day-1 access checklist tracking (IT + Admin);</t>
  </si>
  <si>
    <t xml:space="preserve">UK445888@techmahindra.com</t>
  </si>
  <si>
    <t xml:space="preserve">Upma Kapadia</t>
  </si>
  <si>
    <t xml:space="preserve">445888</t>
  </si>
  <si>
    <t xml:space="preserve">Learning Curve Support;</t>
  </si>
  <si>
    <t xml:space="preserve">Delay or lack of clarity in project onboarding;Associates undergoing project training;</t>
  </si>
  <si>
    <t xml:space="preserve">Define timeline for project allocation (max  0 days);</t>
  </si>
  <si>
    <t xml:space="preserve">Queries on timesheet/attendance compliance during bench</t>
  </si>
  <si>
    <t xml:space="preserve">IM491329@techmahindra.com</t>
  </si>
  <si>
    <t xml:space="preserve">Inaya Mody</t>
  </si>
  <si>
    <t xml:space="preserve">Udant Bajwa</t>
  </si>
  <si>
    <t xml:space="preserve">491329</t>
  </si>
  <si>
    <t xml:space="preserve">Tool &amp; System Access;</t>
  </si>
  <si>
    <t xml:space="preserve">Limited clarity on policies (leave, WFO, reporting);Delays in access to systems/tools required for work;</t>
  </si>
  <si>
    <t xml:space="preserve">Share org structure + “who does what” quick guide;</t>
  </si>
  <si>
    <t xml:space="preserve">FM336828@techmahindra.com</t>
  </si>
  <si>
    <t xml:space="preserve">Falguni Mallick</t>
  </si>
  <si>
    <t xml:space="preserve">336828</t>
  </si>
  <si>
    <t xml:space="preserve">All SAP IBU's</t>
  </si>
  <si>
    <t xml:space="preserve">Internal Growth Opportunities;Long-Term Role Alignment;</t>
  </si>
  <si>
    <t xml:space="preserve">Improve team engagement (inclusion, recognition);</t>
  </si>
  <si>
    <t xml:space="preserve">IU134500@techmahindra.com</t>
  </si>
  <si>
    <t xml:space="preserve">Indali Upadhyay</t>
  </si>
  <si>
    <t xml:space="preserve">134500</t>
  </si>
  <si>
    <t xml:space="preserve">Jorhat</t>
  </si>
  <si>
    <t xml:space="preserve">Monthly Cadence DEA-D-4011</t>
  </si>
  <si>
    <t xml:space="preserve">Clarity on expectations;Feedback on recent processes;</t>
  </si>
  <si>
    <t xml:space="preserve">Positive feedback overall;</t>
  </si>
  <si>
    <t xml:space="preserve">NA;No specific action required;</t>
  </si>
  <si>
    <t xml:space="preserve">JL614435@techmahindra.com</t>
  </si>
  <si>
    <t xml:space="preserve">Jack Lal</t>
  </si>
  <si>
    <t xml:space="preserve">614435</t>
  </si>
  <si>
    <t xml:space="preserve">Workshop/Session</t>
  </si>
  <si>
    <t xml:space="preserve">Workload Management;Feedback Mechanism;Role Confidence Level;</t>
  </si>
  <si>
    <t xml:space="preserve">NA;BGV;</t>
  </si>
  <si>
    <t xml:space="preserve">BGV;</t>
  </si>
  <si>
    <t xml:space="preserve">BC193972@techmahindra.com</t>
  </si>
  <si>
    <t xml:space="preserve">Balvan Chopra</t>
  </si>
  <si>
    <t xml:space="preserve">193972</t>
  </si>
  <si>
    <t xml:space="preserve">DEA-D-4030</t>
  </si>
  <si>
    <t xml:space="preserve">Haleon</t>
  </si>
  <si>
    <t xml:space="preserve">Strategic Connect;Manager Support &amp; Local Leadership Effectiveness;Infrastructure / Workplace Enablement;</t>
  </si>
  <si>
    <t xml:space="preserve">Generic discussion about the account with the leads;associates want clear routes;</t>
  </si>
  <si>
    <t xml:space="preserve">All the queries were resolved in the session;All the queries were resolved in the ODC COnnect;</t>
  </si>
  <si>
    <t xml:space="preserve">DS212168@techmahindra.com</t>
  </si>
  <si>
    <t xml:space="preserve">Dipta Sarin</t>
  </si>
  <si>
    <t xml:space="preserve">Lekha Gupta</t>
  </si>
  <si>
    <t xml:space="preserve">212168</t>
  </si>
  <si>
    <t xml:space="preserve">DIG USA Minus TTLH</t>
  </si>
  <si>
    <t xml:space="preserve">Monthly Cadence IBU Head coverage on HC, Attrition, eltp and Bench;Connect for recognition;</t>
  </si>
  <si>
    <t xml:space="preserve">Need simplified updates on policy changes and timelines;Need guidance on leave, travel, and exception approvals;</t>
  </si>
  <si>
    <t xml:space="preserve">Send monthly HR bulletin with key updates and links;It was a general discussion with the IBU Head on the pulse at ground level;</t>
  </si>
  <si>
    <t xml:space="preserve">QUERIES ON Travel post allocation</t>
  </si>
  <si>
    <t xml:space="preserve">AV128223@techmahindra.com</t>
  </si>
  <si>
    <t xml:space="preserve">Aarav Venkatesh</t>
  </si>
  <si>
    <t xml:space="preserve">128223</t>
  </si>
  <si>
    <t xml:space="preserve">DEA-D-3027</t>
  </si>
  <si>
    <t xml:space="preserve">Salesforce practice</t>
  </si>
  <si>
    <t xml:space="preserve">BGV queries;Role Confidence Level;</t>
  </si>
  <si>
    <t xml:space="preserve">Skill gaps becoming visible during execution;Not fully integrated with team collaboration channels;</t>
  </si>
  <si>
    <t xml:space="preserve">JS778428@techmahindra.com</t>
  </si>
  <si>
    <t xml:space="preserve">Januja Sankar</t>
  </si>
  <si>
    <t xml:space="preserve">778428</t>
  </si>
  <si>
    <t xml:space="preserve">Monthly Cadence</t>
  </si>
  <si>
    <t xml:space="preserve">On Hybrid/WFO Rules And Monthly Compliance Expectations;Guidance On Leave, Travel, And Exception Approvals;</t>
  </si>
  <si>
    <t xml:space="preserve">na;NA;</t>
  </si>
  <si>
    <t xml:space="preserve">Connect for recognition;No Action;</t>
  </si>
  <si>
    <t xml:space="preserve">Clarity on Performance cycle</t>
  </si>
  <si>
    <t xml:space="preserve">DD606384@techmahindra.com</t>
  </si>
  <si>
    <t xml:space="preserve">Dipta Dash</t>
  </si>
  <si>
    <t xml:space="preserve">606384</t>
  </si>
  <si>
    <t xml:space="preserve">DIG-D-4001</t>
  </si>
  <si>
    <t xml:space="preserve">On Leave/comp-off Due To Client Calendar Mismatches;Manager Support &amp; Local Leadership Effectiveness;Policy &amp; Process Clarity;</t>
  </si>
  <si>
    <t xml:space="preserve">Issues with respect to applying leaves and communication regarding leaves to the managers;</t>
  </si>
  <si>
    <t xml:space="preserve">HR and Delivery Head clarified on org level communication on appraisals;All were resolved in the ODC connect;</t>
  </si>
  <si>
    <t xml:space="preserve">YM838968@techmahindra.com</t>
  </si>
  <si>
    <t xml:space="preserve">Yashica More</t>
  </si>
  <si>
    <t xml:space="preserve">838968</t>
  </si>
  <si>
    <t xml:space="preserve">Khammam</t>
  </si>
  <si>
    <t xml:space="preserve">DEA -D-4006</t>
  </si>
  <si>
    <t xml:space="preserve">Not happy with the inconsistent hike, but happy with the project as he is learning new technologies like S4 HANA</t>
  </si>
  <si>
    <t xml:space="preserve">JH291936@techmahindra.com</t>
  </si>
  <si>
    <t xml:space="preserve">Joshua Handa</t>
  </si>
  <si>
    <t xml:space="preserve">291936</t>
  </si>
  <si>
    <t xml:space="preserve">Nadiad</t>
  </si>
  <si>
    <t xml:space="preserve">Engagement &amp; Belonging;Career Path Visibility;</t>
  </si>
  <si>
    <t xml:space="preserve">Lack of awareness of internal opportunities;Connect with Practice head, associates were happy with the session and interaction opportunity with practice head.;</t>
  </si>
  <si>
    <t xml:space="preserve">Align role expectations vs aspiration through discussion;Improve team engagement (inclusion, recognition);</t>
  </si>
  <si>
    <t xml:space="preserve">CR186686@techmahindra.com</t>
  </si>
  <si>
    <t xml:space="preserve">Charvi Ravi</t>
  </si>
  <si>
    <t xml:space="preserve">186686</t>
  </si>
  <si>
    <t xml:space="preserve">DEA-D-4024</t>
  </si>
  <si>
    <t xml:space="preserve">DEA Ops</t>
  </si>
  <si>
    <t xml:space="preserve">Induction Effectiveness;Buddy / Support System;Tool &amp; System Access;</t>
  </si>
  <si>
    <t xml:space="preserve">none;Limited clarity on policies (leave, WFO, reporting);</t>
  </si>
  <si>
    <t xml:space="preserve">Assign buddy with defined responsibilities for 2 weeks;Hybrid working policy was explained in detail;</t>
  </si>
  <si>
    <t xml:space="preserve">Delivery;HRBP;WFM;</t>
  </si>
  <si>
    <t xml:space="preserve">DM467663@techmahindra.com</t>
  </si>
  <si>
    <t xml:space="preserve">Daksha Mangat</t>
  </si>
  <si>
    <t xml:space="preserve">467663</t>
  </si>
  <si>
    <t xml:space="preserve">Chinsurah</t>
  </si>
  <si>
    <t xml:space="preserve">IFS Project</t>
  </si>
  <si>
    <t xml:space="preserve">Policy &amp; Process Clarity;Workload &amp; Work-Life Balance;</t>
  </si>
  <si>
    <t xml:space="preserve">Recurring questions on WFO/WFH expectations and exception handling;Timesheet submission/approval process inconsistencies create compliance risk;</t>
  </si>
  <si>
    <t xml:space="preserve">No specific queries</t>
  </si>
  <si>
    <t xml:space="preserve">US898462@techmahindra.com</t>
  </si>
  <si>
    <t xml:space="preserve">Udyati Sathe</t>
  </si>
  <si>
    <t xml:space="preserve">898462</t>
  </si>
  <si>
    <t xml:space="preserve">Kakinada</t>
  </si>
  <si>
    <t xml:space="preserve">D&amp;AI BFSI IBG</t>
  </si>
  <si>
    <t xml:space="preserve">Induction Effectiveness;Initial Organization Understanding;HR Process Clarity;</t>
  </si>
  <si>
    <t xml:space="preserve">none;Delays in access to systems/tools required for work;</t>
  </si>
  <si>
    <t xml:space="preserve">Standardize induction deck + post-induction summary mail;</t>
  </si>
  <si>
    <t xml:space="preserve">All were resolved</t>
  </si>
  <si>
    <t xml:space="preserve">FM454161@techmahindra.com</t>
  </si>
  <si>
    <t xml:space="preserve">Frado Mander</t>
  </si>
  <si>
    <t xml:space="preserve">454161</t>
  </si>
  <si>
    <t xml:space="preserve">Business &amp; Strategy Clarity;Work-Life &amp; Sustainability Signals;</t>
  </si>
  <si>
    <t xml:space="preserve">Associates seek clarity on role progression and career paths within the unit;Org/structural updates are heard but not fully understood (what changes for me?);</t>
  </si>
  <si>
    <t xml:space="preserve">Add a ‘What changes for teams’ section with 3–5 concrete takeaways;Run a follow-up FAQ mailer and route unanswered questions to SPOCs;</t>
  </si>
  <si>
    <t xml:space="preserve">GK195629@techmahindra.com</t>
  </si>
  <si>
    <t xml:space="preserve">Girik Keer</t>
  </si>
  <si>
    <t xml:space="preserve">195629</t>
  </si>
  <si>
    <t xml:space="preserve">New Joiner 30 Day Connect</t>
  </si>
  <si>
    <t xml:space="preserve">Engagement &amp; Belonging;</t>
  </si>
  <si>
    <t xml:space="preserve">Connect with Practice head, associates were happy with the session and interaction opportunity with practice head.;seat allocation;</t>
  </si>
  <si>
    <t xml:space="preserve">Share internal job/cross-skill opportunities;</t>
  </si>
  <si>
    <t xml:space="preserve">RD781595@techmahindra.com</t>
  </si>
  <si>
    <t xml:space="preserve">Rushil Din</t>
  </si>
  <si>
    <t xml:space="preserve">781595</t>
  </si>
  <si>
    <t xml:space="preserve">Ranchi</t>
  </si>
  <si>
    <t xml:space="preserve">DEA</t>
  </si>
  <si>
    <t xml:space="preserve">HR / WFM / Training Communication Effectiveness;Engagement with Leadership &amp; Confidence Level;Business &amp; Practice Awareness;</t>
  </si>
  <si>
    <t xml:space="preserve">Associates lack clarity on practice goals and IBU priorities;NA;</t>
  </si>
  <si>
    <t xml:space="preserve">TLS SPOC had cleared all the queries w.r.t learning;Checked the action plan for pending allocation of new joiners and highlighted to IBU head and it was closed;</t>
  </si>
  <si>
    <t xml:space="preserve">No specific queries - Associate participation HC was very low.</t>
  </si>
  <si>
    <t xml:space="preserve">ES736408@techmahindra.com</t>
  </si>
  <si>
    <t xml:space="preserve">Elijah Shah</t>
  </si>
  <si>
    <t xml:space="preserve">736408</t>
  </si>
  <si>
    <t xml:space="preserve">NA;Action Closure Discipline;</t>
  </si>
  <si>
    <t xml:space="preserve">Rating Calibration Call;NA;</t>
  </si>
  <si>
    <t xml:space="preserve">Work with AI Agents;</t>
  </si>
  <si>
    <t xml:space="preserve">LT847245@techmahindra.com</t>
  </si>
  <si>
    <t xml:space="preserve">Leena Talwar</t>
  </si>
  <si>
    <t xml:space="preserve">847245</t>
  </si>
  <si>
    <t xml:space="preserve">MFG Vertical</t>
  </si>
  <si>
    <t xml:space="preserve">NGS,D-4013, NGS-D-4014</t>
  </si>
  <si>
    <t xml:space="preserve">Workload Management;BGV queries;Queries related to BGV check;</t>
  </si>
  <si>
    <t xml:space="preserve">The associates had questions around WFH and leaves.;BGV related queries;</t>
  </si>
  <si>
    <t xml:space="preserve">AC111901@techmahindra.com</t>
  </si>
  <si>
    <t xml:space="preserve">Abdul Chhabra</t>
  </si>
  <si>
    <t xml:space="preserve">111901</t>
  </si>
  <si>
    <t xml:space="preserve">NWS-D-4019 &amp; NWS-D-4020</t>
  </si>
  <si>
    <t xml:space="preserve">Celebrated Priyanka Das’s 20th LSA in the Hyderabad location. We organized a virtual session as well where everyone appreciated her, followed by a cake-cutting ceremony and presentation of a memento. Overall, the associate was very happy and expressed her gratitude to the BHR team.</t>
  </si>
  <si>
    <t xml:space="preserve">PV274987@techmahindra.com</t>
  </si>
  <si>
    <t xml:space="preserve">Patrick Vasa</t>
  </si>
  <si>
    <t xml:space="preserve">274987</t>
  </si>
  <si>
    <t xml:space="preserve">Feedback on recent processes;Review of ongoing concerns;</t>
  </si>
  <si>
    <t xml:space="preserve">Continue regular check-ins;Monitor and follow up in next cycle;</t>
  </si>
  <si>
    <t xml:space="preserve">JS148159@techmahindra.com</t>
  </si>
  <si>
    <t xml:space="preserve">Jairaj Shan</t>
  </si>
  <si>
    <t xml:space="preserve">148159</t>
  </si>
  <si>
    <t xml:space="preserve">IBU Level Connect</t>
  </si>
  <si>
    <t xml:space="preserve">ES125071@techmahindra.com</t>
  </si>
  <si>
    <t xml:space="preserve">Edhitha Savant</t>
  </si>
  <si>
    <t xml:space="preserve">125071</t>
  </si>
  <si>
    <t xml:space="preserve">Motihari</t>
  </si>
  <si>
    <t xml:space="preserve">ENS-D-4001</t>
  </si>
  <si>
    <t xml:space="preserve">Clarity on expectations;</t>
  </si>
  <si>
    <t xml:space="preserve">NA;No major concerns raised;</t>
  </si>
  <si>
    <t xml:space="preserve">VS513507@techmahindra.com</t>
  </si>
  <si>
    <t xml:space="preserve">Vaishnavi Sengupta</t>
  </si>
  <si>
    <t xml:space="preserve">Yug Malhotra</t>
  </si>
  <si>
    <t xml:space="preserve">513507</t>
  </si>
  <si>
    <t xml:space="preserve">Mathura</t>
  </si>
  <si>
    <t xml:space="preserve">The connect was celebrate the success of a senior leader where even the SL head joined for the celebrations</t>
  </si>
  <si>
    <t xml:space="preserve">Connect with Practice head, associates were happy with the session and interaction opportunity with practice head.;</t>
  </si>
  <si>
    <t xml:space="preserve">BK265271@techmahindra.com</t>
  </si>
  <si>
    <t xml:space="preserve">Bhavika Keer</t>
  </si>
  <si>
    <t xml:space="preserve">265271</t>
  </si>
  <si>
    <t xml:space="preserve">Thanjavur</t>
  </si>
  <si>
    <t xml:space="preserve">PureStorage</t>
  </si>
  <si>
    <t xml:space="preserve">Feedback on recent processes;General wellbeing check-in;</t>
  </si>
  <si>
    <t xml:space="preserve">Share update with relevant stakeholder;</t>
  </si>
  <si>
    <t xml:space="preserve">LD188121@techmahindra.com</t>
  </si>
  <si>
    <t xml:space="preserve">Lakshit Dora</t>
  </si>
  <si>
    <t xml:space="preserve">188121</t>
  </si>
  <si>
    <t xml:space="preserve">MFG SL</t>
  </si>
  <si>
    <t xml:space="preserve">Allocation &amp; Deployment Transparency;</t>
  </si>
  <si>
    <t xml:space="preserve">Variation in how learning is translating into actual delivery readiness across different ELTP stages (early-stage ready, mid-stage struggling, late-stage stagnation);Lack of continuous career communication leads to: confusion in early stage, direction gap in mid-stage, retention risk in later stage;</t>
  </si>
  <si>
    <t xml:space="preserve">Introduce ELTP engagement framework by stage: 0–6M → onboarding support, 6–M → performance alignment, –M → growth &amp; retention;Work with work force management and delivery closely to ensure the ELTP associates are mapped to projects once their trainings are completed;</t>
  </si>
  <si>
    <t xml:space="preserve">TB623125@techmahindra.com</t>
  </si>
  <si>
    <t xml:space="preserve">Tanish Bhatt</t>
  </si>
  <si>
    <t xml:space="preserve">623125</t>
  </si>
  <si>
    <t xml:space="preserve">Discussion on team dynamics;Clarity on expectations;Review of ongoing concerns;</t>
  </si>
  <si>
    <t xml:space="preserve">Associates are settling in well;Positive feedback overall;</t>
  </si>
  <si>
    <t xml:space="preserve">Monitor and follow up in next cycle;Continue regular check-ins;</t>
  </si>
  <si>
    <t xml:space="preserve">US267378@techmahindra.com</t>
  </si>
  <si>
    <t xml:space="preserve">Unnati Sagar</t>
  </si>
  <si>
    <t xml:space="preserve">Samuel Salvi</t>
  </si>
  <si>
    <t xml:space="preserve">267378</t>
  </si>
  <si>
    <t xml:space="preserve">Manager Connect Effectiveness;Initial Engagement Level;Role Expectation Clarity;</t>
  </si>
  <si>
    <t xml:space="preserve">Ensure weekly  :  connect with manager;</t>
  </si>
  <si>
    <t xml:space="preserve">LS236828@techmahindra.com</t>
  </si>
  <si>
    <t xml:space="preserve">Lajita Sood</t>
  </si>
  <si>
    <t xml:space="preserve">236828</t>
  </si>
  <si>
    <t xml:space="preserve">Rating Calibration Call;AI Workshop By Natesh;</t>
  </si>
  <si>
    <t xml:space="preserve">Need budget clarity;NA;</t>
  </si>
  <si>
    <t xml:space="preserve">Identify hotspots;</t>
  </si>
  <si>
    <t xml:space="preserve">Questions on team formation , Timesheet related queries etc</t>
  </si>
  <si>
    <t xml:space="preserve">SAP Sell To NON PS</t>
  </si>
  <si>
    <t xml:space="preserve">CR334081@techmahindra.com</t>
  </si>
  <si>
    <t xml:space="preserve">Chanchal Ramakrishnan</t>
  </si>
  <si>
    <t xml:space="preserve">334081</t>
  </si>
  <si>
    <t xml:space="preserve">Siwan</t>
  </si>
  <si>
    <t xml:space="preserve">Positive feedback overall;No major concerns raised;</t>
  </si>
  <si>
    <t xml:space="preserve">VK568325@techmahindra.com</t>
  </si>
  <si>
    <t xml:space="preserve">Vinaya Kanda</t>
  </si>
  <si>
    <t xml:space="preserve">Rajata Sunder</t>
  </si>
  <si>
    <t xml:space="preserve">568325</t>
  </si>
  <si>
    <t xml:space="preserve">Pali</t>
  </si>
  <si>
    <t xml:space="preserve">Digital Enterprise Applications</t>
  </si>
  <si>
    <t xml:space="preserve">Discussion on team dynamics;Clarity on expectations;</t>
  </si>
  <si>
    <t xml:space="preserve">NS673619@techmahindra.com</t>
  </si>
  <si>
    <t xml:space="preserve">Noah Sibal</t>
  </si>
  <si>
    <t xml:space="preserve">673619</t>
  </si>
  <si>
    <t xml:space="preserve">DEA - D - 4025</t>
  </si>
  <si>
    <t xml:space="preserve">BU head connect</t>
  </si>
  <si>
    <t xml:space="preserve">For Role Rotation (PM/PGM/architect);</t>
  </si>
  <si>
    <t xml:space="preserve">Answer FAQs in next connect;Run quarterly nominations;</t>
  </si>
  <si>
    <t xml:space="preserve">Had an introductory call with PL Head - Ajay Chawla</t>
  </si>
  <si>
    <t xml:space="preserve">MB309374@techmahindra.com</t>
  </si>
  <si>
    <t xml:space="preserve">Meera Bala</t>
  </si>
  <si>
    <t xml:space="preserve">Priya Deshmukh</t>
  </si>
  <si>
    <t xml:space="preserve">309374</t>
  </si>
  <si>
    <t xml:space="preserve">South Dumdum</t>
  </si>
  <si>
    <t xml:space="preserve">Feedback on recent processes;Discussion on team dynamics;</t>
  </si>
  <si>
    <t xml:space="preserve">NA;Monitor and follow up in next cycle;</t>
  </si>
  <si>
    <t xml:space="preserve">Upskilling, promotions and support related queries</t>
  </si>
  <si>
    <t xml:space="preserve">FK534096@techmahindra.com</t>
  </si>
  <si>
    <t xml:space="preserve">Falak Kakar</t>
  </si>
  <si>
    <t xml:space="preserve">534096</t>
  </si>
  <si>
    <t xml:space="preserve">No major concerns raised;Positive feedback overall;</t>
  </si>
  <si>
    <t xml:space="preserve">Queries related to Increments and Work from home exceptions</t>
  </si>
  <si>
    <t xml:space="preserve">LM946561@techmahindra.com</t>
  </si>
  <si>
    <t xml:space="preserve">Ladli Mall</t>
  </si>
  <si>
    <t xml:space="preserve">Zayyan Bumb</t>
  </si>
  <si>
    <t xml:space="preserve">946561</t>
  </si>
  <si>
    <t xml:space="preserve">Infrastructure / Workplace Enablement;Workload &amp; Work-Life Balance;Policy &amp; Process Clarity;</t>
  </si>
  <si>
    <t xml:space="preserve">Generic discussion about the account with the leads;</t>
  </si>
  <si>
    <t xml:space="preserve">Define issue escalation ladder and response SLAs;Coach managers on feedback, delegation, and communication;</t>
  </si>
  <si>
    <t xml:space="preserve">Adani is under allocation issues, associates are expressing stress over the allocation issue.
IBU head has assured to sort the technicalities.</t>
  </si>
  <si>
    <t xml:space="preserve">IK447596@techmahindra.com</t>
  </si>
  <si>
    <t xml:space="preserve">Inaya Kapur</t>
  </si>
  <si>
    <t xml:space="preserve">447596</t>
  </si>
  <si>
    <t xml:space="preserve">DEA-D-4023,DEA-D-4024, DEA-D-4025</t>
  </si>
  <si>
    <t xml:space="preserve">Learning &amp; Career Enablement;</t>
  </si>
  <si>
    <t xml:space="preserve">Need simplified updates on policy changes and timelines;Need guidance on learning platforms and certification options;</t>
  </si>
  <si>
    <t xml:space="preserve">Send monthly HR bulletin with key updates and links;Share role-based learning pathways and recommended certifications;</t>
  </si>
  <si>
    <t xml:space="preserve">AK168804@techmahindra.com</t>
  </si>
  <si>
    <t xml:space="preserve">Azaan Kota</t>
  </si>
  <si>
    <t xml:space="preserve">168804</t>
  </si>
  <si>
    <t xml:space="preserve">BESCOM</t>
  </si>
  <si>
    <t xml:space="preserve">Learning Curve Support;Manager Connect Effectiveness;Role Expectation Clarity;</t>
  </si>
  <si>
    <t xml:space="preserve">Most of the associates are undergoing trainings as there are FCTP's;Limited structured interaction with reporting manager;</t>
  </si>
  <si>
    <t xml:space="preserve">MK971230@techmahindra.com</t>
  </si>
  <si>
    <t xml:space="preserve">Michael Khare</t>
  </si>
  <si>
    <t xml:space="preserve">971230</t>
  </si>
  <si>
    <t xml:space="preserve">Career Progression &amp; Next-Level Readiness;Internal Mobility / Rotation Opportunities;Recognition &amp; Visibility of Growth;</t>
  </si>
  <si>
    <t xml:space="preserve">TS416822@techmahindra.com</t>
  </si>
  <si>
    <t xml:space="preserve">Tejas Shroff</t>
  </si>
  <si>
    <t xml:space="preserve">416822</t>
  </si>
  <si>
    <t xml:space="preserve">SAP sell Tto(PS and non PS)</t>
  </si>
  <si>
    <t xml:space="preserve">Induction Effectiveness;HR Process Clarity;</t>
  </si>
  <si>
    <t xml:space="preserve">none;</t>
  </si>
  <si>
    <t xml:space="preserve">Assign buddy with defined responsibilities for 2 weeks;</t>
  </si>
  <si>
    <t xml:space="preserve">the associates had queries related to timesheet which was cleared during the call</t>
  </si>
  <si>
    <t xml:space="preserve">OC524252@techmahindra.com</t>
  </si>
  <si>
    <t xml:space="preserve">Oliver Contractor</t>
  </si>
  <si>
    <t xml:space="preserve">524252</t>
  </si>
  <si>
    <t xml:space="preserve">Mastercard</t>
  </si>
  <si>
    <t xml:space="preserve">Workload &amp; Work-Life Balance;Manager Support &amp; Local Leadership Effectiveness;Timesheet Submission/approval Process Inconsistencies Create;</t>
  </si>
  <si>
    <t xml:space="preserve">Need faster issue resolution and proactive manager check-ins;</t>
  </si>
  <si>
    <t xml:space="preserve">Run a monthly policy + compliance refresher for the project;</t>
  </si>
  <si>
    <t xml:space="preserve">Leave encashment, Gratuity,Exit guidelines</t>
  </si>
  <si>
    <t xml:space="preserve">DC540897@techmahindra.com</t>
  </si>
  <si>
    <t xml:space="preserve">Deepa Chokshi</t>
  </si>
  <si>
    <t xml:space="preserve">540897</t>
  </si>
  <si>
    <t xml:space="preserve">Cadence</t>
  </si>
  <si>
    <t xml:space="preserve">Culture &amp; Engagement;Queries On Performance Cycle Steps And Deadlines;Monthly Cadence IBU Head coverage on HC, Attrition, eltp and Bench;</t>
  </si>
  <si>
    <t xml:space="preserve">na;Need guidance on leave, travel, and exception approvals;</t>
  </si>
  <si>
    <t xml:space="preserve">Connect for recognition;Host open house hour for Q&amp;A and log unanswered items;</t>
  </si>
  <si>
    <t xml:space="preserve">KR448787@techmahindra.com</t>
  </si>
  <si>
    <t xml:space="preserve">Keya Ranganathan</t>
  </si>
  <si>
    <t xml:space="preserve">448787</t>
  </si>
  <si>
    <t xml:space="preserve">Lack of continuous career communication leads to: confusion in early stage, direction gap in mid-stage, retention risk in later stage;Inconsistent visibility on allocation timelines and decision-making creates confusion across all ELTP groups;</t>
  </si>
  <si>
    <t xml:space="preserve">Introduce ELTP engagement framework by stage: 0–6M → onboarding support, 6–M → performance alignment, –M → growth &amp; retention;</t>
  </si>
  <si>
    <t xml:space="preserve">Streamline of WFH in ServiceNow</t>
  </si>
  <si>
    <t xml:space="preserve">FK427252@techmahindra.com</t>
  </si>
  <si>
    <t xml:space="preserve">Faqid Kibe</t>
  </si>
  <si>
    <t xml:space="preserve">Charvi Dara</t>
  </si>
  <si>
    <t xml:space="preserve">427252</t>
  </si>
  <si>
    <t xml:space="preserve">Sri Ganganagar</t>
  </si>
  <si>
    <t xml:space="preserve">Timesheet Submission/approval Process Inconsistencies Create;Recognition &amp; Engagement within Project;</t>
  </si>
  <si>
    <t xml:space="preserve">Escalation handling is inconsistent;</t>
  </si>
  <si>
    <t xml:space="preserve">Addressing concerns on allocation issues;All were resolved in the ODC connect;</t>
  </si>
  <si>
    <t xml:space="preserve">CS;HRBP;</t>
  </si>
  <si>
    <t xml:space="preserve">ET368214@techmahindra.com</t>
  </si>
  <si>
    <t xml:space="preserve">Ekapad Toor</t>
  </si>
  <si>
    <t xml:space="preserve">368214</t>
  </si>
  <si>
    <t xml:space="preserve">IBU</t>
  </si>
  <si>
    <t xml:space="preserve">Clarity On Appraisal/performance Timelines And Edge Cases;</t>
  </si>
  <si>
    <t xml:space="preserve">Need clarity on appraisal/performance timelines and edge cases;Timesheet submission/approval process inconsistencies create compliance risk;</t>
  </si>
  <si>
    <t xml:space="preserve">Review workload hotspots with PGM/RM and rebalance capacity;</t>
  </si>
  <si>
    <t xml:space="preserve">Queries regarding payslips, work from office and PF</t>
  </si>
  <si>
    <t xml:space="preserve">OS621917@techmahindra.com</t>
  </si>
  <si>
    <t xml:space="preserve">Osha Suri</t>
  </si>
  <si>
    <t xml:space="preserve">621917</t>
  </si>
  <si>
    <t xml:space="preserve">Suncorp AHM</t>
  </si>
  <si>
    <t xml:space="preserve">Communication &amp; Transparency;</t>
  </si>
  <si>
    <t xml:space="preserve">Mixed stakeholder messages;</t>
  </si>
  <si>
    <t xml:space="preserve">TD376955@techmahindra.com</t>
  </si>
  <si>
    <t xml:space="preserve">Tripti Dua</t>
  </si>
  <si>
    <t xml:space="preserve">376955</t>
  </si>
  <si>
    <t xml:space="preserve">BOSCH Rollout Project -  T&amp;M</t>
  </si>
  <si>
    <t xml:space="preserve">Recognition Equity &amp; Visibility;Clarity on Org Changes &amp; Priorities;Compensation &amp; Retention Risk;</t>
  </si>
  <si>
    <t xml:space="preserve">Run quarterly nominations;Answer FAQs in next connect;</t>
  </si>
  <si>
    <t xml:space="preserve">VS274880@techmahindra.com</t>
  </si>
  <si>
    <t xml:space="preserve">Veda Shroff</t>
  </si>
  <si>
    <t xml:space="preserve">Amrita Naidu</t>
  </si>
  <si>
    <t xml:space="preserve">274880</t>
  </si>
  <si>
    <t xml:space="preserve">Chandigarh</t>
  </si>
  <si>
    <t xml:space="preserve">Various Projects</t>
  </si>
  <si>
    <t xml:space="preserve">Work-Life &amp; Sustainability Signals;Business &amp; Strategy Clarity;Leadership Communication &amp; Q&amp;A Effectiveness;</t>
  </si>
  <si>
    <t xml:space="preserve">Associates are unsure how unit goals translate into day-to-day delivery expectations;Associates were curious to know about salary increments;</t>
  </si>
  <si>
    <t xml:space="preserve">Add a ‘What changes for teams’ section with 3–5 concrete takeaways;Share a 1-page business snapshot (targets, priorities, key wins) post townhall;</t>
  </si>
  <si>
    <t xml:space="preserve">YS644315@techmahindra.com</t>
  </si>
  <si>
    <t xml:space="preserve">Yagnesh Shetty</t>
  </si>
  <si>
    <t xml:space="preserve">644315</t>
  </si>
  <si>
    <t xml:space="preserve">Naihati</t>
  </si>
  <si>
    <t xml:space="preserve">QS152796@techmahindra.com</t>
  </si>
  <si>
    <t xml:space="preserve">Qabil Sura</t>
  </si>
  <si>
    <t xml:space="preserve">152796</t>
  </si>
  <si>
    <t xml:space="preserve">Raichur</t>
  </si>
  <si>
    <t xml:space="preserve">Career Path Visibility;Long-Term Role Alignment;Engagement &amp; Belonging;</t>
  </si>
  <si>
    <t xml:space="preserve">Queries related to policies and the SPOC details</t>
  </si>
  <si>
    <t xml:space="preserve">AM904694@techmahindra.com</t>
  </si>
  <si>
    <t xml:space="preserve">Ati Majumdar</t>
  </si>
  <si>
    <t xml:space="preserve">904694</t>
  </si>
  <si>
    <t xml:space="preserve">IFS Sell TO</t>
  </si>
  <si>
    <t xml:space="preserve">Initial Engagement Level;Role Expectation Clarity;Project Allocation Clarity;</t>
  </si>
  <si>
    <t xml:space="preserve">Delay or lack of clarity in project onboarding;Limited structured interaction with reporting manager;</t>
  </si>
  <si>
    <t xml:space="preserve">Queries on Timesheet, Leaves and Staff welfare budget</t>
  </si>
  <si>
    <t xml:space="preserve">FK764000@techmahindra.com</t>
  </si>
  <si>
    <t xml:space="preserve">Frederick Khurana</t>
  </si>
  <si>
    <t xml:space="preserve">764000</t>
  </si>
  <si>
    <t xml:space="preserve">DEA-D-4020</t>
  </si>
  <si>
    <t xml:space="preserve">WS408463@techmahindra.com</t>
  </si>
  <si>
    <t xml:space="preserve">Wridesh Soni</t>
  </si>
  <si>
    <t xml:space="preserve">408463</t>
  </si>
  <si>
    <t xml:space="preserve">Enbridge</t>
  </si>
  <si>
    <t xml:space="preserve">Induction Effectiveness;HR Process Clarity;Tool &amp; System Access;</t>
  </si>
  <si>
    <t xml:space="preserve">Standardize induction deck + post-induction summary mail;Assign buddy with defined responsibilities for 2 weeks;</t>
  </si>
  <si>
    <t xml:space="preserve">SB947568@techmahindra.com</t>
  </si>
  <si>
    <t xml:space="preserve">Sara Badal</t>
  </si>
  <si>
    <t xml:space="preserve">Chaitaly Kant</t>
  </si>
  <si>
    <t xml:space="preserve">947568</t>
  </si>
  <si>
    <t xml:space="preserve">Timely Policy/process Updates;</t>
  </si>
  <si>
    <t xml:space="preserve">Need more appreciation;</t>
  </si>
  <si>
    <t xml:space="preserve">DP818430@techmahindra.com</t>
  </si>
  <si>
    <t xml:space="preserve">Damini Pillay</t>
  </si>
  <si>
    <t xml:space="preserve">818430</t>
  </si>
  <si>
    <t xml:space="preserve">Begusarai</t>
  </si>
  <si>
    <t xml:space="preserve">GP236384@techmahindra.com</t>
  </si>
  <si>
    <t xml:space="preserve">Ganga Pandey</t>
  </si>
  <si>
    <t xml:space="preserve">236384</t>
  </si>
  <si>
    <t xml:space="preserve">SAP SellTo</t>
  </si>
  <si>
    <t xml:space="preserve">Timely Policy/process Updates;Manager Effectiveness &amp; Delegation;</t>
  </si>
  <si>
    <t xml:space="preserve">Set comms cadence;</t>
  </si>
  <si>
    <t xml:space="preserve">DK329056@techmahindra.com</t>
  </si>
  <si>
    <t xml:space="preserve">Damini Krishnamurthy</t>
  </si>
  <si>
    <t xml:space="preserve">329056</t>
  </si>
  <si>
    <t xml:space="preserve">SAP Sellto</t>
  </si>
  <si>
    <t xml:space="preserve">Career Visibility &amp; Skill Roadmap;Leadership Communication &amp; Q&amp;A Effectiveness;AI/future Readiness Messaging Is High-level;</t>
  </si>
  <si>
    <t xml:space="preserve">NA;associates seek practical relevance;</t>
  </si>
  <si>
    <t xml:space="preserve">DD275526@techmahindra.com</t>
  </si>
  <si>
    <t xml:space="preserve">Diya Dar</t>
  </si>
  <si>
    <t xml:space="preserve">275526</t>
  </si>
  <si>
    <t xml:space="preserve">Nellore</t>
  </si>
  <si>
    <t xml:space="preserve">General wellbeing check-in;Feedback on recent processes;Review of ongoing concerns;</t>
  </si>
  <si>
    <t xml:space="preserve">AV508422@techmahindra.com</t>
  </si>
  <si>
    <t xml:space="preserve">Aradhana Vohra</t>
  </si>
  <si>
    <t xml:space="preserve">508422</t>
  </si>
  <si>
    <t xml:space="preserve">Salem</t>
  </si>
  <si>
    <t xml:space="preserve">CIS D 4021</t>
  </si>
  <si>
    <t xml:space="preserve">Communication &amp; Transparency;Manager Effectiveness &amp; Delegation;Learning/cert Support Requests;</t>
  </si>
  <si>
    <t xml:space="preserve">Need timely policy/process updates;Need more appreciation;</t>
  </si>
  <si>
    <t xml:space="preserve">Standardize messaging;</t>
  </si>
  <si>
    <t xml:space="preserve">UP779414@techmahindra.com</t>
  </si>
  <si>
    <t xml:space="preserve">Utkarsh Patel</t>
  </si>
  <si>
    <t xml:space="preserve">779414</t>
  </si>
  <si>
    <t xml:space="preserve">Barasat</t>
  </si>
  <si>
    <t xml:space="preserve">CIS D 4002,4005,4024</t>
  </si>
  <si>
    <t xml:space="preserve">Delay or lack of clarity in project onboarding;</t>
  </si>
  <si>
    <t xml:space="preserve">AB676365@techmahindra.com</t>
  </si>
  <si>
    <t xml:space="preserve">Anusha Bath</t>
  </si>
  <si>
    <t xml:space="preserve">Brinda Date</t>
  </si>
  <si>
    <t xml:space="preserve">676365</t>
  </si>
  <si>
    <t xml:space="preserve">Recognition &amp; Motivation;Manager Effectiveness &amp; Delegation;</t>
  </si>
  <si>
    <t xml:space="preserve">Need clarity on growth opportunities;Need more appreciation;</t>
  </si>
  <si>
    <t xml:space="preserve">Standardize messaging;Team recognition cadence;</t>
  </si>
  <si>
    <t xml:space="preserve">queries related top RTO guidelines and bench wait threshold.</t>
  </si>
  <si>
    <t xml:space="preserve">HA566991@techmahindra.com</t>
  </si>
  <si>
    <t xml:space="preserve">Harshil Arora</t>
  </si>
  <si>
    <t xml:space="preserve">566991</t>
  </si>
  <si>
    <t xml:space="preserve">AI Workshop By Natesh;AI Session;Rating Calibration Call;</t>
  </si>
  <si>
    <t xml:space="preserve">Rating Calibration Call;</t>
  </si>
  <si>
    <t xml:space="preserve">Define capability targets;</t>
  </si>
  <si>
    <t xml:space="preserve">VS240384@techmahindra.com</t>
  </si>
  <si>
    <t xml:space="preserve">Varenya Sastry</t>
  </si>
  <si>
    <t xml:space="preserve">240384</t>
  </si>
  <si>
    <t xml:space="preserve">Udaipur</t>
  </si>
  <si>
    <t xml:space="preserve">USA Retail, USA E&amp;U, USA Professional Services</t>
  </si>
  <si>
    <t xml:space="preserve">VC141843@techmahindra.com</t>
  </si>
  <si>
    <t xml:space="preserve">Vanya Comar</t>
  </si>
  <si>
    <t xml:space="preserve">141843</t>
  </si>
  <si>
    <t xml:space="preserve">Mix</t>
  </si>
  <si>
    <t xml:space="preserve">Engagement with Leadership &amp; Confidence Level;HR / WFM / Training Communication Effectiveness;Alignment on Role in Business Context;</t>
  </si>
  <si>
    <t xml:space="preserve">Associates unclear how their role contributes to business;NA;</t>
  </si>
  <si>
    <t xml:space="preserve">Provide FAQs, guides, refresher sessions;Publish post-induction roadmap (Day 1–30);</t>
  </si>
  <si>
    <t xml:space="preserve">VB224078@techmahindra.com</t>
  </si>
  <si>
    <t xml:space="preserve">Vyanjana Borah</t>
  </si>
  <si>
    <t xml:space="preserve">224078</t>
  </si>
  <si>
    <t xml:space="preserve">BFS-D-4001</t>
  </si>
  <si>
    <t xml:space="preserve">Feedback on recent processes;Review of ongoing concerns;Discussion on team dynamics;</t>
  </si>
  <si>
    <t xml:space="preserve">MD327114@techmahindra.com</t>
  </si>
  <si>
    <t xml:space="preserve">Max Dixit</t>
  </si>
  <si>
    <t xml:space="preserve">327114</t>
  </si>
  <si>
    <t xml:space="preserve">MFG SL interns</t>
  </si>
  <si>
    <t xml:space="preserve">FK744610@techmahindra.com</t>
  </si>
  <si>
    <t xml:space="preserve">Frederick Kothari</t>
  </si>
  <si>
    <t xml:space="preserve">744610</t>
  </si>
  <si>
    <t xml:space="preserve">NS MT Interns connect with Abhishek Malhotra (SL Head)</t>
  </si>
  <si>
    <t xml:space="preserve">Recognition Visibility;Leadership Communication &amp; Q&amp;A Effectiveness;Business &amp; Strategy Clarity;</t>
  </si>
  <si>
    <t xml:space="preserve">Org/structural updates are heard but not fully understood (what changes for me?);Associates seek clarity on role progression and career paths within the unit;</t>
  </si>
  <si>
    <t xml:space="preserve">UV107459@techmahindra.com</t>
  </si>
  <si>
    <t xml:space="preserve">Upkaar Virk</t>
  </si>
  <si>
    <t xml:space="preserve">107459</t>
  </si>
  <si>
    <t xml:space="preserve">Hospet</t>
  </si>
  <si>
    <t xml:space="preserve">Review of ongoing concerns;Discussion on team dynamics;</t>
  </si>
  <si>
    <t xml:space="preserve">No specific action required;Share update with relevant stakeholder;</t>
  </si>
  <si>
    <t xml:space="preserve">PM884140@techmahindra.com</t>
  </si>
  <si>
    <t xml:space="preserve">Pushti Mody</t>
  </si>
  <si>
    <t xml:space="preserve">884140</t>
  </si>
  <si>
    <t xml:space="preserve">BGV queries;</t>
  </si>
  <si>
    <t xml:space="preserve">BGV related queries;NA;</t>
  </si>
  <si>
    <t xml:space="preserve">na</t>
  </si>
  <si>
    <t xml:space="preserve">DEA-D-4009, RAMKI, Discussed on Bench cased, HC optimization band wise and RTO</t>
  </si>
  <si>
    <t xml:space="preserve">HJ618382@techmahindra.com</t>
  </si>
  <si>
    <t xml:space="preserve">Hardik Johal</t>
  </si>
  <si>
    <t xml:space="preserve">618382</t>
  </si>
  <si>
    <t xml:space="preserve">Initial Engagement Level;</t>
  </si>
  <si>
    <t xml:space="preserve">Associates undergoing project training;</t>
  </si>
  <si>
    <t xml:space="preserve">Ensure weekly  :  connect with manager;NA;</t>
  </si>
  <si>
    <t xml:space="preserve">FD465004@techmahindra.com</t>
  </si>
  <si>
    <t xml:space="preserve">Finn Dugar</t>
  </si>
  <si>
    <t xml:space="preserve">465004</t>
  </si>
  <si>
    <t xml:space="preserve">Engagement with Leadership &amp; Confidence Level;Visibility on Allocation &amp; Demand;HR / WFM / Training Communication Effectiveness;</t>
  </si>
  <si>
    <t xml:space="preserve">HR/WFM/Training updates not actionable;Low interaction and hesitation in raising questions;</t>
  </si>
  <si>
    <t xml:space="preserve">Create consistent onboarding framework across practice;NA;</t>
  </si>
  <si>
    <t xml:space="preserve">NA835236@techmahindra.com</t>
  </si>
  <si>
    <t xml:space="preserve">Naksh Agate</t>
  </si>
  <si>
    <t xml:space="preserve">835236</t>
  </si>
  <si>
    <t xml:space="preserve">Recognition &amp; Engagement within Project;Workload &amp; Work-Life Balance;</t>
  </si>
  <si>
    <t xml:space="preserve">All the queries were resolved in the session;Run a monthly policy + compliance refresher for the project;</t>
  </si>
  <si>
    <t xml:space="preserve">BB473321@techmahindra.com</t>
  </si>
  <si>
    <t xml:space="preserve">Bishakha Bali</t>
  </si>
  <si>
    <t xml:space="preserve">473321</t>
  </si>
  <si>
    <t xml:space="preserve">Internal Growth Opportunities;Engagement &amp; Belonging;Career Path Visibility;</t>
  </si>
  <si>
    <t xml:space="preserve">Align role expectations vs aspiration through discussion;</t>
  </si>
  <si>
    <t xml:space="preserve">SB643377@techmahindra.com</t>
  </si>
  <si>
    <t xml:space="preserve">Sudiksha Bobal</t>
  </si>
  <si>
    <t xml:space="preserve">643377</t>
  </si>
  <si>
    <t xml:space="preserve">Learning Curve Support;Project Allocation Clarity;</t>
  </si>
  <si>
    <t xml:space="preserve">RS305587@techmahindra.com</t>
  </si>
  <si>
    <t xml:space="preserve">Rudra Sandal</t>
  </si>
  <si>
    <t xml:space="preserve">Umang Dixit</t>
  </si>
  <si>
    <t xml:space="preserve">305587</t>
  </si>
  <si>
    <t xml:space="preserve">AI Workshop By Natesh;Action Closure Discipline;</t>
  </si>
  <si>
    <t xml:space="preserve">Work with AI Agents;Rating Calibration Call;</t>
  </si>
  <si>
    <t xml:space="preserve">EB734992@techmahindra.com</t>
  </si>
  <si>
    <t xml:space="preserve">Ekbal Bhasin</t>
  </si>
  <si>
    <t xml:space="preserve">734992</t>
  </si>
  <si>
    <t xml:space="preserve">HR Process Clarity;Tool &amp; System Access;</t>
  </si>
  <si>
    <t xml:space="preserve">New joiners feel overwhelmed or unclear post induction;none;</t>
  </si>
  <si>
    <t xml:space="preserve">BS884225@techmahindra.com</t>
  </si>
  <si>
    <t xml:space="preserve">Bhavya Sarna</t>
  </si>
  <si>
    <t xml:space="preserve">884225</t>
  </si>
  <si>
    <t xml:space="preserve">Bhind</t>
  </si>
  <si>
    <t xml:space="preserve">Alignment on Role in Business Context;</t>
  </si>
  <si>
    <t xml:space="preserve">Low interaction and hesitation in raising questions;All the queries were answered in the sessions;</t>
  </si>
  <si>
    <t xml:space="preserve">Provide FAQs, guides, refresher sessions;</t>
  </si>
  <si>
    <t xml:space="preserve">AT756912@techmahindra.com</t>
  </si>
  <si>
    <t xml:space="preserve">Anita Tella</t>
  </si>
  <si>
    <t xml:space="preserve">Raksha Buch</t>
  </si>
  <si>
    <t xml:space="preserve">756912</t>
  </si>
  <si>
    <t xml:space="preserve">New Joiners Connect - 30 Days</t>
  </si>
  <si>
    <t xml:space="preserve">Monitor and follow up in next cycle;Share update with relevant stakeholder;</t>
  </si>
  <si>
    <t xml:space="preserve">EK400692@techmahindra.com</t>
  </si>
  <si>
    <t xml:space="preserve">Ekantika Krishna</t>
  </si>
  <si>
    <t xml:space="preserve">400692</t>
  </si>
  <si>
    <t xml:space="preserve">ABCD</t>
  </si>
  <si>
    <t xml:space="preserve">Queries On Performance Cycle Steps And Deadlines;Guidance On Leave, Travel, And Exception Approvals;</t>
  </si>
  <si>
    <t xml:space="preserve">Need clarity on role-based learning expectations;</t>
  </si>
  <si>
    <t xml:space="preserve">New IBU- Introduction to HR Team and new leadership;It was a general discussion with the IBU Head on the pulse at ground level;</t>
  </si>
  <si>
    <t xml:space="preserve">AL381880@techmahindra.com</t>
  </si>
  <si>
    <t xml:space="preserve">Ansh Luthra</t>
  </si>
  <si>
    <t xml:space="preserve">381880</t>
  </si>
  <si>
    <t xml:space="preserve">UV984522@techmahindra.com</t>
  </si>
  <si>
    <t xml:space="preserve">Upma Venkataraman</t>
  </si>
  <si>
    <t xml:space="preserve">984522</t>
  </si>
  <si>
    <t xml:space="preserve">VC880900@techmahindra.com</t>
  </si>
  <si>
    <t xml:space="preserve">Vyanjana Chand</t>
  </si>
  <si>
    <t xml:space="preserve">880900</t>
  </si>
  <si>
    <t xml:space="preserve">Karnal</t>
  </si>
  <si>
    <t xml:space="preserve">HAL</t>
  </si>
  <si>
    <t xml:space="preserve">Most of the associates are undergoing trainings as there are FCTP's;Associates undergoing project training;</t>
  </si>
  <si>
    <t xml:space="preserve">discussed regarding hike and increments, training and certification program, additional roles and responsibilities if they are looking .</t>
  </si>
  <si>
    <t xml:space="preserve">HD896456@techmahindra.com</t>
  </si>
  <si>
    <t xml:space="preserve">Henry Dyal</t>
  </si>
  <si>
    <t xml:space="preserve">896456</t>
  </si>
  <si>
    <t xml:space="preserve">Engagement &amp; Belonging;Career Path Visibility;Long-Term Role Alignment;</t>
  </si>
  <si>
    <t xml:space="preserve">seat allocation;Connect with Practice head, associates were happy with the session and interaction opportunity with practice head.;</t>
  </si>
  <si>
    <t xml:space="preserve">BR681456@techmahindra.com</t>
  </si>
  <si>
    <t xml:space="preserve">Bhavya Rattan</t>
  </si>
  <si>
    <t xml:space="preserve">681456</t>
  </si>
  <si>
    <t xml:space="preserve">Malda</t>
  </si>
  <si>
    <t xml:space="preserve">EY</t>
  </si>
  <si>
    <t xml:space="preserve">ED742818@techmahindra.com</t>
  </si>
  <si>
    <t xml:space="preserve">Ekiya D’Alia</t>
  </si>
  <si>
    <t xml:space="preserve">742818</t>
  </si>
  <si>
    <t xml:space="preserve">NA;HR/WFM/Training updates not actionable;</t>
  </si>
  <si>
    <t xml:space="preserve">Checked the action plan for pending allocation of new joiners and highlighted to IBU head and it was closed;NA;</t>
  </si>
  <si>
    <t xml:space="preserve">YA685126@techmahindra.com</t>
  </si>
  <si>
    <t xml:space="preserve">Yoshita Agarwal</t>
  </si>
  <si>
    <t xml:space="preserve">685126</t>
  </si>
  <si>
    <t xml:space="preserve">Haridwar</t>
  </si>
  <si>
    <t xml:space="preserve">WS209159@techmahindra.com</t>
  </si>
  <si>
    <t xml:space="preserve">Wishi Sathe</t>
  </si>
  <si>
    <t xml:space="preserve">209159</t>
  </si>
  <si>
    <t xml:space="preserve">BFSI Vertical</t>
  </si>
  <si>
    <t xml:space="preserve">Queries related to BGV check;Team Integration;Feedback Mechanism;</t>
  </si>
  <si>
    <t xml:space="preserve">Not fully integrated with team collaboration channels;</t>
  </si>
  <si>
    <t xml:space="preserve">Include in team rituals (scrum, meetings, discussions);Mandate structured monthly feedback from manager;</t>
  </si>
  <si>
    <t xml:space="preserve">AD997287@techmahindra.com</t>
  </si>
  <si>
    <t xml:space="preserve">Amara Deep</t>
  </si>
  <si>
    <t xml:space="preserve">997287</t>
  </si>
  <si>
    <t xml:space="preserve">Buddy / Support System;Initial Organization Understanding;</t>
  </si>
  <si>
    <t xml:space="preserve">Delays in access to systems/tools required for work;</t>
  </si>
  <si>
    <t xml:space="preserve">Share HR FAQ document + SPOC contact sheet;Hybrid working policy was explained in detail;</t>
  </si>
  <si>
    <t xml:space="preserve">Associate wanted a release from the project since he was unhappy in the current role.</t>
  </si>
  <si>
    <t xml:space="preserve">VD908348@techmahindra.com</t>
  </si>
  <si>
    <t xml:space="preserve">Vedhika Dara</t>
  </si>
  <si>
    <t xml:space="preserve">908348</t>
  </si>
  <si>
    <t xml:space="preserve">Workload &amp; Work-Life Balance;On Leave/comp-off Due To Client Calendar Mismatches;</t>
  </si>
  <si>
    <t xml:space="preserve">All the queries were resolved in the ODC Connect;</t>
  </si>
  <si>
    <t xml:space="preserve">HR and Delivery Head clarified on org level communication on appraisals;NA;</t>
  </si>
  <si>
    <t xml:space="preserve">NM189211@techmahindra.com</t>
  </si>
  <si>
    <t xml:space="preserve">Nathan Mukhopadhyay</t>
  </si>
  <si>
    <t xml:space="preserve">189211</t>
  </si>
  <si>
    <t xml:space="preserve">Suryapet</t>
  </si>
  <si>
    <t xml:space="preserve">Had one on one with IBU head first time of SNOW Europe;</t>
  </si>
  <si>
    <t xml:space="preserve">Need simplified updates on policy changes and timelines;Discussed on how to simply WFH exception requests and about various projects;</t>
  </si>
  <si>
    <t xml:space="preserve">IS563690@techmahindra.com</t>
  </si>
  <si>
    <t xml:space="preserve">Ishaan Shenoy</t>
  </si>
  <si>
    <t xml:space="preserve">563690</t>
  </si>
  <si>
    <t xml:space="preserve">Jamnagar</t>
  </si>
  <si>
    <t xml:space="preserve">Clarity On Appraisal/performance Timelines And Edge Cases;Recognition &amp; Engagement within Project;</t>
  </si>
  <si>
    <t xml:space="preserve">HR and Delivery Head clarified on org level communication on appraisals;Addressing concerns on allocation issues;</t>
  </si>
  <si>
    <t xml:space="preserve">YM119281@techmahindra.com</t>
  </si>
  <si>
    <t xml:space="preserve">Yashodhara Mahajan</t>
  </si>
  <si>
    <t xml:space="preserve">119281</t>
  </si>
  <si>
    <t xml:space="preserve">Karawal Nagar</t>
  </si>
  <si>
    <t xml:space="preserve">Limited structured interaction with reporting manager;Delay or lack of clarity in project onboarding;</t>
  </si>
  <si>
    <t xml:space="preserve">NA;Define timeline for project allocation (max  0 days);</t>
  </si>
  <si>
    <t xml:space="preserve">TD419739@techmahindra.com</t>
  </si>
  <si>
    <t xml:space="preserve">Tanmayi Dhillon</t>
  </si>
  <si>
    <t xml:space="preserve">419739</t>
  </si>
  <si>
    <t xml:space="preserve">Bench</t>
  </si>
  <si>
    <t xml:space="preserve">Team Integration;</t>
  </si>
  <si>
    <t xml:space="preserve">BGV related queries;The associates had questions around WFH and leaves.;</t>
  </si>
  <si>
    <t xml:space="preserve">Mandate structured monthly feedback from manager;Explained the complete process to associates;</t>
  </si>
  <si>
    <t xml:space="preserve">EM734775@techmahindra.com</t>
  </si>
  <si>
    <t xml:space="preserve">Ekaraj Majumdar</t>
  </si>
  <si>
    <t xml:space="preserve">734775</t>
  </si>
  <si>
    <t xml:space="preserve">CIS-D-4022</t>
  </si>
  <si>
    <t xml:space="preserve">Nothing</t>
  </si>
  <si>
    <t xml:space="preserve">HT874205@techmahindra.com</t>
  </si>
  <si>
    <t xml:space="preserve">Harini Tripathi</t>
  </si>
  <si>
    <t xml:space="preserve">874205</t>
  </si>
  <si>
    <t xml:space="preserve">Work-Life Balance &amp; Flexibility;Learning &amp; Skill Building;Inclusive Team Practices;</t>
  </si>
  <si>
    <t xml:space="preserve">Grievance/speak-up clarity;Need empathy and communication;</t>
  </si>
  <si>
    <t xml:space="preserve">BM169348@techmahindra.com</t>
  </si>
  <si>
    <t xml:space="preserve">Barkha Misra</t>
  </si>
  <si>
    <t xml:space="preserve">169348</t>
  </si>
  <si>
    <t xml:space="preserve">Mixed-UKG project</t>
  </si>
  <si>
    <t xml:space="preserve">Workload Management;Team Integration;BGV queries;</t>
  </si>
  <si>
    <t xml:space="preserve">BGV;Explained the complete process to associates;</t>
  </si>
  <si>
    <t xml:space="preserve">Timesheet queries, shift allowance</t>
  </si>
  <si>
    <t xml:space="preserve">MS911259@techmahindra.com</t>
  </si>
  <si>
    <t xml:space="preserve">Manthan Sekhon</t>
  </si>
  <si>
    <t xml:space="preserve">911259</t>
  </si>
  <si>
    <t xml:space="preserve">GP846030@techmahindra.com</t>
  </si>
  <si>
    <t xml:space="preserve">Gaurangi Purohit</t>
  </si>
  <si>
    <t xml:space="preserve">846030</t>
  </si>
  <si>
    <t xml:space="preserve">TMC Service Line</t>
  </si>
  <si>
    <t xml:space="preserve">Feedback Mechanism;</t>
  </si>
  <si>
    <t xml:space="preserve">Skill gaps becoming visible during execution;BGV related queries;</t>
  </si>
  <si>
    <t xml:space="preserve">RK103704@techmahindra.com</t>
  </si>
  <si>
    <t xml:space="preserve">Ranbir Khare</t>
  </si>
  <si>
    <t xml:space="preserve">103704</t>
  </si>
  <si>
    <t xml:space="preserve">NB286906@techmahindra.com</t>
  </si>
  <si>
    <t xml:space="preserve">Nirja Bassi</t>
  </si>
  <si>
    <t xml:space="preserve">286906</t>
  </si>
  <si>
    <t xml:space="preserve">Role Confidence Level;</t>
  </si>
  <si>
    <t xml:space="preserve">Explained the complete process to associates;BGV;</t>
  </si>
  <si>
    <t xml:space="preserve">LR607157@techmahindra.com</t>
  </si>
  <si>
    <t xml:space="preserve">Lakshmi Raju</t>
  </si>
  <si>
    <t xml:space="preserve">607157</t>
  </si>
  <si>
    <t xml:space="preserve">Shimla</t>
  </si>
  <si>
    <t xml:space="preserve">Clarity on expectations;Review of ongoing concerns;General wellbeing check-in;</t>
  </si>
  <si>
    <t xml:space="preserve">YN322652@techmahindra.com</t>
  </si>
  <si>
    <t xml:space="preserve">Yadavi Narula</t>
  </si>
  <si>
    <t xml:space="preserve">Ria Chaudhry</t>
  </si>
  <si>
    <t xml:space="preserve">322652</t>
  </si>
  <si>
    <t xml:space="preserve">Kanpur</t>
  </si>
  <si>
    <t xml:space="preserve">Need clearer articulation of business direction and priorities for the quarter;associates seek practical relevance;</t>
  </si>
  <si>
    <t xml:space="preserve">NA;Add a ‘What changes for teams’ section with 3–5 concrete takeaways;</t>
  </si>
  <si>
    <t xml:space="preserve">MB413884@techmahindra.com</t>
  </si>
  <si>
    <t xml:space="preserve">Mohammed Borde</t>
  </si>
  <si>
    <t xml:space="preserve">413884</t>
  </si>
  <si>
    <t xml:space="preserve">Strategic Connect;Manager Support &amp; Local Leadership Effectiveness;Policy &amp; Process Clarity;</t>
  </si>
  <si>
    <t xml:space="preserve">Run a monthly policy + compliance refresher for the project;Addressing concerns on allocation issues;</t>
  </si>
  <si>
    <t xml:space="preserve">Queries like WFH, timesheet, guidance on ML</t>
  </si>
  <si>
    <t xml:space="preserve">HR139211@techmahindra.com</t>
  </si>
  <si>
    <t xml:space="preserve">Hamsini Rao</t>
  </si>
  <si>
    <t xml:space="preserve">139211</t>
  </si>
  <si>
    <t xml:space="preserve">Business &amp; Practice Awareness;Visibility on Allocation &amp; Demand;Engagement with Leadership &amp; Confidence Level;</t>
  </si>
  <si>
    <t xml:space="preserve">HR/WFM/Training updates not actionable;</t>
  </si>
  <si>
    <t xml:space="preserve">TLS SPOC had cleared all the queries w.r.t learning;Publish post-induction roadmap (Day 1–30);</t>
  </si>
  <si>
    <t xml:space="preserve">LN427659@techmahindra.com</t>
  </si>
  <si>
    <t xml:space="preserve">Lajita Nadig</t>
  </si>
  <si>
    <t xml:space="preserve">Balendra Biswas</t>
  </si>
  <si>
    <t xml:space="preserve">427659</t>
  </si>
  <si>
    <t xml:space="preserve">Tumkur</t>
  </si>
  <si>
    <t xml:space="preserve">Buddy / Support System;</t>
  </si>
  <si>
    <t xml:space="preserve">Limited clarity on policies (leave, WFO, reporting);</t>
  </si>
  <si>
    <t xml:space="preserve">Share org structure + “who does what” quick guide;Implement Day-1 access checklist tracking (IT + Admin);</t>
  </si>
  <si>
    <t xml:space="preserve">WFH queries</t>
  </si>
  <si>
    <t xml:space="preserve">RC130401@techmahindra.com</t>
  </si>
  <si>
    <t xml:space="preserve">Radha Chaudhari</t>
  </si>
  <si>
    <t xml:space="preserve">130401</t>
  </si>
  <si>
    <t xml:space="preserve">DIG-D-4007</t>
  </si>
  <si>
    <t xml:space="preserve">USA Retail, cpg, ttlh</t>
  </si>
  <si>
    <t xml:space="preserve">SG292259@techmahindra.com</t>
  </si>
  <si>
    <t xml:space="preserve">Sachi Ganesan</t>
  </si>
  <si>
    <t xml:space="preserve">292259</t>
  </si>
  <si>
    <t xml:space="preserve">CN674566@techmahindra.com</t>
  </si>
  <si>
    <t xml:space="preserve">Chakradhar Nair</t>
  </si>
  <si>
    <t xml:space="preserve">674566</t>
  </si>
  <si>
    <t xml:space="preserve">DEA - D- 4024</t>
  </si>
  <si>
    <t xml:space="preserve">Long-Term Role Alignment;</t>
  </si>
  <si>
    <t xml:space="preserve">Improve team engagement (inclusion, recognition);shared CS SPOC details;</t>
  </si>
  <si>
    <t xml:space="preserve">JP245664@techmahindra.com</t>
  </si>
  <si>
    <t xml:space="preserve">Jagrati Prasad</t>
  </si>
  <si>
    <t xml:space="preserve">245664</t>
  </si>
  <si>
    <t xml:space="preserve">Induction Effectiveness;Buddy / Support System;</t>
  </si>
  <si>
    <t xml:space="preserve">-</t>
  </si>
  <si>
    <t xml:space="preserve">NG552686@techmahindra.com</t>
  </si>
  <si>
    <t xml:space="preserve">Nisha Gole</t>
  </si>
  <si>
    <t xml:space="preserve">552686</t>
  </si>
  <si>
    <t xml:space="preserve">Work-Life Balance &amp; Flexibility;Recognition &amp; Visibility;</t>
  </si>
  <si>
    <t xml:space="preserve">Grievance/speak-up clarity;</t>
  </si>
  <si>
    <t xml:space="preserve">LK927251@techmahindra.com</t>
  </si>
  <si>
    <t xml:space="preserve">Lavanya Khosla</t>
  </si>
  <si>
    <t xml:space="preserve">927251</t>
  </si>
  <si>
    <t xml:space="preserve">Female assocaites in Haleon office are quite happy with the setup;Upskilling for future roles;</t>
  </si>
  <si>
    <t xml:space="preserve">Reinforce speak-up channels;Leadership acknowledgment;</t>
  </si>
  <si>
    <t xml:space="preserve">Supervisor</t>
  </si>
  <si>
    <t xml:space="preserve">VS739705@techmahindra.com</t>
  </si>
  <si>
    <t xml:space="preserve">Vincent Shenoy</t>
  </si>
  <si>
    <t xml:space="preserve">Tripti Kumer</t>
  </si>
  <si>
    <t xml:space="preserve">739705</t>
  </si>
  <si>
    <t xml:space="preserve">BD164401@techmahindra.com</t>
  </si>
  <si>
    <t xml:space="preserve">Bhavna Dugar</t>
  </si>
  <si>
    <t xml:space="preserve">164401</t>
  </si>
  <si>
    <t xml:space="preserve">CS252117@techmahindra.com</t>
  </si>
  <si>
    <t xml:space="preserve">Chandani Samra</t>
  </si>
  <si>
    <t xml:space="preserve">252117</t>
  </si>
  <si>
    <t xml:space="preserve">Know your Service Line 'AI Strategy &amp; Business Vision' from Mr. Natesh P;AI Workshop By Natesh;AI Session;</t>
  </si>
  <si>
    <t xml:space="preserve">need to have diversity;</t>
  </si>
  <si>
    <t xml:space="preserve">Work with AI Agents;Identify hotspots;</t>
  </si>
  <si>
    <t xml:space="preserve">No Queries</t>
  </si>
  <si>
    <t xml:space="preserve">CI402820@techmahindra.com</t>
  </si>
  <si>
    <t xml:space="preserve">Chasmum Issac</t>
  </si>
  <si>
    <t xml:space="preserve">402820</t>
  </si>
  <si>
    <t xml:space="preserve">Manager Effectiveness &amp; Delegation;Timely Policy/process Updates;</t>
  </si>
  <si>
    <t xml:space="preserve">Standardize messaging;Set comms cadence;</t>
  </si>
  <si>
    <t xml:space="preserve">HK531225@techmahindra.com</t>
  </si>
  <si>
    <t xml:space="preserve">Hredhaan Khalsa</t>
  </si>
  <si>
    <t xml:space="preserve">Jagrati Merchant</t>
  </si>
  <si>
    <t xml:space="preserve">531225</t>
  </si>
  <si>
    <t xml:space="preserve">Recognition &amp; Visibility;Career Support &amp; Sponsorship;Work-Life Balance &amp; Flexibility;</t>
  </si>
  <si>
    <t xml:space="preserve">Upskilling for future roles;</t>
  </si>
  <si>
    <t xml:space="preserve">There werenot much queries;</t>
  </si>
  <si>
    <t xml:space="preserve">AR575470@techmahindra.com</t>
  </si>
  <si>
    <t xml:space="preserve">Anthony Randhawa</t>
  </si>
  <si>
    <t xml:space="preserve">575470</t>
  </si>
  <si>
    <t xml:space="preserve">Career Visibility &amp; Skill Roadmap;Business &amp; Strategy Clarity;</t>
  </si>
  <si>
    <t xml:space="preserve">WM176461@techmahindra.com</t>
  </si>
  <si>
    <t xml:space="preserve">Watika Mangat</t>
  </si>
  <si>
    <t xml:space="preserve">Indira Kanda</t>
  </si>
  <si>
    <t xml:space="preserve">176461</t>
  </si>
  <si>
    <t xml:space="preserve">Multiple projects</t>
  </si>
  <si>
    <t xml:space="preserve">Clarity on expectations;Review of ongoing concerns;Feedback on recent processes;</t>
  </si>
  <si>
    <t xml:space="preserve">LC195071@techmahindra.com</t>
  </si>
  <si>
    <t xml:space="preserve">Laksh Chatterjee</t>
  </si>
  <si>
    <t xml:space="preserve">195071</t>
  </si>
  <si>
    <t xml:space="preserve">NA;Associates lack clarity on practice goals and IBU priorities;</t>
  </si>
  <si>
    <t xml:space="preserve">DS117215@techmahindra.com</t>
  </si>
  <si>
    <t xml:space="preserve">Dayamai Sastry</t>
  </si>
  <si>
    <t xml:space="preserve">Janya Deep</t>
  </si>
  <si>
    <t xml:space="preserve">117215</t>
  </si>
  <si>
    <t xml:space="preserve">NA;All the queries were answered in the sessions;</t>
  </si>
  <si>
    <t xml:space="preserve">Publish post-induction roadmap (Day 1–30);Checked the action plan for pending allocation of new joiners and highlighted to IBU head and it was closed;</t>
  </si>
  <si>
    <t xml:space="preserve">ES957525@techmahindra.com</t>
  </si>
  <si>
    <t xml:space="preserve">Eta Sagar</t>
  </si>
  <si>
    <t xml:space="preserve">957525</t>
  </si>
  <si>
    <t xml:space="preserve">Kollam</t>
  </si>
  <si>
    <t xml:space="preserve">Discussion on team dynamics;</t>
  </si>
  <si>
    <t xml:space="preserve">YM929478@techmahindra.com</t>
  </si>
  <si>
    <t xml:space="preserve">Yachana Mahajan</t>
  </si>
  <si>
    <t xml:space="preserve">929478</t>
  </si>
  <si>
    <t xml:space="preserve">Engagement &amp; Belonging;Career Path Visibility;Internal Growth Opportunities;</t>
  </si>
  <si>
    <t xml:space="preserve">Improve team engagement (inclusion, recognition);Align role expectations vs aspiration through discussion;</t>
  </si>
  <si>
    <t xml:space="preserve">VM301224@techmahindra.com</t>
  </si>
  <si>
    <t xml:space="preserve">Vasatika Merchant</t>
  </si>
  <si>
    <t xml:space="preserve">Ishwar Sidhu</t>
  </si>
  <si>
    <t xml:space="preserve">301224</t>
  </si>
  <si>
    <t xml:space="preserve">UR221703@techmahindra.com</t>
  </si>
  <si>
    <t xml:space="preserve">Upkaar Ranganathan</t>
  </si>
  <si>
    <t xml:space="preserve">Gautam Rana</t>
  </si>
  <si>
    <t xml:space="preserve">221703</t>
  </si>
  <si>
    <t xml:space="preserve">Guidance on timesheet;Clarity On Role-based Learning Expectations;</t>
  </si>
  <si>
    <t xml:space="preserve">detailed discussion on monthly cadence;Connect for recognition;</t>
  </si>
  <si>
    <t xml:space="preserve">Host open house hour for Q&amp;A and log unanswered items;It was a general discussion with the IBU Head on the pulse at ground level;</t>
  </si>
  <si>
    <t xml:space="preserve">SP162549@techmahindra.com</t>
  </si>
  <si>
    <t xml:space="preserve">Suhani Pillay</t>
  </si>
  <si>
    <t xml:space="preserve">162549</t>
  </si>
  <si>
    <t xml:space="preserve">Bhimavaram</t>
  </si>
  <si>
    <t xml:space="preserve">Learning &amp; Skill Building;Empathy And Communication;Career Support &amp; Sponsorship;</t>
  </si>
  <si>
    <t xml:space="preserve">Upskilling for future roles;Need equitable recognition;</t>
  </si>
  <si>
    <t xml:space="preserve">HK701568@techmahindra.com</t>
  </si>
  <si>
    <t xml:space="preserve">Hritik Kaur</t>
  </si>
  <si>
    <t xml:space="preserve">701568</t>
  </si>
  <si>
    <t xml:space="preserve">Benefits, Insurance &amp; Wellbeing;</t>
  </si>
  <si>
    <t xml:space="preserve">Need faster resolution for HR tickets and queries;NA;</t>
  </si>
  <si>
    <t xml:space="preserve">Maintain a live FAQ for hybrid/WFO and exceptions;It was a general discussion with the IBU Head on the pulse at ground level;</t>
  </si>
  <si>
    <t xml:space="preserve">TB245357@techmahindra.com</t>
  </si>
  <si>
    <t xml:space="preserve">Timothy Bhatnagar</t>
  </si>
  <si>
    <t xml:space="preserve">245357</t>
  </si>
  <si>
    <t xml:space="preserve">Relocation policy</t>
  </si>
  <si>
    <t xml:space="preserve">CR142859@techmahindra.com</t>
  </si>
  <si>
    <t xml:space="preserve">Chasmum Rege</t>
  </si>
  <si>
    <t xml:space="preserve">142859</t>
  </si>
  <si>
    <t xml:space="preserve">BM652266@techmahindra.com</t>
  </si>
  <si>
    <t xml:space="preserve">Baljiwan Modi</t>
  </si>
  <si>
    <t xml:space="preserve">652266</t>
  </si>
  <si>
    <t xml:space="preserve">Connect with Practice head, associates were happy with the session and interaction opportunity with practice head.;Lack of awareness of internal opportunities;</t>
  </si>
  <si>
    <t xml:space="preserve">GK596925@techmahindra.com</t>
  </si>
  <si>
    <t xml:space="preserve">Gunbir Keer</t>
  </si>
  <si>
    <t xml:space="preserve">596925</t>
  </si>
  <si>
    <t xml:space="preserve">Munger</t>
  </si>
  <si>
    <t xml:space="preserve">Manager Connect Effectiveness;Project Allocation Clarity;Role Expectation Clarity;</t>
  </si>
  <si>
    <t xml:space="preserve">Limited structured interaction with reporting manager;Difficulty in understanding tools/processes;</t>
  </si>
  <si>
    <t xml:space="preserve">MS846389@techmahindra.com</t>
  </si>
  <si>
    <t xml:space="preserve">Mohammed Sachdeva</t>
  </si>
  <si>
    <t xml:space="preserve">846389</t>
  </si>
  <si>
    <t xml:space="preserve">New Joiner Induction</t>
  </si>
  <si>
    <t xml:space="preserve">Workload &amp; Work-Life Balance;</t>
  </si>
  <si>
    <t xml:space="preserve">Communicated to the teams on the importance of communication and transparency;All the queries were resolved in the session;</t>
  </si>
  <si>
    <t xml:space="preserve">NM263633@techmahindra.com</t>
  </si>
  <si>
    <t xml:space="preserve">Nikita Mammen</t>
  </si>
  <si>
    <t xml:space="preserve">Kamala Kalla</t>
  </si>
  <si>
    <t xml:space="preserve">263633</t>
  </si>
  <si>
    <t xml:space="preserve">General wellbeing check-in;Clarity on expectations;</t>
  </si>
  <si>
    <t xml:space="preserve">JC391427@techmahindra.com</t>
  </si>
  <si>
    <t xml:space="preserve">Janani Chaudhary</t>
  </si>
  <si>
    <t xml:space="preserve">391427</t>
  </si>
  <si>
    <t xml:space="preserve">Learning/cert Support Requests;Recognition &amp; Motivation;</t>
  </si>
  <si>
    <t xml:space="preserve">JB944809@techmahindra.com</t>
  </si>
  <si>
    <t xml:space="preserve">Jagrati Bhat</t>
  </si>
  <si>
    <t xml:space="preserve">944809</t>
  </si>
  <si>
    <t xml:space="preserve">JS403524@techmahindra.com</t>
  </si>
  <si>
    <t xml:space="preserve">Jason Sha</t>
  </si>
  <si>
    <t xml:space="preserve">403524</t>
  </si>
  <si>
    <t xml:space="preserve">AB599164@techmahindra.com</t>
  </si>
  <si>
    <t xml:space="preserve">Ansh Bedi</t>
  </si>
  <si>
    <t xml:space="preserve">599164</t>
  </si>
  <si>
    <t xml:space="preserve">Latur</t>
  </si>
  <si>
    <t xml:space="preserve">Policy &amp; Process Clarity;</t>
  </si>
  <si>
    <t xml:space="preserve">Addressing concerns on allocation issues;Coach managers on feedback, delegation, and communication;</t>
  </si>
  <si>
    <t xml:space="preserve">EJ966985@techmahindra.com</t>
  </si>
  <si>
    <t xml:space="preserve">Ekapad Johal</t>
  </si>
  <si>
    <t xml:space="preserve">966985</t>
  </si>
  <si>
    <t xml:space="preserve">On Leave/comp-off Due To Client Calendar Mismatches;</t>
  </si>
  <si>
    <t xml:space="preserve">Recurring questions on WFO/WFH expectations and exception handling;</t>
  </si>
  <si>
    <t xml:space="preserve">All were resolved in the ODC connect;</t>
  </si>
  <si>
    <t xml:space="preserve">FD222227@techmahindra.com</t>
  </si>
  <si>
    <t xml:space="preserve">Falguni Divan</t>
  </si>
  <si>
    <t xml:space="preserve">222227</t>
  </si>
  <si>
    <t xml:space="preserve">USA Retail &amp; CPG, Energy and Utilities, Professional services</t>
  </si>
  <si>
    <t xml:space="preserve">Work-Life Balance &amp; Flexibility;</t>
  </si>
  <si>
    <t xml:space="preserve">Need flexible arrangements during caregiving;</t>
  </si>
  <si>
    <t xml:space="preserve">AD134385@techmahindra.com</t>
  </si>
  <si>
    <t xml:space="preserve">Aradhana Dhillon</t>
  </si>
  <si>
    <t xml:space="preserve">134385</t>
  </si>
  <si>
    <t xml:space="preserve">On Hybrid/WFO Rules And Monthly Compliance Expectations;</t>
  </si>
  <si>
    <t xml:space="preserve">Discussed on how to simply WFH exception requests and about various projects;</t>
  </si>
  <si>
    <t xml:space="preserve">no specific requisites.;</t>
  </si>
  <si>
    <t xml:space="preserve">OC900319@techmahindra.com</t>
  </si>
  <si>
    <t xml:space="preserve">Owen Choudhary</t>
  </si>
  <si>
    <t xml:space="preserve">Karan Aurora</t>
  </si>
  <si>
    <t xml:space="preserve">900319</t>
  </si>
  <si>
    <t xml:space="preserve">Patiala</t>
  </si>
  <si>
    <t xml:space="preserve">Survitec</t>
  </si>
  <si>
    <t xml:space="preserve">Infrastructure / Workplace Enablement;Manager Support &amp; Local Leadership Effectiveness;</t>
  </si>
  <si>
    <t xml:space="preserve">Need clarity on appraisal/performance timelines and edge cases;associates want clear routes;</t>
  </si>
  <si>
    <t xml:space="preserve">Implement monthly recognition cadence (kudos, spotlight, customer praise);</t>
  </si>
  <si>
    <t xml:space="preserve">Compensation concerns and wants to move to middle east</t>
  </si>
  <si>
    <t xml:space="preserve">OL142581@techmahindra.com</t>
  </si>
  <si>
    <t xml:space="preserve">Owen Lanka</t>
  </si>
  <si>
    <t xml:space="preserve">Jonathan Sama</t>
  </si>
  <si>
    <t xml:space="preserve">142581</t>
  </si>
  <si>
    <t xml:space="preserve">Discussion on team dynamics;Feedback on recent processes;General wellbeing check-in;</t>
  </si>
  <si>
    <t xml:space="preserve">NA;Minor process related queries;</t>
  </si>
  <si>
    <t xml:space="preserve">No specific action required;NA;</t>
  </si>
  <si>
    <t xml:space="preserve">VS723861@techmahindra.com</t>
  </si>
  <si>
    <t xml:space="preserve">Vamakshi Sen</t>
  </si>
  <si>
    <t xml:space="preserve">723861</t>
  </si>
  <si>
    <t xml:space="preserve">Exit guidelines ,Early release process</t>
  </si>
  <si>
    <t xml:space="preserve">ST501219@techmahindra.com</t>
  </si>
  <si>
    <t xml:space="preserve">Siya Thakur</t>
  </si>
  <si>
    <t xml:space="preserve">501219</t>
  </si>
  <si>
    <t xml:space="preserve">Srikakulam</t>
  </si>
  <si>
    <t xml:space="preserve">Emerging BPM Lowcode</t>
  </si>
  <si>
    <t xml:space="preserve">shared CS SPOC details;</t>
  </si>
  <si>
    <t xml:space="preserve">TB272117@techmahindra.com</t>
  </si>
  <si>
    <t xml:space="preserve">Tara Balasubramanian</t>
  </si>
  <si>
    <t xml:space="preserve">272117</t>
  </si>
  <si>
    <t xml:space="preserve">Workload Management;Queries related to BGV check;Team Integration;</t>
  </si>
  <si>
    <t xml:space="preserve">BGV;The associates had questions around WFH and leaves.;</t>
  </si>
  <si>
    <t xml:space="preserve">NS468332@techmahindra.com</t>
  </si>
  <si>
    <t xml:space="preserve">Neelima Sandhu</t>
  </si>
  <si>
    <t xml:space="preserve">Vritti Sawhney</t>
  </si>
  <si>
    <t xml:space="preserve">468332</t>
  </si>
  <si>
    <t xml:space="preserve">Team Integration;Role Confidence Level;Queries related to BGV check;</t>
  </si>
  <si>
    <t xml:space="preserve">The associates had questions around WFH and leaves.;</t>
  </si>
  <si>
    <t xml:space="preserve">ED799806@techmahindra.com</t>
  </si>
  <si>
    <t xml:space="preserve">Ekanta Divan</t>
  </si>
  <si>
    <t xml:space="preserve">799806</t>
  </si>
  <si>
    <t xml:space="preserve">Cuttack</t>
  </si>
  <si>
    <t xml:space="preserve">Flexibility Alignment;</t>
  </si>
  <si>
    <t xml:space="preserve">Workload escalation guidance;</t>
  </si>
  <si>
    <t xml:space="preserve">Wellbeing check-ins;Workshops;</t>
  </si>
  <si>
    <t xml:space="preserve">LW755322@techmahindra.com</t>
  </si>
  <si>
    <t xml:space="preserve">Lakshmi Wali</t>
  </si>
  <si>
    <t xml:space="preserve">755322</t>
  </si>
  <si>
    <t xml:space="preserve">HC434132@techmahindra.com</t>
  </si>
  <si>
    <t xml:space="preserve">Hardik Contractor</t>
  </si>
  <si>
    <t xml:space="preserve">434132</t>
  </si>
  <si>
    <t xml:space="preserve">Run quarterly nominations;Not happy with no hike;</t>
  </si>
  <si>
    <t xml:space="preserve">ON857568@techmahindra.com</t>
  </si>
  <si>
    <t xml:space="preserve">Odika Nori</t>
  </si>
  <si>
    <t xml:space="preserve">857568</t>
  </si>
  <si>
    <t xml:space="preserve">Infrastructure / Workplace Enablement;</t>
  </si>
  <si>
    <t xml:space="preserve">HR and Delivery Head clarified on org level communication on appraisals;All the queries were resolved in the ODC COnnect;</t>
  </si>
  <si>
    <t xml:space="preserve">Overall feedback from all the employees was good</t>
  </si>
  <si>
    <t xml:space="preserve">OC251286@techmahindra.com</t>
  </si>
  <si>
    <t xml:space="preserve">Ojasvi Chandran</t>
  </si>
  <si>
    <t xml:space="preserve">Prisha Munshi</t>
  </si>
  <si>
    <t xml:space="preserve">251286</t>
  </si>
  <si>
    <t xml:space="preserve">Dindigul</t>
  </si>
  <si>
    <t xml:space="preserve">For Consolidated HR Communications Rather Than Scattered Upd;Generic Queries;</t>
  </si>
  <si>
    <t xml:space="preserve">Others;Need guidance on leave, travel, and exception approvals;</t>
  </si>
  <si>
    <t xml:space="preserve">EC769986@techmahindra.com</t>
  </si>
  <si>
    <t xml:space="preserve">Ekalinga Chand</t>
  </si>
  <si>
    <t xml:space="preserve">769986</t>
  </si>
  <si>
    <t xml:space="preserve">Internal Mobility / Rotation Opportunities;</t>
  </si>
  <si>
    <t xml:space="preserve">ELTPs want clarity on progression timelines and competencies for the next band/role;</t>
  </si>
  <si>
    <t xml:space="preserve">Run structured mobility/rotation sessions with examples and process FAQs;Highlight ELTP success stories + learning milestones in leadership forums/townhalls;</t>
  </si>
  <si>
    <t xml:space="preserve">RC205272@techmahindra.com</t>
  </si>
  <si>
    <t xml:space="preserve">Rachana Char</t>
  </si>
  <si>
    <t xml:space="preserve">205272</t>
  </si>
  <si>
    <t xml:space="preserve">SAP product support</t>
  </si>
  <si>
    <t xml:space="preserve">Strategic Connect;</t>
  </si>
  <si>
    <t xml:space="preserve">Communicated to the teams on the importance of communication and transparency;NA;</t>
  </si>
  <si>
    <t xml:space="preserve">KB573421@techmahindra.com</t>
  </si>
  <si>
    <t xml:space="preserve">Kalpit Bhasin</t>
  </si>
  <si>
    <t xml:space="preserve">573421</t>
  </si>
  <si>
    <t xml:space="preserve">SAP PE CSI Support</t>
  </si>
  <si>
    <t xml:space="preserve">Work-Life &amp; Sustainability Signals;Recognition Visibility;Business &amp; Strategy Clarity;</t>
  </si>
  <si>
    <t xml:space="preserve">JR651380@techmahindra.com</t>
  </si>
  <si>
    <t xml:space="preserve">Jason Roy</t>
  </si>
  <si>
    <t xml:space="preserve">651380</t>
  </si>
  <si>
    <t xml:space="preserve">Bhusawal</t>
  </si>
  <si>
    <t xml:space="preserve">On Leave/comp-off Due To Client Calendar Mismatches;Workload &amp; Work-Life Balance;</t>
  </si>
  <si>
    <t xml:space="preserve">associates want clear routes;Timesheet submission/approval process inconsistencies create compliance risk;</t>
  </si>
  <si>
    <t xml:space="preserve">Define issue escalation ladder and response SLAs;</t>
  </si>
  <si>
    <t xml:space="preserve">BM110821@techmahindra.com</t>
  </si>
  <si>
    <t xml:space="preserve">Bhavna Muni</t>
  </si>
  <si>
    <t xml:space="preserve">110821</t>
  </si>
  <si>
    <t xml:space="preserve">Vasai-Virar</t>
  </si>
  <si>
    <t xml:space="preserve">the queries were addressed in the call</t>
  </si>
  <si>
    <t xml:space="preserve">MS616780@techmahindra.com</t>
  </si>
  <si>
    <t xml:space="preserve">Mohammed Subramaniam</t>
  </si>
  <si>
    <t xml:space="preserve">616780</t>
  </si>
  <si>
    <t xml:space="preserve">Project Connect</t>
  </si>
  <si>
    <t xml:space="preserve">IP682667@techmahindra.com</t>
  </si>
  <si>
    <t xml:space="preserve">Inaya Pillai</t>
  </si>
  <si>
    <t xml:space="preserve">682667</t>
  </si>
  <si>
    <t xml:space="preserve">Career Clarity &amp; Growth Continuity;</t>
  </si>
  <si>
    <t xml:space="preserve">AL714127@techmahindra.com</t>
  </si>
  <si>
    <t xml:space="preserve">Atharv Loke</t>
  </si>
  <si>
    <t xml:space="preserve">714127</t>
  </si>
  <si>
    <t xml:space="preserve">Engagement with Leadership &amp; Confidence Level;Alignment on Role in Business Context;</t>
  </si>
  <si>
    <t xml:space="preserve">Associates lack clarity on practice goals and IBU priorities;All the queries were answered in the sessions;</t>
  </si>
  <si>
    <t xml:space="preserve">DN869989@techmahindra.com</t>
  </si>
  <si>
    <t xml:space="preserve">Dayamai Nori</t>
  </si>
  <si>
    <t xml:space="preserve">869989</t>
  </si>
  <si>
    <t xml:space="preserve">NA;Positive feedback overall;</t>
  </si>
  <si>
    <t xml:space="preserve">LR732829@techmahindra.com</t>
  </si>
  <si>
    <t xml:space="preserve">Luke Rattan</t>
  </si>
  <si>
    <t xml:space="preserve">Lucky Balasubramanian</t>
  </si>
  <si>
    <t xml:space="preserve">732829</t>
  </si>
  <si>
    <t xml:space="preserve">Role Confidence Level;BGV queries;Team Integration;</t>
  </si>
  <si>
    <t xml:space="preserve">Not fully integrated with team collaboration channels;BGV related queries;</t>
  </si>
  <si>
    <t xml:space="preserve">Mandate structured monthly feedback from manager;</t>
  </si>
  <si>
    <t xml:space="preserve">KS982416@techmahindra.com</t>
  </si>
  <si>
    <t xml:space="preserve">Krisha Saini</t>
  </si>
  <si>
    <t xml:space="preserve">982416</t>
  </si>
  <si>
    <t xml:space="preserve">Hybrid working policy was explained in detail;Standardize induction deck + post-induction summary mail;</t>
  </si>
  <si>
    <t xml:space="preserve">EC949352@techmahindra.com</t>
  </si>
  <si>
    <t xml:space="preserve">Ekta Chad</t>
  </si>
  <si>
    <t xml:space="preserve">949352</t>
  </si>
  <si>
    <t xml:space="preserve">Bhatpara</t>
  </si>
  <si>
    <t xml:space="preserve">Long-Term Role Alignment;Internal Growth Opportunities;Engagement &amp; Belonging;</t>
  </si>
  <si>
    <t xml:space="preserve">FM982995@techmahindra.com</t>
  </si>
  <si>
    <t xml:space="preserve">Finn Magar</t>
  </si>
  <si>
    <t xml:space="preserve">982995</t>
  </si>
  <si>
    <t xml:space="preserve">Support Program Utilization;</t>
  </si>
  <si>
    <t xml:space="preserve">Low awareness;</t>
  </si>
  <si>
    <t xml:space="preserve">VS138815@techmahindra.com</t>
  </si>
  <si>
    <t xml:space="preserve">Vedika Sathe</t>
  </si>
  <si>
    <t xml:space="preserve">138815</t>
  </si>
  <si>
    <t xml:space="preserve">YC994911@techmahindra.com</t>
  </si>
  <si>
    <t xml:space="preserve">Yauvani Comar</t>
  </si>
  <si>
    <t xml:space="preserve">994911</t>
  </si>
  <si>
    <t xml:space="preserve">HR / WFM / Training Communication Effectiveness;Business &amp; Practice Awareness;Alignment on Role in Business Context;</t>
  </si>
  <si>
    <t xml:space="preserve">Checked the action plan for pending allocation of new joiners and highlighted to IBU head and it was closed;Provide FAQs, guides, refresher sessions;</t>
  </si>
  <si>
    <t xml:space="preserve">BS133522@techmahindra.com</t>
  </si>
  <si>
    <t xml:space="preserve">Bhanumati Sur</t>
  </si>
  <si>
    <t xml:space="preserve">133522</t>
  </si>
  <si>
    <t xml:space="preserve">mmmm</t>
  </si>
  <si>
    <t xml:space="preserve">AJ216319@techmahindra.com</t>
  </si>
  <si>
    <t xml:space="preserve">Abhimanyu Jayaraman</t>
  </si>
  <si>
    <t xml:space="preserve">216319</t>
  </si>
  <si>
    <t xml:space="preserve">Initial Organization Understanding;Tool &amp; System Access;Induction Effectiveness;</t>
  </si>
  <si>
    <t xml:space="preserve">Implement Day-1 access checklist tracking (IT + Admin);Hybrid working policy was explained in detail;</t>
  </si>
  <si>
    <t xml:space="preserve">BN849941@techmahindra.com</t>
  </si>
  <si>
    <t xml:space="preserve">Bimala Narang</t>
  </si>
  <si>
    <t xml:space="preserve">849941</t>
  </si>
  <si>
    <t xml:space="preserve">Resignation during bench, seat issue in Hyderabad</t>
  </si>
  <si>
    <t xml:space="preserve">QG512369@techmahindra.com</t>
  </si>
  <si>
    <t xml:space="preserve">Qushi Gill</t>
  </si>
  <si>
    <t xml:space="preserve">512369</t>
  </si>
  <si>
    <t xml:space="preserve">XP563621@techmahindra.com</t>
  </si>
  <si>
    <t xml:space="preserve">Xiti Pandya</t>
  </si>
  <si>
    <t xml:space="preserve">563621</t>
  </si>
  <si>
    <t xml:space="preserve">Visibility on Allocation &amp; Demand;Engagement with Leadership &amp; Confidence Level;HR / WFM / Training Communication Effectiveness;</t>
  </si>
  <si>
    <t xml:space="preserve">RB757446@techmahindra.com</t>
  </si>
  <si>
    <t xml:space="preserve">Rajata Bahl</t>
  </si>
  <si>
    <t xml:space="preserve">757446</t>
  </si>
  <si>
    <t xml:space="preserve">Solapur</t>
  </si>
  <si>
    <t xml:space="preserve">ISR Activity</t>
  </si>
  <si>
    <t xml:space="preserve">Volunteer Enablement;CSR Alignment;Pride &amp; Purpose;</t>
  </si>
  <si>
    <t xml:space="preserve">Need structured roles;Align with company values;</t>
  </si>
  <si>
    <t xml:space="preserve">CSR champions;Skill volunteering catalog;</t>
  </si>
  <si>
    <t xml:space="preserve">NS236381@techmahindra.com</t>
  </si>
  <si>
    <t xml:space="preserve">Nidhi Sahni</t>
  </si>
  <si>
    <t xml:space="preserve">236381</t>
  </si>
  <si>
    <t xml:space="preserve">AN134191@techmahindra.com</t>
  </si>
  <si>
    <t xml:space="preserve">Ansh Nair</t>
  </si>
  <si>
    <t xml:space="preserve">134191</t>
  </si>
  <si>
    <t xml:space="preserve">Manager Connect Effectiveness;Project Allocation Clarity;</t>
  </si>
  <si>
    <t xml:space="preserve">JC537859@techmahindra.com</t>
  </si>
  <si>
    <t xml:space="preserve">Janaki Chakrabarti</t>
  </si>
  <si>
    <t xml:space="preserve">537859</t>
  </si>
  <si>
    <t xml:space="preserve">Role Expectation Clarity;</t>
  </si>
  <si>
    <t xml:space="preserve">Ensure weekly  :  connect with manager;Define timeline for project allocation (max  0 days);</t>
  </si>
  <si>
    <t xml:space="preserve">YS688297@techmahindra.com</t>
  </si>
  <si>
    <t xml:space="preserve">Yagnesh Sarin</t>
  </si>
  <si>
    <t xml:space="preserve">688297</t>
  </si>
  <si>
    <t xml:space="preserve">Grievance/speak-up Clarity;</t>
  </si>
  <si>
    <t xml:space="preserve">MM195446@techmahindra.com</t>
  </si>
  <si>
    <t xml:space="preserve">Meghana Mukherjee</t>
  </si>
  <si>
    <t xml:space="preserve">Timothy Nath</t>
  </si>
  <si>
    <t xml:space="preserve">195446</t>
  </si>
  <si>
    <t xml:space="preserve">Minor process related queries;NA;</t>
  </si>
  <si>
    <t xml:space="preserve">Continue regular check-ins;Share update with relevant stakeholder;</t>
  </si>
  <si>
    <t xml:space="preserve">YH503752@techmahindra.com</t>
  </si>
  <si>
    <t xml:space="preserve">Yashvi Hari</t>
  </si>
  <si>
    <t xml:space="preserve">503752</t>
  </si>
  <si>
    <t xml:space="preserve">CSR Alignment;</t>
  </si>
  <si>
    <t xml:space="preserve">Need structured roles;</t>
  </si>
  <si>
    <t xml:space="preserve">Skill volunteering catalog;CSR champions;</t>
  </si>
  <si>
    <t xml:space="preserve">ID573685@techmahindra.com</t>
  </si>
  <si>
    <t xml:space="preserve">Indali Divan</t>
  </si>
  <si>
    <t xml:space="preserve">Harshil Dhingra</t>
  </si>
  <si>
    <t xml:space="preserve">573685</t>
  </si>
  <si>
    <t xml:space="preserve">Learning Curve Support;Manager Connect Effectiveness;Initial Engagement Level;</t>
  </si>
  <si>
    <t xml:space="preserve">Most of the associates are undergoing trainings as there are FCTP's;</t>
  </si>
  <si>
    <t xml:space="preserve">MB459279@techmahindra.com</t>
  </si>
  <si>
    <t xml:space="preserve">Michael Borra</t>
  </si>
  <si>
    <t xml:space="preserve">459279</t>
  </si>
  <si>
    <t xml:space="preserve">US181288@techmahindra.com</t>
  </si>
  <si>
    <t xml:space="preserve">Ucchal Sen</t>
  </si>
  <si>
    <t xml:space="preserve">181288</t>
  </si>
  <si>
    <t xml:space="preserve">Benefits, Insurance &amp; Wellbeing;Culture &amp; Engagement;</t>
  </si>
  <si>
    <t xml:space="preserve">Need guidance on learning platforms and certification options;</t>
  </si>
  <si>
    <t xml:space="preserve">It was a general discussion with the IBU Head on the pulse at ground level;Feedback to be shared with IBU head;</t>
  </si>
  <si>
    <t xml:space="preserve">DD735465@techmahindra.com</t>
  </si>
  <si>
    <t xml:space="preserve">Diya Dora</t>
  </si>
  <si>
    <t xml:space="preserve">735465</t>
  </si>
  <si>
    <t xml:space="preserve">Jabalpur</t>
  </si>
  <si>
    <t xml:space="preserve">Manager Support &amp; Local Leadership Effectiveness;</t>
  </si>
  <si>
    <t xml:space="preserve">NA;All were resolved in the ODC connect;</t>
  </si>
  <si>
    <t xml:space="preserve">AB102049@techmahindra.com</t>
  </si>
  <si>
    <t xml:space="preserve">Anvi Bhalla</t>
  </si>
  <si>
    <t xml:space="preserve">102049</t>
  </si>
  <si>
    <t xml:space="preserve">DS306440@techmahindra.com</t>
  </si>
  <si>
    <t xml:space="preserve">Dayita Shenoy</t>
  </si>
  <si>
    <t xml:space="preserve">306440</t>
  </si>
  <si>
    <t xml:space="preserve">Agra</t>
  </si>
  <si>
    <t xml:space="preserve">Lack of awareness of internal opportunities;</t>
  </si>
  <si>
    <t xml:space="preserve">org structure was explained, HR policy was explained ,Q/A</t>
  </si>
  <si>
    <t xml:space="preserve">FC168187@techmahindra.com</t>
  </si>
  <si>
    <t xml:space="preserve">Faraj Chana</t>
  </si>
  <si>
    <t xml:space="preserve">168187</t>
  </si>
  <si>
    <t xml:space="preserve">TB847948@techmahindra.com</t>
  </si>
  <si>
    <t xml:space="preserve">Turvi Barman</t>
  </si>
  <si>
    <t xml:space="preserve">Raghav Nagy</t>
  </si>
  <si>
    <t xml:space="preserve">847948</t>
  </si>
  <si>
    <t xml:space="preserve">it was a Connect with SL Head</t>
  </si>
  <si>
    <t xml:space="preserve">Manager/Leadership Support;For Role Rotation (PM/PGM/architect);</t>
  </si>
  <si>
    <t xml:space="preserve">Answer FAQs in next connect;</t>
  </si>
  <si>
    <t xml:space="preserve">DS157259@techmahindra.com</t>
  </si>
  <si>
    <t xml:space="preserve">David Seshadri</t>
  </si>
  <si>
    <t xml:space="preserve">157259</t>
  </si>
  <si>
    <t xml:space="preserve">Tiruvottiyur</t>
  </si>
  <si>
    <t xml:space="preserve">Manager Connect Effectiveness;Project Allocation Clarity;Learning Curve Support;</t>
  </si>
  <si>
    <t xml:space="preserve">YG494172@techmahindra.com</t>
  </si>
  <si>
    <t xml:space="preserve">Yamini Gera</t>
  </si>
  <si>
    <t xml:space="preserve">494172</t>
  </si>
  <si>
    <t xml:space="preserve">Shahjahanpur</t>
  </si>
  <si>
    <t xml:space="preserve">NP243910@techmahindra.com</t>
  </si>
  <si>
    <t xml:space="preserve">Nathan Patla</t>
  </si>
  <si>
    <t xml:space="preserve">243910</t>
  </si>
  <si>
    <t xml:space="preserve">Action Closure Discipline;</t>
  </si>
  <si>
    <t xml:space="preserve">LR443598@techmahindra.com</t>
  </si>
  <si>
    <t xml:space="preserve">Lila Rege</t>
  </si>
  <si>
    <t xml:space="preserve">443598</t>
  </si>
  <si>
    <t xml:space="preserve">Team Integration;Queries related to BGV check;Role Confidence Level;</t>
  </si>
  <si>
    <t xml:space="preserve">NA;Mandate structured monthly feedback from manager;</t>
  </si>
  <si>
    <t xml:space="preserve">GB515131@techmahindra.com</t>
  </si>
  <si>
    <t xml:space="preserve">Gaurika Bhatti</t>
  </si>
  <si>
    <t xml:space="preserve">515131</t>
  </si>
  <si>
    <t xml:space="preserve">Recognition Visibility;Work-Life &amp; Sustainability Signals;</t>
  </si>
  <si>
    <t xml:space="preserve">Org/structural updates are heard but not fully understood (what changes for me?);Associates were curious to know about salary increments;</t>
  </si>
  <si>
    <t xml:space="preserve">NA;Share a 1-page business snapshot (targets, priorities, key wins) post townhall;</t>
  </si>
  <si>
    <t xml:space="preserve">BK637700@techmahindra.com</t>
  </si>
  <si>
    <t xml:space="preserve">Bhanumati Krishnan</t>
  </si>
  <si>
    <t xml:space="preserve">637700</t>
  </si>
  <si>
    <t xml:space="preserve">Thoothukudi</t>
  </si>
  <si>
    <t xml:space="preserve">Assign buddy with defined responsibilities for 2 weeks;Implement Day-1 access checklist tracking (IT + Admin);</t>
  </si>
  <si>
    <t xml:space="preserve">Queries on compensation revision and hikes</t>
  </si>
  <si>
    <t xml:space="preserve">IM516814@techmahindra.com</t>
  </si>
  <si>
    <t xml:space="preserve">Inaya Mukherjee</t>
  </si>
  <si>
    <t xml:space="preserve">516814</t>
  </si>
  <si>
    <t xml:space="preserve">Continue regular check-ins;No specific action required;</t>
  </si>
  <si>
    <t xml:space="preserve">KC663718@techmahindra.com</t>
  </si>
  <si>
    <t xml:space="preserve">Kai Chad</t>
  </si>
  <si>
    <t xml:space="preserve">663718</t>
  </si>
  <si>
    <t xml:space="preserve">Associate is looking for promotion and stated that there needs to be a forum for connecting with competency groups</t>
  </si>
  <si>
    <t xml:space="preserve">FD295760@techmahindra.com</t>
  </si>
  <si>
    <t xml:space="preserve">Falguni Datta</t>
  </si>
  <si>
    <t xml:space="preserve">295760</t>
  </si>
  <si>
    <t xml:space="preserve">HR/WFM/Training updates not actionable;All the queries were answered in the sessions;</t>
  </si>
  <si>
    <t xml:space="preserve">Create consistent onboarding framework across practice;TLS SPOC had cleared all the queries w.r.t learning;</t>
  </si>
  <si>
    <t xml:space="preserve">PT388820@techmahindra.com</t>
  </si>
  <si>
    <t xml:space="preserve">Pallavi Trivedi</t>
  </si>
  <si>
    <t xml:space="preserve">388820</t>
  </si>
  <si>
    <t xml:space="preserve">Business Wait Connect</t>
  </si>
  <si>
    <t xml:space="preserve">Rules On Working Without Formal Allocation/PID;Job Security &amp; Anxiety Management;</t>
  </si>
  <si>
    <t xml:space="preserve">Delay in interview feedback creates uncertainty and repeated follow-ups;Prolonged bench duration triggers anxiety about future within the org;</t>
  </si>
  <si>
    <t xml:space="preserve">No specific action, discussion closed during the connect;</t>
  </si>
  <si>
    <t xml:space="preserve">DG351338@techmahindra.com</t>
  </si>
  <si>
    <t xml:space="preserve">Dayamai Gole</t>
  </si>
  <si>
    <t xml:space="preserve">351338</t>
  </si>
  <si>
    <t xml:space="preserve">Pride &amp; Purpose;</t>
  </si>
  <si>
    <t xml:space="preserve">Align with company values;</t>
  </si>
  <si>
    <t xml:space="preserve">RK515943@techmahindra.com</t>
  </si>
  <si>
    <t xml:space="preserve">Rehaan Kara</t>
  </si>
  <si>
    <t xml:space="preserve">Mohammed Brahmbhatt</t>
  </si>
  <si>
    <t xml:space="preserve">515943</t>
  </si>
  <si>
    <t xml:space="preserve">HR Process Clarity;</t>
  </si>
  <si>
    <t xml:space="preserve">Hybrid working policy was explained in detail;</t>
  </si>
  <si>
    <t xml:space="preserve">YZ807835@techmahindra.com</t>
  </si>
  <si>
    <t xml:space="preserve">Yashica Zacharia</t>
  </si>
  <si>
    <t xml:space="preserve">807835</t>
  </si>
  <si>
    <t xml:space="preserve">Need faster resolution for HR tickets and queries;</t>
  </si>
  <si>
    <t xml:space="preserve">Connect for recognition;</t>
  </si>
  <si>
    <t xml:space="preserve">GD859181@techmahindra.com</t>
  </si>
  <si>
    <t xml:space="preserve">Gayathri Deep</t>
  </si>
  <si>
    <t xml:space="preserve">859181</t>
  </si>
  <si>
    <t xml:space="preserve">NG847143@techmahindra.com</t>
  </si>
  <si>
    <t xml:space="preserve">Nicholas Golla</t>
  </si>
  <si>
    <t xml:space="preserve">847143</t>
  </si>
  <si>
    <t xml:space="preserve">RB259038@techmahindra.com</t>
  </si>
  <si>
    <t xml:space="preserve">Raksha Bassi</t>
  </si>
  <si>
    <t xml:space="preserve">259038</t>
  </si>
  <si>
    <t xml:space="preserve">Discussion on team dynamics;General wellbeing check-in;Clarity on expectations;</t>
  </si>
  <si>
    <t xml:space="preserve">SM173384@techmahindra.com</t>
  </si>
  <si>
    <t xml:space="preserve">Sachi Mane</t>
  </si>
  <si>
    <t xml:space="preserve">173384</t>
  </si>
  <si>
    <t xml:space="preserve">Muzaffarpur</t>
  </si>
  <si>
    <t xml:space="preserve">Role Confidence Level;Queries related to BGV check;Feedback Mechanism;</t>
  </si>
  <si>
    <t xml:space="preserve">BGV related queries;</t>
  </si>
  <si>
    <t xml:space="preserve">Explained the complete process to associates;NA;</t>
  </si>
  <si>
    <t xml:space="preserve">UH593578@techmahindra.com</t>
  </si>
  <si>
    <t xml:space="preserve">Upasna Hari</t>
  </si>
  <si>
    <t xml:space="preserve">593578</t>
  </si>
  <si>
    <t xml:space="preserve">Aurangabad</t>
  </si>
  <si>
    <t xml:space="preserve">Manager Support &amp; Local Leadership Effectiveness;Policy &amp; Process Clarity;On Leave/comp-off Due To Client Calendar Mismatches;</t>
  </si>
  <si>
    <t xml:space="preserve">Generic discussion about the account with the leads;Need faster issue resolution and proactive manager check-ins;</t>
  </si>
  <si>
    <t xml:space="preserve">Define issue escalation ladder and response SLAs;Implement monthly recognition cadence (kudos, spotlight, customer praise);</t>
  </si>
  <si>
    <t xml:space="preserve">BR524206@techmahindra.com</t>
  </si>
  <si>
    <t xml:space="preserve">Baghyawati Raja</t>
  </si>
  <si>
    <t xml:space="preserve">524206</t>
  </si>
  <si>
    <t xml:space="preserve">Workload Management;Queries related to BGV check;</t>
  </si>
  <si>
    <t xml:space="preserve">The associates had questions around WFH and leaves.;NA;</t>
  </si>
  <si>
    <t xml:space="preserve">The associates had queries mainly related to WFH and leaves.;</t>
  </si>
  <si>
    <t xml:space="preserve">NI374025@techmahindra.com</t>
  </si>
  <si>
    <t xml:space="preserve">Neel Iyengar</t>
  </si>
  <si>
    <t xml:space="preserve">374025</t>
  </si>
  <si>
    <t xml:space="preserve">Business &amp; Practice Awareness;HR / WFM / Training Communication Effectiveness;Alignment on Role in Business Context;</t>
  </si>
  <si>
    <t xml:space="preserve">Publish post-induction roadmap (Day 1–30);NA;</t>
  </si>
  <si>
    <t xml:space="preserve">ZB884639@techmahindra.com</t>
  </si>
  <si>
    <t xml:space="preserve">Zashil Ben</t>
  </si>
  <si>
    <t xml:space="preserve">884639</t>
  </si>
  <si>
    <t xml:space="preserve">Manager Support &amp; Local Leadership Effectiveness;Workload &amp; Work-Life Balance;</t>
  </si>
  <si>
    <t xml:space="preserve">HV562139@techmahindra.com</t>
  </si>
  <si>
    <t xml:space="preserve">Harshil Varty</t>
  </si>
  <si>
    <t xml:space="preserve">562139</t>
  </si>
  <si>
    <t xml:space="preserve">Anantapuram</t>
  </si>
  <si>
    <t xml:space="preserve">All the queries were answered in the sessions;Low interaction and hesitation in raising questions;</t>
  </si>
  <si>
    <t xml:space="preserve">AS488796@techmahindra.com</t>
  </si>
  <si>
    <t xml:space="preserve">Anjali Sengupta</t>
  </si>
  <si>
    <t xml:space="preserve">488796</t>
  </si>
  <si>
    <t xml:space="preserve">LSA</t>
  </si>
  <si>
    <t xml:space="preserve">Internal Mobility / Rotation Opportunities;Career Progression &amp; Next-Level Readiness;Recognition &amp; Visibility of Growth;</t>
  </si>
  <si>
    <t xml:space="preserve">RC946785@techmahindra.com</t>
  </si>
  <si>
    <t xml:space="preserve">Rajeshri Chand</t>
  </si>
  <si>
    <t xml:space="preserve">946785</t>
  </si>
  <si>
    <t xml:space="preserve">This was more of a TMC location council connect</t>
  </si>
  <si>
    <t xml:space="preserve">SP352603@techmahindra.com</t>
  </si>
  <si>
    <t xml:space="preserve">Shravya Palla</t>
  </si>
  <si>
    <t xml:space="preserve">352603</t>
  </si>
  <si>
    <t xml:space="preserve">Vijayanagaram</t>
  </si>
  <si>
    <t xml:space="preserve">WR703950@techmahindra.com</t>
  </si>
  <si>
    <t xml:space="preserve">Warinder Raju</t>
  </si>
  <si>
    <t xml:space="preserve">703950</t>
  </si>
  <si>
    <t xml:space="preserve">UB232442@techmahindra.com</t>
  </si>
  <si>
    <t xml:space="preserve">Udarsh Bala</t>
  </si>
  <si>
    <t xml:space="preserve">232442</t>
  </si>
  <si>
    <t xml:space="preserve">Navi Mumbai</t>
  </si>
  <si>
    <t xml:space="preserve">Policy &amp; Process Clarity;Manager Support &amp; Local Leadership Effectiveness;Recognition &amp; Engagement within Project;</t>
  </si>
  <si>
    <t xml:space="preserve">Coach managers on feedback, delegation, and communication;Implement monthly recognition cadence (kudos, spotlight, customer praise);</t>
  </si>
  <si>
    <t xml:space="preserve">MD449327@techmahindra.com</t>
  </si>
  <si>
    <t xml:space="preserve">Madhav Devan</t>
  </si>
  <si>
    <t xml:space="preserve">449327</t>
  </si>
  <si>
    <t xml:space="preserve">Baranagar</t>
  </si>
  <si>
    <t xml:space="preserve">Issues with respect to applying leaves and communication regarding leaves to the managers;Need clarity on appraisal/performance timelines and edge cases;</t>
  </si>
  <si>
    <t xml:space="preserve">Communicated to the teams on the importance of communication and transparency;Define issue escalation ladder and response SLAs;</t>
  </si>
  <si>
    <t xml:space="preserve">LS944178@techmahindra.com</t>
  </si>
  <si>
    <t xml:space="preserve">Liam Singh</t>
  </si>
  <si>
    <t xml:space="preserve">Abdul Buch</t>
  </si>
  <si>
    <t xml:space="preserve">944178</t>
  </si>
  <si>
    <t xml:space="preserve">Bardhaman</t>
  </si>
  <si>
    <t xml:space="preserve">PC596894@techmahindra.com</t>
  </si>
  <si>
    <t xml:space="preserve">Pallavi Choudhry</t>
  </si>
  <si>
    <t xml:space="preserve">596894</t>
  </si>
  <si>
    <t xml:space="preserve">Strategic Connect;Infrastructure / Workplace Enablement;Workload &amp; Work-Life Balance;</t>
  </si>
  <si>
    <t xml:space="preserve">Timesheet submission/approval process inconsistencies create compliance risk;Need clarity on appraisal/performance timelines and edge cases;</t>
  </si>
  <si>
    <t xml:space="preserve">Review workload hotspots with PGM/RM and rebalance capacity;Share project-specific policy FAQ (WFO, exceptions, leave, timesheet);</t>
  </si>
  <si>
    <t xml:space="preserve">CD387021@techmahindra.com</t>
  </si>
  <si>
    <t xml:space="preserve">387021</t>
  </si>
  <si>
    <t xml:space="preserve">BGV queries;Role Confidence Level;Team Integration;</t>
  </si>
  <si>
    <t xml:space="preserve">TB784343@techmahindra.com</t>
  </si>
  <si>
    <t xml:space="preserve">Tanvi Bhatnagar</t>
  </si>
  <si>
    <t xml:space="preserve">784343</t>
  </si>
  <si>
    <t xml:space="preserve">Panchkula</t>
  </si>
  <si>
    <t xml:space="preserve">Proactive inputs from HR</t>
  </si>
  <si>
    <t xml:space="preserve">YK297209@techmahindra.com</t>
  </si>
  <si>
    <t xml:space="preserve">Yutika Khurana</t>
  </si>
  <si>
    <t xml:space="preserve">Bishakha Sanghvi</t>
  </si>
  <si>
    <t xml:space="preserve">297209</t>
  </si>
  <si>
    <t xml:space="preserve">Timesheet Submission/approval Process Inconsistencies Create;Infrastructure / Workplace Enablement;</t>
  </si>
  <si>
    <t xml:space="preserve">RC540073@techmahindra.com</t>
  </si>
  <si>
    <t xml:space="preserve">Rachit Chada</t>
  </si>
  <si>
    <t xml:space="preserve">540073</t>
  </si>
  <si>
    <t xml:space="preserve">Bench Connect</t>
  </si>
  <si>
    <t xml:space="preserve">Queries on Bench Guidelines, Timesheets, Leave Management, Trainings, and Project allocation</t>
  </si>
  <si>
    <t xml:space="preserve">MS961240@techmahindra.com</t>
  </si>
  <si>
    <t xml:space="preserve">Madhavi Singhal</t>
  </si>
  <si>
    <t xml:space="preserve">961240</t>
  </si>
  <si>
    <t xml:space="preserve">Review of ongoing concerns;Clarity on expectations;Feedback on recent processes;</t>
  </si>
  <si>
    <t xml:space="preserve">KK738271@techmahindra.com</t>
  </si>
  <si>
    <t xml:space="preserve">Kashvi Kulkarni</t>
  </si>
  <si>
    <t xml:space="preserve">738271</t>
  </si>
  <si>
    <t xml:space="preserve">GSK</t>
  </si>
  <si>
    <t xml:space="preserve">EP809920@techmahindra.com</t>
  </si>
  <si>
    <t xml:space="preserve">Ekansh Pai</t>
  </si>
  <si>
    <t xml:space="preserve">809920</t>
  </si>
  <si>
    <t xml:space="preserve">Discussion on team dynamics;Feedback on recent processes;Review of ongoing concerns;</t>
  </si>
  <si>
    <t xml:space="preserve">GD361897@techmahindra.com</t>
  </si>
  <si>
    <t xml:space="preserve">Gaurangi Deol</t>
  </si>
  <si>
    <t xml:space="preserve">361897</t>
  </si>
  <si>
    <t xml:space="preserve">Nagercoil</t>
  </si>
  <si>
    <t xml:space="preserve">Recognition Visibility;Leadership Communication &amp; Q&amp;A Effectiveness;</t>
  </si>
  <si>
    <t xml:space="preserve">Need clearer articulation of business direction and priorities for the quarter;</t>
  </si>
  <si>
    <t xml:space="preserve">US639302@techmahindra.com</t>
  </si>
  <si>
    <t xml:space="preserve">Ucchal Srinivas</t>
  </si>
  <si>
    <t xml:space="preserve">639302</t>
  </si>
  <si>
    <t xml:space="preserve">Bhavnagar</t>
  </si>
  <si>
    <t xml:space="preserve">Initial Organization Understanding;</t>
  </si>
  <si>
    <t xml:space="preserve">Limited clarity on policies (leave, WFO, reporting);none;</t>
  </si>
  <si>
    <t xml:space="preserve">Standardize induction deck + post-induction summary mail;Share HR FAQ document + SPOC contact sheet;</t>
  </si>
  <si>
    <t xml:space="preserve">BM798566@techmahindra.com</t>
  </si>
  <si>
    <t xml:space="preserve">Balhaar Memon</t>
  </si>
  <si>
    <t xml:space="preserve">798566</t>
  </si>
  <si>
    <t xml:space="preserve">Varanasi</t>
  </si>
  <si>
    <t xml:space="preserve">Queries on Increments</t>
  </si>
  <si>
    <t xml:space="preserve">DM904661@techmahindra.com</t>
  </si>
  <si>
    <t xml:space="preserve">Diya Mukherjee</t>
  </si>
  <si>
    <t xml:space="preserve">904661</t>
  </si>
  <si>
    <t xml:space="preserve">NA;Associates are settling in well;</t>
  </si>
  <si>
    <t xml:space="preserve">ZB238722@techmahindra.com</t>
  </si>
  <si>
    <t xml:space="preserve">Zehaan Bansal</t>
  </si>
  <si>
    <t xml:space="preserve">238722</t>
  </si>
  <si>
    <t xml:space="preserve">BP322274@techmahindra.com</t>
  </si>
  <si>
    <t xml:space="preserve">Bhavika Parikh</t>
  </si>
  <si>
    <t xml:space="preserve">322274</t>
  </si>
  <si>
    <t xml:space="preserve">Everything was fine, people were having general queries;Timesheet submission/approval process inconsistencies create compliance risk;</t>
  </si>
  <si>
    <t xml:space="preserve">All were resolved in the ODC connect;NA;</t>
  </si>
  <si>
    <t xml:space="preserve">RR203428@techmahindra.com</t>
  </si>
  <si>
    <t xml:space="preserve">Rajeshri Ratta</t>
  </si>
  <si>
    <t xml:space="preserve">Libni Nori</t>
  </si>
  <si>
    <t xml:space="preserve">203428</t>
  </si>
  <si>
    <t xml:space="preserve">KPI FORMULAS</t>
  </si>
  <si>
    <t xml:space="preserve">ENGAGEMENT TYPE</t>
  </si>
  <si>
    <t xml:space="preserve">SL x SEVERITY</t>
  </si>
  <si>
    <t xml:space="preserve">COVERAGE ISSUES (self-populating from Data_Summary)</t>
  </si>
  <si>
    <t xml:space="preserve">COVERAGE BREAKDOWN</t>
  </si>
  <si>
    <t xml:space="preserve">SESSION DISTRIBUTION BY COHORT</t>
  </si>
  <si>
    <t xml:space="preserve">TOP ORGANIZATIONAL CONCERNS (chart feed)</t>
  </si>
  <si>
    <t xml:space="preserve">ENGAGEMENT TYPE (sorted feed)</t>
  </si>
  <si>
    <t xml:space="preserve">COVERAGE STATEMENT FREQ</t>
  </si>
  <si>
    <t xml:space="preserve">KPI</t>
  </si>
  <si>
    <t xml:space="preserve">Value</t>
  </si>
  <si>
    <t xml:space="preserve">Type</t>
  </si>
  <si>
    <t xml:space="preserve">Count</t>
  </si>
  <si>
    <t xml:space="preserve">Total</t>
  </si>
  <si>
    <t xml:space="preserve">Coverage Issue</t>
  </si>
  <si>
    <t xml:space="preserve">BHR Count</t>
  </si>
  <si>
    <t xml:space="preserve">% of Sessions</t>
  </si>
  <si>
    <t xml:space="preserve">Top Engagement Type</t>
  </si>
  <si>
    <t xml:space="preserve">Engagement / Coverage Area</t>
  </si>
  <si>
    <t xml:space="preserve">Sessions Covered</t>
  </si>
  <si>
    <t xml:space="preserve">Cohort</t>
  </si>
  <si>
    <t xml:space="preserve">Sessions</t>
  </si>
  <si>
    <t xml:space="preserve">Concern</t>
  </si>
  <si>
    <t xml:space="preserve">Mentions</t>
  </si>
  <si>
    <t xml:space="preserve">Statement</t>
  </si>
  <si>
    <t xml:space="preserve">Total Sessions</t>
  </si>
  <si>
    <t xml:space="preserve">Open Concerns</t>
  </si>
  <si>
    <t xml:space="preserve">HR Connect (Project-Wise)</t>
  </si>
  <si>
    <t xml:space="preserve">In Progress</t>
  </si>
  <si>
    <t xml:space="preserve">New Joinee Connect (7 Days)</t>
  </si>
  <si>
    <t xml:space="preserve">Closed Actions</t>
  </si>
  <si>
    <t xml:space="preserve">High Severity</t>
  </si>
  <si>
    <t xml:space="preserve">Moderate Severity</t>
  </si>
  <si>
    <t xml:space="preserve">Low Severity</t>
  </si>
  <si>
    <t xml:space="preserve">Connect with Women Associates</t>
  </si>
  <si>
    <t xml:space="preserve">Positive Sentiment</t>
  </si>
  <si>
    <t xml:space="preserve">Mixed Sentiment</t>
  </si>
  <si>
    <t xml:space="preserve">Account Based</t>
  </si>
  <si>
    <t xml:space="preserve">Neutral Sentiment</t>
  </si>
  <si>
    <t xml:space="preserve">Action Closure %</t>
  </si>
  <si>
    <t xml:space="preserve">Top Talent Connect (One to One) (Exclusives/Ascend/WLP/Mentor)</t>
  </si>
  <si>
    <t xml:space="preserve">Sentiment Score</t>
  </si>
  <si>
    <t xml:space="preserve">Top Talent FGD Connect (Exclusives/Ascend/WLP/Mentor)</t>
  </si>
  <si>
    <t xml:space="preserve">Total BHRs</t>
  </si>
  <si>
    <t xml:space="preserve">Total SLs</t>
  </si>
  <si>
    <t xml:space="preserve">Exclusives Award Ceremony (Not part of Townhall)</t>
  </si>
  <si>
    <t xml:space="preserve">Most Active SL</t>
  </si>
  <si>
    <t xml:space="preserve">ELTP Connect - Practice Level</t>
  </si>
  <si>
    <t xml:space="preserve">Top CARES Lever</t>
  </si>
  <si>
    <t xml:space="preserve">ELTP Connect (6- 12m)</t>
  </si>
  <si>
    <t xml:space="preserve">Open+InProgress</t>
  </si>
  <si>
    <t xml:space="preserve">SENTIMENT</t>
  </si>
  <si>
    <t xml:space="preserve">Label</t>
  </si>
  <si>
    <t xml:space="preserve">Top Talent FGD Connect (Ascend/WLP/Mentor)</t>
  </si>
  <si>
    <t xml:space="preserve">IBU Cadence Connect</t>
  </si>
  <si>
    <t xml:space="preserve">SEVERITY</t>
  </si>
  <si>
    <t xml:space="preserve">STATUS</t>
  </si>
  <si>
    <t xml:space="preserve">CARES</t>
  </si>
  <si>
    <t xml:space="preserve">ENGAGEMENT MODE</t>
  </si>
  <si>
    <t xml:space="preserve">Mode</t>
  </si>
  <si>
    <t xml:space="preserve">Raw</t>
  </si>
  <si>
    <t xml:space="preserve">In-person (Tech/Office)</t>
  </si>
  <si>
    <t xml:space="preserve">Virtual + In-person</t>
  </si>
  <si>
    <t xml:space="preserve">In-person (Client)</t>
  </si>
  <si>
    <t xml:space="preserve">ACTION ITEMS STATUS × SEVERITY  |  Data for Dashboard Chart</t>
  </si>
  <si>
    <t xml:space="preserve">TOP 10 OPEN + HIGH SEVERITY ISSUES  |  Dynamic — Auto-updates from SummaryData</t>
  </si>
  <si>
    <t xml:space="preserve">#</t>
  </si>
  <si>
    <t xml:space="preserve">Engagement Cohort</t>
  </si>
  <si>
    <t xml:space="preserve">Key Issue / Query</t>
  </si>
  <si>
    <t xml:space="preserve">EMPLOYEE PULSE  &amp;  ENGAGEMENT DASHBOARD</t>
  </si>
  <si>
    <t xml:space="preserve">May 2026  |  IBU: All</t>
  </si>
  <si>
    <t xml:space="preserve">Monthly HRBP–Business Cadence  |  Action-Oriented People Review</t>
  </si>
  <si>
    <t xml:space="preserve">TOTAL SESSIONS</t>
  </si>
  <si>
    <t xml:space="preserve">OPEN CONCERNS</t>
  </si>
  <si>
    <t xml:space="preserve">HIGH SEVERITY</t>
  </si>
  <si>
    <t xml:space="preserve">IN-PROGRESS</t>
  </si>
  <si>
    <t xml:space="preserve">ACTION CLOSURE %</t>
  </si>
  <si>
    <t xml:space="preserve">SENTIMENT SCORE</t>
  </si>
  <si>
    <t xml:space="preserve">ACTIVE BHRs</t>
  </si>
  <si>
    <t xml:space="preserve">SLs COVERED</t>
  </si>
  <si>
    <t xml:space="preserve">f</t>
  </si>
  <si>
    <t xml:space="preserve">MOST ACTIVE SERVICE LINE</t>
  </si>
  <si>
    <t xml:space="preserve">TOP CARES LEVER</t>
  </si>
  <si>
    <t xml:space="preserve">OPEN + IN-PROGRESS</t>
  </si>
  <si>
    <t xml:space="preserve">  ENGAGEMENT OVERVIEW</t>
  </si>
  <si>
    <t xml:space="preserve">  ENGAGEMENT MIX  |  Mode · Connect Type · Service-Line Risk</t>
  </si>
  <si>
    <t xml:space="preserve">  SERVICE LINE RISK HEATMAP  |  Severity by SL </t>
  </si>
  <si>
    <t xml:space="preserve">🍩  SESSION DISTRIBUTION  |  Share of sessions across engagement cohorts</t>
  </si>
  <si>
    <t xml:space="preserve">🚨  TOP 10 PRIORITY ISSUES  |  Ranked: High→Moderate→Low  ×  Open→In-Progress</t>
  </si>
  <si>
    <t xml:space="preserve">Key Issue / Engagement Query</t>
  </si>
  <si>
    <t xml:space="preserve">📊  ACTION ITEMS STATUS  |  Open · In-Progress · Closed  ×  Severity Level</t>
  </si>
  <si>
    <t xml:space="preserve">🔴 High</t>
  </si>
  <si>
    <t xml:space="preserve">🟡 Moderate</t>
  </si>
  <si>
    <t xml:space="preserve">🟢 Low</t>
  </si>
  <si>
    <t xml:space="preserve">🔍  TOP 10 COVERAGE ISSUES  |  Organization-wide discussion themes ranked by BHR coverage</t>
  </si>
  <si>
    <t xml:space="preserve">Coverage Area</t>
  </si>
  <si>
    <t xml:space="preserve">Associated Engagement Type</t>
  </si>
  <si>
    <t xml:space="preserve">🗣️  TOP ORGANIZATIONAL CONCERNS  |  What employees are talking about (top 10 recurring themes)</t>
  </si>
  <si>
    <t xml:space="preserve">⚖️  CARES LEVER BREAKDOWN  |  Sessions by Framework Pillar  ×  Severity + Action Owner</t>
  </si>
  <si>
    <t xml:space="preserve">CARES Lever</t>
  </si>
  <si>
    <t xml:space="preserve">High Sev</t>
  </si>
  <si>
    <t xml:space="preserve">Mod Sev</t>
  </si>
  <si>
    <t xml:space="preserve">Low Sev</t>
  </si>
  <si>
    <t xml:space="preserve">% of Total</t>
  </si>
  <si>
    <t xml:space="preserve">📍  ENGAGEMENT MODE &amp; TYPE  |  How and through what formats engagement happens</t>
  </si>
  <si>
    <t xml:space="preserve">Location Mentioned</t>
  </si>
  <si>
    <t xml:space="preserve">Practice Code</t>
  </si>
  <si>
    <t xml:space="preserve">Employee IBU Code</t>
  </si>
  <si>
    <t xml:space="preserve">Project Description</t>
  </si>
  <si>
    <t xml:space="preserve">Record Type</t>
  </si>
  <si>
    <t xml:space="preserve">Statement Order</t>
  </si>
  <si>
    <t xml:space="preserve">Coverage</t>
  </si>
  <si>
    <t xml:space="preserve">Review of ongoing concerns</t>
  </si>
  <si>
    <t xml:space="preserve">Key Insight</t>
  </si>
  <si>
    <t xml:space="preserve">No major concerns raised</t>
  </si>
  <si>
    <t xml:space="preserve">Minor process related queries</t>
  </si>
  <si>
    <t xml:space="preserve">Action Plan</t>
  </si>
  <si>
    <t xml:space="preserve">Continue regular check-ins</t>
  </si>
  <si>
    <t xml:space="preserve">Business &amp; Strategy Clarity</t>
  </si>
  <si>
    <t xml:space="preserve">Career Visibility &amp; Skill Roadmap</t>
  </si>
  <si>
    <t xml:space="preserve">AI/future Readiness Messaging Is High-level</t>
  </si>
  <si>
    <t xml:space="preserve">Associates are unsure how unit goals translate into day-to-day delivery expectations</t>
  </si>
  <si>
    <t xml:space="preserve">Capture workload hotspots and review with delivery leads for rebalancing</t>
  </si>
  <si>
    <t xml:space="preserve">Visibility on Allocation &amp; Demand</t>
  </si>
  <si>
    <t xml:space="preserve">Associates lack clarity on practice goals and IBU priorities</t>
  </si>
  <si>
    <t xml:space="preserve">HR/WFM/Training updates not actionable</t>
  </si>
  <si>
    <t xml:space="preserve">TLS SPOC had cleared all the queries w.r.t learning</t>
  </si>
  <si>
    <t xml:space="preserve">Provide FAQs, guides, refresher sessions</t>
  </si>
  <si>
    <t xml:space="preserve">General wellbeing check-in</t>
  </si>
  <si>
    <t xml:space="preserve">Associates are settling in well</t>
  </si>
  <si>
    <t xml:space="preserve">Share update with relevant stakeholder</t>
  </si>
  <si>
    <t xml:space="preserve">Connect for recognition</t>
  </si>
  <si>
    <t xml:space="preserve">Clarity On Role-based Learning Expectations</t>
  </si>
  <si>
    <t xml:space="preserve">On Hybrid/WFO Rules And Monthly Compliance Expectations</t>
  </si>
  <si>
    <t xml:space="preserve">Discussed on how to simply WFH exception requests and about various projects</t>
  </si>
  <si>
    <t xml:space="preserve">Share role-based learning pathways and recommended certifications</t>
  </si>
  <si>
    <t xml:space="preserve">Business Context &amp; Org Awareness</t>
  </si>
  <si>
    <t xml:space="preserve">Feedback is irregular or not tied to a rubric</t>
  </si>
  <si>
    <t xml:space="preserve">Run fortnightly utilization reviews with WFM + delivery owners to rebalance work</t>
  </si>
  <si>
    <t xml:space="preserve">Business &amp; Practice Awareness</t>
  </si>
  <si>
    <t xml:space="preserve">Low interaction and hesitation in raising questions</t>
  </si>
  <si>
    <t xml:space="preserve">Create consistent onboarding framework across practice</t>
  </si>
  <si>
    <t xml:space="preserve">Clarity on expectations</t>
  </si>
  <si>
    <t xml:space="preserve">Recognition &amp; Visibility</t>
  </si>
  <si>
    <t xml:space="preserve">Grievance/speak-up Clarity</t>
  </si>
  <si>
    <t xml:space="preserve">Empathy And Communication</t>
  </si>
  <si>
    <t xml:space="preserve">Need empathy and communication</t>
  </si>
  <si>
    <t xml:space="preserve">Grievance/speak-up clarity</t>
  </si>
  <si>
    <t xml:space="preserve">There werenot much queries</t>
  </si>
  <si>
    <t xml:space="preserve">Promote DEI initiatives</t>
  </si>
  <si>
    <t xml:space="preserve">Career Support &amp; Sponsorship</t>
  </si>
  <si>
    <t xml:space="preserve">Work-Life Balance &amp; Flexibility</t>
  </si>
  <si>
    <t xml:space="preserve">Inclusive team practices</t>
  </si>
  <si>
    <t xml:space="preserve">Reinforce speak-up channels</t>
  </si>
  <si>
    <t xml:space="preserve">Feedback on recent processes</t>
  </si>
  <si>
    <t xml:space="preserve">Monitor and follow up in next cycle</t>
  </si>
  <si>
    <t xml:space="preserve">AI Session</t>
  </si>
  <si>
    <t xml:space="preserve">Review Cadence</t>
  </si>
  <si>
    <t xml:space="preserve">Need AI/skill readiness</t>
  </si>
  <si>
    <t xml:space="preserve">Publish budget guidelines</t>
  </si>
  <si>
    <t xml:space="preserve">Identify hotspots</t>
  </si>
  <si>
    <t xml:space="preserve">Role Expectation Clarity</t>
  </si>
  <si>
    <t xml:space="preserve">Initial Engagement Level</t>
  </si>
  <si>
    <t xml:space="preserve">Most of the associates are undergoing trainings as there are FCTP's</t>
  </si>
  <si>
    <t xml:space="preserve">Delay or lack of clarity in project onboarding</t>
  </si>
  <si>
    <t xml:space="preserve">Define timeline for project allocation (max  0 days)</t>
  </si>
  <si>
    <t xml:space="preserve">Ensure weekly  :  connect with manager</t>
  </si>
  <si>
    <t xml:space="preserve">Learning &amp; Skill Building</t>
  </si>
  <si>
    <t xml:space="preserve">Inclusive Team Practices</t>
  </si>
  <si>
    <t xml:space="preserve">HR / WFM / Training Communication Effectiveness</t>
  </si>
  <si>
    <t xml:space="preserve">Timesheet Submission/approval Process Inconsistencies Create</t>
  </si>
  <si>
    <t xml:space="preserve">Workload &amp; Work-Life Balance</t>
  </si>
  <si>
    <t xml:space="preserve">Manager Support &amp; Local Leadership Effectiveness</t>
  </si>
  <si>
    <t xml:space="preserve">Timesheet submission/approval process inconsistencies create compliance risk</t>
  </si>
  <si>
    <t xml:space="preserve">Share project-specific policy FAQ (WFO, exceptions, leave, timesheet)</t>
  </si>
  <si>
    <t xml:space="preserve">Implement monthly recognition cadence (kudos, spotlight, customer praise)</t>
  </si>
  <si>
    <t xml:space="preserve">Internal Mobility / Rotation Opportunities</t>
  </si>
  <si>
    <t xml:space="preserve">Recognition &amp; Visibility of Growth</t>
  </si>
  <si>
    <t xml:space="preserve">Career Progression &amp; Next-Level Readiness</t>
  </si>
  <si>
    <t xml:space="preserve">Rotation/mobility interest is high but process and eligibility are unclear</t>
  </si>
  <si>
    <t xml:space="preserve">Highlight ELTP success stories + learning milestones in leadership forums/townhalls</t>
  </si>
  <si>
    <t xml:space="preserve">Run structured mobility/rotation sessions with examples and process FAQs</t>
  </si>
  <si>
    <t xml:space="preserve">Project Allocation Clarity</t>
  </si>
  <si>
    <t xml:space="preserve">Manager Connect Effectiveness</t>
  </si>
  <si>
    <t xml:space="preserve">Difficulty in understanding tools/processes</t>
  </si>
  <si>
    <t xml:space="preserve">Associates undergoing project training</t>
  </si>
  <si>
    <t xml:space="preserve">Discussion on team dynamics</t>
  </si>
  <si>
    <t xml:space="preserve">No specific action required</t>
  </si>
  <si>
    <t xml:space="preserve">Workload Management</t>
  </si>
  <si>
    <t xml:space="preserve">Skill gaps becoming visible during execution</t>
  </si>
  <si>
    <t xml:space="preserve">The associates had questions around WFH and leaves.</t>
  </si>
  <si>
    <t xml:space="preserve">Mandate structured monthly feedback from manager</t>
  </si>
  <si>
    <t xml:space="preserve">The associates had queries mainly related to WFH and leaves.</t>
  </si>
  <si>
    <t xml:space="preserve">Clarity on Org Changes &amp; Priorities</t>
  </si>
  <si>
    <t xml:space="preserve">No hike/VP alignment with performance</t>
  </si>
  <si>
    <t xml:space="preserve">Run quarterly nominations</t>
  </si>
  <si>
    <t xml:space="preserve">Need flexible arrangements during caregiving</t>
  </si>
  <si>
    <t xml:space="preserve">Leadership acknowledgment</t>
  </si>
  <si>
    <t xml:space="preserve">associates seek practical relevance</t>
  </si>
  <si>
    <t xml:space="preserve">Publish role-based learning paths (beginner/intermediate/advanced) with links</t>
  </si>
  <si>
    <t xml:space="preserve">Engagement &amp; Motivation Across Stages</t>
  </si>
  <si>
    <t xml:space="preserve">Career Clarity &amp; Growth Continuity</t>
  </si>
  <si>
    <t xml:space="preserve">Allocation &amp; Deployment Transparency</t>
  </si>
  <si>
    <t xml:space="preserve">Inconsistent visibility on allocation timelines and decision-making creates confusion across all ELTP groups</t>
  </si>
  <si>
    <t xml:space="preserve">Work with work force management and delivery closely to ensure the ELTP associates are mapped to projects once their trainings are completed</t>
  </si>
  <si>
    <t xml:space="preserve">Introduce ELTP engagement framework by stage: 0–6M → onboarding support, 6–M → performance alignment, –M → growth &amp; retention</t>
  </si>
  <si>
    <t xml:space="preserve">Career Path Visibility</t>
  </si>
  <si>
    <t xml:space="preserve">seat allocation</t>
  </si>
  <si>
    <t xml:space="preserve">Lack of awareness of internal opportunities</t>
  </si>
  <si>
    <t xml:space="preserve">Align role expectations vs aspiration through discussion</t>
  </si>
  <si>
    <t xml:space="preserve">shared CS SPOC details</t>
  </si>
  <si>
    <t xml:space="preserve">For Role Rotation (PM/PGM/architect)</t>
  </si>
  <si>
    <t xml:space="preserve">Recognition Equity &amp; Visibility</t>
  </si>
  <si>
    <t xml:space="preserve">Not happy with no hike</t>
  </si>
  <si>
    <t xml:space="preserve">slows improvement</t>
  </si>
  <si>
    <t xml:space="preserve">Team Integration</t>
  </si>
  <si>
    <t xml:space="preserve">Queries related to BGV check</t>
  </si>
  <si>
    <t xml:space="preserve">Upskilling for future roles</t>
  </si>
  <si>
    <t xml:space="preserve">Female assocaites in Haleon office are quite happy with the setup</t>
  </si>
  <si>
    <t xml:space="preserve">Description</t>
  </si>
  <si>
    <t xml:space="preserve">Timely Policy/process Updates</t>
  </si>
  <si>
    <t xml:space="preserve">Manager Effectiveness &amp; Delegation</t>
  </si>
  <si>
    <t xml:space="preserve">Communication &amp; Transparency</t>
  </si>
  <si>
    <t xml:space="preserve">Need timely policy/process updates</t>
  </si>
  <si>
    <t xml:space="preserve">Need clarity on growth opportunities</t>
  </si>
  <si>
    <t xml:space="preserve">Set comms cadence</t>
  </si>
  <si>
    <t xml:space="preserve">Standardize messaging</t>
  </si>
  <si>
    <t xml:space="preserve">Internal Growth Opportunities</t>
  </si>
  <si>
    <t xml:space="preserve">Share internal job/cross-skill opportunities</t>
  </si>
  <si>
    <t xml:space="preserve">ELTPs want clarity on progression timelines and competencies for the next band/role</t>
  </si>
  <si>
    <t xml:space="preserve">Leadership Communication &amp; Q&amp;A Effectiveness</t>
  </si>
  <si>
    <t xml:space="preserve">Org/structural updates are heard but not fully understood (what changes for me?)</t>
  </si>
  <si>
    <t xml:space="preserve">Need clearer articulation of business direction and priorities for the quarter</t>
  </si>
  <si>
    <t xml:space="preserve">Engagement with Leadership &amp; Confidence Level</t>
  </si>
  <si>
    <t xml:space="preserve">Associates unclear how their role contributes to business</t>
  </si>
  <si>
    <t xml:space="preserve">Checked the action plan for pending allocation of new joiners and highlighted to IBU head and it was closed</t>
  </si>
  <si>
    <t xml:space="preserve">Learning/cert Support Requests</t>
  </si>
  <si>
    <t xml:space="preserve">Team recognition cadence</t>
  </si>
  <si>
    <t xml:space="preserve">Recognition &amp; Motivation</t>
  </si>
  <si>
    <t xml:space="preserve">Associates seek clarity on role progression and career paths within the unit</t>
  </si>
  <si>
    <t xml:space="preserve">Add ‘Wall of Fame’ segment: delivery wins, customer shoutouts, milestone highlights</t>
  </si>
  <si>
    <t xml:space="preserve">Policy &amp; Process Clarity</t>
  </si>
  <si>
    <t xml:space="preserve">Strategic Connect</t>
  </si>
  <si>
    <t xml:space="preserve">Seat availability and office logistics impact productivity</t>
  </si>
  <si>
    <t xml:space="preserve">Coach managers on feedback, delegation, and communication</t>
  </si>
  <si>
    <t xml:space="preserve">Role Confidence Level</t>
  </si>
  <si>
    <t xml:space="preserve">Feedback Mechanism</t>
  </si>
  <si>
    <t xml:space="preserve">Include in team rituals (scrum, meetings, discussions)</t>
  </si>
  <si>
    <t xml:space="preserve">Recognition Visibility</t>
  </si>
  <si>
    <t xml:space="preserve">Work-Life &amp; Sustainability Signals</t>
  </si>
  <si>
    <t xml:space="preserve">Add a ‘What changes for teams’ section with 3–5 concrete takeaways</t>
  </si>
  <si>
    <t xml:space="preserve">Queries On Performance Cycle Steps And Deadlines</t>
  </si>
  <si>
    <t xml:space="preserve">Need simplified updates on policy changes and timelines</t>
  </si>
  <si>
    <t xml:space="preserve">Feedback to be shared with IBU head</t>
  </si>
  <si>
    <t xml:space="preserve">Recognition &amp; Engagement within Project</t>
  </si>
  <si>
    <t xml:space="preserve">On Leave/comp-off Due To Client Calendar Mismatches</t>
  </si>
  <si>
    <t xml:space="preserve">associates want clear routes</t>
  </si>
  <si>
    <t xml:space="preserve">Define issue escalation ladder and response SLAs</t>
  </si>
  <si>
    <t xml:space="preserve">Positive feedback overall</t>
  </si>
  <si>
    <t xml:space="preserve">Share a 1-page business snapshot (targets, priorities, key wins) post townhall</t>
  </si>
  <si>
    <t xml:space="preserve">Need equitable recognition</t>
  </si>
  <si>
    <t xml:space="preserve">Variation in how learning is translating into actual delivery readiness across different ELTP stages (early-stage ready, mid-stage struggling, late-stage stagnation)</t>
  </si>
  <si>
    <t xml:space="preserve">All the queries were resolved in the session</t>
  </si>
  <si>
    <t xml:space="preserve">BGV queries</t>
  </si>
  <si>
    <t xml:space="preserve">Explained the complete process to associates</t>
  </si>
  <si>
    <t xml:space="preserve">Stress &amp; Burnout Management</t>
  </si>
  <si>
    <t xml:space="preserve">Low awareness</t>
  </si>
  <si>
    <t xml:space="preserve">Flexibility alignment</t>
  </si>
  <si>
    <t xml:space="preserve">Workshops</t>
  </si>
  <si>
    <t xml:space="preserve">Wellbeing check-ins</t>
  </si>
  <si>
    <t xml:space="preserve">AI/future readiness messaging is high-level</t>
  </si>
  <si>
    <t xml:space="preserve">Tool &amp; System Access</t>
  </si>
  <si>
    <t xml:space="preserve">Initial Organization Understanding</t>
  </si>
  <si>
    <t xml:space="preserve">Delays in access to systems/tools required for work</t>
  </si>
  <si>
    <t xml:space="preserve">New joiners feel overwhelmed or unclear post induction</t>
  </si>
  <si>
    <t xml:space="preserve">Hybrid working policy was explained in detail</t>
  </si>
  <si>
    <t xml:space="preserve">Implement Day-1 access checklist tracking (IT + Admin)</t>
  </si>
  <si>
    <t xml:space="preserve">Learning Curve Support</t>
  </si>
  <si>
    <t xml:space="preserve">Limited clarity on policies (leave, WFO, reporting)</t>
  </si>
  <si>
    <t xml:space="preserve">Share org structure + “who does what” quick guide</t>
  </si>
  <si>
    <t xml:space="preserve">Long-Term Role Alignment</t>
  </si>
  <si>
    <t xml:space="preserve">Improve team engagement (inclusion, recognition)</t>
  </si>
  <si>
    <t xml:space="preserve">BGV</t>
  </si>
  <si>
    <t xml:space="preserve">Infrastructure / Workplace Enablement</t>
  </si>
  <si>
    <t xml:space="preserve">Generic discussion about the account with the leads</t>
  </si>
  <si>
    <t xml:space="preserve">All the queries were resolved in the ODC COnnect</t>
  </si>
  <si>
    <t xml:space="preserve">Monthly Cadence IBU Head coverage on HC, Attrition, eltp and Bench</t>
  </si>
  <si>
    <t xml:space="preserve">Need guidance on leave, travel, and exception approvals</t>
  </si>
  <si>
    <t xml:space="preserve">Send monthly HR bulletin with key updates and links</t>
  </si>
  <si>
    <t xml:space="preserve">It was a general discussion with the IBU Head on the pulse at ground level</t>
  </si>
  <si>
    <t xml:space="preserve">Not fully integrated with team collaboration channels</t>
  </si>
  <si>
    <t xml:space="preserve">Guidance On Leave, Travel, And Exception Approvals</t>
  </si>
  <si>
    <t xml:space="preserve">No Action</t>
  </si>
  <si>
    <t xml:space="preserve">Issues with respect to applying leaves and communication regarding leaves to the managers</t>
  </si>
  <si>
    <t xml:space="preserve">HR and Delivery Head clarified on org level communication on appraisals</t>
  </si>
  <si>
    <t xml:space="preserve">All were resolved in the ODC connect</t>
  </si>
  <si>
    <t xml:space="preserve">Engagement &amp; Belonging</t>
  </si>
  <si>
    <t xml:space="preserve">Connect with Practice head, associates were happy with the session and interaction opportunity with practice head.</t>
  </si>
  <si>
    <t xml:space="preserve">Induction Effectiveness</t>
  </si>
  <si>
    <t xml:space="preserve">Buddy / Support System</t>
  </si>
  <si>
    <t xml:space="preserve">none</t>
  </si>
  <si>
    <t xml:space="preserve">Assign buddy with defined responsibilities for 2 weeks</t>
  </si>
  <si>
    <t xml:space="preserve">Recurring questions on WFO/WFH expectations and exception handling</t>
  </si>
  <si>
    <t xml:space="preserve">HR Process Clarity</t>
  </si>
  <si>
    <t xml:space="preserve">Standardize induction deck + post-induction summary mail</t>
  </si>
  <si>
    <t xml:space="preserve">Run a follow-up FAQ mailer and route unanswered questions to SPOCs</t>
  </si>
  <si>
    <t xml:space="preserve">Action Closure Discipline</t>
  </si>
  <si>
    <t xml:space="preserve">Work with AI Agents</t>
  </si>
  <si>
    <t xml:space="preserve">BGV related queries</t>
  </si>
  <si>
    <t xml:space="preserve">Lack of continuous career communication leads to: confusion in early stage, direction gap in mid-stage, retention risk in later stage</t>
  </si>
  <si>
    <t xml:space="preserve">AI Workshop By Natesh</t>
  </si>
  <si>
    <t xml:space="preserve">Answer FAQs in next connect</t>
  </si>
  <si>
    <t xml:space="preserve">Learning &amp; Career Enablement</t>
  </si>
  <si>
    <t xml:space="preserve">Need guidance on learning platforms and certification options</t>
  </si>
  <si>
    <t xml:space="preserve">Limited structured interaction with reporting manager</t>
  </si>
  <si>
    <t xml:space="preserve">Need faster issue resolution and proactive manager check-ins</t>
  </si>
  <si>
    <t xml:space="preserve">Run a monthly policy + compliance refresher for the project</t>
  </si>
  <si>
    <t xml:space="preserve">Culture &amp; Engagement</t>
  </si>
  <si>
    <t xml:space="preserve">Host open house hour for Q&amp;A and log unanswered items</t>
  </si>
  <si>
    <t xml:space="preserve">Escalation handling is inconsistent</t>
  </si>
  <si>
    <t xml:space="preserve">Addressing concerns on allocation issues</t>
  </si>
  <si>
    <t xml:space="preserve">Clarity On Appraisal/performance Timelines And Edge Cases</t>
  </si>
  <si>
    <t xml:space="preserve">Need clarity on appraisal/performance timelines and edge cases</t>
  </si>
  <si>
    <t xml:space="preserve">Review workload hotspots with PGM/RM and rebalance capacity</t>
  </si>
  <si>
    <t xml:space="preserve">Mixed stakeholder messages</t>
  </si>
  <si>
    <t xml:space="preserve">Compensation &amp; Retention Risk</t>
  </si>
  <si>
    <t xml:space="preserve">Associates were curious to know about salary increments</t>
  </si>
  <si>
    <t xml:space="preserve">Need more appreciation</t>
  </si>
  <si>
    <t xml:space="preserve">Define capability targets</t>
  </si>
  <si>
    <t xml:space="preserve">Alignment on Role in Business Context</t>
  </si>
  <si>
    <t xml:space="preserve">Publish post-induction roadmap (Day 1–30)</t>
  </si>
  <si>
    <t xml:space="preserve">All the queries were answered in the sessions</t>
  </si>
  <si>
    <t xml:space="preserve">Need clarity on role-based learning expectations</t>
  </si>
  <si>
    <t xml:space="preserve">New IBU- Introduction to HR Team and new leadership</t>
  </si>
  <si>
    <t xml:space="preserve">Share HR FAQ document + SPOC contact sheet</t>
  </si>
  <si>
    <t xml:space="preserve">All the queries were resolved in the ODC Connect</t>
  </si>
  <si>
    <t xml:space="preserve">Had one on one with IBU head first time of SNOW Europe</t>
  </si>
  <si>
    <t xml:space="preserve">Know your Service Line 'AI Strategy &amp; Business Vision' from Mr. Natesh P</t>
  </si>
  <si>
    <t xml:space="preserve">need to have diversity</t>
  </si>
  <si>
    <t xml:space="preserve">Guidance on timesheet</t>
  </si>
  <si>
    <t xml:space="preserve">detailed discussion on monthly cadence</t>
  </si>
  <si>
    <t xml:space="preserve">Benefits, Insurance &amp; Wellbeing</t>
  </si>
  <si>
    <t xml:space="preserve">Need faster resolution for HR tickets and queries</t>
  </si>
  <si>
    <t xml:space="preserve">Maintain a live FAQ for hybrid/WFO and exceptions</t>
  </si>
  <si>
    <t xml:space="preserve">Communicated to the teams on the importance of communication and transparency</t>
  </si>
  <si>
    <t xml:space="preserve">no specific requisites.</t>
  </si>
  <si>
    <t xml:space="preserve">Flexibility Alignment</t>
  </si>
  <si>
    <t xml:space="preserve">Workload escalation guidance</t>
  </si>
  <si>
    <t xml:space="preserve">For Consolidated HR Communications Rather Than Scattered Upd</t>
  </si>
  <si>
    <t xml:space="preserve">Generic Queries</t>
  </si>
  <si>
    <t xml:space="preserve">Others</t>
  </si>
  <si>
    <t xml:space="preserve">Support Program Utilization</t>
  </si>
  <si>
    <t xml:space="preserve">Volunteer Enablement</t>
  </si>
  <si>
    <t xml:space="preserve">CSR Alignment</t>
  </si>
  <si>
    <t xml:space="preserve">Pride &amp; Purpose</t>
  </si>
  <si>
    <t xml:space="preserve">Need structured roles</t>
  </si>
  <si>
    <t xml:space="preserve">Align with company values</t>
  </si>
  <si>
    <t xml:space="preserve">CSR champions</t>
  </si>
  <si>
    <t xml:space="preserve">Skill volunteering catalog</t>
  </si>
  <si>
    <t xml:space="preserve">Manager/Leadership Support</t>
  </si>
  <si>
    <t xml:space="preserve">Rules On Working Without Formal Allocation/PID</t>
  </si>
  <si>
    <t xml:space="preserve">Job Security &amp; Anxiety Management</t>
  </si>
  <si>
    <t xml:space="preserve">Delay in interview feedback creates uncertainty and repeated follow-ups</t>
  </si>
  <si>
    <t xml:space="preserve">Prolonged bench duration triggers anxiety about future within the org</t>
  </si>
  <si>
    <t xml:space="preserve">No specific action, discussion closed during the connect</t>
  </si>
  <si>
    <t xml:space="preserve">Everything was fine, people were having general queries</t>
  </si>
  <si>
    <t xml:space="preserve">Selected Connect</t>
  </si>
  <si>
    <t xml:space="preserve">Matched Connect Name</t>
  </si>
  <si>
    <t xml:space="preserve">Coverage 2</t>
  </si>
  <si>
    <t xml:space="preserve">Coverage 3</t>
  </si>
  <si>
    <t xml:space="preserve">Coverage 4</t>
  </si>
  <si>
    <t xml:space="preserve">Coverage 5</t>
  </si>
  <si>
    <t xml:space="preserve">Coverage 6</t>
  </si>
  <si>
    <t xml:space="preserve">Coverage 7</t>
  </si>
  <si>
    <t xml:space="preserve">Action Plan 2</t>
  </si>
  <si>
    <t xml:space="preserve">Action Plan 3</t>
  </si>
  <si>
    <t xml:space="preserve">Action Plan 4</t>
  </si>
  <si>
    <t xml:space="preserve">Column1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</si>
</sst>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m/d/yyyy"/>
    <numFmt numFmtId="166" formatCode="General"/>
    <numFmt numFmtId="167" formatCode="0.0%"/>
    <numFmt numFmtId="168" formatCode="0%"/>
    <numFmt numFmtId="169" formatCode="0.00%"/>
    <numFmt numFmtId="170" formatCode="0"/>
    <numFmt numFmtId="171" formatCode="0.0"/>
    <numFmt numFmtId="172" formatCode="yyyy\-mm\-dd\ hh:mm:ss"/>
    <numFmt numFmtId="173" formatCode="yyyy\-mm\-dd\ h:mm:ss"/>
    <numFmt numFmtId="174" formatCode="h:mm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Arial"/>
      <family val="2"/>
      <charset val="1"/>
    </font>
    <font>
      <sz val="8"/>
      <color theme="1"/>
      <name val="Arial"/>
      <family val="2"/>
      <charset val="1"/>
    </font>
    <font>
      <b val="true"/>
      <sz val="8"/>
      <color rgb="FFFFFFFF"/>
      <name val="Arial"/>
      <family val="2"/>
      <charset val="1"/>
    </font>
    <font>
      <b val="true"/>
      <sz val="8"/>
      <color theme="0"/>
      <name val="Arial"/>
      <family val="2"/>
      <charset val="1"/>
    </font>
    <font>
      <sz val="10"/>
      <color theme="1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b val="true"/>
      <sz val="10"/>
      <color theme="0"/>
      <name val="Arial"/>
      <family val="2"/>
      <charset val="1"/>
    </font>
    <font>
      <b val="true"/>
      <sz val="10"/>
      <color rgb="FF1A1A2E"/>
      <name val="Arial"/>
      <family val="2"/>
      <charset val="1"/>
    </font>
    <font>
      <b val="true"/>
      <sz val="9"/>
      <color rgb="FFFFFFFF"/>
      <name val="Arial"/>
      <family val="2"/>
      <charset val="1"/>
    </font>
    <font>
      <b val="true"/>
      <sz val="10"/>
      <color rgb="FF1A1A2E"/>
      <name val="Calibri"/>
      <family val="2"/>
      <charset val="1"/>
    </font>
    <font>
      <sz val="10"/>
      <color rgb="FF0070C0"/>
      <name val="Calibri"/>
      <family val="2"/>
      <charset val="1"/>
    </font>
    <font>
      <sz val="10"/>
      <color rgb="FF1A1A2E"/>
      <name val="Calibri"/>
      <family val="2"/>
      <charset val="1"/>
    </font>
    <font>
      <b val="true"/>
      <sz val="1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rgb="FF999999"/>
      <name val="Calibri"/>
      <family val="2"/>
      <charset val="1"/>
    </font>
    <font>
      <sz val="10"/>
      <color rgb="FFBFBFBF"/>
      <name val="Calibri"/>
      <family val="2"/>
      <charset val="1"/>
    </font>
    <font>
      <b val="true"/>
      <sz val="10"/>
      <color rgb="FFC00000"/>
      <name val="Calibri"/>
      <family val="2"/>
      <charset val="1"/>
    </font>
    <font>
      <b val="true"/>
      <sz val="10"/>
      <color rgb="FFFF9900"/>
      <name val="Calibri"/>
      <family val="2"/>
      <charset val="1"/>
    </font>
    <font>
      <b val="true"/>
      <sz val="10"/>
      <color rgb="FF375623"/>
      <name val="Calibri"/>
      <family val="2"/>
      <charset val="1"/>
    </font>
    <font>
      <i val="true"/>
      <sz val="10"/>
      <color rgb="FF595959"/>
      <name val="Calibri"/>
      <family val="2"/>
      <charset val="1"/>
    </font>
    <font>
      <sz val="10"/>
      <color rgb="FF7B3F00"/>
      <name val="Calibri"/>
      <family val="2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sz val="10"/>
      <color rgb="FF595959"/>
      <name val="Calibri"/>
      <family val="2"/>
    </font>
    <font>
      <b val="true"/>
      <sz val="20"/>
      <color rgb="FFFFFFFF"/>
      <name val="Arial"/>
      <family val="2"/>
      <charset val="1"/>
    </font>
    <font>
      <sz val="9"/>
      <color rgb="FF9999BB"/>
      <name val="Arial"/>
      <family val="2"/>
      <charset val="1"/>
    </font>
    <font>
      <i val="true"/>
      <sz val="10"/>
      <color rgb="FFBBBBDD"/>
      <name val="Arial"/>
      <family val="2"/>
      <charset val="1"/>
    </font>
    <font>
      <sz val="8"/>
      <color rgb="FF70C070"/>
      <name val="Arial"/>
      <family val="2"/>
      <charset val="1"/>
    </font>
    <font>
      <b val="true"/>
      <sz val="26"/>
      <color rgb="FF1A1A2E"/>
      <name val="Arial"/>
      <family val="2"/>
      <charset val="1"/>
    </font>
    <font>
      <b val="true"/>
      <sz val="26"/>
      <color rgb="FFE31837"/>
      <name val="Arial"/>
      <family val="2"/>
      <charset val="1"/>
    </font>
    <font>
      <b val="true"/>
      <sz val="26"/>
      <color rgb="FFF5A623"/>
      <name val="Arial"/>
      <family val="2"/>
      <charset val="1"/>
    </font>
    <font>
      <b val="true"/>
      <sz val="26"/>
      <color rgb="FF27AE60"/>
      <name val="Arial"/>
      <family val="2"/>
      <charset val="1"/>
    </font>
    <font>
      <b val="true"/>
      <sz val="26"/>
      <color rgb="FF2980B9"/>
      <name val="Arial"/>
      <family val="2"/>
      <charset val="1"/>
    </font>
    <font>
      <b val="true"/>
      <sz val="10"/>
      <color rgb="FF4A4A6A"/>
      <name val="Arial"/>
      <family val="2"/>
      <charset val="1"/>
    </font>
    <font>
      <b val="true"/>
      <sz val="11"/>
      <color rgb="FFC00000"/>
      <name val="Arial"/>
      <family val="2"/>
      <charset val="1"/>
    </font>
    <font>
      <b val="true"/>
      <sz val="11"/>
      <color rgb="FFE31837"/>
      <name val="Arial"/>
      <family val="2"/>
      <charset val="1"/>
    </font>
    <font>
      <b val="true"/>
      <sz val="16"/>
      <color rgb="FFE31837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1"/>
      <name val="Cambria"/>
      <family val="1"/>
      <charset val="1"/>
    </font>
    <font>
      <b val="true"/>
      <sz val="11"/>
      <color rgb="FFFFFFFF"/>
      <name val="Cambria"/>
      <family val="1"/>
      <charset val="1"/>
    </font>
    <font>
      <b val="true"/>
      <sz val="8"/>
      <color rgb="FFC0392B"/>
      <name val="Arial"/>
      <family val="2"/>
      <charset val="1"/>
    </font>
    <font>
      <sz val="8"/>
      <color rgb="FF999999"/>
      <name val="Arial"/>
      <family val="2"/>
      <charset val="1"/>
    </font>
    <font>
      <b val="true"/>
      <sz val="9"/>
      <color rgb="FFFFFFFF"/>
      <name val="Cambria"/>
      <family val="1"/>
      <charset val="1"/>
    </font>
    <font>
      <b val="true"/>
      <sz val="11"/>
      <name val="Cambria"/>
      <family val="1"/>
      <charset val="1"/>
    </font>
    <font>
      <b val="true"/>
      <sz val="11"/>
      <color rgb="FFC00000"/>
      <name val="Cambria"/>
      <family val="1"/>
      <charset val="1"/>
    </font>
    <font>
      <sz val="11"/>
      <color rgb="FF7B3F00"/>
      <name val="Cambria"/>
      <family val="1"/>
      <charset val="1"/>
    </font>
    <font>
      <b val="true"/>
      <sz val="10"/>
      <color rgb="FFFFFFFF"/>
      <name val="Cambria"/>
      <family val="1"/>
      <charset val="1"/>
    </font>
    <font>
      <sz val="9"/>
      <color rgb="FF1A1A2E"/>
      <name val="Arial"/>
      <family val="2"/>
      <charset val="1"/>
    </font>
    <font>
      <b val="true"/>
      <sz val="11"/>
      <color rgb="FF4472C4"/>
      <name val="Cambria"/>
      <family val="1"/>
      <charset val="1"/>
    </font>
    <font>
      <sz val="11"/>
      <color rgb="FFC00000"/>
      <name val="Cambria"/>
      <family val="1"/>
      <charset val="1"/>
    </font>
    <font>
      <sz val="11"/>
      <color rgb="FFFF9900"/>
      <name val="Cambria"/>
      <family val="1"/>
      <charset val="1"/>
    </font>
    <font>
      <sz val="11"/>
      <color rgb="FF375623"/>
      <name val="Cambria"/>
      <family val="1"/>
      <charset val="1"/>
    </font>
    <font>
      <b val="true"/>
      <sz val="11"/>
      <color rgb="FF70AD47"/>
      <name val="Cambria"/>
      <family val="1"/>
      <charset val="1"/>
    </font>
    <font>
      <b val="true"/>
      <sz val="11"/>
      <color rgb="FFFF9900"/>
      <name val="Cambria"/>
      <family val="1"/>
      <charset val="1"/>
    </font>
    <font>
      <b val="true"/>
      <sz val="11"/>
      <color rgb="FFED7D31"/>
      <name val="Cambria"/>
      <family val="1"/>
      <charset val="1"/>
    </font>
    <font>
      <b val="true"/>
      <sz val="11"/>
      <color rgb="FFFF0000"/>
      <name val="Cambria"/>
      <family val="1"/>
      <charset val="1"/>
    </font>
    <font>
      <i val="true"/>
      <sz val="9"/>
      <color rgb="FF595959"/>
      <name val="Cambria"/>
      <family val="1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6"/>
      <color rgb="FF000000"/>
      <name val="Calibri"/>
      <family val="2"/>
    </font>
    <font>
      <b val="true"/>
      <sz val="8"/>
      <color rgb="FF000000"/>
      <name val="Calibri"/>
      <family val="2"/>
    </font>
    <font>
      <b val="true"/>
      <sz val="10.5"/>
      <color rgb="FF000000"/>
      <name val="Calibri"/>
      <family val="2"/>
    </font>
    <font>
      <b val="true"/>
      <sz val="11"/>
      <color rgb="FFFFFFFF"/>
      <name val="Calibri"/>
      <family val="2"/>
      <charset val="1"/>
    </font>
  </fonts>
  <fills count="28">
    <fill>
      <patternFill patternType="none"/>
    </fill>
    <fill>
      <patternFill patternType="gray125"/>
    </fill>
    <fill>
      <patternFill patternType="solid">
        <fgColor rgb="FF1A1A2E"/>
        <bgColor rgb="FF153063"/>
      </patternFill>
    </fill>
    <fill>
      <patternFill patternType="solid">
        <fgColor theme="0"/>
        <bgColor rgb="FFF9FAFB"/>
      </patternFill>
    </fill>
    <fill>
      <patternFill patternType="solid">
        <fgColor rgb="FF153063"/>
        <bgColor rgb="FF1D3664"/>
      </patternFill>
    </fill>
    <fill>
      <patternFill patternType="solid">
        <fgColor rgb="FF484868"/>
        <bgColor rgb="FF4A4A6A"/>
      </patternFill>
    </fill>
    <fill>
      <patternFill patternType="solid">
        <fgColor rgb="FF375623"/>
        <bgColor rgb="FF5A595B"/>
      </patternFill>
    </fill>
    <fill>
      <patternFill patternType="solid">
        <fgColor rgb="FFF0FFF0"/>
        <bgColor rgb="FFF9FAFB"/>
      </patternFill>
    </fill>
    <fill>
      <patternFill patternType="solid">
        <fgColor rgb="FFBC0001"/>
        <bgColor rgb="FFC00000"/>
      </patternFill>
    </fill>
    <fill>
      <patternFill patternType="solid">
        <fgColor rgb="FFFFF2CC"/>
        <bgColor rgb="FFFDECEA"/>
      </patternFill>
    </fill>
    <fill>
      <patternFill patternType="solid">
        <fgColor rgb="FFE31837"/>
        <bgColor rgb="FFFF0000"/>
      </patternFill>
    </fill>
    <fill>
      <patternFill patternType="mediumGray">
        <fgColor rgb="FFBC3B2F"/>
        <bgColor rgb="FFC0392B"/>
      </patternFill>
    </fill>
    <fill>
      <patternFill patternType="solid">
        <fgColor rgb="FFF9AB13"/>
        <bgColor rgb="FFF6A424"/>
      </patternFill>
    </fill>
    <fill>
      <patternFill patternType="solid">
        <fgColor rgb="FF27AE60"/>
        <bgColor rgb="FF3995B3"/>
      </patternFill>
    </fill>
    <fill>
      <patternFill patternType="solid">
        <fgColor rgb="FF3B82B9"/>
        <bgColor rgb="FF2980B9"/>
      </patternFill>
    </fill>
    <fill>
      <patternFill patternType="solid">
        <fgColor rgb="FFF5F5F7"/>
        <bgColor rgb="FFEFF5FB"/>
      </patternFill>
    </fill>
    <fill>
      <patternFill patternType="solid">
        <fgColor rgb="FF1D3664"/>
        <bgColor rgb="FF153063"/>
      </patternFill>
    </fill>
    <fill>
      <patternFill patternType="solid">
        <fgColor rgb="FFF9FAFB"/>
        <bgColor rgb="FFF5F5F7"/>
      </patternFill>
    </fill>
    <fill>
      <patternFill patternType="solid">
        <fgColor rgb="FFFDECEA"/>
        <bgColor rgb="FFF3E5F5"/>
      </patternFill>
    </fill>
    <fill>
      <patternFill patternType="solid">
        <fgColor rgb="FFFCE4D6"/>
        <bgColor rgb="FFFDECEA"/>
      </patternFill>
    </fill>
    <fill>
      <patternFill patternType="solid">
        <fgColor rgb="FFE2EFDA"/>
        <bgColor rgb="FFE1EAF1"/>
      </patternFill>
    </fill>
    <fill>
      <patternFill patternType="solid">
        <fgColor rgb="FF4A77C4"/>
        <bgColor rgb="FF4471C0"/>
      </patternFill>
    </fill>
    <fill>
      <patternFill patternType="solid">
        <fgColor rgb="FF6A0572"/>
        <bgColor rgb="FF1A1A2E"/>
      </patternFill>
    </fill>
    <fill>
      <patternFill patternType="solid">
        <fgColor rgb="FFF3E5F5"/>
        <bgColor rgb="FFFDECEA"/>
      </patternFill>
    </fill>
    <fill>
      <patternFill patternType="solid">
        <fgColor rgb="FF264478"/>
        <bgColor rgb="FF1F4E78"/>
      </patternFill>
    </fill>
    <fill>
      <patternFill patternType="solid">
        <fgColor rgb="FFE1EAF1"/>
        <bgColor rgb="FFE2EFDA"/>
      </patternFill>
    </fill>
    <fill>
      <patternFill patternType="solid">
        <fgColor rgb="FFEFF5FB"/>
        <bgColor rgb="FFF5F5F7"/>
      </patternFill>
    </fill>
    <fill>
      <patternFill patternType="solid">
        <fgColor rgb="FF1F4E78"/>
        <bgColor rgb="FF264478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>
        <color rgb="FFBFBFC6"/>
      </left>
      <right style="thin">
        <color rgb="FFBFBFC6"/>
      </right>
      <top style="thin">
        <color rgb="FFBFBFC6"/>
      </top>
      <bottom style="thin">
        <color rgb="FFBFBFC6"/>
      </bottom>
      <diagonal/>
    </border>
    <border diagonalUp="false" diagonalDown="false">
      <left style="thin">
        <color rgb="FFE0E0E1"/>
      </left>
      <right style="thin">
        <color rgb="FFE0E0E1"/>
      </right>
      <top style="thin">
        <color rgb="FFE0E0E1"/>
      </top>
      <bottom style="thin">
        <color rgb="FFE0E0E1"/>
      </bottom>
      <diagonal/>
    </border>
    <border diagonalUp="false" diagonalDown="false">
      <left style="thin">
        <color rgb="FFD7D8D8"/>
      </left>
      <right style="thin">
        <color rgb="FFD7D8D8"/>
      </right>
      <top style="thin">
        <color rgb="FFD7D8D8"/>
      </top>
      <bottom style="thin">
        <color rgb="FFD7D8D8"/>
      </bottom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medium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 diagonalUp="false" diagonalDown="false">
      <left style="thin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 diagonalUp="false" diagonalDown="false">
      <left style="thin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4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9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9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2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4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5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0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3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1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7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1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1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2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2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2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3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0" fillId="6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7" fillId="19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19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9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9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2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2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3" fillId="2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1" fillId="1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15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1" fillId="1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1" fillId="1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3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1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1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1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5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3" fillId="22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3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43" fillId="2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0" fillId="22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2" fillId="2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7" fillId="2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3" fillId="2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4" fillId="2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5" fillId="2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2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6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7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3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4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5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7" fillId="2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8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9" fillId="2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3" fillId="2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3" fillId="2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6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3" fillId="24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3" fillId="24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2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25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25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6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26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26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7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7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7" fillId="27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7" fillId="27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7" fillId="27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7" fillId="27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5">
    <dxf>
      <fill>
        <patternFill patternType="solid">
          <fgColor rgb="FF1A1A2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4E78"/>
          <bgColor rgb="FF000000"/>
        </patternFill>
      </fill>
    </dxf>
  </dxfs>
  <colors>
    <indexedColors>
      <rgbColor rgb="FF000000"/>
      <rgbColor rgb="FFFFFFFF"/>
      <rgbColor rgb="FFFF0000"/>
      <rgbColor rgb="FF77C06C"/>
      <rgbColor rgb="FF4A77C4"/>
      <rgbColor rgb="FFE0E0E1"/>
      <rgbColor rgb="FFC0504D"/>
      <rgbColor rgb="FFD7D8D8"/>
      <rgbColor rgb="FFBC0001"/>
      <rgbColor rgb="FF1F4E78"/>
      <rgbColor rgb="FF4A4A6A"/>
      <rgbColor rgb="FF7C9740"/>
      <rgbColor rgb="FFE31837"/>
      <rgbColor rgb="FF2980B9"/>
      <rgbColor rgb="FFBFBFBF"/>
      <rgbColor rgb="FF86808C"/>
      <rgbColor rgb="FF9999BB"/>
      <rgbColor rgb="FFBC3B2F"/>
      <rgbColor rgb="FFFFF2CC"/>
      <rgbColor rgb="FFE1EAF1"/>
      <rgbColor rgb="FF6A0572"/>
      <rgbColor rgb="FFF6A424"/>
      <rgbColor rgb="FF0070C0"/>
      <rgbColor rgb="FFD0D0D0"/>
      <rgbColor rgb="FFF9FAFB"/>
      <rgbColor rgb="FFF3E5F5"/>
      <rgbColor rgb="FFD9D9D9"/>
      <rgbColor rgb="FFEFF5FB"/>
      <rgbColor rgb="FF484868"/>
      <rgbColor rgb="FFC00000"/>
      <rgbColor rgb="FF3B82B9"/>
      <rgbColor rgb="FFF5F5F7"/>
      <rgbColor rgb="FF4F81BD"/>
      <rgbColor rgb="FFF0FFF0"/>
      <rgbColor rgb="FFE2EFDA"/>
      <rgbColor rgb="FFFDECEA"/>
      <rgbColor rgb="FFB8BBDD"/>
      <rgbColor rgb="FFBFBFC6"/>
      <rgbColor rgb="FFBCB2B2"/>
      <rgbColor rgb="FFFCE4D6"/>
      <rgbColor rgb="FF4471C0"/>
      <rgbColor rgb="FF3995B3"/>
      <rgbColor rgb="FF70AD47"/>
      <rgbColor rgb="FFF9AB13"/>
      <rgbColor rgb="FFFF9900"/>
      <rgbColor rgb="FFEB7D32"/>
      <rgbColor rgb="FF5A595B"/>
      <rgbColor rgb="FF999999"/>
      <rgbColor rgb="FF153063"/>
      <rgbColor rgb="FF27AE60"/>
      <rgbColor rgb="FF375623"/>
      <rgbColor rgb="FF1A1A2E"/>
      <rgbColor rgb="FF7B3F00"/>
      <rgbColor rgb="FFC0392B"/>
      <rgbColor rgb="FF264478"/>
      <rgbColor rgb="FF1D36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Feedback by IBU — Total vs Open &amp; High Severity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Total Feedback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categories</c:f>
              <c:strCache>
                <c:ptCount val="1"/>
                <c:pt idx="0">
                  <c:v>1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Open &amp; High Severity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categories</c:f>
              <c:strCache>
                <c:ptCount val="1"/>
                <c:pt idx="0">
                  <c:v>1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gapWidth val="182"/>
        <c:overlap val="0"/>
        <c:axId val="56710911"/>
        <c:axId val="48948528"/>
      </c:barChart>
      <c:catAx>
        <c:axId val="56710911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Number of Sessions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8948528"/>
        <c:crosses val="autoZero"/>
        <c:auto val="1"/>
        <c:lblAlgn val="ctr"/>
        <c:lblOffset val="100"/>
        <c:noMultiLvlLbl val="0"/>
      </c:catAx>
      <c:valAx>
        <c:axId val="4894852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IBU Code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671091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Engagement Type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Calc!$AH$2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Calc!$AG$3:$AG$15</c:f>
              <c:strCache>
                <c:ptCount val="13"/>
                <c:pt idx="0">
                  <c:v>Large Connect</c:v>
                </c:pt>
                <c:pt idx="1">
                  <c:v>FGD</c:v>
                </c:pt>
                <c:pt idx="2">
                  <c:v>1:1</c:v>
                </c:pt>
                <c:pt idx="3">
                  <c:v>Floor Connect</c:v>
                </c:pt>
                <c:pt idx="4">
                  <c:v>Location-Offshore</c:v>
                </c:pt>
                <c:pt idx="5">
                  <c:v>Location-Mixed</c:v>
                </c:pt>
                <c:pt idx="6">
                  <c:v>Induction</c:v>
                </c:pt>
                <c:pt idx="7">
                  <c:v>Workshop/Session</c:v>
                </c:pt>
                <c:pt idx="8">
                  <c:v>New Joiner Induction</c:v>
                </c:pt>
                <c:pt idx="9">
                  <c:v>Leadership Connect</c:v>
                </c:pt>
                <c:pt idx="10">
                  <c:v>Monthly Cadence</c:v>
                </c:pt>
                <c:pt idx="11">
                  <c:v>Connect with Women Associates</c:v>
                </c:pt>
                <c:pt idx="12">
                  <c:v>Account Based</c:v>
                </c:pt>
              </c:strCache>
            </c:strRef>
          </c:cat>
          <c:val>
            <c:numRef>
              <c:f>Calc!$AH$3:$AH$15</c:f>
              <c:numCache>
                <c:formatCode>General</c:formatCode>
                <c:ptCount val="13"/>
                <c:pt idx="0">
                  <c:v>96</c:v>
                </c:pt>
                <c:pt idx="1">
                  <c:v>59</c:v>
                </c:pt>
                <c:pt idx="2">
                  <c:v>59</c:v>
                </c:pt>
                <c:pt idx="3">
                  <c:v>36</c:v>
                </c:pt>
                <c:pt idx="4">
                  <c:v>19</c:v>
                </c:pt>
                <c:pt idx="5">
                  <c:v>8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3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gapWidth val="150"/>
        <c:overlap val="0"/>
        <c:axId val="93520676"/>
        <c:axId val="58826978"/>
      </c:barChart>
      <c:catAx>
        <c:axId val="935206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826978"/>
        <c:crosses val="autoZero"/>
        <c:auto val="1"/>
        <c:lblAlgn val="ctr"/>
        <c:lblOffset val="100"/>
        <c:noMultiLvlLbl val="0"/>
      </c:catAx>
      <c:valAx>
        <c:axId val="5882697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52067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Session Distribution by Cohort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Calc!$AB$2</c:f>
              <c:strCache>
                <c:ptCount val="1"/>
                <c:pt idx="0">
                  <c:v>Sessions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16a9c"/>
              </a:solidFill>
              <a:ln w="0">
                <a:noFill/>
              </a:ln>
            </c:spPr>
          </c:dPt>
          <c:dPt>
            <c:idx val="1"/>
            <c:spPr>
              <a:solidFill>
                <a:srgbClr val="9f423f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09b4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6a5286"/>
              </a:solidFill>
              <a:ln w="0">
                <a:noFill/>
              </a:ln>
            </c:spPr>
          </c:dPt>
          <c:dPt>
            <c:idx val="4"/>
            <c:spPr>
              <a:solidFill>
                <a:srgbClr val="3e8ea4"/>
              </a:solidFill>
              <a:ln w="0">
                <a:noFill/>
              </a:ln>
            </c:spPr>
          </c:dPt>
          <c:dPt>
            <c:idx val="5"/>
            <c:spPr>
              <a:solidFill>
                <a:srgbClr val="cc7c3a"/>
              </a:solidFill>
              <a:ln w="0">
                <a:noFill/>
              </a:ln>
            </c:spPr>
          </c:dPt>
          <c:dPt>
            <c:idx val="6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7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8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9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4bacc6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f79646"/>
              </a:solidFill>
              <a:ln w="0">
                <a:noFill/>
              </a:ln>
            </c:spPr>
          </c:dPt>
          <c:dPt>
            <c:idx val="12"/>
            <c:spPr>
              <a:solidFill>
                <a:srgbClr val="aabad7"/>
              </a:solidFill>
              <a:ln w="0">
                <a:noFill/>
              </a:ln>
            </c:spPr>
          </c:dPt>
          <c:dPt>
            <c:idx val="13"/>
            <c:spPr>
              <a:solidFill>
                <a:srgbClr val="d8aaa9"/>
              </a:solidFill>
              <a:ln w="0">
                <a:noFill/>
              </a:ln>
            </c:spPr>
          </c:dPt>
          <c:dPt>
            <c:idx val="14"/>
            <c:spPr>
              <a:solidFill>
                <a:srgbClr val="c5d6ac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1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1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1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1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1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1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Calc!$AA$3:$AA$17</c:f>
              <c:strCache>
                <c:ptCount val="15"/>
                <c:pt idx="0">
                  <c:v>HR Connect (Project Wise)</c:v>
                </c:pt>
                <c:pt idx="1">
                  <c:v>New Joiner Connect (60 Days)</c:v>
                </c:pt>
                <c:pt idx="2">
                  <c:v>New Joiner Connect (30 Days)</c:v>
                </c:pt>
                <c:pt idx="3">
                  <c:v>New Joiner Connect (90 Days)</c:v>
                </c:pt>
                <c:pt idx="4">
                  <c:v>New Joiner Connect (7 Days)</c:v>
                </c:pt>
                <c:pt idx="5">
                  <c:v>Cadence Connect</c:v>
                </c:pt>
                <c:pt idx="6">
                  <c:v>Skip Meeting</c:v>
                </c:pt>
                <c:pt idx="7">
                  <c:v>Josh (Fun Engagements)</c:v>
                </c:pt>
                <c:pt idx="8">
                  <c:v>ELTP Connect (12-24m)</c:v>
                </c:pt>
                <c:pt idx="9">
                  <c:v>Top Talent FGD Connect</c:v>
                </c:pt>
                <c:pt idx="10">
                  <c:v>Leadership Connect</c:v>
                </c:pt>
                <c:pt idx="11">
                  <c:v>Top Talent Connect</c:v>
                </c:pt>
                <c:pt idx="12">
                  <c:v>ELTP Connect (&lt;6m)</c:v>
                </c:pt>
                <c:pt idx="13">
                  <c:v>ELTP Connect (Practice Level)</c:v>
                </c:pt>
                <c:pt idx="14">
                  <c:v>Exclusive Award Ceremony</c:v>
                </c:pt>
              </c:strCache>
            </c:strRef>
          </c:cat>
          <c:val>
            <c:numRef>
              <c:f>Calc!$AB$3:$AB$17</c:f>
              <c:numCache>
                <c:formatCode>General</c:formatCode>
                <c:ptCount val="15"/>
                <c:pt idx="0">
                  <c:v>30</c:v>
                </c:pt>
                <c:pt idx="1">
                  <c:v>22</c:v>
                </c:pt>
                <c:pt idx="2">
                  <c:v>19</c:v>
                </c:pt>
                <c:pt idx="3">
                  <c:v>16</c:v>
                </c:pt>
                <c:pt idx="4">
                  <c:v>16</c:v>
                </c:pt>
                <c:pt idx="5">
                  <c:v>12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7</c:v>
                </c:pt>
                <c:pt idx="10">
                  <c:v>7</c:v>
                </c:pt>
                <c:pt idx="11">
                  <c:v>6</c:v>
                </c:pt>
                <c:pt idx="12">
                  <c:v>6</c:v>
                </c:pt>
                <c:pt idx="13">
                  <c:v>5</c:v>
                </c:pt>
                <c:pt idx="14">
                  <c:v>5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Sentiment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Calc!$B$23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7ae60"/>
              </a:solidFill>
              <a:ln w="0">
                <a:noFill/>
              </a:ln>
            </c:spPr>
          </c:dPt>
          <c:dPt>
            <c:idx val="1"/>
            <c:spPr>
              <a:solidFill>
                <a:srgbClr val="31859c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5a623"/>
              </a:solidFill>
              <a:ln w="0">
                <a:noFill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0"/>
              <c:showSerName val="1"/>
              <c:showPercent val="1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0"/>
              <c:showSerName val="1"/>
              <c:showPercent val="1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0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1"/>
            <c:showVal val="1"/>
            <c:showCatName val="0"/>
            <c:showSerName val="1"/>
            <c:showPercent val="1"/>
            <c:separator>; </c:separator>
            <c:showLeaderLines val="1"/>
          </c:dLbls>
          <c:cat>
            <c:strRef>
              <c:f>Calc!$A$24:$A$26</c:f>
              <c:strCache>
                <c:ptCount val="3"/>
                <c:pt idx="0">
                  <c:v>Positive</c:v>
                </c:pt>
                <c:pt idx="1">
                  <c:v>Neutral</c:v>
                </c:pt>
                <c:pt idx="2">
                  <c:v>Mixed</c:v>
                </c:pt>
              </c:strCache>
            </c:strRef>
          </c:cat>
          <c:val>
            <c:numRef>
              <c:f>Calc!$B$24:$B$26</c:f>
              <c:numCache>
                <c:formatCode>General</c:formatCode>
                <c:ptCount val="3"/>
                <c:pt idx="0">
                  <c:v>193</c:v>
                </c:pt>
                <c:pt idx="1">
                  <c:v>77</c:v>
                </c:pt>
                <c:pt idx="2">
                  <c:v>26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Severity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Calc!$B$29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e31837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f5a623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27ae60"/>
              </a:solidFill>
              <a:ln w="0">
                <a:noFill/>
              </a:ln>
            </c:spPr>
          </c:dPt>
          <c:dLbls>
            <c:numFmt formatCode="0%" sourceLinked="1"/>
            <c:dLbl>
              <c:idx val="0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Calc!$A$30:$A$32</c:f>
              <c:strCache>
                <c:ptCount val="3"/>
                <c:pt idx="0">
                  <c:v>High</c:v>
                </c:pt>
                <c:pt idx="1">
                  <c:v>Moderate</c:v>
                </c:pt>
                <c:pt idx="2">
                  <c:v>Low</c:v>
                </c:pt>
              </c:strCache>
            </c:strRef>
          </c:cat>
          <c:val>
            <c:numRef>
              <c:f>Calc!$B$30:$B$32</c:f>
              <c:numCache>
                <c:formatCode>0%</c:formatCode>
                <c:ptCount val="3"/>
                <c:pt idx="0">
                  <c:v>0.21</c:v>
                </c:pt>
                <c:pt idx="1">
                  <c:v>0.42</c:v>
                </c:pt>
                <c:pt idx="2">
                  <c:v>0.37</c:v>
                </c:pt>
              </c:numCache>
            </c:numRef>
          </c:val>
        </c:ser>
        <c:gapWidth val="150"/>
        <c:overlap val="0"/>
        <c:axId val="57248486"/>
        <c:axId val="97900054"/>
      </c:barChart>
      <c:catAx>
        <c:axId val="5724848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900054"/>
        <c:crosses val="autoZero"/>
        <c:auto val="1"/>
        <c:lblAlgn val="ctr"/>
        <c:lblOffset val="100"/>
        <c:noMultiLvlLbl val="0"/>
      </c:catAx>
      <c:valAx>
        <c:axId val="979000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2484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743872190888683"/>
          <c:y val="0.411782721756718"/>
          <c:w val="0.23194942211434"/>
          <c:h val="0.221181739381682"/>
        </c:manualLayout>
      </c:layout>
      <c:overlay val="0"/>
      <c:spPr>
        <a:solidFill>
          <a:srgbClr val="ffffff"/>
        </a:solidFill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CARES Levers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Calc!$B$41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e31837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2980b9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27ae60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f5a623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4a4a6a"/>
              </a:solidFill>
              <a:ln w="0">
                <a:noFill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Calc!$A$42:$A$46</c:f>
              <c:strCache>
                <c:ptCount val="5"/>
                <c:pt idx="0">
                  <c:v>Alignment</c:v>
                </c:pt>
                <c:pt idx="1">
                  <c:v>Career</c:v>
                </c:pt>
                <c:pt idx="2">
                  <c:v>Empowerment</c:v>
                </c:pt>
                <c:pt idx="3">
                  <c:v>Recognition</c:v>
                </c:pt>
                <c:pt idx="4">
                  <c:v>Strive</c:v>
                </c:pt>
              </c:strCache>
            </c:strRef>
          </c:cat>
          <c:val>
            <c:numRef>
              <c:f>Calc!$B$42:$B$46</c:f>
              <c:numCache>
                <c:formatCode>General</c:formatCode>
                <c:ptCount val="5"/>
                <c:pt idx="0">
                  <c:v>173</c:v>
                </c:pt>
                <c:pt idx="1">
                  <c:v>40</c:v>
                </c:pt>
                <c:pt idx="2">
                  <c:v>58</c:v>
                </c:pt>
                <c:pt idx="3">
                  <c:v>14</c:v>
                </c:pt>
                <c:pt idx="4">
                  <c:v>15</c:v>
                </c:pt>
              </c:numCache>
            </c:numRef>
          </c:val>
        </c:ser>
        <c:gapWidth val="150"/>
        <c:overlap val="0"/>
        <c:axId val="44060322"/>
        <c:axId val="10574635"/>
      </c:barChart>
      <c:catAx>
        <c:axId val="4406032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574635"/>
        <c:crosses val="autoZero"/>
        <c:auto val="1"/>
        <c:lblAlgn val="ctr"/>
        <c:lblOffset val="100"/>
        <c:noMultiLvlLbl val="0"/>
      </c:catAx>
      <c:valAx>
        <c:axId val="105746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0603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6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600" spc="-1" strike="noStrike">
                <a:solidFill>
                  <a:srgbClr val="000000"/>
                </a:solidFill>
                <a:latin typeface="Calibri"/>
              </a:rPr>
              <a:t>Engagement Mode</a:t>
            </a:r>
          </a:p>
        </c:rich>
      </c:tx>
      <c:layout>
        <c:manualLayout>
          <c:xMode val="edge"/>
          <c:yMode val="edge"/>
          <c:x val="0.219292097424216"/>
          <c:y val="0.012612402195492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0751708428246"/>
          <c:y val="0.170384211140955"/>
          <c:w val="0.577361135447696"/>
          <c:h val="0.549456966016583"/>
        </c:manualLayout>
      </c:layout>
      <c:doughnutChart>
        <c:varyColors val="1"/>
        <c:ser>
          <c:idx val="0"/>
          <c:order val="0"/>
          <c:tx>
            <c:strRef>
              <c:f>Calc!$B$49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e31837"/>
              </a:solidFill>
              <a:ln w="0">
                <a:noFill/>
              </a:ln>
            </c:spPr>
          </c:dPt>
          <c:dPt>
            <c:idx val="1"/>
            <c:spPr>
              <a:solidFill>
                <a:srgbClr val="77933c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5a623"/>
              </a:solidFill>
              <a:ln w="0">
                <a:noFill/>
              </a:ln>
            </c:spPr>
          </c:dPt>
          <c:dPt>
            <c:idx val="3"/>
            <c:spPr>
              <a:solidFill>
                <a:srgbClr val="2980b9"/>
              </a:solidFill>
              <a:ln w="0">
                <a:noFill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numFmt formatCode="General" sourceLinked="1"/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1" sz="8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Calc!$A$50:$A$53</c:f>
              <c:strCache>
                <c:ptCount val="4"/>
                <c:pt idx="0">
                  <c:v>Virtual</c:v>
                </c:pt>
                <c:pt idx="1">
                  <c:v>In-person (Tech/Office)</c:v>
                </c:pt>
                <c:pt idx="2">
                  <c:v>Virtual + In-person</c:v>
                </c:pt>
                <c:pt idx="3">
                  <c:v>In-person (Client)</c:v>
                </c:pt>
              </c:strCache>
            </c:strRef>
          </c:cat>
          <c:val>
            <c:numRef>
              <c:f>Calc!$B$50:$B$53</c:f>
              <c:numCache>
                <c:formatCode>General</c:formatCode>
                <c:ptCount val="4"/>
                <c:pt idx="0">
                  <c:v>206</c:v>
                </c:pt>
                <c:pt idx="1">
                  <c:v>67</c:v>
                </c:pt>
                <c:pt idx="2">
                  <c:v>20</c:v>
                </c:pt>
                <c:pt idx="3">
                  <c:v>7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626297289297667"/>
          <c:y val="0.563175124650522"/>
          <c:w val="0.343116977051573"/>
          <c:h val="0.417211644557273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05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050" spc="-1" strike="noStrike">
                <a:solidFill>
                  <a:srgbClr val="000000"/>
                </a:solidFill>
                <a:latin typeface="Calibri"/>
              </a:rPr>
              <a:t>Coverage by Connect Type</a:t>
            </a:r>
          </a:p>
        </c:rich>
      </c:tx>
      <c:layout>
        <c:manualLayout>
          <c:xMode val="edge"/>
          <c:yMode val="edge"/>
          <c:x val="0.565658301821932"/>
          <c:y val="0.0680103870409299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38484015125473"/>
          <c:y val="0.065042661060962"/>
          <c:w val="0.580096253007907"/>
          <c:h val="0.89180165698033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Calc!$X$2</c:f>
              <c:strCache>
                <c:ptCount val="1"/>
                <c:pt idx="0">
                  <c:v>Sessions Covered</c:v>
                </c:pt>
              </c:strCache>
            </c:strRef>
          </c:tx>
          <c:spPr>
            <a:solidFill>
              <a:srgbClr val="e31837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Calc!$W$3:$W$10</c:f>
              <c:strCache>
                <c:ptCount val="8"/>
                <c:pt idx="0">
                  <c:v>HR Connect (General)</c:v>
                </c:pt>
                <c:pt idx="1">
                  <c:v>HR Connect (Project-Wise)</c:v>
                </c:pt>
                <c:pt idx="2">
                  <c:v>New Joinee Connect (7 Days)</c:v>
                </c:pt>
                <c:pt idx="3">
                  <c:v>New Joiner Connect (30 Days)</c:v>
                </c:pt>
                <c:pt idx="4">
                  <c:v>New Joiner Connect (60 Days)</c:v>
                </c:pt>
                <c:pt idx="5">
                  <c:v>New Joiner Connect (90 Days)</c:v>
                </c:pt>
                <c:pt idx="6">
                  <c:v>SL Induction</c:v>
                </c:pt>
                <c:pt idx="7">
                  <c:v>Townhall</c:v>
                </c:pt>
              </c:strCache>
            </c:strRef>
          </c:cat>
          <c:val>
            <c:numRef>
              <c:f>Calc!$X$3:$X$10</c:f>
              <c:numCache>
                <c:formatCode>General</c:formatCode>
                <c:ptCount val="8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22</c:v>
                </c:pt>
                <c:pt idx="5">
                  <c:v>16</c:v>
                </c:pt>
                <c:pt idx="6">
                  <c:v>21</c:v>
                </c:pt>
                <c:pt idx="7">
                  <c:v>18</c:v>
                </c:pt>
              </c:numCache>
            </c:numRef>
          </c:val>
        </c:ser>
        <c:gapWidth val="150"/>
        <c:overlap val="0"/>
        <c:axId val="2781838"/>
        <c:axId val="52010798"/>
      </c:barChart>
      <c:catAx>
        <c:axId val="278183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010798"/>
        <c:crosses val="autoZero"/>
        <c:auto val="1"/>
        <c:lblAlgn val="ctr"/>
        <c:lblOffset val="100"/>
        <c:noMultiLvlLbl val="0"/>
      </c:catAx>
      <c:valAx>
        <c:axId val="5201079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818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Action Items: Status × Severity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Dashboard!$D$107</c:f>
              <c:strCache>
                <c:ptCount val="1"/>
                <c:pt idx="0">
                  <c:v>🔴 High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Dashboard!$C$108:$C$110</c:f>
              <c:strCache>
                <c:ptCount val="3"/>
                <c:pt idx="0">
                  <c:v>Open</c:v>
                </c:pt>
                <c:pt idx="1">
                  <c:v>In-progress</c:v>
                </c:pt>
                <c:pt idx="2">
                  <c:v>Closed</c:v>
                </c:pt>
              </c:strCache>
            </c:strRef>
          </c:cat>
          <c:val>
            <c:numRef>
              <c:f>Dashboard!$D$108:$D$110</c:f>
              <c:numCache>
                <c:formatCode>General</c:formatCode>
                <c:ptCount val="3"/>
                <c:pt idx="0">
                  <c:v>4</c:v>
                </c:pt>
                <c:pt idx="1">
                  <c:v>15</c:v>
                </c:pt>
                <c:pt idx="2">
                  <c:v>44</c:v>
                </c:pt>
              </c:numCache>
            </c:numRef>
          </c:val>
        </c:ser>
        <c:ser>
          <c:idx val="1"/>
          <c:order val="1"/>
          <c:tx>
            <c:strRef>
              <c:f>Dashboard!$E$107</c:f>
              <c:strCache>
                <c:ptCount val="1"/>
                <c:pt idx="0">
                  <c:v>🟡 Moderate</c:v>
                </c:pt>
              </c:strCache>
            </c:strRef>
          </c:tx>
          <c:spPr>
            <a:solidFill>
              <a:srgbClr val="ff9900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Dashboard!$C$108:$C$110</c:f>
              <c:strCache>
                <c:ptCount val="3"/>
                <c:pt idx="0">
                  <c:v>Open</c:v>
                </c:pt>
                <c:pt idx="1">
                  <c:v>In-progress</c:v>
                </c:pt>
                <c:pt idx="2">
                  <c:v>Closed</c:v>
                </c:pt>
              </c:strCache>
            </c:strRef>
          </c:cat>
          <c:val>
            <c:numRef>
              <c:f>Dashboard!$E$108:$E$110</c:f>
              <c:numCache>
                <c:formatCode>General</c:formatCode>
                <c:ptCount val="3"/>
                <c:pt idx="0">
                  <c:v>17</c:v>
                </c:pt>
                <c:pt idx="1">
                  <c:v>23</c:v>
                </c:pt>
                <c:pt idx="2">
                  <c:v>86</c:v>
                </c:pt>
              </c:numCache>
            </c:numRef>
          </c:val>
        </c:ser>
        <c:ser>
          <c:idx val="2"/>
          <c:order val="2"/>
          <c:tx>
            <c:strRef>
              <c:f>Dashboard!$F$107</c:f>
              <c:strCache>
                <c:ptCount val="1"/>
                <c:pt idx="0">
                  <c:v>🟢 Low</c:v>
                </c:pt>
              </c:strCache>
            </c:strRef>
          </c:tx>
          <c:spPr>
            <a:solidFill>
              <a:srgbClr val="375623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Dashboard!$C$108:$C$110</c:f>
              <c:strCache>
                <c:ptCount val="3"/>
                <c:pt idx="0">
                  <c:v>Open</c:v>
                </c:pt>
                <c:pt idx="1">
                  <c:v>In-progress</c:v>
                </c:pt>
                <c:pt idx="2">
                  <c:v>Closed</c:v>
                </c:pt>
              </c:strCache>
            </c:strRef>
          </c:cat>
          <c:val>
            <c:numRef>
              <c:f>Dashboard!$F$108:$F$110</c:f>
              <c:numCache>
                <c:formatCode>General</c:formatCode>
                <c:ptCount val="3"/>
                <c:pt idx="0">
                  <c:v>8</c:v>
                </c:pt>
                <c:pt idx="1">
                  <c:v>19</c:v>
                </c:pt>
                <c:pt idx="2">
                  <c:v>84</c:v>
                </c:pt>
              </c:numCache>
            </c:numRef>
          </c:val>
        </c:ser>
        <c:gapWidth val="150"/>
        <c:overlap val="0"/>
        <c:axId val="54094494"/>
        <c:axId val="44468095"/>
      </c:barChart>
      <c:catAx>
        <c:axId val="540944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US" sz="1000" spc="-1" strike="noStrike">
                    <a:solidFill>
                      <a:srgbClr val="000000"/>
                    </a:solidFill>
                    <a:latin typeface="Calibri"/>
                  </a:rPr>
                  <a:t>Status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468095"/>
        <c:crosses val="autoZero"/>
        <c:auto val="1"/>
        <c:lblAlgn val="ctr"/>
        <c:lblOffset val="100"/>
        <c:noMultiLvlLbl val="0"/>
      </c:catAx>
      <c:valAx>
        <c:axId val="4446809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US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0944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CARES Lever: Sessions by Severity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1577698695136"/>
          <c:y val="0.158602690222847"/>
          <c:w val="0.67628838803216"/>
          <c:h val="0.66532824733989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Dashboard!$E$148</c:f>
              <c:strCache>
                <c:ptCount val="1"/>
                <c:pt idx="0">
                  <c:v>High Sev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Dashboard!$C$149:$C$153</c:f>
              <c:strCache>
                <c:ptCount val="5"/>
                <c:pt idx="0">
                  <c:v>Alignment</c:v>
                </c:pt>
                <c:pt idx="1">
                  <c:v>Career</c:v>
                </c:pt>
                <c:pt idx="2">
                  <c:v>Empowerment</c:v>
                </c:pt>
                <c:pt idx="3">
                  <c:v>Recognition</c:v>
                </c:pt>
                <c:pt idx="4">
                  <c:v>Strive</c:v>
                </c:pt>
              </c:strCache>
            </c:strRef>
          </c:cat>
          <c:val>
            <c:numRef>
              <c:f>Dashboard!$E$149:$E$153</c:f>
              <c:numCache>
                <c:formatCode>General</c:formatCode>
                <c:ptCount val="5"/>
                <c:pt idx="0">
                  <c:v>38</c:v>
                </c:pt>
                <c:pt idx="1">
                  <c:v>7</c:v>
                </c:pt>
                <c:pt idx="2">
                  <c:v>10</c:v>
                </c:pt>
                <c:pt idx="3">
                  <c:v>3</c:v>
                </c:pt>
                <c:pt idx="4">
                  <c:v>5</c:v>
                </c:pt>
              </c:numCache>
            </c:numRef>
          </c:val>
        </c:ser>
        <c:ser>
          <c:idx val="1"/>
          <c:order val="1"/>
          <c:tx>
            <c:strRef>
              <c:f>Dashboard!$F$148</c:f>
              <c:strCache>
                <c:ptCount val="1"/>
                <c:pt idx="0">
                  <c:v>Mod Sev</c:v>
                </c:pt>
              </c:strCache>
            </c:strRef>
          </c:tx>
          <c:spPr>
            <a:solidFill>
              <a:srgbClr val="ff9900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Dashboard!$C$149:$C$153</c:f>
              <c:strCache>
                <c:ptCount val="5"/>
                <c:pt idx="0">
                  <c:v>Alignment</c:v>
                </c:pt>
                <c:pt idx="1">
                  <c:v>Career</c:v>
                </c:pt>
                <c:pt idx="2">
                  <c:v>Empowerment</c:v>
                </c:pt>
                <c:pt idx="3">
                  <c:v>Recognition</c:v>
                </c:pt>
                <c:pt idx="4">
                  <c:v>Strive</c:v>
                </c:pt>
              </c:strCache>
            </c:strRef>
          </c:cat>
          <c:val>
            <c:numRef>
              <c:f>Dashboard!$F$149:$F$153</c:f>
              <c:numCache>
                <c:formatCode>General</c:formatCode>
                <c:ptCount val="5"/>
                <c:pt idx="0">
                  <c:v>73</c:v>
                </c:pt>
                <c:pt idx="1">
                  <c:v>17</c:v>
                </c:pt>
                <c:pt idx="2">
                  <c:v>25</c:v>
                </c:pt>
                <c:pt idx="3">
                  <c:v>6</c:v>
                </c:pt>
                <c:pt idx="4">
                  <c:v>5</c:v>
                </c:pt>
              </c:numCache>
            </c:numRef>
          </c:val>
        </c:ser>
        <c:ser>
          <c:idx val="2"/>
          <c:order val="2"/>
          <c:tx>
            <c:strRef>
              <c:f>Dashboard!$G$148</c:f>
              <c:strCache>
                <c:ptCount val="1"/>
                <c:pt idx="0">
                  <c:v>Low Sev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Dashboard!$C$149:$C$153</c:f>
              <c:strCache>
                <c:ptCount val="5"/>
                <c:pt idx="0">
                  <c:v>Alignment</c:v>
                </c:pt>
                <c:pt idx="1">
                  <c:v>Career</c:v>
                </c:pt>
                <c:pt idx="2">
                  <c:v>Empowerment</c:v>
                </c:pt>
                <c:pt idx="3">
                  <c:v>Recognition</c:v>
                </c:pt>
                <c:pt idx="4">
                  <c:v>Strive</c:v>
                </c:pt>
              </c:strCache>
            </c:strRef>
          </c:cat>
          <c:val>
            <c:numRef>
              <c:f>Dashboard!$G$149:$G$153</c:f>
              <c:numCache>
                <c:formatCode>General</c:formatCode>
                <c:ptCount val="5"/>
                <c:pt idx="0">
                  <c:v>62</c:v>
                </c:pt>
                <c:pt idx="1">
                  <c:v>16</c:v>
                </c:pt>
                <c:pt idx="2">
                  <c:v>23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</c:ser>
        <c:gapWidth val="150"/>
        <c:overlap val="100"/>
        <c:axId val="81968770"/>
        <c:axId val="68690323"/>
      </c:barChart>
      <c:catAx>
        <c:axId val="819687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690323"/>
        <c:crosses val="autoZero"/>
        <c:auto val="1"/>
        <c:lblAlgn val="ctr"/>
        <c:lblOffset val="100"/>
        <c:noMultiLvlLbl val="0"/>
      </c:catAx>
      <c:valAx>
        <c:axId val="6869032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US" sz="1000" spc="-1" strike="noStrike">
                    <a:solidFill>
                      <a:srgbClr val="000000"/>
                    </a:solidFill>
                    <a:latin typeface="Calibri"/>
                  </a:rPr>
                  <a:t>Sessions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9687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Top Organizational Concerns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Calc!$AE$2</c:f>
              <c:strCache>
                <c:ptCount val="1"/>
                <c:pt idx="0">
                  <c:v>Mentions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Calc!$AD$3:$AD$12</c:f>
              <c:strCache>
                <c:ptCount val="10"/>
                <c:pt idx="0">
                  <c:v>Feedback on recent processes</c:v>
                </c:pt>
                <c:pt idx="1">
                  <c:v>Clarity on expectations</c:v>
                </c:pt>
                <c:pt idx="2">
                  <c:v>General wellbeing check-in</c:v>
                </c:pt>
                <c:pt idx="3">
                  <c:v>Team Integration</c:v>
                </c:pt>
                <c:pt idx="4">
                  <c:v>Workload &amp; Work-Life Balance</c:v>
                </c:pt>
                <c:pt idx="5">
                  <c:v>Discussion on team dynamics</c:v>
                </c:pt>
                <c:pt idx="6">
                  <c:v>Business &amp; Strategy Clarity</c:v>
                </c:pt>
                <c:pt idx="7">
                  <c:v>HR / WFM / Training Communication Effectiveness</c:v>
                </c:pt>
                <c:pt idx="8">
                  <c:v>Manager Support &amp; Local Leadership Effectiveness</c:v>
                </c:pt>
                <c:pt idx="9">
                  <c:v>Queries related to BGV check</c:v>
                </c:pt>
              </c:strCache>
            </c:strRef>
          </c:cat>
          <c:val>
            <c:numRef>
              <c:f>Calc!$AE$3:$AE$12</c:f>
              <c:numCache>
                <c:formatCode>General</c:formatCode>
                <c:ptCount val="10"/>
                <c:pt idx="0">
                  <c:v>24</c:v>
                </c:pt>
                <c:pt idx="1">
                  <c:v>19</c:v>
                </c:pt>
                <c:pt idx="2">
                  <c:v>16</c:v>
                </c:pt>
                <c:pt idx="3">
                  <c:v>13</c:v>
                </c:pt>
                <c:pt idx="4">
                  <c:v>12</c:v>
                </c:pt>
                <c:pt idx="5">
                  <c:v>12</c:v>
                </c:pt>
                <c:pt idx="6">
                  <c:v>11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</c:numCache>
            </c:numRef>
          </c:val>
        </c:ser>
        <c:gapWidth val="150"/>
        <c:overlap val="0"/>
        <c:axId val="15416759"/>
        <c:axId val="98185300"/>
      </c:barChart>
      <c:catAx>
        <c:axId val="1541675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185300"/>
        <c:crosses val="autoZero"/>
        <c:auto val="1"/>
        <c:lblAlgn val="ctr"/>
        <c:lblOffset val="100"/>
        <c:noMultiLvlLbl val="0"/>
      </c:catAx>
      <c:valAx>
        <c:axId val="9818530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41675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5" Type="http://schemas.openxmlformats.org/officeDocument/2006/relationships/chart" Target="../charts/chart6.xml"/><Relationship Id="rId6" Type="http://schemas.openxmlformats.org/officeDocument/2006/relationships/chart" Target="../charts/chart7.xml"/><Relationship Id="rId7" Type="http://schemas.openxmlformats.org/officeDocument/2006/relationships/chart" Target="../charts/chart8.xml"/><Relationship Id="rId8" Type="http://schemas.openxmlformats.org/officeDocument/2006/relationships/chart" Target="../charts/chart9.xml"/><Relationship Id="rId9" Type="http://schemas.openxmlformats.org/officeDocument/2006/relationships/chart" Target="../charts/chart10.xml"/><Relationship Id="rId10" Type="http://schemas.openxmlformats.org/officeDocument/2006/relationships/chart" Target="../charts/chart1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149</xdr:row>
      <xdr:rowOff>162000</xdr:rowOff>
    </xdr:from>
    <xdr:to>
      <xdr:col>7</xdr:col>
      <xdr:colOff>1404720</xdr:colOff>
      <xdr:row>166</xdr:row>
      <xdr:rowOff>185400</xdr:rowOff>
    </xdr:to>
    <xdr:graphicFrame>
      <xdr:nvGraphicFramePr>
        <xdr:cNvPr id="0" name="Chart 1"/>
        <xdr:cNvGraphicFramePr/>
      </xdr:nvGraphicFramePr>
      <xdr:xfrm>
        <a:off x="7924320" y="31794480"/>
        <a:ext cx="6227280" cy="3481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155</xdr:row>
      <xdr:rowOff>0</xdr:rowOff>
    </xdr:from>
    <xdr:to>
      <xdr:col>17</xdr:col>
      <xdr:colOff>304200</xdr:colOff>
      <xdr:row>172</xdr:row>
      <xdr:rowOff>186840</xdr:rowOff>
    </xdr:to>
    <xdr:graphicFrame>
      <xdr:nvGraphicFramePr>
        <xdr:cNvPr id="1" name="Chart 1"/>
        <xdr:cNvGraphicFramePr/>
      </xdr:nvGraphicFramePr>
      <xdr:xfrm>
        <a:off x="181080" y="34575840"/>
        <a:ext cx="9204120" cy="5092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70</xdr:row>
      <xdr:rowOff>0</xdr:rowOff>
    </xdr:from>
    <xdr:to>
      <xdr:col>15</xdr:col>
      <xdr:colOff>304560</xdr:colOff>
      <xdr:row>88</xdr:row>
      <xdr:rowOff>187200</xdr:rowOff>
    </xdr:to>
    <xdr:graphicFrame>
      <xdr:nvGraphicFramePr>
        <xdr:cNvPr id="2" name="Chart 2"/>
        <xdr:cNvGraphicFramePr/>
      </xdr:nvGraphicFramePr>
      <xdr:xfrm>
        <a:off x="181080" y="13296960"/>
        <a:ext cx="8197560" cy="4206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360</xdr:colOff>
      <xdr:row>15</xdr:row>
      <xdr:rowOff>0</xdr:rowOff>
    </xdr:from>
    <xdr:to>
      <xdr:col>5</xdr:col>
      <xdr:colOff>254160</xdr:colOff>
      <xdr:row>33</xdr:row>
      <xdr:rowOff>62280</xdr:rowOff>
    </xdr:to>
    <xdr:graphicFrame>
      <xdr:nvGraphicFramePr>
        <xdr:cNvPr id="3" name="Chart 3"/>
        <xdr:cNvGraphicFramePr/>
      </xdr:nvGraphicFramePr>
      <xdr:xfrm>
        <a:off x="181440" y="2905200"/>
        <a:ext cx="3646440" cy="314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418680</xdr:colOff>
      <xdr:row>15</xdr:row>
      <xdr:rowOff>0</xdr:rowOff>
    </xdr:from>
    <xdr:to>
      <xdr:col>13</xdr:col>
      <xdr:colOff>112320</xdr:colOff>
      <xdr:row>33</xdr:row>
      <xdr:rowOff>28440</xdr:rowOff>
    </xdr:to>
    <xdr:graphicFrame>
      <xdr:nvGraphicFramePr>
        <xdr:cNvPr id="4" name="Chart 4"/>
        <xdr:cNvGraphicFramePr/>
      </xdr:nvGraphicFramePr>
      <xdr:xfrm>
        <a:off x="3992400" y="2905200"/>
        <a:ext cx="3348000" cy="3114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13</xdr:col>
      <xdr:colOff>204480</xdr:colOff>
      <xdr:row>15</xdr:row>
      <xdr:rowOff>33480</xdr:rowOff>
    </xdr:from>
    <xdr:to>
      <xdr:col>22</xdr:col>
      <xdr:colOff>236880</xdr:colOff>
      <xdr:row>33</xdr:row>
      <xdr:rowOff>50760</xdr:rowOff>
    </xdr:to>
    <xdr:graphicFrame>
      <xdr:nvGraphicFramePr>
        <xdr:cNvPr id="5" name="Chart 5"/>
        <xdr:cNvGraphicFramePr/>
      </xdr:nvGraphicFramePr>
      <xdr:xfrm>
        <a:off x="7432560" y="2938680"/>
        <a:ext cx="4372200" cy="310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3</xdr:col>
      <xdr:colOff>0</xdr:colOff>
      <xdr:row>35</xdr:row>
      <xdr:rowOff>0</xdr:rowOff>
    </xdr:from>
    <xdr:to>
      <xdr:col>10</xdr:col>
      <xdr:colOff>303840</xdr:colOff>
      <xdr:row>52</xdr:row>
      <xdr:rowOff>167760</xdr:rowOff>
    </xdr:to>
    <xdr:graphicFrame>
      <xdr:nvGraphicFramePr>
        <xdr:cNvPr id="6" name="Chart 6"/>
        <xdr:cNvGraphicFramePr/>
      </xdr:nvGraphicFramePr>
      <xdr:xfrm>
        <a:off x="2154600" y="6315120"/>
        <a:ext cx="4108680" cy="3082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12</xdr:col>
      <xdr:colOff>0</xdr:colOff>
      <xdr:row>35</xdr:row>
      <xdr:rowOff>0</xdr:rowOff>
    </xdr:from>
    <xdr:to>
      <xdr:col>20</xdr:col>
      <xdr:colOff>423360</xdr:colOff>
      <xdr:row>51</xdr:row>
      <xdr:rowOff>167760</xdr:rowOff>
    </xdr:to>
    <xdr:graphicFrame>
      <xdr:nvGraphicFramePr>
        <xdr:cNvPr id="7" name="Chart 7"/>
        <xdr:cNvGraphicFramePr/>
      </xdr:nvGraphicFramePr>
      <xdr:xfrm>
        <a:off x="6805440" y="6315120"/>
        <a:ext cx="4188600" cy="2910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8</xdr:col>
      <xdr:colOff>0</xdr:colOff>
      <xdr:row>105</xdr:row>
      <xdr:rowOff>62640</xdr:rowOff>
    </xdr:from>
    <xdr:to>
      <xdr:col>19</xdr:col>
      <xdr:colOff>466920</xdr:colOff>
      <xdr:row>118</xdr:row>
      <xdr:rowOff>69120</xdr:rowOff>
    </xdr:to>
    <xdr:graphicFrame>
      <xdr:nvGraphicFramePr>
        <xdr:cNvPr id="8" name="Chart 8"/>
        <xdr:cNvGraphicFramePr/>
      </xdr:nvGraphicFramePr>
      <xdr:xfrm>
        <a:off x="5113800" y="22598640"/>
        <a:ext cx="5380560" cy="2721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9</xdr:col>
      <xdr:colOff>146520</xdr:colOff>
      <xdr:row>146</xdr:row>
      <xdr:rowOff>115200</xdr:rowOff>
    </xdr:from>
    <xdr:to>
      <xdr:col>21</xdr:col>
      <xdr:colOff>151560</xdr:colOff>
      <xdr:row>152</xdr:row>
      <xdr:rowOff>212400</xdr:rowOff>
    </xdr:to>
    <xdr:graphicFrame>
      <xdr:nvGraphicFramePr>
        <xdr:cNvPr id="9" name="Chart 9"/>
        <xdr:cNvGraphicFramePr/>
      </xdr:nvGraphicFramePr>
      <xdr:xfrm>
        <a:off x="5682960" y="32252400"/>
        <a:ext cx="5462280" cy="179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2</xdr:col>
      <xdr:colOff>19080</xdr:colOff>
      <xdr:row>134</xdr:row>
      <xdr:rowOff>200160</xdr:rowOff>
    </xdr:from>
    <xdr:to>
      <xdr:col>18</xdr:col>
      <xdr:colOff>75960</xdr:colOff>
      <xdr:row>143</xdr:row>
      <xdr:rowOff>275760</xdr:rowOff>
    </xdr:to>
    <xdr:graphicFrame>
      <xdr:nvGraphicFramePr>
        <xdr:cNvPr id="10" name="Chart 10"/>
        <xdr:cNvGraphicFramePr/>
      </xdr:nvGraphicFramePr>
      <xdr:xfrm>
        <a:off x="200160" y="29022840"/>
        <a:ext cx="9379800" cy="2561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InsightData" displayName="InsightData" ref="A1:AL20001" headerRowCount="1" totalsRowCount="0" totalsRowShown="0">
  <autoFilter ref="A1:AL20001">
    <filterColumn colId="21">
      <filters>
        <filter val="High"/>
      </filters>
    </filterColumn>
    <filterColumn colId="22">
      <filters>
        <filter val="In-progress"/>
        <filter val="Open"/>
      </filters>
    </filterColumn>
  </autoFilter>
  <tableColumns count="38">
    <tableColumn id="1" name="ID"/>
    <tableColumn id="2" name="Start time"/>
    <tableColumn id="3" name="Completion time"/>
    <tableColumn id="4" name="Email"/>
    <tableColumn id="5" name="Name"/>
    <tableColumn id="6" name="BHR Name"/>
    <tableColumn id="7" name="BHR Employee ID"/>
    <tableColumn id="8" name="Date of Connect"/>
    <tableColumn id="9" name="Service Line"/>
    <tableColumn id="10" name="IBU/Practice/Location"/>
    <tableColumn id="11" name="Location Mentioned"/>
    <tableColumn id="12" name="Practice Code"/>
    <tableColumn id="13" name="Employee IBU Code"/>
    <tableColumn id="14" name="Project Description"/>
    <tableColumn id="15" name="Engagement Type"/>
    <tableColumn id="16" name="Band"/>
    <tableColumn id="17" name="Engagement Mode"/>
    <tableColumn id="18" name="CARES Framework"/>
    <tableColumn id="19" name="Overall Sentiment"/>
    <tableColumn id="20" name="Action Owner"/>
    <tableColumn id="21" name="Engagement related Queries"/>
    <tableColumn id="22" name="Severity"/>
    <tableColumn id="23" name="Status"/>
    <tableColumn id="24" name="Selected Connect"/>
    <tableColumn id="25" name="Matched Connect Name"/>
    <tableColumn id="26" name="Coverage"/>
    <tableColumn id="27" name="Coverage 2"/>
    <tableColumn id="28" name="Coverage 3"/>
    <tableColumn id="29" name="Coverage 4"/>
    <tableColumn id="30" name="Coverage 5"/>
    <tableColumn id="31" name="Coverage 6"/>
    <tableColumn id="32" name="Coverage 7"/>
    <tableColumn id="33" name="Action Plan"/>
    <tableColumn id="34" name="Action Plan 2"/>
    <tableColumn id="35" name="Action Plan 3"/>
    <tableColumn id="36" name="Action Plan 4"/>
    <tableColumn id="37" name="Description"/>
    <tableColumn id="38" name="Column1"/>
  </tableColumns>
</table>
</file>

<file path=xl/tables/table2.xml><?xml version="1.0" encoding="utf-8"?>
<table xmlns="http://schemas.openxmlformats.org/spreadsheetml/2006/main" id="2" name="RawData" displayName="RawData" ref="A1:CY5001" headerRowCount="1" totalsRowCount="0" totalsRowShown="0">
  <autoFilter ref="A1:CY5001"/>
  <tableColumns count="103">
    <tableColumn id="1" name="ID"/>
    <tableColumn id="2" name="Start time"/>
    <tableColumn id="3" name="Completion time"/>
    <tableColumn id="4" name="Email"/>
    <tableColumn id="5" name="Name"/>
    <tableColumn id="6" name="BHR Name"/>
    <tableColumn id="7" name="BHR Employee ID"/>
    <tableColumn id="8" name="Date of Connect"/>
    <tableColumn id="9" name="Engagement Type"/>
    <tableColumn id="10" name="IBU/Practice/Location"/>
    <tableColumn id="11" name="Mention your location {Ex. Noida}"/>
    <tableColumn id="12" name="PRACTICE CODE (As per head count report) {Ex. DEA-D-2007}"/>
    <tableColumn id="13" name="Band"/>
    <tableColumn id="14" name="Engagement Mode"/>
    <tableColumn id="15" name="Service Line"/>
    <tableColumn id="16" name="EMPLOYEE IBU CODE (As per head count report) {Ex. DEA-D-4031}"/>
    <tableColumn id="17" name="PROJECT DESCRIPTION (As per head count report) {If Mixed then list down all the Project name/Practice/ SL}"/>
    <tableColumn id="18" name="LSA Connect (In detail)"/>
    <tableColumn id="19" name="Exclusive Award Ceremony (Not part of Townhall) (In detail)"/>
    <tableColumn id="20" name="Cadence Connect"/>
    <tableColumn id="21" name="CARES Framework"/>
    <tableColumn id="22" name="Career"/>
    <tableColumn id="23" name="Alignment"/>
    <tableColumn id="24" name="Recognition"/>
    <tableColumn id="25" name="Empowerment"/>
    <tableColumn id="26" name="Strive"/>
    <tableColumn id="27" name="Townhall - Coverage"/>
    <tableColumn id="28" name="Townhall - Key Insight&#10;"/>
    <tableColumn id="29" name=" Townhall - Action Plan"/>
    <tableColumn id="30" name="SL Induction - Coverage"/>
    <tableColumn id="31" name="SL Induction - Key Insight"/>
    <tableColumn id="32" name="SL Induction - Action Plan"/>
    <tableColumn id="33" name="Business Wait Connect - Coverage"/>
    <tableColumn id="34" name="Business Wait Connect - Key Insight"/>
    <tableColumn id="35" name="Business Wait Connect - Action Plan"/>
    <tableColumn id="36" name="ELTP Connect (Practice Level) - Coverage"/>
    <tableColumn id="37" name="ELTP Connect (Practice Level) - Key Insight"/>
    <tableColumn id="38" name="ELTP Connect (Practice Level) - Action Plan&#10;"/>
    <tableColumn id="39" name="ELTP Connect (&lt;6m) - Coverage"/>
    <tableColumn id="40" name="ELTP Connect (&lt;6m) - Key Insight"/>
    <tableColumn id="41" name="ELTP Connect (&lt;6m) - Action Plan"/>
    <tableColumn id="42" name="ELTP Connect (6-12m) - Coverage"/>
    <tableColumn id="43" name="ELTP Connect (6-12m) - Key Insight"/>
    <tableColumn id="44" name="ELTP Connect (6-12m) - Action Plan"/>
    <tableColumn id="45" name="ELTP Connect (12-24m) - Coverage"/>
    <tableColumn id="46" name="ELTP Connect (12-24m) - Key Insight"/>
    <tableColumn id="47" name="ELTP Connect (12-24m) - Action Plan"/>
    <tableColumn id="48" name="HR Connect (Project Wise) - Coverage"/>
    <tableColumn id="49" name="HR Connect (Project Wise) - Key Insights "/>
    <tableColumn id="50" name="HR Connect (Project Wise) - Action Plan"/>
    <tableColumn id="51" name="HR Connect (General) - Coverage"/>
    <tableColumn id="52" name="HR Connect (General) - Key Insights"/>
    <tableColumn id="53" name="HR Connect (General) - Action Plan"/>
    <tableColumn id="54" name="Top Talent Connect - Coverage"/>
    <tableColumn id="55" name="Top Talent Connect - Key Insights"/>
    <tableColumn id="56" name="Top Talent Connect - Action Plan"/>
    <tableColumn id="57" name="Top Talent FGD Connect - Coverage"/>
    <tableColumn id="58" name="Top Talent FGD Connect - Key Insights"/>
    <tableColumn id="59" name="Top Talent FGD Connect - Action Plan"/>
    <tableColumn id="60" name="New Joiner Connect (7 Days) - Coverage"/>
    <tableColumn id="61" name="New Joiner Connect (7 Days) - Key Insights"/>
    <tableColumn id="62" name="New Joiner Connect (7 Days) - Action Plan"/>
    <tableColumn id="63" name="New Joiner Connect (30 Days) - Coverage"/>
    <tableColumn id="64" name="New Joiner Connect (30 Days) - Key Insights"/>
    <tableColumn id="65" name="New Joiner Connect (30 Days) - Action Plan"/>
    <tableColumn id="66" name="New Joiner Connect (60 Days) - Coverage"/>
    <tableColumn id="67" name="New Joiner Connect (60 Days) - Key Insights"/>
    <tableColumn id="68" name="New Joiner Connect (60 Days) - Action Plan"/>
    <tableColumn id="69" name="New Joiner Connect (90 Days) - Coverage"/>
    <tableColumn id="70" name="New Joiner Connect (90 Days) - Key Insights"/>
    <tableColumn id="71" name="New Joiner Connect (90 Days) - Action Plan"/>
    <tableColumn id="72" name="ML Returnee Connect - Coverage"/>
    <tableColumn id="73" name="ML Returnee Connect - Key Insights"/>
    <tableColumn id="74" name="ML Returnee Connect - Action Plan"/>
    <tableColumn id="75" name="Skip Meeting - Coverage"/>
    <tableColumn id="76" name="Skip Meeting - Key Insights"/>
    <tableColumn id="77" name="Skip Meeting - Action Plan"/>
    <tableColumn id="78" name="Women Associate Connect - Coverage"/>
    <tableColumn id="79" name="Women Associate Connect - Key Insights"/>
    <tableColumn id="80" name="Women Associate Connect - Action Plan"/>
    <tableColumn id="81" name="Band Specific FGD Connect - Coverage"/>
    <tableColumn id="82" name="Band Specific FGD Connect - Key Insights"/>
    <tableColumn id="83" name="Band Specific FGD Connect - Action Plan"/>
    <tableColumn id="84" name="Leadership Connect - Coverage"/>
    <tableColumn id="85" name="Leadership Connect - Key Insights"/>
    <tableColumn id="86" name="Leadership Connect - Action Plan"/>
    <tableColumn id="87" name="Josh (Fun Engagements) - Coverage"/>
    <tableColumn id="88" name="Josh (Fun Engagements) - Key Insights"/>
    <tableColumn id="89" name="Josh (Fun Engagements) - Action Plan"/>
    <tableColumn id="90" name="Wellness Session - Coverage"/>
    <tableColumn id="91" name="Wellness Session - Key Insights"/>
    <tableColumn id="92" name="Wellness Session - Action Plan"/>
    <tableColumn id="93" name="ISR Activity - Coverage"/>
    <tableColumn id="94" name="ISR Activity - Key Insights"/>
    <tableColumn id="95" name="ISR Activity - Action Plan"/>
    <tableColumn id="96" name="Overall Sentiment"/>
    <tableColumn id="97" name="Action Owner"/>
    <tableColumn id="98" name="Engagement related Queries"/>
    <tableColumn id="99" name="Severity"/>
    <tableColumn id="100" name="Status"/>
    <tableColumn id="101" name="IBU Level Connect (Points discussed if any)"/>
    <tableColumn id="102" name="SL Level Connect (Points discussed if any)"/>
    <tableColumn id="103" name="Practice Level Connect ( (Points discussed if any)"/>
  </tableColumns>
</table>
</file>

<file path=xl/tables/table3.xml><?xml version="1.0" encoding="utf-8"?>
<table xmlns="http://schemas.openxmlformats.org/spreadsheetml/2006/main" id="3" name="SummaryData" displayName="SummaryData" ref="A1:AA20001" headerRowCount="1" totalsRowCount="0" totalsRowShown="0">
  <tableColumns count="27">
    <tableColumn id="1" name="ID"/>
    <tableColumn id="2" name="Start time"/>
    <tableColumn id="3" name="Completion time"/>
    <tableColumn id="4" name="Email"/>
    <tableColumn id="5" name="Name"/>
    <tableColumn id="6" name="BHR Name"/>
    <tableColumn id="7" name="BHR Employee ID"/>
    <tableColumn id="8" name="Date of Connect"/>
    <tableColumn id="9" name="Service Line"/>
    <tableColumn id="10" name="IBU/Practice/Location"/>
    <tableColumn id="11" name="Location Mentioned"/>
    <tableColumn id="12" name="Practice Code"/>
    <tableColumn id="13" name="Employee IBU Code"/>
    <tableColumn id="14" name="Project Description"/>
    <tableColumn id="15" name="Engagement Type"/>
    <tableColumn id="16" name="Band"/>
    <tableColumn id="17" name="Engagement Mode"/>
    <tableColumn id="18" name="CARES Framework"/>
    <tableColumn id="19" name="Overall Sentiment"/>
    <tableColumn id="20" name="Action Owner"/>
    <tableColumn id="21" name="Engagement related Queries"/>
    <tableColumn id="22" name="Severity"/>
    <tableColumn id="23" name="Status"/>
    <tableColumn id="24" name="Engagement Cohort"/>
    <tableColumn id="25" name="Record Type"/>
    <tableColumn id="26" name="Statement Order"/>
    <tableColumn id="27" name="Statement"/>
  </tableColumns>
</table>
</file>

<file path=xl/tables/table4.xml><?xml version="1.0" encoding="utf-8"?>
<table xmlns="http://schemas.openxmlformats.org/spreadsheetml/2006/main" id="4" name="UnmatchedData" displayName="UnmatchedData" ref="A1:C20001" headerRowCount="1" totalsRowCount="0" totalsRowShown="0">
  <autoFilter ref="A1:C20001"/>
  <tableColumns count="3">
    <tableColumn id="1" name="ID"/>
    <tableColumn id="2" name="Selected Connect"/>
    <tableColumn id="3" name="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G13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CK176" activePane="bottomRight" state="frozen"/>
      <selection pane="topLeft" activeCell="A1" activeCellId="0" sqref="A1"/>
      <selection pane="topRight" activeCell="CK1" activeCellId="0" sqref="CK1"/>
      <selection pane="bottomLeft" activeCell="A176" activeCellId="0" sqref="A176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2" width="15.42"/>
    <col collapsed="false" customWidth="true" hidden="false" outlineLevel="0" max="4" min="4" style="1" width="8"/>
    <col collapsed="false" customWidth="true" hidden="false" outlineLevel="0" max="5" min="5" style="1" width="14.42"/>
    <col collapsed="false" customWidth="true" hidden="false" outlineLevel="0" max="6" min="6" style="1" width="17.42"/>
    <col collapsed="false" customWidth="true" hidden="false" outlineLevel="0" max="7" min="7" style="1" width="8"/>
    <col collapsed="false" customWidth="true" hidden="false" outlineLevel="0" max="8" min="8" style="2" width="15"/>
    <col collapsed="false" customWidth="true" hidden="false" outlineLevel="0" max="9" min="9" style="2" width="14.71"/>
    <col collapsed="false" customWidth="true" hidden="false" outlineLevel="0" max="10" min="10" style="1" width="10.85"/>
    <col collapsed="false" customWidth="true" hidden="false" outlineLevel="0" max="11" min="11" style="1" width="28.71"/>
    <col collapsed="false" customWidth="true" hidden="false" outlineLevel="0" max="15" min="12" style="1" width="22"/>
    <col collapsed="false" customWidth="true" hidden="false" outlineLevel="0" max="16" min="16" style="1" width="13.42"/>
    <col collapsed="false" customWidth="true" hidden="false" outlineLevel="0" max="17" min="17" style="1" width="8"/>
    <col collapsed="false" customWidth="true" hidden="false" outlineLevel="0" max="18" min="18" style="1" width="9.86"/>
    <col collapsed="false" customWidth="true" hidden="false" outlineLevel="0" max="19" min="19" style="1" width="20.71"/>
    <col collapsed="false" customWidth="true" hidden="false" outlineLevel="0" max="20" min="20" style="1" width="8"/>
    <col collapsed="false" customWidth="true" hidden="false" outlineLevel="0" max="22" min="21" style="1" width="20.71"/>
    <col collapsed="false" customWidth="true" hidden="false" outlineLevel="0" max="66" min="23" style="1" width="22"/>
    <col collapsed="false" customWidth="true" hidden="false" outlineLevel="0" max="67" min="67" style="1" width="20.71"/>
    <col collapsed="false" customWidth="true" hidden="false" outlineLevel="0" max="84" min="68" style="1" width="22"/>
    <col collapsed="false" customWidth="true" hidden="false" outlineLevel="0" max="85" min="85" style="1" width="20.71"/>
    <col collapsed="false" customWidth="true" hidden="false" outlineLevel="0" max="86" min="86" style="1" width="22"/>
    <col collapsed="false" customWidth="true" hidden="false" outlineLevel="0" max="87" min="87" style="1" width="15.29"/>
    <col collapsed="false" customWidth="true" hidden="false" outlineLevel="0" max="88" min="88" style="1" width="10.85"/>
    <col collapsed="false" customWidth="true" hidden="false" outlineLevel="0" max="90" min="90" style="1" width="11.29"/>
    <col collapsed="false" customWidth="true" hidden="false" outlineLevel="0" max="91" min="91" style="1" width="12.29"/>
    <col collapsed="false" customWidth="true" hidden="false" outlineLevel="0" max="92" min="92" style="1" width="9.42"/>
    <col collapsed="false" customWidth="true" hidden="false" outlineLevel="0" max="93" min="93" style="1" width="10.14"/>
    <col collapsed="false" customWidth="true" hidden="false" outlineLevel="0" max="94" min="94" style="1" width="9.71"/>
    <col collapsed="false" customWidth="true" hidden="false" outlineLevel="0" max="95" min="95" style="1" width="10.29"/>
    <col collapsed="false" customWidth="true" hidden="false" outlineLevel="0" max="96" min="96" style="1" width="10.42"/>
    <col collapsed="false" customWidth="true" hidden="false" outlineLevel="0" max="97" min="97" style="1" width="10.29"/>
    <col collapsed="false" customWidth="true" hidden="false" outlineLevel="0" max="98" min="98" style="1" width="10.85"/>
    <col collapsed="false" customWidth="true" hidden="false" outlineLevel="0" max="99" min="99" style="1" width="22"/>
    <col collapsed="false" customWidth="false" hidden="false" outlineLevel="0" max="100" min="100" style="1" width="8.71"/>
    <col collapsed="false" customWidth="true" hidden="false" outlineLevel="0" max="101" min="101" style="1" width="14.14"/>
    <col collapsed="false" customWidth="false" hidden="false" outlineLevel="0" max="111" min="102" style="3" width="8.71"/>
    <col collapsed="false" customWidth="false" hidden="false" outlineLevel="0" max="16384" min="112" style="4" width="8.71"/>
  </cols>
  <sheetData>
    <row r="1" s="4" customFormat="true" ht="39" hidden="false" customHeight="true" outlineLevel="0" collapsed="false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7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7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5" t="s">
        <v>97</v>
      </c>
      <c r="CU1" s="8" t="s">
        <v>98</v>
      </c>
      <c r="CV1" s="8" t="s">
        <v>99</v>
      </c>
      <c r="CW1" s="4" t="s">
        <v>100</v>
      </c>
      <c r="CX1" s="4" t="s">
        <v>101</v>
      </c>
      <c r="CY1" s="4" t="s">
        <v>102</v>
      </c>
    </row>
    <row r="2" customFormat="false" ht="11.25" hidden="false" customHeight="true" outlineLevel="0" collapsed="false">
      <c r="A2" s="9" t="n">
        <v>1</v>
      </c>
      <c r="B2" s="10" t="n">
        <v>46150.5064431482</v>
      </c>
      <c r="C2" s="10" t="n">
        <v>46150.5229825</v>
      </c>
      <c r="D2" s="9" t="s">
        <v>103</v>
      </c>
      <c r="E2" s="9" t="s">
        <v>104</v>
      </c>
      <c r="F2" s="9" t="s">
        <v>105</v>
      </c>
      <c r="G2" s="9" t="s">
        <v>106</v>
      </c>
      <c r="H2" s="10" t="n">
        <v>46142</v>
      </c>
      <c r="I2" s="10" t="s">
        <v>107</v>
      </c>
      <c r="J2" s="9" t="s">
        <v>108</v>
      </c>
      <c r="K2" s="9" t="s">
        <v>109</v>
      </c>
      <c r="L2" s="9" t="s">
        <v>110</v>
      </c>
      <c r="M2" s="9" t="s">
        <v>111</v>
      </c>
      <c r="N2" s="9" t="s">
        <v>112</v>
      </c>
      <c r="O2" s="9" t="s">
        <v>113</v>
      </c>
      <c r="P2" s="9" t="s">
        <v>114</v>
      </c>
      <c r="Q2" s="9" t="s">
        <v>115</v>
      </c>
      <c r="R2" s="9"/>
      <c r="S2" s="9"/>
      <c r="T2" s="9"/>
      <c r="U2" s="9" t="s">
        <v>22</v>
      </c>
      <c r="V2" s="9"/>
      <c r="W2" s="9" t="s">
        <v>116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 t="s">
        <v>117</v>
      </c>
      <c r="BU2" s="9" t="s">
        <v>118</v>
      </c>
      <c r="BV2" s="9" t="s">
        <v>119</v>
      </c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3"/>
      <c r="CN2" s="3"/>
      <c r="CO2" s="3"/>
      <c r="CP2" s="3"/>
      <c r="CQ2" s="3"/>
      <c r="CR2" s="3" t="s">
        <v>120</v>
      </c>
      <c r="CS2" s="3" t="s">
        <v>121</v>
      </c>
      <c r="CT2" s="9" t="s">
        <v>122</v>
      </c>
      <c r="CU2" s="3" t="s">
        <v>123</v>
      </c>
      <c r="CV2" s="3" t="s">
        <v>124</v>
      </c>
      <c r="CW2" s="3"/>
      <c r="DG2" s="4"/>
    </row>
    <row r="3" customFormat="false" ht="11.25" hidden="false" customHeight="true" outlineLevel="0" collapsed="false">
      <c r="A3" s="9" t="n">
        <v>2</v>
      </c>
      <c r="B3" s="10" t="n">
        <v>46110.8074344213</v>
      </c>
      <c r="C3" s="10" t="n">
        <v>46110.8279436806</v>
      </c>
      <c r="D3" s="9" t="s">
        <v>125</v>
      </c>
      <c r="E3" s="9" t="s">
        <v>126</v>
      </c>
      <c r="F3" s="9" t="s">
        <v>126</v>
      </c>
      <c r="G3" s="9" t="s">
        <v>127</v>
      </c>
      <c r="H3" s="10" t="n">
        <v>46093</v>
      </c>
      <c r="I3" s="10" t="s">
        <v>107</v>
      </c>
      <c r="J3" s="9" t="s">
        <v>128</v>
      </c>
      <c r="K3" s="9" t="s">
        <v>129</v>
      </c>
      <c r="L3" s="9" t="s">
        <v>130</v>
      </c>
      <c r="M3" s="9" t="s">
        <v>131</v>
      </c>
      <c r="N3" s="9" t="s">
        <v>112</v>
      </c>
      <c r="O3" s="9" t="s">
        <v>132</v>
      </c>
      <c r="P3" s="9" t="s">
        <v>133</v>
      </c>
      <c r="Q3" s="9" t="s">
        <v>134</v>
      </c>
      <c r="R3" s="9"/>
      <c r="S3" s="9"/>
      <c r="T3" s="9"/>
      <c r="U3" s="9" t="s">
        <v>22</v>
      </c>
      <c r="V3" s="9"/>
      <c r="W3" s="9" t="s">
        <v>135</v>
      </c>
      <c r="X3" s="9"/>
      <c r="Y3" s="9"/>
      <c r="Z3" s="9"/>
      <c r="AA3" s="9" t="s">
        <v>136</v>
      </c>
      <c r="AB3" s="9" t="s">
        <v>137</v>
      </c>
      <c r="AC3" s="9" t="s">
        <v>138</v>
      </c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3"/>
      <c r="CN3" s="3"/>
      <c r="CO3" s="3"/>
      <c r="CP3" s="3"/>
      <c r="CQ3" s="3"/>
      <c r="CR3" s="3" t="s">
        <v>120</v>
      </c>
      <c r="CS3" s="3" t="s">
        <v>121</v>
      </c>
      <c r="CT3" s="9"/>
      <c r="CU3" s="3" t="s">
        <v>123</v>
      </c>
      <c r="CV3" s="3" t="s">
        <v>139</v>
      </c>
      <c r="CW3" s="3"/>
      <c r="DG3" s="4"/>
    </row>
    <row r="4" customFormat="false" ht="11.25" hidden="false" customHeight="true" outlineLevel="0" collapsed="false">
      <c r="A4" s="9" t="n">
        <v>3</v>
      </c>
      <c r="B4" s="10" t="n">
        <v>46143.6787223148</v>
      </c>
      <c r="C4" s="10" t="n">
        <v>46143.6973912963</v>
      </c>
      <c r="D4" s="9" t="s">
        <v>140</v>
      </c>
      <c r="E4" s="9" t="s">
        <v>141</v>
      </c>
      <c r="F4" s="9" t="s">
        <v>141</v>
      </c>
      <c r="G4" s="9" t="s">
        <v>142</v>
      </c>
      <c r="H4" s="10" t="n">
        <v>46131</v>
      </c>
      <c r="I4" s="10" t="s">
        <v>107</v>
      </c>
      <c r="J4" s="9" t="s">
        <v>128</v>
      </c>
      <c r="K4" s="9" t="s">
        <v>143</v>
      </c>
      <c r="L4" s="9" t="s">
        <v>144</v>
      </c>
      <c r="M4" s="9" t="s">
        <v>131</v>
      </c>
      <c r="N4" s="9" t="s">
        <v>145</v>
      </c>
      <c r="O4" s="9" t="s">
        <v>113</v>
      </c>
      <c r="P4" s="9" t="s">
        <v>146</v>
      </c>
      <c r="Q4" s="9" t="s">
        <v>147</v>
      </c>
      <c r="R4" s="9"/>
      <c r="S4" s="9"/>
      <c r="T4" s="9"/>
      <c r="U4" s="9" t="s">
        <v>22</v>
      </c>
      <c r="V4" s="9"/>
      <c r="W4" s="9" t="s">
        <v>148</v>
      </c>
      <c r="X4" s="9"/>
      <c r="Y4" s="9"/>
      <c r="Z4" s="9"/>
      <c r="AA4" s="9"/>
      <c r="AB4" s="9"/>
      <c r="AC4" s="9"/>
      <c r="AD4" s="9" t="s">
        <v>149</v>
      </c>
      <c r="AE4" s="9" t="s">
        <v>150</v>
      </c>
      <c r="AF4" s="9" t="s">
        <v>151</v>
      </c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3"/>
      <c r="CN4" s="3"/>
      <c r="CO4" s="3"/>
      <c r="CP4" s="3"/>
      <c r="CQ4" s="3"/>
      <c r="CR4" s="3" t="s">
        <v>152</v>
      </c>
      <c r="CS4" s="3" t="s">
        <v>121</v>
      </c>
      <c r="CT4" s="9" t="s">
        <v>153</v>
      </c>
      <c r="CU4" s="3" t="s">
        <v>123</v>
      </c>
      <c r="CV4" s="3" t="s">
        <v>124</v>
      </c>
      <c r="CW4" s="3"/>
      <c r="DG4" s="4"/>
    </row>
    <row r="5" customFormat="false" ht="11.25" hidden="false" customHeight="true" outlineLevel="0" collapsed="false">
      <c r="A5" s="9" t="n">
        <v>4</v>
      </c>
      <c r="B5" s="10" t="n">
        <v>46115.7878990162</v>
      </c>
      <c r="C5" s="10" t="n">
        <v>46115.7925633681</v>
      </c>
      <c r="D5" s="9" t="s">
        <v>154</v>
      </c>
      <c r="E5" s="9" t="s">
        <v>155</v>
      </c>
      <c r="F5" s="9" t="s">
        <v>155</v>
      </c>
      <c r="G5" s="9" t="s">
        <v>156</v>
      </c>
      <c r="H5" s="10" t="n">
        <v>46114</v>
      </c>
      <c r="I5" s="10" t="s">
        <v>157</v>
      </c>
      <c r="J5" s="9" t="s">
        <v>108</v>
      </c>
      <c r="K5" s="9" t="s">
        <v>158</v>
      </c>
      <c r="L5" s="9" t="s">
        <v>159</v>
      </c>
      <c r="M5" s="9" t="s">
        <v>111</v>
      </c>
      <c r="N5" s="9" t="s">
        <v>112</v>
      </c>
      <c r="O5" s="9" t="s">
        <v>113</v>
      </c>
      <c r="P5" s="9" t="s">
        <v>160</v>
      </c>
      <c r="Q5" s="9" t="s">
        <v>161</v>
      </c>
      <c r="R5" s="9"/>
      <c r="S5" s="9"/>
      <c r="T5" s="9"/>
      <c r="U5" s="9" t="s">
        <v>22</v>
      </c>
      <c r="V5" s="9"/>
      <c r="W5" s="9" t="s">
        <v>116</v>
      </c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 t="s">
        <v>162</v>
      </c>
      <c r="BU5" s="9" t="s">
        <v>163</v>
      </c>
      <c r="BV5" s="9" t="s">
        <v>164</v>
      </c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3"/>
      <c r="CN5" s="3"/>
      <c r="CO5" s="3"/>
      <c r="CP5" s="3"/>
      <c r="CQ5" s="3"/>
      <c r="CR5" s="3" t="s">
        <v>152</v>
      </c>
      <c r="CS5" s="3" t="s">
        <v>165</v>
      </c>
      <c r="CT5" s="9" t="s">
        <v>166</v>
      </c>
      <c r="CU5" s="3" t="s">
        <v>167</v>
      </c>
      <c r="CV5" s="3" t="s">
        <v>168</v>
      </c>
      <c r="CW5" s="3"/>
      <c r="DG5" s="4"/>
    </row>
    <row r="6" customFormat="false" ht="11.25" hidden="false" customHeight="true" outlineLevel="0" collapsed="false">
      <c r="A6" s="9" t="n">
        <v>5</v>
      </c>
      <c r="B6" s="10" t="n">
        <v>46084.515341169</v>
      </c>
      <c r="C6" s="10" t="n">
        <v>46084.5318689468</v>
      </c>
      <c r="D6" s="9" t="s">
        <v>169</v>
      </c>
      <c r="E6" s="9" t="s">
        <v>170</v>
      </c>
      <c r="F6" s="9" t="s">
        <v>170</v>
      </c>
      <c r="G6" s="9" t="s">
        <v>171</v>
      </c>
      <c r="H6" s="10" t="n">
        <v>46080</v>
      </c>
      <c r="I6" s="10" t="s">
        <v>172</v>
      </c>
      <c r="J6" s="9" t="s">
        <v>108</v>
      </c>
      <c r="K6" s="9" t="s">
        <v>173</v>
      </c>
      <c r="L6" s="9" t="s">
        <v>144</v>
      </c>
      <c r="M6" s="9" t="s">
        <v>111</v>
      </c>
      <c r="N6" s="9" t="s">
        <v>112</v>
      </c>
      <c r="O6" s="9" t="s">
        <v>113</v>
      </c>
      <c r="P6" s="9" t="s">
        <v>174</v>
      </c>
      <c r="Q6" s="9" t="s">
        <v>175</v>
      </c>
      <c r="R6" s="9"/>
      <c r="S6" s="9"/>
      <c r="T6" s="9"/>
      <c r="U6" s="9" t="s">
        <v>22</v>
      </c>
      <c r="V6" s="9"/>
      <c r="W6" s="9" t="s">
        <v>176</v>
      </c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 t="s">
        <v>177</v>
      </c>
      <c r="AZ6" s="9" t="s">
        <v>178</v>
      </c>
      <c r="BA6" s="9" t="s">
        <v>179</v>
      </c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3"/>
      <c r="CN6" s="3"/>
      <c r="CO6" s="3"/>
      <c r="CP6" s="3"/>
      <c r="CQ6" s="3"/>
      <c r="CR6" s="3" t="s">
        <v>152</v>
      </c>
      <c r="CS6" s="3" t="s">
        <v>180</v>
      </c>
      <c r="CT6" s="9" t="s">
        <v>122</v>
      </c>
      <c r="CU6" s="3" t="s">
        <v>123</v>
      </c>
      <c r="CV6" s="3" t="s">
        <v>124</v>
      </c>
      <c r="CW6" s="3"/>
      <c r="DG6" s="4"/>
    </row>
    <row r="7" customFormat="false" ht="11.25" hidden="false" customHeight="true" outlineLevel="0" collapsed="false">
      <c r="A7" s="9" t="n">
        <v>6</v>
      </c>
      <c r="B7" s="10" t="n">
        <v>46050.7262352199</v>
      </c>
      <c r="C7" s="10" t="n">
        <v>46050.7350083681</v>
      </c>
      <c r="D7" s="9" t="s">
        <v>181</v>
      </c>
      <c r="E7" s="9" t="s">
        <v>182</v>
      </c>
      <c r="F7" s="9" t="s">
        <v>182</v>
      </c>
      <c r="G7" s="9" t="s">
        <v>183</v>
      </c>
      <c r="H7" s="10" t="n">
        <v>46030</v>
      </c>
      <c r="I7" s="10" t="s">
        <v>172</v>
      </c>
      <c r="J7" s="9" t="s">
        <v>128</v>
      </c>
      <c r="K7" s="9" t="s">
        <v>143</v>
      </c>
      <c r="L7" s="9" t="s">
        <v>184</v>
      </c>
      <c r="M7" s="9" t="s">
        <v>111</v>
      </c>
      <c r="N7" s="9" t="s">
        <v>112</v>
      </c>
      <c r="O7" s="9" t="s">
        <v>113</v>
      </c>
      <c r="P7" s="9" t="s">
        <v>185</v>
      </c>
      <c r="Q7" s="9" t="s">
        <v>186</v>
      </c>
      <c r="R7" s="9"/>
      <c r="S7" s="9"/>
      <c r="T7" s="9"/>
      <c r="U7" s="9" t="s">
        <v>21</v>
      </c>
      <c r="V7" s="9" t="s">
        <v>187</v>
      </c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 t="s">
        <v>188</v>
      </c>
      <c r="AQ7" s="9" t="s">
        <v>189</v>
      </c>
      <c r="AR7" s="9" t="s">
        <v>190</v>
      </c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3"/>
      <c r="CN7" s="3"/>
      <c r="CO7" s="3"/>
      <c r="CP7" s="3"/>
      <c r="CQ7" s="3"/>
      <c r="CR7" s="3" t="s">
        <v>152</v>
      </c>
      <c r="CS7" s="3" t="s">
        <v>121</v>
      </c>
      <c r="CT7" s="9" t="s">
        <v>191</v>
      </c>
      <c r="CU7" s="3" t="s">
        <v>192</v>
      </c>
      <c r="CV7" s="3" t="s">
        <v>124</v>
      </c>
      <c r="CW7" s="3"/>
      <c r="DG7" s="4"/>
    </row>
    <row r="8" customFormat="false" ht="11.25" hidden="false" customHeight="true" outlineLevel="0" collapsed="false">
      <c r="A8" s="9" t="n">
        <v>7</v>
      </c>
      <c r="B8" s="10" t="n">
        <v>46143.990339132</v>
      </c>
      <c r="C8" s="10" t="n">
        <v>46144.0029317245</v>
      </c>
      <c r="D8" s="9" t="s">
        <v>193</v>
      </c>
      <c r="E8" s="9" t="s">
        <v>194</v>
      </c>
      <c r="F8" s="9" t="s">
        <v>194</v>
      </c>
      <c r="G8" s="9" t="s">
        <v>195</v>
      </c>
      <c r="H8" s="10" t="n">
        <v>46140</v>
      </c>
      <c r="I8" s="10" t="s">
        <v>107</v>
      </c>
      <c r="J8" s="9" t="s">
        <v>108</v>
      </c>
      <c r="K8" s="9" t="s">
        <v>196</v>
      </c>
      <c r="L8" s="9" t="s">
        <v>197</v>
      </c>
      <c r="M8" s="9" t="s">
        <v>111</v>
      </c>
      <c r="N8" s="9" t="s">
        <v>198</v>
      </c>
      <c r="O8" s="9" t="s">
        <v>113</v>
      </c>
      <c r="P8" s="9" t="s">
        <v>199</v>
      </c>
      <c r="Q8" s="9" t="s">
        <v>200</v>
      </c>
      <c r="R8" s="9"/>
      <c r="S8" s="9"/>
      <c r="T8" s="9"/>
      <c r="U8" s="9" t="s">
        <v>22</v>
      </c>
      <c r="V8" s="9"/>
      <c r="W8" s="9" t="s">
        <v>148</v>
      </c>
      <c r="X8" s="9"/>
      <c r="Y8" s="9"/>
      <c r="Z8" s="9"/>
      <c r="AA8" s="9"/>
      <c r="AB8" s="9"/>
      <c r="AC8" s="9"/>
      <c r="AD8" s="9" t="s">
        <v>201</v>
      </c>
      <c r="AE8" s="9" t="s">
        <v>202</v>
      </c>
      <c r="AF8" s="9" t="s">
        <v>203</v>
      </c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3"/>
      <c r="CN8" s="3"/>
      <c r="CO8" s="3"/>
      <c r="CP8" s="3"/>
      <c r="CQ8" s="3"/>
      <c r="CR8" s="3" t="s">
        <v>152</v>
      </c>
      <c r="CS8" s="3" t="s">
        <v>121</v>
      </c>
      <c r="CT8" s="9" t="s">
        <v>204</v>
      </c>
      <c r="CU8" s="3" t="s">
        <v>123</v>
      </c>
      <c r="CV8" s="3" t="s">
        <v>168</v>
      </c>
      <c r="CW8" s="3"/>
      <c r="CY8" s="3" t="s">
        <v>205</v>
      </c>
      <c r="DG8" s="4"/>
    </row>
    <row r="9" customFormat="false" ht="11.25" hidden="false" customHeight="true" outlineLevel="0" collapsed="false">
      <c r="A9" s="9" t="n">
        <v>8</v>
      </c>
      <c r="B9" s="10" t="n">
        <v>46056.5815351273</v>
      </c>
      <c r="C9" s="10" t="n">
        <v>46056.5832712384</v>
      </c>
      <c r="D9" s="9" t="s">
        <v>206</v>
      </c>
      <c r="E9" s="9" t="s">
        <v>207</v>
      </c>
      <c r="F9" s="9" t="s">
        <v>207</v>
      </c>
      <c r="G9" s="9" t="s">
        <v>208</v>
      </c>
      <c r="H9" s="10" t="n">
        <v>46049</v>
      </c>
      <c r="I9" s="10" t="s">
        <v>107</v>
      </c>
      <c r="J9" s="9" t="s">
        <v>108</v>
      </c>
      <c r="K9" s="9" t="s">
        <v>209</v>
      </c>
      <c r="L9" s="9" t="s">
        <v>210</v>
      </c>
      <c r="M9" s="9" t="s">
        <v>211</v>
      </c>
      <c r="N9" s="9" t="s">
        <v>112</v>
      </c>
      <c r="O9" s="9" t="s">
        <v>113</v>
      </c>
      <c r="P9" s="9" t="s">
        <v>212</v>
      </c>
      <c r="Q9" s="9" t="s">
        <v>213</v>
      </c>
      <c r="R9" s="9"/>
      <c r="S9" s="9"/>
      <c r="T9" s="9"/>
      <c r="U9" s="9" t="s">
        <v>24</v>
      </c>
      <c r="V9" s="9"/>
      <c r="W9" s="9"/>
      <c r="X9" s="9"/>
      <c r="Y9" s="9" t="s">
        <v>214</v>
      </c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 t="s">
        <v>215</v>
      </c>
      <c r="CD9" s="9" t="s">
        <v>216</v>
      </c>
      <c r="CE9" s="9" t="s">
        <v>217</v>
      </c>
      <c r="CF9" s="9"/>
      <c r="CG9" s="9"/>
      <c r="CH9" s="9"/>
      <c r="CI9" s="9"/>
      <c r="CJ9" s="9"/>
      <c r="CK9" s="9"/>
      <c r="CL9" s="9"/>
      <c r="CM9" s="3"/>
      <c r="CN9" s="3"/>
      <c r="CO9" s="3"/>
      <c r="CP9" s="3"/>
      <c r="CQ9" s="3"/>
      <c r="CR9" s="3" t="s">
        <v>152</v>
      </c>
      <c r="CS9" s="3" t="s">
        <v>121</v>
      </c>
      <c r="CT9" s="9" t="s">
        <v>218</v>
      </c>
      <c r="CU9" s="3" t="s">
        <v>123</v>
      </c>
      <c r="CV9" s="3" t="s">
        <v>124</v>
      </c>
      <c r="CW9" s="3" t="s">
        <v>219</v>
      </c>
      <c r="DG9" s="4"/>
    </row>
    <row r="10" customFormat="false" ht="11.25" hidden="false" customHeight="true" outlineLevel="0" collapsed="false">
      <c r="A10" s="9" t="n">
        <v>9</v>
      </c>
      <c r="B10" s="10" t="n">
        <v>46068.8947773843</v>
      </c>
      <c r="C10" s="10" t="n">
        <v>46068.8980644213</v>
      </c>
      <c r="D10" s="9" t="s">
        <v>220</v>
      </c>
      <c r="E10" s="9" t="s">
        <v>221</v>
      </c>
      <c r="F10" s="9" t="s">
        <v>221</v>
      </c>
      <c r="G10" s="9" t="s">
        <v>222</v>
      </c>
      <c r="H10" s="10" t="n">
        <v>46049</v>
      </c>
      <c r="I10" s="10" t="s">
        <v>107</v>
      </c>
      <c r="J10" s="9" t="s">
        <v>128</v>
      </c>
      <c r="K10" s="9" t="s">
        <v>143</v>
      </c>
      <c r="L10" s="9" t="s">
        <v>197</v>
      </c>
      <c r="M10" s="9" t="s">
        <v>111</v>
      </c>
      <c r="N10" s="9" t="s">
        <v>112</v>
      </c>
      <c r="O10" s="9" t="s">
        <v>113</v>
      </c>
      <c r="P10" s="9" t="s">
        <v>144</v>
      </c>
      <c r="Q10" s="9" t="s">
        <v>147</v>
      </c>
      <c r="R10" s="9"/>
      <c r="S10" s="9"/>
      <c r="T10" s="9"/>
      <c r="U10" s="9" t="s">
        <v>24</v>
      </c>
      <c r="V10" s="9"/>
      <c r="W10" s="9"/>
      <c r="X10" s="9"/>
      <c r="Y10" s="9" t="s">
        <v>223</v>
      </c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 t="s">
        <v>224</v>
      </c>
      <c r="CA10" s="9" t="s">
        <v>225</v>
      </c>
      <c r="CB10" s="9" t="s">
        <v>226</v>
      </c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3"/>
      <c r="CN10" s="3"/>
      <c r="CO10" s="3"/>
      <c r="CP10" s="3"/>
      <c r="CQ10" s="3"/>
      <c r="CR10" s="3" t="s">
        <v>227</v>
      </c>
      <c r="CS10" s="3" t="s">
        <v>228</v>
      </c>
      <c r="CT10" s="9" t="s">
        <v>122</v>
      </c>
      <c r="CU10" s="3" t="s">
        <v>192</v>
      </c>
      <c r="CV10" s="3" t="s">
        <v>124</v>
      </c>
      <c r="CW10" s="3"/>
      <c r="DG10" s="4"/>
    </row>
    <row r="11" customFormat="false" ht="11.25" hidden="false" customHeight="true" outlineLevel="0" collapsed="false">
      <c r="A11" s="9" t="n">
        <v>10</v>
      </c>
      <c r="B11" s="10" t="n">
        <v>46174.8986974537</v>
      </c>
      <c r="C11" s="10" t="n">
        <v>46174.9083502315</v>
      </c>
      <c r="D11" s="9" t="s">
        <v>229</v>
      </c>
      <c r="E11" s="9" t="s">
        <v>230</v>
      </c>
      <c r="F11" s="9" t="s">
        <v>230</v>
      </c>
      <c r="G11" s="9" t="s">
        <v>231</v>
      </c>
      <c r="H11" s="10" t="n">
        <v>46163</v>
      </c>
      <c r="I11" s="10" t="s">
        <v>172</v>
      </c>
      <c r="J11" s="9" t="s">
        <v>108</v>
      </c>
      <c r="K11" s="9" t="s">
        <v>232</v>
      </c>
      <c r="L11" s="9" t="s">
        <v>233</v>
      </c>
      <c r="M11" s="9" t="s">
        <v>111</v>
      </c>
      <c r="N11" s="9" t="s">
        <v>145</v>
      </c>
      <c r="O11" s="9" t="s">
        <v>113</v>
      </c>
      <c r="P11" s="9" t="s">
        <v>234</v>
      </c>
      <c r="Q11" s="9" t="s">
        <v>235</v>
      </c>
      <c r="R11" s="9"/>
      <c r="S11" s="9"/>
      <c r="T11" s="9"/>
      <c r="U11" s="9" t="s">
        <v>24</v>
      </c>
      <c r="V11" s="9"/>
      <c r="W11" s="9"/>
      <c r="X11" s="9"/>
      <c r="Y11" s="9" t="s">
        <v>223</v>
      </c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 t="s">
        <v>236</v>
      </c>
      <c r="CA11" s="9" t="s">
        <v>237</v>
      </c>
      <c r="CB11" s="9" t="s">
        <v>238</v>
      </c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3"/>
      <c r="CN11" s="3"/>
      <c r="CO11" s="3"/>
      <c r="CP11" s="3"/>
      <c r="CQ11" s="3"/>
      <c r="CR11" s="3" t="s">
        <v>152</v>
      </c>
      <c r="CS11" s="3" t="s">
        <v>180</v>
      </c>
      <c r="CT11" s="9" t="s">
        <v>239</v>
      </c>
      <c r="CU11" s="3" t="s">
        <v>192</v>
      </c>
      <c r="CV11" s="3" t="s">
        <v>168</v>
      </c>
      <c r="CW11" s="3"/>
      <c r="DG11" s="4"/>
    </row>
    <row r="12" customFormat="false" ht="11.25" hidden="false" customHeight="true" outlineLevel="0" collapsed="false">
      <c r="A12" s="9" t="n">
        <v>11</v>
      </c>
      <c r="B12" s="10" t="n">
        <v>46103.1789024884</v>
      </c>
      <c r="C12" s="10" t="n">
        <v>46103.1868423032</v>
      </c>
      <c r="D12" s="9" t="s">
        <v>240</v>
      </c>
      <c r="E12" s="9" t="s">
        <v>241</v>
      </c>
      <c r="F12" s="9" t="s">
        <v>242</v>
      </c>
      <c r="G12" s="9" t="s">
        <v>243</v>
      </c>
      <c r="H12" s="10" t="n">
        <v>46099</v>
      </c>
      <c r="I12" s="10" t="s">
        <v>244</v>
      </c>
      <c r="J12" s="9" t="s">
        <v>108</v>
      </c>
      <c r="K12" s="9" t="s">
        <v>245</v>
      </c>
      <c r="L12" s="9" t="s">
        <v>246</v>
      </c>
      <c r="M12" s="9" t="s">
        <v>111</v>
      </c>
      <c r="N12" s="9" t="s">
        <v>247</v>
      </c>
      <c r="O12" s="9" t="s">
        <v>113</v>
      </c>
      <c r="P12" s="9" t="s">
        <v>248</v>
      </c>
      <c r="Q12" s="9" t="s">
        <v>249</v>
      </c>
      <c r="R12" s="9"/>
      <c r="S12" s="9"/>
      <c r="T12" s="9"/>
      <c r="U12" s="9" t="s">
        <v>21</v>
      </c>
      <c r="V12" s="9" t="s">
        <v>250</v>
      </c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 t="s">
        <v>251</v>
      </c>
      <c r="BF12" s="9" t="s">
        <v>252</v>
      </c>
      <c r="BG12" s="9" t="s">
        <v>253</v>
      </c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3"/>
      <c r="CN12" s="3"/>
      <c r="CO12" s="3"/>
      <c r="CP12" s="3"/>
      <c r="CQ12" s="3"/>
      <c r="CR12" s="3" t="s">
        <v>120</v>
      </c>
      <c r="CS12" s="3" t="s">
        <v>121</v>
      </c>
      <c r="CT12" s="9"/>
      <c r="CU12" s="3" t="s">
        <v>192</v>
      </c>
      <c r="CV12" s="3" t="s">
        <v>168</v>
      </c>
      <c r="CW12" s="3"/>
      <c r="DG12" s="4"/>
    </row>
    <row r="13" customFormat="false" ht="11.25" hidden="false" customHeight="true" outlineLevel="0" collapsed="false">
      <c r="A13" s="9" t="n">
        <v>12</v>
      </c>
      <c r="B13" s="10" t="n">
        <v>46156.118636713</v>
      </c>
      <c r="C13" s="10" t="n">
        <v>46156.1256274537</v>
      </c>
      <c r="D13" s="9" t="s">
        <v>254</v>
      </c>
      <c r="E13" s="9" t="s">
        <v>255</v>
      </c>
      <c r="F13" s="9" t="s">
        <v>255</v>
      </c>
      <c r="G13" s="9" t="s">
        <v>256</v>
      </c>
      <c r="H13" s="10" t="n">
        <v>46151</v>
      </c>
      <c r="I13" s="10" t="s">
        <v>157</v>
      </c>
      <c r="J13" s="9" t="s">
        <v>108</v>
      </c>
      <c r="K13" s="9" t="s">
        <v>257</v>
      </c>
      <c r="L13" s="9" t="s">
        <v>159</v>
      </c>
      <c r="M13" s="9" t="s">
        <v>131</v>
      </c>
      <c r="N13" s="9" t="s">
        <v>145</v>
      </c>
      <c r="O13" s="9" t="s">
        <v>132</v>
      </c>
      <c r="P13" s="9" t="s">
        <v>258</v>
      </c>
      <c r="Q13" s="9" t="s">
        <v>259</v>
      </c>
      <c r="R13" s="9"/>
      <c r="S13" s="9"/>
      <c r="T13" s="9"/>
      <c r="U13" s="9" t="s">
        <v>24</v>
      </c>
      <c r="V13" s="9"/>
      <c r="W13" s="9"/>
      <c r="X13" s="9"/>
      <c r="Y13" s="9" t="s">
        <v>260</v>
      </c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 t="s">
        <v>261</v>
      </c>
      <c r="CG13" s="9" t="s">
        <v>262</v>
      </c>
      <c r="CH13" s="9" t="s">
        <v>263</v>
      </c>
      <c r="CI13" s="9"/>
      <c r="CJ13" s="9"/>
      <c r="CK13" s="9"/>
      <c r="CL13" s="9"/>
      <c r="CM13" s="3"/>
      <c r="CN13" s="3"/>
      <c r="CO13" s="3"/>
      <c r="CP13" s="3"/>
      <c r="CQ13" s="3"/>
      <c r="CR13" s="3" t="s">
        <v>120</v>
      </c>
      <c r="CS13" s="3" t="s">
        <v>264</v>
      </c>
      <c r="CT13" s="9" t="s">
        <v>122</v>
      </c>
      <c r="CU13" s="3" t="s">
        <v>123</v>
      </c>
      <c r="CV13" s="3" t="s">
        <v>124</v>
      </c>
      <c r="CW13" s="3"/>
      <c r="DG13" s="4"/>
    </row>
    <row r="14" customFormat="false" ht="11.25" hidden="false" customHeight="true" outlineLevel="0" collapsed="false">
      <c r="A14" s="9" t="n">
        <v>13</v>
      </c>
      <c r="B14" s="10" t="n">
        <v>46166.8784870486</v>
      </c>
      <c r="C14" s="10" t="n">
        <v>46166.8919476968</v>
      </c>
      <c r="D14" s="9" t="s">
        <v>265</v>
      </c>
      <c r="E14" s="9" t="s">
        <v>266</v>
      </c>
      <c r="F14" s="9" t="s">
        <v>266</v>
      </c>
      <c r="G14" s="9" t="s">
        <v>267</v>
      </c>
      <c r="H14" s="10" t="n">
        <v>46149</v>
      </c>
      <c r="I14" s="10" t="s">
        <v>172</v>
      </c>
      <c r="J14" s="9" t="s">
        <v>108</v>
      </c>
      <c r="K14" s="9" t="s">
        <v>232</v>
      </c>
      <c r="L14" s="9" t="s">
        <v>268</v>
      </c>
      <c r="M14" s="9" t="s">
        <v>111</v>
      </c>
      <c r="N14" s="9" t="s">
        <v>198</v>
      </c>
      <c r="O14" s="9" t="s">
        <v>113</v>
      </c>
      <c r="P14" s="9" t="s">
        <v>269</v>
      </c>
      <c r="Q14" s="9" t="s">
        <v>270</v>
      </c>
      <c r="R14" s="9"/>
      <c r="S14" s="9"/>
      <c r="T14" s="9"/>
      <c r="U14" s="9" t="s">
        <v>22</v>
      </c>
      <c r="V14" s="9"/>
      <c r="W14" s="9" t="s">
        <v>271</v>
      </c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 t="s">
        <v>272</v>
      </c>
      <c r="BL14" s="9" t="s">
        <v>273</v>
      </c>
      <c r="BM14" s="9" t="s">
        <v>274</v>
      </c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3"/>
      <c r="CN14" s="3"/>
      <c r="CO14" s="3"/>
      <c r="CP14" s="3"/>
      <c r="CQ14" s="3"/>
      <c r="CR14" s="3" t="s">
        <v>152</v>
      </c>
      <c r="CS14" s="3" t="s">
        <v>228</v>
      </c>
      <c r="CT14" s="9" t="s">
        <v>122</v>
      </c>
      <c r="CU14" s="3" t="s">
        <v>192</v>
      </c>
      <c r="CV14" s="3" t="s">
        <v>124</v>
      </c>
      <c r="CW14" s="3"/>
      <c r="DG14" s="4"/>
    </row>
    <row r="15" customFormat="false" ht="11.25" hidden="false" customHeight="true" outlineLevel="0" collapsed="false">
      <c r="A15" s="9" t="n">
        <v>14</v>
      </c>
      <c r="B15" s="10" t="n">
        <v>46083.0691412384</v>
      </c>
      <c r="C15" s="10" t="n">
        <v>46083.0783542014</v>
      </c>
      <c r="D15" s="9" t="s">
        <v>275</v>
      </c>
      <c r="E15" s="9" t="s">
        <v>276</v>
      </c>
      <c r="F15" s="9" t="s">
        <v>276</v>
      </c>
      <c r="G15" s="9" t="s">
        <v>277</v>
      </c>
      <c r="H15" s="10" t="n">
        <v>46080</v>
      </c>
      <c r="I15" s="10" t="s">
        <v>278</v>
      </c>
      <c r="J15" s="9" t="s">
        <v>108</v>
      </c>
      <c r="K15" s="9" t="s">
        <v>245</v>
      </c>
      <c r="L15" s="9" t="s">
        <v>144</v>
      </c>
      <c r="M15" s="9" t="s">
        <v>111</v>
      </c>
      <c r="N15" s="9" t="s">
        <v>112</v>
      </c>
      <c r="O15" s="9" t="s">
        <v>113</v>
      </c>
      <c r="P15" s="9" t="s">
        <v>279</v>
      </c>
      <c r="Q15" s="9" t="s">
        <v>280</v>
      </c>
      <c r="R15" s="9"/>
      <c r="S15" s="9"/>
      <c r="T15" s="9"/>
      <c r="U15" s="9" t="s">
        <v>24</v>
      </c>
      <c r="V15" s="9"/>
      <c r="W15" s="9"/>
      <c r="X15" s="9"/>
      <c r="Y15" s="9" t="s">
        <v>223</v>
      </c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 t="s">
        <v>281</v>
      </c>
      <c r="CA15" s="9" t="s">
        <v>237</v>
      </c>
      <c r="CB15" s="9" t="s">
        <v>282</v>
      </c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3"/>
      <c r="CN15" s="3"/>
      <c r="CO15" s="3"/>
      <c r="CP15" s="3"/>
      <c r="CQ15" s="3"/>
      <c r="CR15" s="3" t="s">
        <v>120</v>
      </c>
      <c r="CS15" s="3" t="s">
        <v>180</v>
      </c>
      <c r="CT15" s="9"/>
      <c r="CU15" s="3" t="s">
        <v>192</v>
      </c>
      <c r="CV15" s="3" t="s">
        <v>124</v>
      </c>
      <c r="CW15" s="3"/>
      <c r="DG15" s="4"/>
    </row>
    <row r="16" customFormat="false" ht="11.25" hidden="false" customHeight="true" outlineLevel="0" collapsed="false">
      <c r="A16" s="9" t="n">
        <v>15</v>
      </c>
      <c r="B16" s="10" t="n">
        <v>46075.6041179861</v>
      </c>
      <c r="C16" s="10" t="n">
        <v>46075.6211203009</v>
      </c>
      <c r="D16" s="9" t="s">
        <v>283</v>
      </c>
      <c r="E16" s="9" t="s">
        <v>284</v>
      </c>
      <c r="F16" s="9" t="s">
        <v>284</v>
      </c>
      <c r="G16" s="9" t="s">
        <v>285</v>
      </c>
      <c r="H16" s="10" t="n">
        <v>46055</v>
      </c>
      <c r="I16" s="10" t="s">
        <v>244</v>
      </c>
      <c r="J16" s="9" t="s">
        <v>108</v>
      </c>
      <c r="K16" s="9" t="s">
        <v>143</v>
      </c>
      <c r="L16" s="9" t="s">
        <v>130</v>
      </c>
      <c r="M16" s="9" t="s">
        <v>111</v>
      </c>
      <c r="N16" s="9" t="s">
        <v>112</v>
      </c>
      <c r="O16" s="9" t="s">
        <v>113</v>
      </c>
      <c r="P16" s="9" t="s">
        <v>286</v>
      </c>
      <c r="Q16" s="9" t="s">
        <v>287</v>
      </c>
      <c r="R16" s="9"/>
      <c r="S16" s="9"/>
      <c r="T16" s="9"/>
      <c r="U16" s="9" t="s">
        <v>22</v>
      </c>
      <c r="V16" s="9"/>
      <c r="W16" s="9" t="s">
        <v>148</v>
      </c>
      <c r="X16" s="9"/>
      <c r="Y16" s="9"/>
      <c r="Z16" s="9"/>
      <c r="AA16" s="9"/>
      <c r="AB16" s="9"/>
      <c r="AC16" s="9"/>
      <c r="AD16" s="9" t="s">
        <v>288</v>
      </c>
      <c r="AE16" s="9" t="s">
        <v>289</v>
      </c>
      <c r="AF16" s="9" t="s">
        <v>290</v>
      </c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3"/>
      <c r="CN16" s="3"/>
      <c r="CO16" s="3"/>
      <c r="CP16" s="3"/>
      <c r="CQ16" s="3"/>
      <c r="CR16" s="3" t="s">
        <v>120</v>
      </c>
      <c r="CS16" s="3" t="s">
        <v>121</v>
      </c>
      <c r="CT16" s="9" t="s">
        <v>291</v>
      </c>
      <c r="CU16" s="3" t="s">
        <v>192</v>
      </c>
      <c r="CV16" s="3" t="s">
        <v>124</v>
      </c>
      <c r="CW16" s="3"/>
      <c r="DG16" s="4"/>
    </row>
    <row r="17" customFormat="false" ht="11.25" hidden="false" customHeight="true" outlineLevel="0" collapsed="false">
      <c r="A17" s="9" t="n">
        <v>16</v>
      </c>
      <c r="B17" s="10" t="n">
        <v>46082.6663285764</v>
      </c>
      <c r="C17" s="10" t="n">
        <v>46082.6809234838</v>
      </c>
      <c r="D17" s="9" t="s">
        <v>292</v>
      </c>
      <c r="E17" s="9" t="s">
        <v>293</v>
      </c>
      <c r="F17" s="9" t="s">
        <v>293</v>
      </c>
      <c r="G17" s="9" t="s">
        <v>294</v>
      </c>
      <c r="H17" s="10" t="n">
        <v>46079</v>
      </c>
      <c r="I17" s="10" t="s">
        <v>172</v>
      </c>
      <c r="J17" s="9" t="s">
        <v>295</v>
      </c>
      <c r="K17" s="9" t="s">
        <v>257</v>
      </c>
      <c r="L17" s="9" t="s">
        <v>296</v>
      </c>
      <c r="M17" s="9" t="s">
        <v>111</v>
      </c>
      <c r="N17" s="9" t="s">
        <v>145</v>
      </c>
      <c r="O17" s="9" t="s">
        <v>113</v>
      </c>
      <c r="P17" s="9" t="s">
        <v>174</v>
      </c>
      <c r="Q17" s="9" t="s">
        <v>297</v>
      </c>
      <c r="R17" s="9"/>
      <c r="S17" s="9"/>
      <c r="T17" s="9"/>
      <c r="U17" s="9" t="s">
        <v>22</v>
      </c>
      <c r="V17" s="9"/>
      <c r="W17" s="9" t="s">
        <v>298</v>
      </c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 t="s">
        <v>299</v>
      </c>
      <c r="AW17" s="9" t="s">
        <v>300</v>
      </c>
      <c r="AX17" s="9" t="s">
        <v>301</v>
      </c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3"/>
      <c r="CN17" s="3"/>
      <c r="CO17" s="3"/>
      <c r="CP17" s="3"/>
      <c r="CQ17" s="3"/>
      <c r="CR17" s="3" t="s">
        <v>152</v>
      </c>
      <c r="CS17" s="3" t="s">
        <v>121</v>
      </c>
      <c r="CT17" s="9" t="s">
        <v>122</v>
      </c>
      <c r="CU17" s="3" t="s">
        <v>123</v>
      </c>
      <c r="CV17" s="3" t="s">
        <v>124</v>
      </c>
      <c r="CW17" s="3"/>
      <c r="DG17" s="4"/>
    </row>
    <row r="18" customFormat="false" ht="11.25" hidden="false" customHeight="true" outlineLevel="0" collapsed="false">
      <c r="A18" s="9" t="n">
        <v>17</v>
      </c>
      <c r="B18" s="10" t="n">
        <v>46153.4289290741</v>
      </c>
      <c r="C18" s="10" t="n">
        <v>46153.439392037</v>
      </c>
      <c r="D18" s="9" t="s">
        <v>302</v>
      </c>
      <c r="E18" s="9" t="s">
        <v>303</v>
      </c>
      <c r="F18" s="9" t="s">
        <v>303</v>
      </c>
      <c r="G18" s="9" t="s">
        <v>304</v>
      </c>
      <c r="H18" s="10" t="n">
        <v>46147</v>
      </c>
      <c r="I18" s="10" t="s">
        <v>107</v>
      </c>
      <c r="J18" s="9" t="s">
        <v>108</v>
      </c>
      <c r="K18" s="9" t="s">
        <v>245</v>
      </c>
      <c r="L18" s="9" t="s">
        <v>197</v>
      </c>
      <c r="M18" s="9" t="s">
        <v>111</v>
      </c>
      <c r="N18" s="9" t="s">
        <v>112</v>
      </c>
      <c r="O18" s="9" t="s">
        <v>305</v>
      </c>
      <c r="P18" s="9" t="s">
        <v>185</v>
      </c>
      <c r="Q18" s="9" t="s">
        <v>306</v>
      </c>
      <c r="R18" s="9"/>
      <c r="S18" s="9"/>
      <c r="T18" s="9"/>
      <c r="U18" s="9" t="s">
        <v>21</v>
      </c>
      <c r="V18" s="9" t="s">
        <v>307</v>
      </c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 t="s">
        <v>308</v>
      </c>
      <c r="AT18" s="9" t="s">
        <v>309</v>
      </c>
      <c r="AU18" s="9" t="s">
        <v>310</v>
      </c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3"/>
      <c r="CN18" s="3"/>
      <c r="CO18" s="3"/>
      <c r="CP18" s="3"/>
      <c r="CQ18" s="3"/>
      <c r="CR18" s="3" t="s">
        <v>152</v>
      </c>
      <c r="CS18" s="3" t="s">
        <v>121</v>
      </c>
      <c r="CT18" s="9"/>
      <c r="CU18" s="3" t="s">
        <v>192</v>
      </c>
      <c r="CV18" s="3" t="s">
        <v>124</v>
      </c>
      <c r="CW18" s="3"/>
      <c r="DG18" s="4"/>
    </row>
    <row r="19" customFormat="false" ht="11.25" hidden="false" customHeight="true" outlineLevel="0" collapsed="false">
      <c r="A19" s="9" t="n">
        <v>18</v>
      </c>
      <c r="B19" s="10" t="n">
        <v>46082.144191875</v>
      </c>
      <c r="C19" s="10" t="n">
        <v>46082.1603261343</v>
      </c>
      <c r="D19" s="9" t="s">
        <v>311</v>
      </c>
      <c r="E19" s="9" t="s">
        <v>312</v>
      </c>
      <c r="F19" s="9" t="s">
        <v>313</v>
      </c>
      <c r="G19" s="9" t="s">
        <v>314</v>
      </c>
      <c r="H19" s="10" t="n">
        <v>46070</v>
      </c>
      <c r="I19" s="10" t="s">
        <v>244</v>
      </c>
      <c r="J19" s="9" t="s">
        <v>295</v>
      </c>
      <c r="K19" s="9" t="s">
        <v>315</v>
      </c>
      <c r="L19" s="9" t="s">
        <v>159</v>
      </c>
      <c r="M19" s="9" t="s">
        <v>111</v>
      </c>
      <c r="N19" s="9" t="s">
        <v>112</v>
      </c>
      <c r="O19" s="9" t="s">
        <v>113</v>
      </c>
      <c r="P19" s="9" t="s">
        <v>212</v>
      </c>
      <c r="Q19" s="9" t="s">
        <v>316</v>
      </c>
      <c r="R19" s="9"/>
      <c r="S19" s="9"/>
      <c r="T19" s="9"/>
      <c r="U19" s="9" t="s">
        <v>22</v>
      </c>
      <c r="V19" s="9"/>
      <c r="W19" s="9" t="s">
        <v>271</v>
      </c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 t="s">
        <v>317</v>
      </c>
      <c r="BL19" s="9" t="s">
        <v>318</v>
      </c>
      <c r="BM19" s="9" t="s">
        <v>319</v>
      </c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3"/>
      <c r="CN19" s="3"/>
      <c r="CO19" s="3"/>
      <c r="CP19" s="3"/>
      <c r="CQ19" s="3"/>
      <c r="CR19" s="3" t="s">
        <v>320</v>
      </c>
      <c r="CS19" s="3" t="s">
        <v>121</v>
      </c>
      <c r="CT19" s="9" t="s">
        <v>321</v>
      </c>
      <c r="CU19" s="3" t="s">
        <v>123</v>
      </c>
      <c r="CV19" s="3" t="s">
        <v>124</v>
      </c>
      <c r="CW19" s="3"/>
      <c r="DG19" s="4"/>
    </row>
    <row r="20" customFormat="false" ht="11.25" hidden="false" customHeight="true" outlineLevel="0" collapsed="false">
      <c r="A20" s="9" t="n">
        <v>19</v>
      </c>
      <c r="B20" s="10" t="n">
        <v>46123.8747740741</v>
      </c>
      <c r="C20" s="10" t="n">
        <v>46123.8818111111</v>
      </c>
      <c r="D20" s="9" t="s">
        <v>322</v>
      </c>
      <c r="E20" s="9" t="s">
        <v>323</v>
      </c>
      <c r="F20" s="9" t="s">
        <v>323</v>
      </c>
      <c r="G20" s="9" t="s">
        <v>324</v>
      </c>
      <c r="H20" s="10" t="n">
        <v>46120</v>
      </c>
      <c r="I20" s="10" t="s">
        <v>244</v>
      </c>
      <c r="J20" s="9" t="s">
        <v>108</v>
      </c>
      <c r="K20" s="9" t="s">
        <v>257</v>
      </c>
      <c r="L20" s="9" t="s">
        <v>268</v>
      </c>
      <c r="M20" s="9" t="s">
        <v>111</v>
      </c>
      <c r="N20" s="9" t="s">
        <v>247</v>
      </c>
      <c r="O20" s="9" t="s">
        <v>325</v>
      </c>
      <c r="P20" s="9" t="s">
        <v>326</v>
      </c>
      <c r="Q20" s="9" t="s">
        <v>259</v>
      </c>
      <c r="R20" s="9"/>
      <c r="S20" s="9"/>
      <c r="T20" s="9"/>
      <c r="U20" s="9" t="s">
        <v>25</v>
      </c>
      <c r="V20" s="9"/>
      <c r="W20" s="9"/>
      <c r="X20" s="9"/>
      <c r="Y20" s="9"/>
      <c r="Z20" s="9" t="s">
        <v>327</v>
      </c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 t="s">
        <v>328</v>
      </c>
      <c r="CJ20" s="9" t="s">
        <v>329</v>
      </c>
      <c r="CK20" s="9" t="s">
        <v>330</v>
      </c>
      <c r="CL20" s="9"/>
      <c r="CM20" s="3"/>
      <c r="CN20" s="3"/>
      <c r="CO20" s="3"/>
      <c r="CP20" s="3"/>
      <c r="CQ20" s="3"/>
      <c r="CR20" s="3" t="s">
        <v>120</v>
      </c>
      <c r="CS20" s="3" t="s">
        <v>180</v>
      </c>
      <c r="CT20" s="9" t="s">
        <v>122</v>
      </c>
      <c r="CU20" s="3" t="s">
        <v>167</v>
      </c>
      <c r="CV20" s="3" t="s">
        <v>124</v>
      </c>
      <c r="CW20" s="3"/>
      <c r="CX20" s="3" t="s">
        <v>331</v>
      </c>
      <c r="DG20" s="4"/>
    </row>
    <row r="21" customFormat="false" ht="11.25" hidden="false" customHeight="true" outlineLevel="0" collapsed="false">
      <c r="A21" s="9" t="n">
        <v>20</v>
      </c>
      <c r="B21" s="10" t="n">
        <v>46148.3197154167</v>
      </c>
      <c r="C21" s="10" t="n">
        <v>46148.3293334722</v>
      </c>
      <c r="D21" s="9" t="s">
        <v>332</v>
      </c>
      <c r="E21" s="9" t="s">
        <v>333</v>
      </c>
      <c r="F21" s="9" t="s">
        <v>333</v>
      </c>
      <c r="G21" s="9" t="s">
        <v>334</v>
      </c>
      <c r="H21" s="10" t="n">
        <v>46137</v>
      </c>
      <c r="I21" s="10" t="s">
        <v>107</v>
      </c>
      <c r="J21" s="9" t="s">
        <v>295</v>
      </c>
      <c r="K21" s="9" t="s">
        <v>335</v>
      </c>
      <c r="L21" s="9" t="s">
        <v>159</v>
      </c>
      <c r="M21" s="9" t="s">
        <v>131</v>
      </c>
      <c r="N21" s="9" t="s">
        <v>112</v>
      </c>
      <c r="O21" s="9" t="s">
        <v>336</v>
      </c>
      <c r="P21" s="9" t="s">
        <v>337</v>
      </c>
      <c r="Q21" s="9" t="s">
        <v>338</v>
      </c>
      <c r="R21" s="9"/>
      <c r="S21" s="9"/>
      <c r="T21" s="9"/>
      <c r="U21" s="9" t="s">
        <v>22</v>
      </c>
      <c r="V21" s="9"/>
      <c r="W21" s="9" t="s">
        <v>339</v>
      </c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 t="s">
        <v>340</v>
      </c>
      <c r="BO21" s="9" t="s">
        <v>341</v>
      </c>
      <c r="BP21" s="9" t="s">
        <v>342</v>
      </c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3"/>
      <c r="CN21" s="3"/>
      <c r="CO21" s="3"/>
      <c r="CP21" s="3"/>
      <c r="CQ21" s="3"/>
      <c r="CR21" s="3" t="s">
        <v>120</v>
      </c>
      <c r="CS21" s="3" t="s">
        <v>180</v>
      </c>
      <c r="CT21" s="9"/>
      <c r="CU21" s="3" t="s">
        <v>167</v>
      </c>
      <c r="CV21" s="3" t="s">
        <v>124</v>
      </c>
      <c r="CW21" s="3"/>
      <c r="DG21" s="4"/>
    </row>
    <row r="22" customFormat="false" ht="11.25" hidden="false" customHeight="true" outlineLevel="0" collapsed="false">
      <c r="A22" s="9" t="n">
        <v>21</v>
      </c>
      <c r="B22" s="10" t="n">
        <v>46215.610338206</v>
      </c>
      <c r="C22" s="10" t="n">
        <v>46215.6275604282</v>
      </c>
      <c r="D22" s="9" t="s">
        <v>343</v>
      </c>
      <c r="E22" s="9" t="s">
        <v>344</v>
      </c>
      <c r="F22" s="9" t="s">
        <v>344</v>
      </c>
      <c r="G22" s="9" t="s">
        <v>345</v>
      </c>
      <c r="H22" s="10" t="n">
        <v>46200</v>
      </c>
      <c r="I22" s="10" t="s">
        <v>157</v>
      </c>
      <c r="J22" s="9" t="s">
        <v>108</v>
      </c>
      <c r="K22" s="9" t="s">
        <v>158</v>
      </c>
      <c r="L22" s="9" t="s">
        <v>346</v>
      </c>
      <c r="M22" s="9" t="s">
        <v>111</v>
      </c>
      <c r="N22" s="9" t="s">
        <v>145</v>
      </c>
      <c r="O22" s="9" t="s">
        <v>325</v>
      </c>
      <c r="P22" s="9" t="s">
        <v>258</v>
      </c>
      <c r="Q22" s="9" t="s">
        <v>347</v>
      </c>
      <c r="R22" s="9"/>
      <c r="S22" s="9"/>
      <c r="T22" s="9"/>
      <c r="U22" s="9" t="s">
        <v>21</v>
      </c>
      <c r="V22" s="9" t="s">
        <v>348</v>
      </c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 t="s">
        <v>349</v>
      </c>
      <c r="BC22" s="9" t="s">
        <v>350</v>
      </c>
      <c r="BD22" s="9" t="s">
        <v>351</v>
      </c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3"/>
      <c r="CN22" s="3"/>
      <c r="CO22" s="3"/>
      <c r="CP22" s="3"/>
      <c r="CQ22" s="3"/>
      <c r="CR22" s="3" t="s">
        <v>152</v>
      </c>
      <c r="CS22" s="3" t="s">
        <v>352</v>
      </c>
      <c r="CT22" s="9"/>
      <c r="CU22" s="3" t="s">
        <v>123</v>
      </c>
      <c r="CV22" s="3" t="s">
        <v>124</v>
      </c>
      <c r="CW22" s="3"/>
      <c r="DG22" s="4"/>
    </row>
    <row r="23" customFormat="false" ht="11.25" hidden="false" customHeight="true" outlineLevel="0" collapsed="false">
      <c r="A23" s="9" t="n">
        <v>22</v>
      </c>
      <c r="B23" s="10" t="n">
        <v>46054.1587666088</v>
      </c>
      <c r="C23" s="10" t="n">
        <v>46054.1732689236</v>
      </c>
      <c r="D23" s="9" t="s">
        <v>353</v>
      </c>
      <c r="E23" s="9" t="s">
        <v>354</v>
      </c>
      <c r="F23" s="9" t="s">
        <v>354</v>
      </c>
      <c r="G23" s="9" t="s">
        <v>355</v>
      </c>
      <c r="H23" s="10" t="n">
        <v>46037</v>
      </c>
      <c r="I23" s="10" t="s">
        <v>172</v>
      </c>
      <c r="J23" s="9" t="s">
        <v>295</v>
      </c>
      <c r="K23" s="9" t="s">
        <v>356</v>
      </c>
      <c r="L23" s="9" t="s">
        <v>346</v>
      </c>
      <c r="M23" s="9" t="s">
        <v>111</v>
      </c>
      <c r="N23" s="9" t="s">
        <v>145</v>
      </c>
      <c r="O23" s="9" t="s">
        <v>113</v>
      </c>
      <c r="P23" s="9" t="s">
        <v>357</v>
      </c>
      <c r="Q23" s="9" t="s">
        <v>219</v>
      </c>
      <c r="R23" s="9"/>
      <c r="S23" s="9"/>
      <c r="T23" s="9"/>
      <c r="U23" s="9" t="s">
        <v>24</v>
      </c>
      <c r="V23" s="9"/>
      <c r="W23" s="9"/>
      <c r="X23" s="9"/>
      <c r="Y23" s="9" t="s">
        <v>223</v>
      </c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 t="s">
        <v>358</v>
      </c>
      <c r="CA23" s="9" t="s">
        <v>359</v>
      </c>
      <c r="CB23" s="9" t="s">
        <v>360</v>
      </c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3"/>
      <c r="CN23" s="3"/>
      <c r="CO23" s="3"/>
      <c r="CP23" s="3"/>
      <c r="CQ23" s="3"/>
      <c r="CR23" s="3" t="s">
        <v>152</v>
      </c>
      <c r="CS23" s="3" t="s">
        <v>121</v>
      </c>
      <c r="CT23" s="9" t="s">
        <v>122</v>
      </c>
      <c r="CU23" s="3" t="s">
        <v>123</v>
      </c>
      <c r="CV23" s="3" t="s">
        <v>124</v>
      </c>
      <c r="CW23" s="3"/>
      <c r="DG23" s="4"/>
    </row>
    <row r="24" customFormat="false" ht="11.25" hidden="false" customHeight="true" outlineLevel="0" collapsed="false">
      <c r="A24" s="9" t="n">
        <v>23</v>
      </c>
      <c r="B24" s="10" t="n">
        <v>46211.1872796991</v>
      </c>
      <c r="C24" s="10" t="n">
        <v>46211.2037843287</v>
      </c>
      <c r="D24" s="9" t="s">
        <v>361</v>
      </c>
      <c r="E24" s="9" t="s">
        <v>362</v>
      </c>
      <c r="F24" s="9" t="s">
        <v>362</v>
      </c>
      <c r="G24" s="9" t="s">
        <v>363</v>
      </c>
      <c r="H24" s="10" t="n">
        <v>46211</v>
      </c>
      <c r="I24" s="10" t="s">
        <v>244</v>
      </c>
      <c r="J24" s="9" t="s">
        <v>108</v>
      </c>
      <c r="K24" s="9" t="s">
        <v>364</v>
      </c>
      <c r="L24" s="9" t="s">
        <v>197</v>
      </c>
      <c r="M24" s="9" t="s">
        <v>111</v>
      </c>
      <c r="N24" s="9" t="s">
        <v>145</v>
      </c>
      <c r="O24" s="9" t="s">
        <v>113</v>
      </c>
      <c r="P24" s="9" t="s">
        <v>365</v>
      </c>
      <c r="Q24" s="9" t="s">
        <v>174</v>
      </c>
      <c r="R24" s="9"/>
      <c r="S24" s="9"/>
      <c r="T24" s="9"/>
      <c r="U24" s="9" t="s">
        <v>22</v>
      </c>
      <c r="V24" s="9"/>
      <c r="W24" s="9" t="s">
        <v>135</v>
      </c>
      <c r="X24" s="9"/>
      <c r="Y24" s="9"/>
      <c r="Z24" s="9"/>
      <c r="AA24" s="9" t="s">
        <v>366</v>
      </c>
      <c r="AB24" s="9" t="s">
        <v>367</v>
      </c>
      <c r="AC24" s="9" t="s">
        <v>368</v>
      </c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3"/>
      <c r="CN24" s="3"/>
      <c r="CO24" s="3"/>
      <c r="CP24" s="3"/>
      <c r="CQ24" s="3"/>
      <c r="CR24" s="3" t="s">
        <v>120</v>
      </c>
      <c r="CS24" s="3" t="s">
        <v>180</v>
      </c>
      <c r="CT24" s="9" t="s">
        <v>369</v>
      </c>
      <c r="CU24" s="3" t="s">
        <v>192</v>
      </c>
      <c r="CV24" s="3" t="s">
        <v>124</v>
      </c>
      <c r="CW24" s="3" t="s">
        <v>370</v>
      </c>
      <c r="CY24" s="3" t="s">
        <v>205</v>
      </c>
      <c r="DG24" s="4"/>
    </row>
    <row r="25" customFormat="false" ht="11.25" hidden="false" customHeight="true" outlineLevel="0" collapsed="false">
      <c r="A25" s="9" t="n">
        <v>24</v>
      </c>
      <c r="B25" s="10" t="n">
        <v>46192.6853132523</v>
      </c>
      <c r="C25" s="10" t="n">
        <v>46192.6939359375</v>
      </c>
      <c r="D25" s="9" t="s">
        <v>371</v>
      </c>
      <c r="E25" s="9" t="s">
        <v>372</v>
      </c>
      <c r="F25" s="9" t="s">
        <v>372</v>
      </c>
      <c r="G25" s="9" t="s">
        <v>373</v>
      </c>
      <c r="H25" s="10" t="n">
        <v>46173</v>
      </c>
      <c r="I25" s="10" t="s">
        <v>260</v>
      </c>
      <c r="J25" s="9" t="s">
        <v>108</v>
      </c>
      <c r="K25" s="9" t="s">
        <v>143</v>
      </c>
      <c r="L25" s="9" t="s">
        <v>346</v>
      </c>
      <c r="M25" s="9" t="s">
        <v>111</v>
      </c>
      <c r="N25" s="9" t="s">
        <v>112</v>
      </c>
      <c r="O25" s="9" t="s">
        <v>113</v>
      </c>
      <c r="P25" s="9" t="s">
        <v>365</v>
      </c>
      <c r="Q25" s="9" t="s">
        <v>259</v>
      </c>
      <c r="R25" s="9"/>
      <c r="S25" s="9"/>
      <c r="T25" s="9"/>
      <c r="U25" s="9" t="s">
        <v>21</v>
      </c>
      <c r="V25" s="9" t="s">
        <v>374</v>
      </c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 t="s">
        <v>375</v>
      </c>
      <c r="AK25" s="9" t="s">
        <v>376</v>
      </c>
      <c r="AL25" s="9" t="s">
        <v>377</v>
      </c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3"/>
      <c r="CN25" s="3"/>
      <c r="CO25" s="3"/>
      <c r="CP25" s="3"/>
      <c r="CQ25" s="3"/>
      <c r="CR25" s="3" t="s">
        <v>152</v>
      </c>
      <c r="CS25" s="3" t="s">
        <v>121</v>
      </c>
      <c r="CT25" s="9" t="s">
        <v>122</v>
      </c>
      <c r="CU25" s="3" t="s">
        <v>192</v>
      </c>
      <c r="CV25" s="3" t="s">
        <v>168</v>
      </c>
      <c r="CW25" s="3"/>
      <c r="DG25" s="4"/>
    </row>
    <row r="26" customFormat="false" ht="11.25" hidden="false" customHeight="true" outlineLevel="0" collapsed="false">
      <c r="A26" s="9" t="n">
        <v>25</v>
      </c>
      <c r="B26" s="10" t="n">
        <v>46061.6944871875</v>
      </c>
      <c r="C26" s="10" t="n">
        <v>46061.699406169</v>
      </c>
      <c r="D26" s="9" t="s">
        <v>378</v>
      </c>
      <c r="E26" s="9" t="s">
        <v>379</v>
      </c>
      <c r="F26" s="9" t="s">
        <v>379</v>
      </c>
      <c r="G26" s="9" t="s">
        <v>380</v>
      </c>
      <c r="H26" s="10" t="n">
        <v>46059</v>
      </c>
      <c r="I26" s="10" t="s">
        <v>107</v>
      </c>
      <c r="J26" s="9" t="s">
        <v>295</v>
      </c>
      <c r="K26" s="9" t="s">
        <v>232</v>
      </c>
      <c r="L26" s="9" t="s">
        <v>296</v>
      </c>
      <c r="M26" s="9" t="s">
        <v>111</v>
      </c>
      <c r="N26" s="9" t="s">
        <v>145</v>
      </c>
      <c r="O26" s="9" t="s">
        <v>325</v>
      </c>
      <c r="P26" s="9" t="s">
        <v>258</v>
      </c>
      <c r="Q26" s="9" t="s">
        <v>115</v>
      </c>
      <c r="R26" s="9"/>
      <c r="S26" s="9"/>
      <c r="T26" s="9"/>
      <c r="U26" s="9" t="s">
        <v>22</v>
      </c>
      <c r="V26" s="9"/>
      <c r="W26" s="9" t="s">
        <v>381</v>
      </c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 t="s">
        <v>382</v>
      </c>
      <c r="BR26" s="9" t="s">
        <v>383</v>
      </c>
      <c r="BS26" s="9" t="s">
        <v>384</v>
      </c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3"/>
      <c r="CN26" s="3"/>
      <c r="CO26" s="3"/>
      <c r="CP26" s="3"/>
      <c r="CQ26" s="3"/>
      <c r="CR26" s="3" t="s">
        <v>152</v>
      </c>
      <c r="CS26" s="3" t="s">
        <v>180</v>
      </c>
      <c r="CT26" s="9" t="s">
        <v>385</v>
      </c>
      <c r="CU26" s="3" t="s">
        <v>167</v>
      </c>
      <c r="CV26" s="3" t="s">
        <v>139</v>
      </c>
      <c r="CW26" s="3"/>
      <c r="DG26" s="4"/>
    </row>
    <row r="27" customFormat="false" ht="11.25" hidden="false" customHeight="true" outlineLevel="0" collapsed="false">
      <c r="A27" s="9" t="n">
        <v>26</v>
      </c>
      <c r="B27" s="10" t="n">
        <v>46122.9785777199</v>
      </c>
      <c r="C27" s="10" t="n">
        <v>46122.9978832755</v>
      </c>
      <c r="D27" s="9" t="s">
        <v>386</v>
      </c>
      <c r="E27" s="9" t="s">
        <v>387</v>
      </c>
      <c r="F27" s="9" t="s">
        <v>387</v>
      </c>
      <c r="G27" s="9" t="s">
        <v>388</v>
      </c>
      <c r="H27" s="10" t="n">
        <v>46102</v>
      </c>
      <c r="I27" s="10" t="s">
        <v>172</v>
      </c>
      <c r="J27" s="9" t="s">
        <v>108</v>
      </c>
      <c r="K27" s="9" t="s">
        <v>245</v>
      </c>
      <c r="L27" s="9" t="s">
        <v>389</v>
      </c>
      <c r="M27" s="9" t="s">
        <v>390</v>
      </c>
      <c r="N27" s="9" t="s">
        <v>112</v>
      </c>
      <c r="O27" s="9" t="s">
        <v>113</v>
      </c>
      <c r="P27" s="9" t="s">
        <v>391</v>
      </c>
      <c r="Q27" s="9" t="s">
        <v>280</v>
      </c>
      <c r="R27" s="9"/>
      <c r="S27" s="9"/>
      <c r="T27" s="9"/>
      <c r="U27" s="9" t="s">
        <v>21</v>
      </c>
      <c r="V27" s="9" t="s">
        <v>348</v>
      </c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 t="s">
        <v>392</v>
      </c>
      <c r="BC27" s="9" t="s">
        <v>350</v>
      </c>
      <c r="BD27" s="9" t="s">
        <v>393</v>
      </c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3"/>
      <c r="CN27" s="3"/>
      <c r="CO27" s="3"/>
      <c r="CP27" s="3"/>
      <c r="CQ27" s="3"/>
      <c r="CR27" s="3" t="s">
        <v>152</v>
      </c>
      <c r="CS27" s="3" t="s">
        <v>121</v>
      </c>
      <c r="CT27" s="9" t="s">
        <v>122</v>
      </c>
      <c r="CU27" s="3" t="s">
        <v>167</v>
      </c>
      <c r="CV27" s="3" t="s">
        <v>168</v>
      </c>
      <c r="CW27" s="3"/>
      <c r="DG27" s="4"/>
    </row>
    <row r="28" customFormat="false" ht="11.25" hidden="false" customHeight="true" outlineLevel="0" collapsed="false">
      <c r="A28" s="9" t="n">
        <v>27</v>
      </c>
      <c r="B28" s="10" t="n">
        <v>46077.5030995718</v>
      </c>
      <c r="C28" s="10" t="n">
        <v>46077.5057731829</v>
      </c>
      <c r="D28" s="9" t="s">
        <v>394</v>
      </c>
      <c r="E28" s="9" t="s">
        <v>395</v>
      </c>
      <c r="F28" s="9" t="s">
        <v>395</v>
      </c>
      <c r="G28" s="9" t="s">
        <v>396</v>
      </c>
      <c r="H28" s="10" t="n">
        <v>46058</v>
      </c>
      <c r="I28" s="10" t="s">
        <v>278</v>
      </c>
      <c r="J28" s="9" t="s">
        <v>108</v>
      </c>
      <c r="K28" s="9" t="s">
        <v>143</v>
      </c>
      <c r="L28" s="9" t="s">
        <v>346</v>
      </c>
      <c r="M28" s="9" t="s">
        <v>111</v>
      </c>
      <c r="N28" s="9" t="s">
        <v>247</v>
      </c>
      <c r="O28" s="9" t="s">
        <v>113</v>
      </c>
      <c r="P28" s="9" t="s">
        <v>397</v>
      </c>
      <c r="Q28" s="9" t="s">
        <v>398</v>
      </c>
      <c r="R28" s="9"/>
      <c r="S28" s="9"/>
      <c r="T28" s="9"/>
      <c r="U28" s="9" t="s">
        <v>21</v>
      </c>
      <c r="V28" s="9" t="s">
        <v>187</v>
      </c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 t="s">
        <v>188</v>
      </c>
      <c r="AQ28" s="9" t="s">
        <v>399</v>
      </c>
      <c r="AR28" s="9" t="s">
        <v>190</v>
      </c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3"/>
      <c r="CN28" s="3"/>
      <c r="CO28" s="3"/>
      <c r="CP28" s="3"/>
      <c r="CQ28" s="3"/>
      <c r="CR28" s="3" t="s">
        <v>152</v>
      </c>
      <c r="CS28" s="3" t="s">
        <v>400</v>
      </c>
      <c r="CT28" s="9" t="s">
        <v>401</v>
      </c>
      <c r="CU28" s="3" t="s">
        <v>167</v>
      </c>
      <c r="CV28" s="3" t="s">
        <v>124</v>
      </c>
      <c r="CW28" s="3"/>
      <c r="DG28" s="4"/>
    </row>
    <row r="29" customFormat="false" ht="11.25" hidden="false" customHeight="true" outlineLevel="0" collapsed="false">
      <c r="A29" s="9" t="n">
        <v>28</v>
      </c>
      <c r="B29" s="10" t="n">
        <v>46167.3860381019</v>
      </c>
      <c r="C29" s="10" t="n">
        <v>46167.4041399537</v>
      </c>
      <c r="D29" s="9" t="s">
        <v>402</v>
      </c>
      <c r="E29" s="9" t="s">
        <v>403</v>
      </c>
      <c r="F29" s="9" t="s">
        <v>403</v>
      </c>
      <c r="G29" s="9" t="s">
        <v>404</v>
      </c>
      <c r="H29" s="10" t="n">
        <v>46152</v>
      </c>
      <c r="I29" s="10" t="s">
        <v>405</v>
      </c>
      <c r="J29" s="9" t="s">
        <v>108</v>
      </c>
      <c r="K29" s="9" t="s">
        <v>245</v>
      </c>
      <c r="L29" s="9" t="s">
        <v>286</v>
      </c>
      <c r="M29" s="9" t="s">
        <v>211</v>
      </c>
      <c r="N29" s="9" t="s">
        <v>112</v>
      </c>
      <c r="O29" s="9" t="s">
        <v>305</v>
      </c>
      <c r="P29" s="9" t="s">
        <v>406</v>
      </c>
      <c r="Q29" s="9" t="s">
        <v>407</v>
      </c>
      <c r="R29" s="9"/>
      <c r="S29" s="9"/>
      <c r="T29" s="9"/>
      <c r="U29" s="9" t="s">
        <v>22</v>
      </c>
      <c r="V29" s="9"/>
      <c r="W29" s="9" t="s">
        <v>339</v>
      </c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 t="s">
        <v>408</v>
      </c>
      <c r="BO29" s="9" t="s">
        <v>252</v>
      </c>
      <c r="BP29" s="9" t="s">
        <v>409</v>
      </c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3"/>
      <c r="CN29" s="3"/>
      <c r="CO29" s="3"/>
      <c r="CP29" s="3"/>
      <c r="CQ29" s="3"/>
      <c r="CR29" s="3" t="s">
        <v>320</v>
      </c>
      <c r="CS29" s="3" t="s">
        <v>121</v>
      </c>
      <c r="CT29" s="9" t="s">
        <v>122</v>
      </c>
      <c r="CU29" s="3" t="s">
        <v>123</v>
      </c>
      <c r="CV29" s="3" t="s">
        <v>124</v>
      </c>
      <c r="CW29" s="3"/>
      <c r="DG29" s="4"/>
    </row>
    <row r="30" customFormat="false" ht="11.25" hidden="false" customHeight="true" outlineLevel="0" collapsed="false">
      <c r="A30" s="9" t="n">
        <v>29</v>
      </c>
      <c r="B30" s="10" t="n">
        <v>46154.2159840625</v>
      </c>
      <c r="C30" s="10" t="n">
        <v>46154.221840544</v>
      </c>
      <c r="D30" s="9" t="s">
        <v>410</v>
      </c>
      <c r="E30" s="9" t="s">
        <v>411</v>
      </c>
      <c r="F30" s="9" t="s">
        <v>411</v>
      </c>
      <c r="G30" s="9" t="s">
        <v>412</v>
      </c>
      <c r="H30" s="10" t="n">
        <v>46142</v>
      </c>
      <c r="I30" s="10" t="s">
        <v>107</v>
      </c>
      <c r="J30" s="9" t="s">
        <v>295</v>
      </c>
      <c r="K30" s="9" t="s">
        <v>413</v>
      </c>
      <c r="L30" s="9" t="s">
        <v>389</v>
      </c>
      <c r="M30" s="9" t="s">
        <v>111</v>
      </c>
      <c r="N30" s="9" t="s">
        <v>145</v>
      </c>
      <c r="O30" s="9" t="s">
        <v>113</v>
      </c>
      <c r="P30" s="9" t="s">
        <v>234</v>
      </c>
      <c r="Q30" s="9" t="s">
        <v>414</v>
      </c>
      <c r="R30" s="9"/>
      <c r="S30" s="9"/>
      <c r="T30" s="9"/>
      <c r="U30" s="9" t="s">
        <v>24</v>
      </c>
      <c r="V30" s="9"/>
      <c r="W30" s="9"/>
      <c r="X30" s="9"/>
      <c r="Y30" s="9" t="s">
        <v>223</v>
      </c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 t="s">
        <v>415</v>
      </c>
      <c r="CA30" s="9" t="s">
        <v>416</v>
      </c>
      <c r="CB30" s="9" t="s">
        <v>417</v>
      </c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3"/>
      <c r="CN30" s="3"/>
      <c r="CO30" s="3"/>
      <c r="CP30" s="3"/>
      <c r="CQ30" s="3"/>
      <c r="CR30" s="3" t="s">
        <v>120</v>
      </c>
      <c r="CS30" s="3" t="s">
        <v>121</v>
      </c>
      <c r="CT30" s="9" t="s">
        <v>122</v>
      </c>
      <c r="CU30" s="3" t="s">
        <v>167</v>
      </c>
      <c r="CV30" s="3" t="s">
        <v>124</v>
      </c>
      <c r="CW30" s="3"/>
      <c r="DG30" s="4"/>
    </row>
    <row r="31" customFormat="false" ht="11.25" hidden="false" customHeight="true" outlineLevel="0" collapsed="false">
      <c r="A31" s="9" t="n">
        <v>30</v>
      </c>
      <c r="B31" s="10" t="n">
        <v>46203.3435546296</v>
      </c>
      <c r="C31" s="10" t="n">
        <v>46203.3543648148</v>
      </c>
      <c r="D31" s="9" t="s">
        <v>418</v>
      </c>
      <c r="E31" s="9" t="s">
        <v>419</v>
      </c>
      <c r="F31" s="9" t="s">
        <v>420</v>
      </c>
      <c r="G31" s="9" t="s">
        <v>421</v>
      </c>
      <c r="H31" s="10" t="n">
        <v>46193</v>
      </c>
      <c r="I31" s="10" t="s">
        <v>157</v>
      </c>
      <c r="J31" s="9" t="s">
        <v>128</v>
      </c>
      <c r="K31" s="9" t="s">
        <v>257</v>
      </c>
      <c r="L31" s="9" t="s">
        <v>389</v>
      </c>
      <c r="M31" s="9" t="s">
        <v>131</v>
      </c>
      <c r="N31" s="9" t="s">
        <v>112</v>
      </c>
      <c r="O31" s="9" t="s">
        <v>113</v>
      </c>
      <c r="P31" s="9" t="s">
        <v>337</v>
      </c>
      <c r="Q31" s="9" t="s">
        <v>422</v>
      </c>
      <c r="R31" s="9"/>
      <c r="S31" s="9"/>
      <c r="T31" s="9"/>
      <c r="U31" s="9" t="s">
        <v>24</v>
      </c>
      <c r="V31" s="9"/>
      <c r="W31" s="9"/>
      <c r="X31" s="9"/>
      <c r="Y31" s="9" t="s">
        <v>223</v>
      </c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 t="s">
        <v>423</v>
      </c>
      <c r="CA31" s="9" t="s">
        <v>424</v>
      </c>
      <c r="CB31" s="9" t="s">
        <v>425</v>
      </c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3"/>
      <c r="CN31" s="3"/>
      <c r="CO31" s="3"/>
      <c r="CP31" s="3"/>
      <c r="CQ31" s="3"/>
      <c r="CR31" s="3" t="s">
        <v>120</v>
      </c>
      <c r="CS31" s="3" t="s">
        <v>121</v>
      </c>
      <c r="CT31" s="9" t="s">
        <v>426</v>
      </c>
      <c r="CU31" s="3" t="s">
        <v>123</v>
      </c>
      <c r="CV31" s="3" t="s">
        <v>124</v>
      </c>
      <c r="CW31" s="3"/>
      <c r="DG31" s="4"/>
    </row>
    <row r="32" customFormat="false" ht="11.25" hidden="false" customHeight="true" outlineLevel="0" collapsed="false">
      <c r="A32" s="9" t="n">
        <v>31</v>
      </c>
      <c r="B32" s="10" t="n">
        <v>46116.2035144213</v>
      </c>
      <c r="C32" s="10" t="n">
        <v>46116.2091625694</v>
      </c>
      <c r="D32" s="9" t="s">
        <v>427</v>
      </c>
      <c r="E32" s="9" t="s">
        <v>428</v>
      </c>
      <c r="F32" s="9" t="s">
        <v>428</v>
      </c>
      <c r="G32" s="9" t="s">
        <v>429</v>
      </c>
      <c r="H32" s="10" t="n">
        <v>46097</v>
      </c>
      <c r="I32" s="10" t="s">
        <v>157</v>
      </c>
      <c r="J32" s="9" t="s">
        <v>108</v>
      </c>
      <c r="K32" s="9" t="s">
        <v>430</v>
      </c>
      <c r="L32" s="9" t="s">
        <v>431</v>
      </c>
      <c r="M32" s="9" t="s">
        <v>111</v>
      </c>
      <c r="N32" s="9" t="s">
        <v>112</v>
      </c>
      <c r="O32" s="9" t="s">
        <v>113</v>
      </c>
      <c r="P32" s="9" t="s">
        <v>234</v>
      </c>
      <c r="Q32" s="9" t="s">
        <v>432</v>
      </c>
      <c r="R32" s="9"/>
      <c r="S32" s="9"/>
      <c r="T32" s="9"/>
      <c r="U32" s="9" t="s">
        <v>24</v>
      </c>
      <c r="V32" s="9"/>
      <c r="W32" s="9"/>
      <c r="X32" s="9"/>
      <c r="Y32" s="9" t="s">
        <v>214</v>
      </c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 t="s">
        <v>433</v>
      </c>
      <c r="CD32" s="9" t="s">
        <v>434</v>
      </c>
      <c r="CE32" s="9" t="s">
        <v>435</v>
      </c>
      <c r="CF32" s="9"/>
      <c r="CG32" s="9"/>
      <c r="CH32" s="9"/>
      <c r="CI32" s="9"/>
      <c r="CJ32" s="9"/>
      <c r="CK32" s="9"/>
      <c r="CL32" s="9"/>
      <c r="CM32" s="3"/>
      <c r="CN32" s="3"/>
      <c r="CO32" s="3"/>
      <c r="CP32" s="3"/>
      <c r="CQ32" s="3"/>
      <c r="CR32" s="3" t="s">
        <v>120</v>
      </c>
      <c r="CS32" s="3" t="s">
        <v>121</v>
      </c>
      <c r="CT32" s="9" t="s">
        <v>122</v>
      </c>
      <c r="CU32" s="3" t="s">
        <v>123</v>
      </c>
      <c r="CV32" s="3" t="s">
        <v>124</v>
      </c>
      <c r="CW32" s="3"/>
      <c r="DG32" s="4"/>
    </row>
    <row r="33" customFormat="false" ht="11.25" hidden="false" customHeight="true" outlineLevel="0" collapsed="false">
      <c r="A33" s="9" t="n">
        <v>32</v>
      </c>
      <c r="B33" s="10" t="n">
        <v>46141.1763711806</v>
      </c>
      <c r="C33" s="10" t="n">
        <v>46141.1913827546</v>
      </c>
      <c r="D33" s="9" t="s">
        <v>436</v>
      </c>
      <c r="E33" s="9" t="s">
        <v>437</v>
      </c>
      <c r="F33" s="9" t="s">
        <v>437</v>
      </c>
      <c r="G33" s="9" t="s">
        <v>438</v>
      </c>
      <c r="H33" s="10" t="n">
        <v>46132</v>
      </c>
      <c r="I33" s="10" t="s">
        <v>107</v>
      </c>
      <c r="J33" s="9" t="s">
        <v>295</v>
      </c>
      <c r="K33" s="9" t="s">
        <v>173</v>
      </c>
      <c r="L33" s="9" t="s">
        <v>197</v>
      </c>
      <c r="M33" s="9" t="s">
        <v>211</v>
      </c>
      <c r="N33" s="9" t="s">
        <v>145</v>
      </c>
      <c r="O33" s="9" t="s">
        <v>132</v>
      </c>
      <c r="P33" s="9" t="s">
        <v>439</v>
      </c>
      <c r="Q33" s="9" t="s">
        <v>440</v>
      </c>
      <c r="R33" s="9"/>
      <c r="S33" s="9" t="s">
        <v>441</v>
      </c>
      <c r="T33" s="9"/>
      <c r="U33" s="9" t="s">
        <v>23</v>
      </c>
      <c r="V33" s="9"/>
      <c r="W33" s="9"/>
      <c r="X33" s="9" t="s">
        <v>442</v>
      </c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3"/>
      <c r="CN33" s="3"/>
      <c r="CO33" s="3"/>
      <c r="CP33" s="3"/>
      <c r="CQ33" s="3"/>
      <c r="CR33" s="3" t="s">
        <v>152</v>
      </c>
      <c r="CS33" s="3" t="s">
        <v>121</v>
      </c>
      <c r="CT33" s="9" t="s">
        <v>122</v>
      </c>
      <c r="CU33" s="3" t="s">
        <v>192</v>
      </c>
      <c r="CV33" s="3" t="s">
        <v>124</v>
      </c>
      <c r="CW33" s="3"/>
      <c r="DG33" s="4"/>
    </row>
    <row r="34" customFormat="false" ht="11.25" hidden="false" customHeight="true" outlineLevel="0" collapsed="false">
      <c r="A34" s="9" t="n">
        <v>33</v>
      </c>
      <c r="B34" s="10" t="n">
        <v>46046.7559219444</v>
      </c>
      <c r="C34" s="10" t="n">
        <v>46046.7582367593</v>
      </c>
      <c r="D34" s="9" t="s">
        <v>443</v>
      </c>
      <c r="E34" s="9" t="s">
        <v>444</v>
      </c>
      <c r="F34" s="9" t="s">
        <v>444</v>
      </c>
      <c r="G34" s="9" t="s">
        <v>445</v>
      </c>
      <c r="H34" s="10" t="n">
        <v>46045</v>
      </c>
      <c r="I34" s="10" t="s">
        <v>244</v>
      </c>
      <c r="J34" s="9" t="s">
        <v>295</v>
      </c>
      <c r="K34" s="9" t="s">
        <v>446</v>
      </c>
      <c r="L34" s="9" t="s">
        <v>130</v>
      </c>
      <c r="M34" s="9" t="s">
        <v>111</v>
      </c>
      <c r="N34" s="9" t="s">
        <v>112</v>
      </c>
      <c r="O34" s="9" t="s">
        <v>113</v>
      </c>
      <c r="P34" s="9" t="s">
        <v>447</v>
      </c>
      <c r="Q34" s="9" t="s">
        <v>249</v>
      </c>
      <c r="R34" s="9"/>
      <c r="S34" s="9"/>
      <c r="T34" s="9"/>
      <c r="U34" s="9" t="s">
        <v>24</v>
      </c>
      <c r="V34" s="9"/>
      <c r="W34" s="9"/>
      <c r="X34" s="9"/>
      <c r="Y34" s="9" t="s">
        <v>448</v>
      </c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 t="s">
        <v>449</v>
      </c>
      <c r="BX34" s="9" t="s">
        <v>450</v>
      </c>
      <c r="BY34" s="9" t="s">
        <v>451</v>
      </c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3"/>
      <c r="CN34" s="3"/>
      <c r="CO34" s="3"/>
      <c r="CP34" s="3"/>
      <c r="CQ34" s="3"/>
      <c r="CR34" s="3" t="s">
        <v>227</v>
      </c>
      <c r="CS34" s="3" t="s">
        <v>121</v>
      </c>
      <c r="CT34" s="9" t="s">
        <v>452</v>
      </c>
      <c r="CU34" s="3" t="s">
        <v>192</v>
      </c>
      <c r="CV34" s="3" t="s">
        <v>139</v>
      </c>
      <c r="CW34" s="3" t="s">
        <v>219</v>
      </c>
      <c r="DG34" s="4"/>
    </row>
    <row r="35" customFormat="false" ht="11.25" hidden="false" customHeight="true" outlineLevel="0" collapsed="false">
      <c r="A35" s="9" t="n">
        <v>34</v>
      </c>
      <c r="B35" s="10" t="n">
        <v>46046.7311473958</v>
      </c>
      <c r="C35" s="10" t="n">
        <v>46046.7328603588</v>
      </c>
      <c r="D35" s="9" t="s">
        <v>453</v>
      </c>
      <c r="E35" s="9" t="s">
        <v>454</v>
      </c>
      <c r="F35" s="9" t="s">
        <v>454</v>
      </c>
      <c r="G35" s="9" t="s">
        <v>455</v>
      </c>
      <c r="H35" s="10" t="n">
        <v>46032</v>
      </c>
      <c r="I35" s="10" t="s">
        <v>172</v>
      </c>
      <c r="J35" s="9" t="s">
        <v>295</v>
      </c>
      <c r="K35" s="9" t="s">
        <v>456</v>
      </c>
      <c r="L35" s="9" t="s">
        <v>210</v>
      </c>
      <c r="M35" s="9" t="s">
        <v>131</v>
      </c>
      <c r="N35" s="9" t="s">
        <v>247</v>
      </c>
      <c r="O35" s="9" t="s">
        <v>113</v>
      </c>
      <c r="P35" s="9" t="s">
        <v>114</v>
      </c>
      <c r="Q35" s="9" t="s">
        <v>287</v>
      </c>
      <c r="R35" s="9"/>
      <c r="S35" s="9"/>
      <c r="T35" s="9"/>
      <c r="U35" s="9" t="s">
        <v>21</v>
      </c>
      <c r="V35" s="9" t="s">
        <v>457</v>
      </c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 t="s">
        <v>433</v>
      </c>
      <c r="AN35" s="9" t="s">
        <v>434</v>
      </c>
      <c r="AO35" s="9" t="s">
        <v>458</v>
      </c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3"/>
      <c r="CN35" s="3"/>
      <c r="CO35" s="3"/>
      <c r="CP35" s="3"/>
      <c r="CQ35" s="3"/>
      <c r="CR35" s="3" t="s">
        <v>152</v>
      </c>
      <c r="CS35" s="3" t="s">
        <v>228</v>
      </c>
      <c r="CT35" s="9"/>
      <c r="CU35" s="3" t="s">
        <v>123</v>
      </c>
      <c r="CV35" s="3" t="s">
        <v>168</v>
      </c>
      <c r="CW35" s="3"/>
      <c r="DG35" s="4"/>
    </row>
    <row r="36" customFormat="false" ht="11.25" hidden="false" customHeight="true" outlineLevel="0" collapsed="false">
      <c r="A36" s="9" t="n">
        <v>35</v>
      </c>
      <c r="B36" s="10" t="n">
        <v>46057.9478225232</v>
      </c>
      <c r="C36" s="10" t="n">
        <v>46057.9668155787</v>
      </c>
      <c r="D36" s="9" t="s">
        <v>459</v>
      </c>
      <c r="E36" s="9" t="s">
        <v>460</v>
      </c>
      <c r="F36" s="9" t="s">
        <v>460</v>
      </c>
      <c r="G36" s="9" t="s">
        <v>461</v>
      </c>
      <c r="H36" s="10" t="n">
        <v>46044</v>
      </c>
      <c r="I36" s="10" t="s">
        <v>244</v>
      </c>
      <c r="J36" s="9" t="s">
        <v>295</v>
      </c>
      <c r="K36" s="9" t="s">
        <v>462</v>
      </c>
      <c r="L36" s="9" t="s">
        <v>389</v>
      </c>
      <c r="M36" s="9" t="s">
        <v>111</v>
      </c>
      <c r="N36" s="9" t="s">
        <v>247</v>
      </c>
      <c r="O36" s="9" t="s">
        <v>113</v>
      </c>
      <c r="P36" s="9" t="s">
        <v>397</v>
      </c>
      <c r="Q36" s="9" t="s">
        <v>227</v>
      </c>
      <c r="R36" s="9"/>
      <c r="S36" s="9"/>
      <c r="T36" s="9"/>
      <c r="U36" s="9" t="s">
        <v>22</v>
      </c>
      <c r="V36" s="9"/>
      <c r="W36" s="9" t="s">
        <v>381</v>
      </c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 t="s">
        <v>463</v>
      </c>
      <c r="BR36" s="9" t="s">
        <v>464</v>
      </c>
      <c r="BS36" s="9" t="s">
        <v>465</v>
      </c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3"/>
      <c r="CN36" s="3"/>
      <c r="CO36" s="3"/>
      <c r="CP36" s="3"/>
      <c r="CQ36" s="3"/>
      <c r="CR36" s="3" t="s">
        <v>152</v>
      </c>
      <c r="CS36" s="3" t="s">
        <v>121</v>
      </c>
      <c r="CT36" s="9" t="s">
        <v>122</v>
      </c>
      <c r="CU36" s="3" t="s">
        <v>192</v>
      </c>
      <c r="CV36" s="3" t="s">
        <v>124</v>
      </c>
      <c r="CW36" s="3"/>
      <c r="DG36" s="4"/>
    </row>
    <row r="37" customFormat="false" ht="11.25" hidden="false" customHeight="true" outlineLevel="0" collapsed="false">
      <c r="A37" s="9" t="n">
        <v>36</v>
      </c>
      <c r="B37" s="10" t="n">
        <v>46181.1826159259</v>
      </c>
      <c r="C37" s="10" t="n">
        <v>46181.2026506482</v>
      </c>
      <c r="D37" s="9" t="s">
        <v>466</v>
      </c>
      <c r="E37" s="9" t="s">
        <v>467</v>
      </c>
      <c r="F37" s="9" t="s">
        <v>467</v>
      </c>
      <c r="G37" s="9" t="s">
        <v>468</v>
      </c>
      <c r="H37" s="10" t="n">
        <v>46177</v>
      </c>
      <c r="I37" s="10" t="s">
        <v>278</v>
      </c>
      <c r="J37" s="9" t="s">
        <v>108</v>
      </c>
      <c r="K37" s="9" t="s">
        <v>143</v>
      </c>
      <c r="L37" s="9" t="s">
        <v>286</v>
      </c>
      <c r="M37" s="9" t="s">
        <v>131</v>
      </c>
      <c r="N37" s="9" t="s">
        <v>112</v>
      </c>
      <c r="O37" s="9" t="s">
        <v>325</v>
      </c>
      <c r="P37" s="9" t="s">
        <v>447</v>
      </c>
      <c r="Q37" s="9" t="s">
        <v>469</v>
      </c>
      <c r="R37" s="9"/>
      <c r="S37" s="9"/>
      <c r="T37" s="9"/>
      <c r="U37" s="9" t="s">
        <v>21</v>
      </c>
      <c r="V37" s="9" t="s">
        <v>307</v>
      </c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 t="s">
        <v>470</v>
      </c>
      <c r="AT37" s="9" t="s">
        <v>471</v>
      </c>
      <c r="AU37" s="9" t="s">
        <v>472</v>
      </c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3"/>
      <c r="CN37" s="3"/>
      <c r="CO37" s="3"/>
      <c r="CP37" s="3"/>
      <c r="CQ37" s="3"/>
      <c r="CR37" s="3" t="s">
        <v>152</v>
      </c>
      <c r="CS37" s="3" t="s">
        <v>352</v>
      </c>
      <c r="CT37" s="9"/>
      <c r="CU37" s="3" t="s">
        <v>123</v>
      </c>
      <c r="CV37" s="3" t="s">
        <v>124</v>
      </c>
      <c r="CW37" s="3"/>
      <c r="DG37" s="4"/>
    </row>
    <row r="38" customFormat="false" ht="11.25" hidden="false" customHeight="true" outlineLevel="0" collapsed="false">
      <c r="A38" s="9" t="n">
        <v>37</v>
      </c>
      <c r="B38" s="10" t="n">
        <v>46154.0757953357</v>
      </c>
      <c r="C38" s="10" t="n">
        <v>46154.0884689468</v>
      </c>
      <c r="D38" s="9" t="s">
        <v>473</v>
      </c>
      <c r="E38" s="9" t="s">
        <v>474</v>
      </c>
      <c r="F38" s="9" t="s">
        <v>474</v>
      </c>
      <c r="G38" s="9" t="s">
        <v>475</v>
      </c>
      <c r="H38" s="10" t="n">
        <v>46138</v>
      </c>
      <c r="I38" s="10" t="s">
        <v>244</v>
      </c>
      <c r="J38" s="9" t="s">
        <v>108</v>
      </c>
      <c r="K38" s="9" t="s">
        <v>476</v>
      </c>
      <c r="L38" s="9" t="s">
        <v>197</v>
      </c>
      <c r="M38" s="9" t="s">
        <v>111</v>
      </c>
      <c r="N38" s="9" t="s">
        <v>145</v>
      </c>
      <c r="O38" s="9" t="s">
        <v>113</v>
      </c>
      <c r="P38" s="9" t="s">
        <v>477</v>
      </c>
      <c r="Q38" s="9" t="s">
        <v>338</v>
      </c>
      <c r="R38" s="9"/>
      <c r="S38" s="9"/>
      <c r="T38" s="9"/>
      <c r="U38" s="9" t="s">
        <v>22</v>
      </c>
      <c r="V38" s="9"/>
      <c r="W38" s="9" t="s">
        <v>135</v>
      </c>
      <c r="X38" s="9"/>
      <c r="Y38" s="9"/>
      <c r="Z38" s="9"/>
      <c r="AA38" s="9" t="s">
        <v>478</v>
      </c>
      <c r="AB38" s="9" t="s">
        <v>479</v>
      </c>
      <c r="AC38" s="9" t="s">
        <v>252</v>
      </c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3"/>
      <c r="CN38" s="3"/>
      <c r="CO38" s="3"/>
      <c r="CP38" s="3"/>
      <c r="CQ38" s="3"/>
      <c r="CR38" s="3" t="s">
        <v>120</v>
      </c>
      <c r="CS38" s="3" t="s">
        <v>121</v>
      </c>
      <c r="CT38" s="9" t="s">
        <v>480</v>
      </c>
      <c r="CU38" s="3" t="s">
        <v>192</v>
      </c>
      <c r="CV38" s="3" t="s">
        <v>124</v>
      </c>
      <c r="CW38" s="3"/>
      <c r="DG38" s="4"/>
    </row>
    <row r="39" s="12" customFormat="true" ht="11.25" hidden="false" customHeight="true" outlineLevel="0" collapsed="false">
      <c r="A39" s="9" t="n">
        <v>38</v>
      </c>
      <c r="B39" s="10" t="n">
        <v>46156.7007610648</v>
      </c>
      <c r="C39" s="10" t="n">
        <v>46156.709846713</v>
      </c>
      <c r="D39" s="9" t="s">
        <v>481</v>
      </c>
      <c r="E39" s="9" t="s">
        <v>482</v>
      </c>
      <c r="F39" s="9" t="s">
        <v>482</v>
      </c>
      <c r="G39" s="9" t="s">
        <v>483</v>
      </c>
      <c r="H39" s="10" t="n">
        <v>46140</v>
      </c>
      <c r="I39" s="10" t="s">
        <v>172</v>
      </c>
      <c r="J39" s="9" t="s">
        <v>108</v>
      </c>
      <c r="K39" s="9" t="s">
        <v>462</v>
      </c>
      <c r="L39" s="9" t="s">
        <v>286</v>
      </c>
      <c r="M39" s="9" t="s">
        <v>111</v>
      </c>
      <c r="N39" s="9" t="s">
        <v>145</v>
      </c>
      <c r="O39" s="9" t="s">
        <v>113</v>
      </c>
      <c r="P39" s="9" t="s">
        <v>484</v>
      </c>
      <c r="Q39" s="9" t="s">
        <v>338</v>
      </c>
      <c r="R39" s="9"/>
      <c r="S39" s="9"/>
      <c r="T39" s="9"/>
      <c r="U39" s="9" t="s">
        <v>22</v>
      </c>
      <c r="V39" s="9"/>
      <c r="W39" s="9" t="s">
        <v>148</v>
      </c>
      <c r="X39" s="9"/>
      <c r="Y39" s="9"/>
      <c r="Z39" s="9"/>
      <c r="AA39" s="9"/>
      <c r="AB39" s="9"/>
      <c r="AC39" s="9"/>
      <c r="AD39" s="9" t="s">
        <v>485</v>
      </c>
      <c r="AE39" s="9" t="s">
        <v>486</v>
      </c>
      <c r="AF39" s="9" t="s">
        <v>487</v>
      </c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11"/>
      <c r="CN39" s="11"/>
      <c r="CO39" s="11"/>
      <c r="CP39" s="11"/>
      <c r="CQ39" s="11"/>
      <c r="CR39" s="11" t="s">
        <v>120</v>
      </c>
      <c r="CS39" s="11" t="s">
        <v>121</v>
      </c>
      <c r="CT39" s="9" t="s">
        <v>122</v>
      </c>
      <c r="CU39" s="11" t="s">
        <v>167</v>
      </c>
      <c r="CV39" s="11" t="s">
        <v>124</v>
      </c>
      <c r="CW39" s="11"/>
      <c r="CX39" s="11"/>
      <c r="CY39" s="11"/>
      <c r="CZ39" s="11"/>
      <c r="DA39" s="11"/>
      <c r="DB39" s="11"/>
      <c r="DC39" s="11"/>
      <c r="DD39" s="11"/>
      <c r="DE39" s="11"/>
      <c r="DF39" s="11"/>
    </row>
    <row r="40" customFormat="false" ht="11.25" hidden="false" customHeight="true" outlineLevel="0" collapsed="false">
      <c r="A40" s="9" t="n">
        <v>39</v>
      </c>
      <c r="B40" s="10" t="n">
        <v>46166.7118080556</v>
      </c>
      <c r="C40" s="10" t="n">
        <v>46166.716090463</v>
      </c>
      <c r="D40" s="9" t="s">
        <v>488</v>
      </c>
      <c r="E40" s="9" t="s">
        <v>489</v>
      </c>
      <c r="F40" s="9" t="s">
        <v>489</v>
      </c>
      <c r="G40" s="9" t="s">
        <v>490</v>
      </c>
      <c r="H40" s="10" t="n">
        <v>46153</v>
      </c>
      <c r="I40" s="10" t="s">
        <v>157</v>
      </c>
      <c r="J40" s="9" t="s">
        <v>295</v>
      </c>
      <c r="K40" s="9" t="s">
        <v>232</v>
      </c>
      <c r="L40" s="9" t="s">
        <v>491</v>
      </c>
      <c r="M40" s="9" t="s">
        <v>111</v>
      </c>
      <c r="N40" s="9" t="s">
        <v>112</v>
      </c>
      <c r="O40" s="9" t="s">
        <v>113</v>
      </c>
      <c r="P40" s="9" t="s">
        <v>492</v>
      </c>
      <c r="Q40" s="9" t="s">
        <v>186</v>
      </c>
      <c r="R40" s="9"/>
      <c r="S40" s="9"/>
      <c r="T40" s="9"/>
      <c r="U40" s="9" t="s">
        <v>24</v>
      </c>
      <c r="V40" s="9"/>
      <c r="W40" s="9"/>
      <c r="X40" s="9"/>
      <c r="Y40" s="9" t="s">
        <v>448</v>
      </c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 t="s">
        <v>493</v>
      </c>
      <c r="BX40" s="9" t="s">
        <v>494</v>
      </c>
      <c r="BY40" s="9" t="s">
        <v>495</v>
      </c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3"/>
      <c r="CN40" s="3"/>
      <c r="CO40" s="3"/>
      <c r="CP40" s="3"/>
      <c r="CQ40" s="3"/>
      <c r="CR40" s="3" t="s">
        <v>227</v>
      </c>
      <c r="CS40" s="3" t="s">
        <v>496</v>
      </c>
      <c r="CT40" s="9"/>
      <c r="CU40" s="3" t="s">
        <v>192</v>
      </c>
      <c r="CV40" s="3" t="s">
        <v>124</v>
      </c>
      <c r="CW40" s="3"/>
      <c r="DG40" s="4"/>
    </row>
    <row r="41" customFormat="false" ht="11.25" hidden="false" customHeight="true" outlineLevel="0" collapsed="false">
      <c r="A41" s="9" t="n">
        <v>40</v>
      </c>
      <c r="B41" s="10" t="n">
        <v>46068.5151938542</v>
      </c>
      <c r="C41" s="10" t="n">
        <v>46068.5299970949</v>
      </c>
      <c r="D41" s="9" t="s">
        <v>497</v>
      </c>
      <c r="E41" s="9" t="s">
        <v>498</v>
      </c>
      <c r="F41" s="9" t="s">
        <v>498</v>
      </c>
      <c r="G41" s="9" t="s">
        <v>499</v>
      </c>
      <c r="H41" s="10" t="n">
        <v>46064</v>
      </c>
      <c r="I41" s="10" t="s">
        <v>278</v>
      </c>
      <c r="J41" s="9" t="s">
        <v>128</v>
      </c>
      <c r="K41" s="9" t="s">
        <v>500</v>
      </c>
      <c r="L41" s="9" t="s">
        <v>233</v>
      </c>
      <c r="M41" s="9" t="s">
        <v>111</v>
      </c>
      <c r="N41" s="9" t="s">
        <v>112</v>
      </c>
      <c r="O41" s="9" t="s">
        <v>113</v>
      </c>
      <c r="P41" s="9" t="s">
        <v>501</v>
      </c>
      <c r="Q41" s="9" t="s">
        <v>175</v>
      </c>
      <c r="R41" s="9" t="s">
        <v>502</v>
      </c>
      <c r="S41" s="9"/>
      <c r="T41" s="9"/>
      <c r="U41" s="9" t="s">
        <v>23</v>
      </c>
      <c r="V41" s="9"/>
      <c r="W41" s="9"/>
      <c r="X41" s="9" t="s">
        <v>503</v>
      </c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3"/>
      <c r="CN41" s="3"/>
      <c r="CO41" s="3"/>
      <c r="CP41" s="3"/>
      <c r="CQ41" s="3"/>
      <c r="CR41" s="3" t="s">
        <v>152</v>
      </c>
      <c r="CS41" s="3" t="s">
        <v>352</v>
      </c>
      <c r="CT41" s="9"/>
      <c r="CU41" s="3" t="s">
        <v>123</v>
      </c>
      <c r="CV41" s="3" t="s">
        <v>124</v>
      </c>
      <c r="CW41" s="3"/>
      <c r="DG41" s="4"/>
    </row>
    <row r="42" customFormat="false" ht="11.25" hidden="false" customHeight="true" outlineLevel="0" collapsed="false">
      <c r="A42" s="9" t="n">
        <v>41</v>
      </c>
      <c r="B42" s="10" t="n">
        <v>46118.2371389352</v>
      </c>
      <c r="C42" s="10" t="n">
        <v>46118.2506690278</v>
      </c>
      <c r="D42" s="9" t="s">
        <v>504</v>
      </c>
      <c r="E42" s="9" t="s">
        <v>505</v>
      </c>
      <c r="F42" s="9" t="s">
        <v>505</v>
      </c>
      <c r="G42" s="9" t="s">
        <v>506</v>
      </c>
      <c r="H42" s="10" t="n">
        <v>46115</v>
      </c>
      <c r="I42" s="10" t="s">
        <v>107</v>
      </c>
      <c r="J42" s="9" t="s">
        <v>295</v>
      </c>
      <c r="K42" s="9" t="s">
        <v>232</v>
      </c>
      <c r="L42" s="9" t="s">
        <v>197</v>
      </c>
      <c r="M42" s="9" t="s">
        <v>111</v>
      </c>
      <c r="N42" s="9" t="s">
        <v>198</v>
      </c>
      <c r="O42" s="9" t="s">
        <v>113</v>
      </c>
      <c r="P42" s="9" t="s">
        <v>507</v>
      </c>
      <c r="Q42" s="9" t="s">
        <v>508</v>
      </c>
      <c r="R42" s="9"/>
      <c r="S42" s="9"/>
      <c r="T42" s="9"/>
      <c r="U42" s="9" t="s">
        <v>24</v>
      </c>
      <c r="V42" s="9"/>
      <c r="W42" s="9"/>
      <c r="X42" s="9"/>
      <c r="Y42" s="9" t="s">
        <v>223</v>
      </c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 t="s">
        <v>509</v>
      </c>
      <c r="CA42" s="9" t="s">
        <v>510</v>
      </c>
      <c r="CB42" s="9" t="s">
        <v>511</v>
      </c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3"/>
      <c r="CN42" s="3"/>
      <c r="CO42" s="3"/>
      <c r="CP42" s="3"/>
      <c r="CQ42" s="3"/>
      <c r="CR42" s="3" t="s">
        <v>152</v>
      </c>
      <c r="CS42" s="3" t="s">
        <v>121</v>
      </c>
      <c r="CT42" s="9" t="s">
        <v>122</v>
      </c>
      <c r="CU42" s="3" t="s">
        <v>192</v>
      </c>
      <c r="CV42" s="3" t="s">
        <v>124</v>
      </c>
      <c r="CW42" s="3"/>
      <c r="DG42" s="4"/>
    </row>
    <row r="43" customFormat="false" ht="11.25" hidden="false" customHeight="true" outlineLevel="0" collapsed="false">
      <c r="A43" s="9" t="n">
        <v>42</v>
      </c>
      <c r="B43" s="10" t="n">
        <v>46043.0316457986</v>
      </c>
      <c r="C43" s="10" t="n">
        <v>46043.0439258912</v>
      </c>
      <c r="D43" s="9" t="s">
        <v>512</v>
      </c>
      <c r="E43" s="9" t="s">
        <v>513</v>
      </c>
      <c r="F43" s="9" t="s">
        <v>513</v>
      </c>
      <c r="G43" s="9" t="s">
        <v>514</v>
      </c>
      <c r="H43" s="10" t="n">
        <v>46025</v>
      </c>
      <c r="I43" s="10" t="s">
        <v>172</v>
      </c>
      <c r="J43" s="9" t="s">
        <v>108</v>
      </c>
      <c r="K43" s="9" t="s">
        <v>232</v>
      </c>
      <c r="L43" s="9" t="s">
        <v>114</v>
      </c>
      <c r="M43" s="9" t="s">
        <v>111</v>
      </c>
      <c r="N43" s="9" t="s">
        <v>247</v>
      </c>
      <c r="O43" s="9" t="s">
        <v>113</v>
      </c>
      <c r="P43" s="9" t="s">
        <v>515</v>
      </c>
      <c r="Q43" s="9" t="s">
        <v>338</v>
      </c>
      <c r="R43" s="9"/>
      <c r="S43" s="9"/>
      <c r="T43" s="9"/>
      <c r="U43" s="9" t="s">
        <v>24</v>
      </c>
      <c r="V43" s="9"/>
      <c r="W43" s="9"/>
      <c r="X43" s="9"/>
      <c r="Y43" s="9" t="s">
        <v>448</v>
      </c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 t="s">
        <v>516</v>
      </c>
      <c r="BX43" s="9" t="s">
        <v>517</v>
      </c>
      <c r="BY43" s="9" t="s">
        <v>518</v>
      </c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3"/>
      <c r="CN43" s="3"/>
      <c r="CO43" s="3"/>
      <c r="CP43" s="3"/>
      <c r="CQ43" s="3"/>
      <c r="CR43" s="3" t="s">
        <v>152</v>
      </c>
      <c r="CS43" s="3" t="s">
        <v>121</v>
      </c>
      <c r="CT43" s="9"/>
      <c r="CU43" s="3" t="s">
        <v>123</v>
      </c>
      <c r="CV43" s="3" t="s">
        <v>124</v>
      </c>
      <c r="CW43" s="3"/>
      <c r="DG43" s="4"/>
    </row>
    <row r="44" customFormat="false" ht="11.25" hidden="false" customHeight="true" outlineLevel="0" collapsed="false">
      <c r="A44" s="9" t="n">
        <v>43</v>
      </c>
      <c r="B44" s="10" t="n">
        <v>46064.1533678009</v>
      </c>
      <c r="C44" s="10" t="n">
        <v>46064.1731478935</v>
      </c>
      <c r="D44" s="9" t="s">
        <v>519</v>
      </c>
      <c r="E44" s="9" t="s">
        <v>520</v>
      </c>
      <c r="F44" s="9" t="s">
        <v>520</v>
      </c>
      <c r="G44" s="9" t="s">
        <v>521</v>
      </c>
      <c r="H44" s="10" t="n">
        <v>46044</v>
      </c>
      <c r="I44" s="10" t="s">
        <v>278</v>
      </c>
      <c r="J44" s="9" t="s">
        <v>108</v>
      </c>
      <c r="K44" s="9" t="s">
        <v>522</v>
      </c>
      <c r="L44" s="9" t="s">
        <v>286</v>
      </c>
      <c r="M44" s="9" t="s">
        <v>111</v>
      </c>
      <c r="N44" s="9" t="s">
        <v>112</v>
      </c>
      <c r="O44" s="9" t="s">
        <v>325</v>
      </c>
      <c r="P44" s="9" t="s">
        <v>365</v>
      </c>
      <c r="Q44" s="9" t="s">
        <v>523</v>
      </c>
      <c r="R44" s="9"/>
      <c r="S44" s="9"/>
      <c r="T44" s="9"/>
      <c r="U44" s="9" t="s">
        <v>24</v>
      </c>
      <c r="V44" s="9"/>
      <c r="W44" s="9"/>
      <c r="X44" s="9"/>
      <c r="Y44" s="9" t="s">
        <v>214</v>
      </c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 t="s">
        <v>524</v>
      </c>
      <c r="CD44" s="9" t="s">
        <v>525</v>
      </c>
      <c r="CE44" s="9" t="s">
        <v>526</v>
      </c>
      <c r="CF44" s="9"/>
      <c r="CG44" s="9"/>
      <c r="CH44" s="9"/>
      <c r="CI44" s="9"/>
      <c r="CJ44" s="9"/>
      <c r="CK44" s="9"/>
      <c r="CL44" s="9"/>
      <c r="CM44" s="3"/>
      <c r="CN44" s="3"/>
      <c r="CO44" s="3"/>
      <c r="CP44" s="3"/>
      <c r="CQ44" s="3"/>
      <c r="CR44" s="3" t="s">
        <v>152</v>
      </c>
      <c r="CS44" s="3" t="s">
        <v>121</v>
      </c>
      <c r="CT44" s="9"/>
      <c r="CU44" s="3" t="s">
        <v>192</v>
      </c>
      <c r="CV44" s="3" t="s">
        <v>124</v>
      </c>
      <c r="CW44" s="3"/>
      <c r="DG44" s="4"/>
    </row>
    <row r="45" customFormat="false" ht="11.25" hidden="false" customHeight="true" outlineLevel="0" collapsed="false">
      <c r="A45" s="9" t="n">
        <v>44</v>
      </c>
      <c r="B45" s="10" t="n">
        <v>46063.8478312847</v>
      </c>
      <c r="C45" s="10" t="n">
        <v>46063.8510373032</v>
      </c>
      <c r="D45" s="9" t="s">
        <v>527</v>
      </c>
      <c r="E45" s="9" t="s">
        <v>528</v>
      </c>
      <c r="F45" s="9" t="s">
        <v>528</v>
      </c>
      <c r="G45" s="9" t="s">
        <v>529</v>
      </c>
      <c r="H45" s="10" t="n">
        <v>46061</v>
      </c>
      <c r="I45" s="10" t="s">
        <v>244</v>
      </c>
      <c r="J45" s="9" t="s">
        <v>108</v>
      </c>
      <c r="K45" s="9" t="s">
        <v>173</v>
      </c>
      <c r="L45" s="9" t="s">
        <v>296</v>
      </c>
      <c r="M45" s="9" t="s">
        <v>211</v>
      </c>
      <c r="N45" s="9" t="s">
        <v>112</v>
      </c>
      <c r="O45" s="9" t="s">
        <v>113</v>
      </c>
      <c r="P45" s="9" t="s">
        <v>269</v>
      </c>
      <c r="Q45" s="9" t="s">
        <v>287</v>
      </c>
      <c r="R45" s="9"/>
      <c r="S45" s="9"/>
      <c r="T45" s="9"/>
      <c r="U45" s="9" t="s">
        <v>22</v>
      </c>
      <c r="V45" s="9"/>
      <c r="W45" s="9" t="s">
        <v>135</v>
      </c>
      <c r="X45" s="9"/>
      <c r="Y45" s="9"/>
      <c r="Z45" s="9"/>
      <c r="AA45" s="9" t="s">
        <v>530</v>
      </c>
      <c r="AB45" s="9" t="s">
        <v>531</v>
      </c>
      <c r="AC45" s="9" t="s">
        <v>532</v>
      </c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3"/>
      <c r="CN45" s="3"/>
      <c r="CO45" s="3"/>
      <c r="CP45" s="3"/>
      <c r="CQ45" s="3"/>
      <c r="CR45" s="3" t="s">
        <v>120</v>
      </c>
      <c r="CS45" s="3" t="s">
        <v>400</v>
      </c>
      <c r="CT45" s="9" t="s">
        <v>122</v>
      </c>
      <c r="CU45" s="3" t="s">
        <v>123</v>
      </c>
      <c r="CV45" s="3" t="s">
        <v>139</v>
      </c>
      <c r="CW45" s="3"/>
      <c r="DG45" s="4"/>
    </row>
    <row r="46" customFormat="false" ht="11.25" hidden="false" customHeight="true" outlineLevel="0" collapsed="false">
      <c r="A46" s="9" t="n">
        <v>45</v>
      </c>
      <c r="B46" s="10" t="n">
        <v>46202.9063426736</v>
      </c>
      <c r="C46" s="10" t="n">
        <v>46202.9089699884</v>
      </c>
      <c r="D46" s="9" t="s">
        <v>533</v>
      </c>
      <c r="E46" s="9" t="s">
        <v>534</v>
      </c>
      <c r="F46" s="9" t="s">
        <v>534</v>
      </c>
      <c r="G46" s="9" t="s">
        <v>535</v>
      </c>
      <c r="H46" s="10" t="n">
        <v>46192</v>
      </c>
      <c r="I46" s="10" t="s">
        <v>107</v>
      </c>
      <c r="J46" s="9" t="s">
        <v>108</v>
      </c>
      <c r="K46" s="9" t="s">
        <v>232</v>
      </c>
      <c r="L46" s="9" t="s">
        <v>346</v>
      </c>
      <c r="M46" s="9" t="s">
        <v>111</v>
      </c>
      <c r="N46" s="9" t="s">
        <v>112</v>
      </c>
      <c r="O46" s="9" t="s">
        <v>305</v>
      </c>
      <c r="P46" s="9" t="s">
        <v>406</v>
      </c>
      <c r="Q46" s="9" t="s">
        <v>234</v>
      </c>
      <c r="R46" s="9"/>
      <c r="S46" s="9"/>
      <c r="T46" s="9"/>
      <c r="U46" s="9" t="s">
        <v>22</v>
      </c>
      <c r="V46" s="9"/>
      <c r="W46" s="9" t="s">
        <v>298</v>
      </c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 t="s">
        <v>536</v>
      </c>
      <c r="AW46" s="9" t="s">
        <v>537</v>
      </c>
      <c r="AX46" s="9" t="s">
        <v>538</v>
      </c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3"/>
      <c r="CN46" s="3"/>
      <c r="CO46" s="3"/>
      <c r="CP46" s="3"/>
      <c r="CQ46" s="3"/>
      <c r="CR46" s="3" t="s">
        <v>152</v>
      </c>
      <c r="CS46" s="3" t="s">
        <v>180</v>
      </c>
      <c r="CT46" s="9"/>
      <c r="CU46" s="3" t="s">
        <v>192</v>
      </c>
      <c r="CV46" s="3" t="s">
        <v>139</v>
      </c>
      <c r="CW46" s="3" t="s">
        <v>219</v>
      </c>
      <c r="DG46" s="4"/>
    </row>
    <row r="47" customFormat="false" ht="11.25" hidden="false" customHeight="true" outlineLevel="0" collapsed="false">
      <c r="A47" s="9" t="n">
        <v>46</v>
      </c>
      <c r="B47" s="10" t="n">
        <v>46160.9401451273</v>
      </c>
      <c r="C47" s="10" t="n">
        <v>46160.9535826273</v>
      </c>
      <c r="D47" s="9" t="s">
        <v>539</v>
      </c>
      <c r="E47" s="9" t="s">
        <v>540</v>
      </c>
      <c r="F47" s="9" t="s">
        <v>541</v>
      </c>
      <c r="G47" s="9" t="s">
        <v>542</v>
      </c>
      <c r="H47" s="10" t="n">
        <v>46151</v>
      </c>
      <c r="I47" s="10" t="s">
        <v>107</v>
      </c>
      <c r="J47" s="9" t="s">
        <v>108</v>
      </c>
      <c r="K47" s="9" t="s">
        <v>196</v>
      </c>
      <c r="L47" s="9" t="s">
        <v>286</v>
      </c>
      <c r="M47" s="9" t="s">
        <v>111</v>
      </c>
      <c r="N47" s="9" t="s">
        <v>112</v>
      </c>
      <c r="O47" s="9" t="s">
        <v>113</v>
      </c>
      <c r="P47" s="9" t="s">
        <v>543</v>
      </c>
      <c r="Q47" s="9" t="s">
        <v>544</v>
      </c>
      <c r="R47" s="9"/>
      <c r="S47" s="9"/>
      <c r="T47" s="9"/>
      <c r="U47" s="9" t="s">
        <v>21</v>
      </c>
      <c r="V47" s="9" t="s">
        <v>307</v>
      </c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 t="s">
        <v>545</v>
      </c>
      <c r="AT47" s="9" t="s">
        <v>546</v>
      </c>
      <c r="AU47" s="9" t="s">
        <v>310</v>
      </c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3"/>
      <c r="CN47" s="3"/>
      <c r="CO47" s="3"/>
      <c r="CP47" s="3"/>
      <c r="CQ47" s="3"/>
      <c r="CR47" s="3" t="s">
        <v>152</v>
      </c>
      <c r="CS47" s="3" t="s">
        <v>180</v>
      </c>
      <c r="CT47" s="9" t="s">
        <v>547</v>
      </c>
      <c r="CU47" s="3" t="s">
        <v>192</v>
      </c>
      <c r="CV47" s="3" t="s">
        <v>124</v>
      </c>
      <c r="CW47" s="3"/>
      <c r="DG47" s="4"/>
    </row>
    <row r="48" customFormat="false" ht="11.25" hidden="false" customHeight="true" outlineLevel="0" collapsed="false">
      <c r="A48" s="9" t="n">
        <v>47</v>
      </c>
      <c r="B48" s="10" t="n">
        <v>46139.5102505671</v>
      </c>
      <c r="C48" s="10" t="n">
        <v>46139.5261070486</v>
      </c>
      <c r="D48" s="9" t="s">
        <v>548</v>
      </c>
      <c r="E48" s="9" t="s">
        <v>549</v>
      </c>
      <c r="F48" s="9" t="s">
        <v>549</v>
      </c>
      <c r="G48" s="9" t="s">
        <v>550</v>
      </c>
      <c r="H48" s="10" t="n">
        <v>46125</v>
      </c>
      <c r="I48" s="10" t="s">
        <v>107</v>
      </c>
      <c r="J48" s="9" t="s">
        <v>108</v>
      </c>
      <c r="K48" s="9" t="s">
        <v>196</v>
      </c>
      <c r="L48" s="9" t="s">
        <v>286</v>
      </c>
      <c r="M48" s="9" t="s">
        <v>111</v>
      </c>
      <c r="N48" s="9" t="s">
        <v>247</v>
      </c>
      <c r="O48" s="9" t="s">
        <v>551</v>
      </c>
      <c r="P48" s="9" t="s">
        <v>160</v>
      </c>
      <c r="Q48" s="9" t="s">
        <v>552</v>
      </c>
      <c r="R48" s="9"/>
      <c r="S48" s="9"/>
      <c r="T48" s="9"/>
      <c r="U48" s="9" t="s">
        <v>22</v>
      </c>
      <c r="V48" s="9"/>
      <c r="W48" s="9" t="s">
        <v>339</v>
      </c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 t="s">
        <v>553</v>
      </c>
      <c r="BO48" s="9" t="s">
        <v>554</v>
      </c>
      <c r="BP48" s="9" t="s">
        <v>555</v>
      </c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3"/>
      <c r="CN48" s="3"/>
      <c r="CO48" s="3"/>
      <c r="CP48" s="3"/>
      <c r="CQ48" s="3"/>
      <c r="CR48" s="3" t="s">
        <v>152</v>
      </c>
      <c r="CS48" s="3" t="s">
        <v>121</v>
      </c>
      <c r="CT48" s="9" t="s">
        <v>122</v>
      </c>
      <c r="CU48" s="3" t="s">
        <v>192</v>
      </c>
      <c r="CV48" s="3" t="s">
        <v>124</v>
      </c>
      <c r="CW48" s="3"/>
      <c r="DG48" s="4"/>
    </row>
    <row r="49" customFormat="false" ht="11.25" hidden="false" customHeight="true" outlineLevel="0" collapsed="false">
      <c r="A49" s="9" t="n">
        <v>48</v>
      </c>
      <c r="B49" s="10" t="n">
        <v>46042.950243287</v>
      </c>
      <c r="C49" s="10" t="n">
        <v>46042.9622803241</v>
      </c>
      <c r="D49" s="9" t="s">
        <v>556</v>
      </c>
      <c r="E49" s="9" t="s">
        <v>557</v>
      </c>
      <c r="F49" s="9" t="s">
        <v>558</v>
      </c>
      <c r="G49" s="9" t="s">
        <v>559</v>
      </c>
      <c r="H49" s="10" t="n">
        <v>46029</v>
      </c>
      <c r="I49" s="10" t="s">
        <v>107</v>
      </c>
      <c r="J49" s="9" t="s">
        <v>128</v>
      </c>
      <c r="K49" s="9" t="s">
        <v>257</v>
      </c>
      <c r="L49" s="9" t="s">
        <v>246</v>
      </c>
      <c r="M49" s="9" t="s">
        <v>111</v>
      </c>
      <c r="N49" s="9" t="s">
        <v>112</v>
      </c>
      <c r="O49" s="9" t="s">
        <v>113</v>
      </c>
      <c r="P49" s="9" t="s">
        <v>212</v>
      </c>
      <c r="Q49" s="9" t="s">
        <v>560</v>
      </c>
      <c r="R49" s="9"/>
      <c r="S49" s="9"/>
      <c r="T49" s="9"/>
      <c r="U49" s="9" t="s">
        <v>22</v>
      </c>
      <c r="V49" s="9"/>
      <c r="W49" s="9" t="s">
        <v>135</v>
      </c>
      <c r="X49" s="9"/>
      <c r="Y49" s="9"/>
      <c r="Z49" s="9"/>
      <c r="AA49" s="9" t="s">
        <v>530</v>
      </c>
      <c r="AB49" s="9" t="s">
        <v>531</v>
      </c>
      <c r="AC49" s="9" t="s">
        <v>561</v>
      </c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3"/>
      <c r="CN49" s="3"/>
      <c r="CO49" s="3"/>
      <c r="CP49" s="3"/>
      <c r="CQ49" s="3"/>
      <c r="CR49" s="3" t="s">
        <v>120</v>
      </c>
      <c r="CS49" s="3" t="s">
        <v>121</v>
      </c>
      <c r="CT49" s="9" t="s">
        <v>562</v>
      </c>
      <c r="CU49" s="3" t="s">
        <v>192</v>
      </c>
      <c r="CV49" s="3" t="s">
        <v>124</v>
      </c>
      <c r="CW49" s="3"/>
      <c r="DG49" s="4"/>
    </row>
    <row r="50" customFormat="false" ht="11.25" hidden="false" customHeight="true" outlineLevel="0" collapsed="false">
      <c r="A50" s="9" t="n">
        <v>49</v>
      </c>
      <c r="B50" s="10" t="n">
        <v>46048.4202085301</v>
      </c>
      <c r="C50" s="10" t="n">
        <v>46048.4345951042</v>
      </c>
      <c r="D50" s="9" t="s">
        <v>563</v>
      </c>
      <c r="E50" s="9" t="s">
        <v>564</v>
      </c>
      <c r="F50" s="9" t="s">
        <v>564</v>
      </c>
      <c r="G50" s="9" t="s">
        <v>565</v>
      </c>
      <c r="H50" s="10" t="n">
        <v>46035</v>
      </c>
      <c r="I50" s="10" t="s">
        <v>107</v>
      </c>
      <c r="J50" s="9" t="s">
        <v>108</v>
      </c>
      <c r="K50" s="9" t="s">
        <v>173</v>
      </c>
      <c r="L50" s="9" t="s">
        <v>184</v>
      </c>
      <c r="M50" s="9" t="s">
        <v>111</v>
      </c>
      <c r="N50" s="9" t="s">
        <v>145</v>
      </c>
      <c r="O50" s="9" t="s">
        <v>113</v>
      </c>
      <c r="P50" s="9" t="s">
        <v>566</v>
      </c>
      <c r="Q50" s="9" t="s">
        <v>567</v>
      </c>
      <c r="R50" s="9"/>
      <c r="S50" s="9"/>
      <c r="T50" s="9"/>
      <c r="U50" s="9" t="s">
        <v>22</v>
      </c>
      <c r="V50" s="9"/>
      <c r="W50" s="9" t="s">
        <v>135</v>
      </c>
      <c r="X50" s="9"/>
      <c r="Y50" s="9"/>
      <c r="Z50" s="9"/>
      <c r="AA50" s="9" t="s">
        <v>568</v>
      </c>
      <c r="AB50" s="9" t="s">
        <v>252</v>
      </c>
      <c r="AC50" s="9" t="s">
        <v>569</v>
      </c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3"/>
      <c r="CN50" s="3"/>
      <c r="CO50" s="3"/>
      <c r="CP50" s="3"/>
      <c r="CQ50" s="3"/>
      <c r="CR50" s="3" t="s">
        <v>152</v>
      </c>
      <c r="CS50" s="3" t="s">
        <v>180</v>
      </c>
      <c r="CT50" s="9" t="s">
        <v>122</v>
      </c>
      <c r="CU50" s="3" t="s">
        <v>192</v>
      </c>
      <c r="CV50" s="3" t="s">
        <v>124</v>
      </c>
      <c r="CW50" s="3" t="s">
        <v>219</v>
      </c>
      <c r="CY50" s="3" t="s">
        <v>205</v>
      </c>
      <c r="DG50" s="4"/>
    </row>
    <row r="51" customFormat="false" ht="11.25" hidden="false" customHeight="true" outlineLevel="0" collapsed="false">
      <c r="A51" s="9" t="n">
        <v>50</v>
      </c>
      <c r="B51" s="10" t="n">
        <v>46157.0380591782</v>
      </c>
      <c r="C51" s="10" t="n">
        <v>46157.0525730671</v>
      </c>
      <c r="D51" s="9" t="s">
        <v>570</v>
      </c>
      <c r="E51" s="9" t="s">
        <v>571</v>
      </c>
      <c r="F51" s="9" t="s">
        <v>571</v>
      </c>
      <c r="G51" s="9" t="s">
        <v>572</v>
      </c>
      <c r="H51" s="10" t="n">
        <v>46142</v>
      </c>
      <c r="I51" s="10" t="s">
        <v>107</v>
      </c>
      <c r="J51" s="9" t="s">
        <v>108</v>
      </c>
      <c r="K51" s="9" t="s">
        <v>173</v>
      </c>
      <c r="L51" s="9" t="s">
        <v>491</v>
      </c>
      <c r="M51" s="9" t="s">
        <v>131</v>
      </c>
      <c r="N51" s="9" t="s">
        <v>112</v>
      </c>
      <c r="O51" s="9" t="s">
        <v>325</v>
      </c>
      <c r="P51" s="9" t="s">
        <v>337</v>
      </c>
      <c r="Q51" s="9" t="s">
        <v>235</v>
      </c>
      <c r="R51" s="9"/>
      <c r="S51" s="9"/>
      <c r="T51" s="9"/>
      <c r="U51" s="9" t="s">
        <v>23</v>
      </c>
      <c r="V51" s="9"/>
      <c r="W51" s="9"/>
      <c r="X51" s="9" t="s">
        <v>122</v>
      </c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3"/>
      <c r="CN51" s="3"/>
      <c r="CO51" s="3"/>
      <c r="CP51" s="3"/>
      <c r="CQ51" s="3"/>
      <c r="CR51" s="3" t="s">
        <v>152</v>
      </c>
      <c r="CS51" s="3" t="s">
        <v>121</v>
      </c>
      <c r="CT51" s="9" t="s">
        <v>122</v>
      </c>
      <c r="CU51" s="3" t="s">
        <v>167</v>
      </c>
      <c r="CV51" s="3" t="s">
        <v>124</v>
      </c>
      <c r="CW51" s="3" t="s">
        <v>573</v>
      </c>
      <c r="DG51" s="4"/>
    </row>
    <row r="52" customFormat="false" ht="11.25" hidden="false" customHeight="true" outlineLevel="0" collapsed="false">
      <c r="A52" s="9" t="n">
        <v>51</v>
      </c>
      <c r="B52" s="10" t="n">
        <v>46205.6583890278</v>
      </c>
      <c r="C52" s="10" t="n">
        <v>46205.6612709722</v>
      </c>
      <c r="D52" s="9" t="s">
        <v>574</v>
      </c>
      <c r="E52" s="9" t="s">
        <v>575</v>
      </c>
      <c r="F52" s="9" t="s">
        <v>575</v>
      </c>
      <c r="G52" s="9" t="s">
        <v>576</v>
      </c>
      <c r="H52" s="10" t="n">
        <v>46191</v>
      </c>
      <c r="I52" s="10" t="s">
        <v>107</v>
      </c>
      <c r="J52" s="9" t="s">
        <v>108</v>
      </c>
      <c r="K52" s="9" t="s">
        <v>173</v>
      </c>
      <c r="L52" s="9" t="s">
        <v>144</v>
      </c>
      <c r="M52" s="9" t="s">
        <v>211</v>
      </c>
      <c r="N52" s="9" t="s">
        <v>112</v>
      </c>
      <c r="O52" s="9" t="s">
        <v>577</v>
      </c>
      <c r="P52" s="9" t="s">
        <v>578</v>
      </c>
      <c r="Q52" s="9" t="s">
        <v>287</v>
      </c>
      <c r="R52" s="9"/>
      <c r="S52" s="9"/>
      <c r="T52" s="9"/>
      <c r="U52" s="9" t="s">
        <v>22</v>
      </c>
      <c r="V52" s="9"/>
      <c r="W52" s="9" t="s">
        <v>176</v>
      </c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 t="s">
        <v>579</v>
      </c>
      <c r="AZ52" s="9" t="s">
        <v>580</v>
      </c>
      <c r="BA52" s="9" t="s">
        <v>581</v>
      </c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3"/>
      <c r="CN52" s="3"/>
      <c r="CO52" s="3"/>
      <c r="CP52" s="3"/>
      <c r="CQ52" s="3"/>
      <c r="CR52" s="3" t="s">
        <v>152</v>
      </c>
      <c r="CS52" s="3" t="s">
        <v>121</v>
      </c>
      <c r="CT52" s="9" t="s">
        <v>122</v>
      </c>
      <c r="CU52" s="3" t="s">
        <v>123</v>
      </c>
      <c r="CV52" s="3" t="s">
        <v>124</v>
      </c>
      <c r="CW52" s="3"/>
      <c r="DG52" s="4"/>
    </row>
    <row r="53" customFormat="false" ht="11.25" hidden="false" customHeight="true" outlineLevel="0" collapsed="false">
      <c r="A53" s="9" t="n">
        <v>52</v>
      </c>
      <c r="B53" s="10" t="n">
        <v>46110.3151954398</v>
      </c>
      <c r="C53" s="10" t="n">
        <v>46110.3229037732</v>
      </c>
      <c r="D53" s="9" t="s">
        <v>582</v>
      </c>
      <c r="E53" s="9" t="s">
        <v>583</v>
      </c>
      <c r="F53" s="9" t="s">
        <v>584</v>
      </c>
      <c r="G53" s="9" t="s">
        <v>585</v>
      </c>
      <c r="H53" s="10" t="n">
        <v>46097</v>
      </c>
      <c r="I53" s="10" t="s">
        <v>107</v>
      </c>
      <c r="J53" s="9" t="s">
        <v>108</v>
      </c>
      <c r="K53" s="9" t="s">
        <v>232</v>
      </c>
      <c r="L53" s="9" t="s">
        <v>144</v>
      </c>
      <c r="M53" s="9" t="s">
        <v>111</v>
      </c>
      <c r="N53" s="9" t="s">
        <v>112</v>
      </c>
      <c r="O53" s="9" t="s">
        <v>113</v>
      </c>
      <c r="P53" s="9" t="s">
        <v>130</v>
      </c>
      <c r="Q53" s="9" t="s">
        <v>586</v>
      </c>
      <c r="R53" s="9"/>
      <c r="S53" s="9"/>
      <c r="T53" s="9"/>
      <c r="U53" s="9" t="s">
        <v>22</v>
      </c>
      <c r="V53" s="9"/>
      <c r="W53" s="9" t="s">
        <v>298</v>
      </c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 t="s">
        <v>587</v>
      </c>
      <c r="AW53" s="9" t="s">
        <v>588</v>
      </c>
      <c r="AX53" s="9" t="s">
        <v>589</v>
      </c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3"/>
      <c r="CN53" s="3"/>
      <c r="CO53" s="3"/>
      <c r="CP53" s="3"/>
      <c r="CQ53" s="3"/>
      <c r="CR53" s="3" t="s">
        <v>152</v>
      </c>
      <c r="CS53" s="3" t="s">
        <v>590</v>
      </c>
      <c r="CT53" s="9" t="s">
        <v>204</v>
      </c>
      <c r="CU53" s="3" t="s">
        <v>192</v>
      </c>
      <c r="CV53" s="3" t="s">
        <v>124</v>
      </c>
      <c r="CW53" s="3"/>
      <c r="DG53" s="4"/>
    </row>
    <row r="54" s="12" customFormat="true" ht="11.25" hidden="false" customHeight="true" outlineLevel="0" collapsed="false">
      <c r="A54" s="9" t="n">
        <v>53</v>
      </c>
      <c r="B54" s="10" t="n">
        <v>46106.0370966435</v>
      </c>
      <c r="C54" s="10" t="n">
        <v>46106.0392146991</v>
      </c>
      <c r="D54" s="9" t="s">
        <v>591</v>
      </c>
      <c r="E54" s="9" t="s">
        <v>592</v>
      </c>
      <c r="F54" s="9" t="s">
        <v>592</v>
      </c>
      <c r="G54" s="9" t="s">
        <v>593</v>
      </c>
      <c r="H54" s="10" t="n">
        <v>46092</v>
      </c>
      <c r="I54" s="10" t="s">
        <v>107</v>
      </c>
      <c r="J54" s="9" t="s">
        <v>108</v>
      </c>
      <c r="K54" s="9" t="s">
        <v>257</v>
      </c>
      <c r="L54" s="9" t="s">
        <v>491</v>
      </c>
      <c r="M54" s="9" t="s">
        <v>111</v>
      </c>
      <c r="N54" s="9" t="s">
        <v>112</v>
      </c>
      <c r="O54" s="9" t="s">
        <v>113</v>
      </c>
      <c r="P54" s="9" t="s">
        <v>594</v>
      </c>
      <c r="Q54" s="9" t="s">
        <v>595</v>
      </c>
      <c r="R54" s="9"/>
      <c r="S54" s="9"/>
      <c r="T54" s="9"/>
      <c r="U54" s="9" t="s">
        <v>24</v>
      </c>
      <c r="V54" s="9"/>
      <c r="W54" s="9"/>
      <c r="X54" s="9"/>
      <c r="Y54" s="9" t="s">
        <v>448</v>
      </c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 t="s">
        <v>596</v>
      </c>
      <c r="BX54" s="9" t="s">
        <v>450</v>
      </c>
      <c r="BY54" s="9" t="s">
        <v>597</v>
      </c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11"/>
      <c r="CN54" s="11"/>
      <c r="CO54" s="11"/>
      <c r="CP54" s="11"/>
      <c r="CQ54" s="11"/>
      <c r="CR54" s="11" t="s">
        <v>152</v>
      </c>
      <c r="CS54" s="11" t="s">
        <v>121</v>
      </c>
      <c r="CT54" s="9" t="s">
        <v>122</v>
      </c>
      <c r="CU54" s="11" t="s">
        <v>123</v>
      </c>
      <c r="CV54" s="11" t="s">
        <v>168</v>
      </c>
      <c r="CW54" s="11"/>
      <c r="CX54" s="11"/>
      <c r="CY54" s="11"/>
      <c r="CZ54" s="11"/>
      <c r="DA54" s="11"/>
      <c r="DB54" s="11"/>
      <c r="DC54" s="11"/>
      <c r="DD54" s="11"/>
      <c r="DE54" s="11"/>
      <c r="DF54" s="11"/>
    </row>
    <row r="55" customFormat="false" ht="11.25" hidden="false" customHeight="true" outlineLevel="0" collapsed="false">
      <c r="A55" s="9" t="n">
        <v>54</v>
      </c>
      <c r="B55" s="10" t="n">
        <v>46203.3626897917</v>
      </c>
      <c r="C55" s="10" t="n">
        <v>46203.3805254398</v>
      </c>
      <c r="D55" s="9" t="s">
        <v>598</v>
      </c>
      <c r="E55" s="9" t="s">
        <v>599</v>
      </c>
      <c r="F55" s="9" t="s">
        <v>599</v>
      </c>
      <c r="G55" s="9" t="s">
        <v>600</v>
      </c>
      <c r="H55" s="10" t="n">
        <v>46199</v>
      </c>
      <c r="I55" s="10" t="s">
        <v>157</v>
      </c>
      <c r="J55" s="9" t="s">
        <v>108</v>
      </c>
      <c r="K55" s="9" t="s">
        <v>196</v>
      </c>
      <c r="L55" s="9" t="s">
        <v>110</v>
      </c>
      <c r="M55" s="9" t="s">
        <v>131</v>
      </c>
      <c r="N55" s="9" t="s">
        <v>247</v>
      </c>
      <c r="O55" s="9" t="s">
        <v>551</v>
      </c>
      <c r="P55" s="9" t="s">
        <v>234</v>
      </c>
      <c r="Q55" s="9" t="s">
        <v>111</v>
      </c>
      <c r="R55" s="9"/>
      <c r="S55" s="9"/>
      <c r="T55" s="9"/>
      <c r="U55" s="9" t="s">
        <v>22</v>
      </c>
      <c r="V55" s="9"/>
      <c r="W55" s="9" t="s">
        <v>116</v>
      </c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 t="s">
        <v>601</v>
      </c>
      <c r="BU55" s="9" t="s">
        <v>602</v>
      </c>
      <c r="BV55" s="9" t="s">
        <v>252</v>
      </c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3"/>
      <c r="CN55" s="3"/>
      <c r="CO55" s="3"/>
      <c r="CP55" s="3"/>
      <c r="CQ55" s="3"/>
      <c r="CR55" s="3" t="s">
        <v>227</v>
      </c>
      <c r="CS55" s="3" t="s">
        <v>352</v>
      </c>
      <c r="CT55" s="9"/>
      <c r="CU55" s="3" t="s">
        <v>123</v>
      </c>
      <c r="CV55" s="3" t="s">
        <v>124</v>
      </c>
      <c r="CW55" s="3"/>
      <c r="CX55" s="3" t="s">
        <v>331</v>
      </c>
      <c r="DG55" s="4"/>
    </row>
    <row r="56" customFormat="false" ht="11.25" hidden="false" customHeight="true" outlineLevel="0" collapsed="false">
      <c r="A56" s="9" t="n">
        <v>55</v>
      </c>
      <c r="B56" s="10" t="n">
        <v>46147.1722512037</v>
      </c>
      <c r="C56" s="10" t="n">
        <v>46147.1756771296</v>
      </c>
      <c r="D56" s="9" t="s">
        <v>603</v>
      </c>
      <c r="E56" s="9" t="s">
        <v>604</v>
      </c>
      <c r="F56" s="9" t="s">
        <v>604</v>
      </c>
      <c r="G56" s="9" t="s">
        <v>605</v>
      </c>
      <c r="H56" s="10" t="n">
        <v>46132</v>
      </c>
      <c r="I56" s="10" t="s">
        <v>244</v>
      </c>
      <c r="J56" s="9" t="s">
        <v>295</v>
      </c>
      <c r="K56" s="9" t="s">
        <v>462</v>
      </c>
      <c r="L56" s="9" t="s">
        <v>431</v>
      </c>
      <c r="M56" s="9" t="s">
        <v>390</v>
      </c>
      <c r="N56" s="9" t="s">
        <v>112</v>
      </c>
      <c r="O56" s="9" t="s">
        <v>113</v>
      </c>
      <c r="P56" s="9" t="s">
        <v>594</v>
      </c>
      <c r="Q56" s="9" t="s">
        <v>606</v>
      </c>
      <c r="R56" s="9"/>
      <c r="S56" s="9"/>
      <c r="T56" s="9"/>
      <c r="U56" s="9" t="s">
        <v>22</v>
      </c>
      <c r="V56" s="9"/>
      <c r="W56" s="9" t="s">
        <v>116</v>
      </c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 t="s">
        <v>607</v>
      </c>
      <c r="BU56" s="9" t="s">
        <v>608</v>
      </c>
      <c r="BV56" s="9" t="s">
        <v>330</v>
      </c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3"/>
      <c r="CN56" s="3"/>
      <c r="CO56" s="3"/>
      <c r="CP56" s="3"/>
      <c r="CQ56" s="3"/>
      <c r="CR56" s="3" t="s">
        <v>152</v>
      </c>
      <c r="CS56" s="3" t="s">
        <v>121</v>
      </c>
      <c r="CT56" s="9" t="s">
        <v>122</v>
      </c>
      <c r="CU56" s="3" t="s">
        <v>123</v>
      </c>
      <c r="CV56" s="3" t="s">
        <v>139</v>
      </c>
      <c r="CW56" s="3"/>
      <c r="DG56" s="4"/>
    </row>
    <row r="57" customFormat="false" ht="11.25" hidden="false" customHeight="true" outlineLevel="0" collapsed="false">
      <c r="A57" s="9" t="n">
        <v>56</v>
      </c>
      <c r="B57" s="10" t="n">
        <v>46072.7031889583</v>
      </c>
      <c r="C57" s="10" t="n">
        <v>46072.7196241435</v>
      </c>
      <c r="D57" s="9" t="s">
        <v>609</v>
      </c>
      <c r="E57" s="9" t="s">
        <v>610</v>
      </c>
      <c r="F57" s="9" t="s">
        <v>610</v>
      </c>
      <c r="G57" s="9" t="s">
        <v>611</v>
      </c>
      <c r="H57" s="10" t="n">
        <v>46052</v>
      </c>
      <c r="I57" s="10" t="s">
        <v>172</v>
      </c>
      <c r="J57" s="9" t="s">
        <v>108</v>
      </c>
      <c r="K57" s="9" t="s">
        <v>364</v>
      </c>
      <c r="L57" s="9" t="s">
        <v>431</v>
      </c>
      <c r="M57" s="9" t="s">
        <v>111</v>
      </c>
      <c r="N57" s="9" t="s">
        <v>112</v>
      </c>
      <c r="O57" s="9" t="s">
        <v>305</v>
      </c>
      <c r="P57" s="9" t="s">
        <v>612</v>
      </c>
      <c r="Q57" s="9" t="s">
        <v>613</v>
      </c>
      <c r="R57" s="9"/>
      <c r="S57" s="9"/>
      <c r="T57" s="9"/>
      <c r="U57" s="9" t="s">
        <v>21</v>
      </c>
      <c r="V57" s="9" t="s">
        <v>307</v>
      </c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 t="s">
        <v>470</v>
      </c>
      <c r="AT57" s="9" t="s">
        <v>546</v>
      </c>
      <c r="AU57" s="9" t="s">
        <v>310</v>
      </c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3"/>
      <c r="CN57" s="3"/>
      <c r="CO57" s="3"/>
      <c r="CP57" s="3"/>
      <c r="CQ57" s="3"/>
      <c r="CR57" s="3" t="s">
        <v>152</v>
      </c>
      <c r="CS57" s="3" t="s">
        <v>121</v>
      </c>
      <c r="CT57" s="9" t="s">
        <v>614</v>
      </c>
      <c r="CU57" s="3" t="s">
        <v>123</v>
      </c>
      <c r="CV57" s="3" t="s">
        <v>139</v>
      </c>
      <c r="CW57" s="3"/>
      <c r="DG57" s="4"/>
    </row>
    <row r="58" customFormat="false" ht="11.25" hidden="false" customHeight="true" outlineLevel="0" collapsed="false">
      <c r="A58" s="9" t="n">
        <v>57</v>
      </c>
      <c r="B58" s="10" t="n">
        <v>46194.5735928704</v>
      </c>
      <c r="C58" s="10" t="n">
        <v>46194.5820303704</v>
      </c>
      <c r="D58" s="9" t="s">
        <v>615</v>
      </c>
      <c r="E58" s="9" t="s">
        <v>616</v>
      </c>
      <c r="F58" s="9" t="s">
        <v>617</v>
      </c>
      <c r="G58" s="9" t="s">
        <v>618</v>
      </c>
      <c r="H58" s="10" t="n">
        <v>46193</v>
      </c>
      <c r="I58" s="10" t="s">
        <v>107</v>
      </c>
      <c r="J58" s="9" t="s">
        <v>108</v>
      </c>
      <c r="K58" s="9" t="s">
        <v>257</v>
      </c>
      <c r="L58" s="9" t="s">
        <v>431</v>
      </c>
      <c r="M58" s="9" t="s">
        <v>111</v>
      </c>
      <c r="N58" s="9" t="s">
        <v>145</v>
      </c>
      <c r="O58" s="9" t="s">
        <v>325</v>
      </c>
      <c r="P58" s="9" t="s">
        <v>406</v>
      </c>
      <c r="Q58" s="9" t="s">
        <v>111</v>
      </c>
      <c r="R58" s="9"/>
      <c r="S58" s="9"/>
      <c r="T58" s="9"/>
      <c r="U58" s="9" t="s">
        <v>25</v>
      </c>
      <c r="V58" s="9"/>
      <c r="W58" s="9"/>
      <c r="X58" s="9"/>
      <c r="Y58" s="9"/>
      <c r="Z58" s="9" t="s">
        <v>327</v>
      </c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 t="s">
        <v>619</v>
      </c>
      <c r="CJ58" s="9" t="s">
        <v>118</v>
      </c>
      <c r="CK58" s="9" t="s">
        <v>620</v>
      </c>
      <c r="CL58" s="9"/>
      <c r="CM58" s="3"/>
      <c r="CN58" s="3"/>
      <c r="CO58" s="3"/>
      <c r="CP58" s="3"/>
      <c r="CQ58" s="3"/>
      <c r="CR58" s="3" t="s">
        <v>152</v>
      </c>
      <c r="CS58" s="3" t="s">
        <v>121</v>
      </c>
      <c r="CT58" s="9" t="s">
        <v>122</v>
      </c>
      <c r="CU58" s="3" t="s">
        <v>167</v>
      </c>
      <c r="CV58" s="3" t="s">
        <v>124</v>
      </c>
      <c r="CW58" s="3" t="s">
        <v>621</v>
      </c>
      <c r="DG58" s="4"/>
    </row>
    <row r="59" customFormat="false" ht="11.25" hidden="false" customHeight="true" outlineLevel="0" collapsed="false">
      <c r="A59" s="9" t="n">
        <v>58</v>
      </c>
      <c r="B59" s="10" t="n">
        <v>46145.4416896875</v>
      </c>
      <c r="C59" s="10" t="n">
        <v>46145.4601619097</v>
      </c>
      <c r="D59" s="9" t="s">
        <v>622</v>
      </c>
      <c r="E59" s="9" t="s">
        <v>623</v>
      </c>
      <c r="F59" s="9" t="s">
        <v>623</v>
      </c>
      <c r="G59" s="9" t="s">
        <v>624</v>
      </c>
      <c r="H59" s="10" t="n">
        <v>46140</v>
      </c>
      <c r="I59" s="10" t="s">
        <v>172</v>
      </c>
      <c r="J59" s="9" t="s">
        <v>108</v>
      </c>
      <c r="K59" s="9" t="s">
        <v>232</v>
      </c>
      <c r="L59" s="9" t="s">
        <v>389</v>
      </c>
      <c r="M59" s="9" t="s">
        <v>111</v>
      </c>
      <c r="N59" s="9" t="s">
        <v>247</v>
      </c>
      <c r="O59" s="9" t="s">
        <v>113</v>
      </c>
      <c r="P59" s="9" t="s">
        <v>286</v>
      </c>
      <c r="Q59" s="9" t="s">
        <v>625</v>
      </c>
      <c r="R59" s="9"/>
      <c r="S59" s="9"/>
      <c r="T59" s="9"/>
      <c r="U59" s="9" t="s">
        <v>22</v>
      </c>
      <c r="V59" s="9"/>
      <c r="W59" s="9" t="s">
        <v>135</v>
      </c>
      <c r="X59" s="9"/>
      <c r="Y59" s="9"/>
      <c r="Z59" s="9"/>
      <c r="AA59" s="9" t="s">
        <v>626</v>
      </c>
      <c r="AB59" s="9" t="s">
        <v>627</v>
      </c>
      <c r="AC59" s="9" t="s">
        <v>628</v>
      </c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3"/>
      <c r="CN59" s="3"/>
      <c r="CO59" s="3"/>
      <c r="CP59" s="3"/>
      <c r="CQ59" s="3"/>
      <c r="CR59" s="3" t="s">
        <v>152</v>
      </c>
      <c r="CS59" s="3" t="s">
        <v>121</v>
      </c>
      <c r="CT59" s="9"/>
      <c r="CU59" s="3" t="s">
        <v>123</v>
      </c>
      <c r="CV59" s="3" t="s">
        <v>124</v>
      </c>
      <c r="CW59" s="3"/>
      <c r="DG59" s="4"/>
    </row>
    <row r="60" customFormat="false" ht="11.25" hidden="false" customHeight="true" outlineLevel="0" collapsed="false">
      <c r="A60" s="9" t="n">
        <v>59</v>
      </c>
      <c r="B60" s="10" t="n">
        <v>46205.171768206</v>
      </c>
      <c r="C60" s="10" t="n">
        <v>46205.1799973727</v>
      </c>
      <c r="D60" s="9" t="s">
        <v>629</v>
      </c>
      <c r="E60" s="9" t="s">
        <v>630</v>
      </c>
      <c r="F60" s="9" t="s">
        <v>630</v>
      </c>
      <c r="G60" s="9" t="s">
        <v>631</v>
      </c>
      <c r="H60" s="10" t="n">
        <v>46191</v>
      </c>
      <c r="I60" s="10" t="s">
        <v>278</v>
      </c>
      <c r="J60" s="9" t="s">
        <v>108</v>
      </c>
      <c r="K60" s="9" t="s">
        <v>462</v>
      </c>
      <c r="L60" s="9" t="s">
        <v>431</v>
      </c>
      <c r="M60" s="9" t="s">
        <v>390</v>
      </c>
      <c r="N60" s="9" t="s">
        <v>112</v>
      </c>
      <c r="O60" s="9" t="s">
        <v>325</v>
      </c>
      <c r="P60" s="9" t="s">
        <v>612</v>
      </c>
      <c r="Q60" s="9" t="s">
        <v>347</v>
      </c>
      <c r="R60" s="9"/>
      <c r="S60" s="9"/>
      <c r="T60" s="9"/>
      <c r="U60" s="9" t="s">
        <v>24</v>
      </c>
      <c r="V60" s="9"/>
      <c r="W60" s="9"/>
      <c r="X60" s="9"/>
      <c r="Y60" s="9" t="s">
        <v>223</v>
      </c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 t="s">
        <v>632</v>
      </c>
      <c r="CA60" s="9" t="s">
        <v>633</v>
      </c>
      <c r="CB60" s="9" t="s">
        <v>634</v>
      </c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3"/>
      <c r="CN60" s="3"/>
      <c r="CO60" s="3"/>
      <c r="CP60" s="3"/>
      <c r="CQ60" s="3"/>
      <c r="CR60" s="3" t="s">
        <v>152</v>
      </c>
      <c r="CS60" s="3" t="s">
        <v>121</v>
      </c>
      <c r="CT60" s="9"/>
      <c r="CU60" s="3" t="s">
        <v>192</v>
      </c>
      <c r="CV60" s="3" t="s">
        <v>124</v>
      </c>
      <c r="CW60" s="3"/>
      <c r="DG60" s="4"/>
    </row>
    <row r="61" customFormat="false" ht="11.25" hidden="false" customHeight="true" outlineLevel="0" collapsed="false">
      <c r="A61" s="9" t="n">
        <v>60</v>
      </c>
      <c r="B61" s="10" t="n">
        <v>46196.1886271759</v>
      </c>
      <c r="C61" s="10" t="n">
        <v>46196.2046225463</v>
      </c>
      <c r="D61" s="9" t="s">
        <v>635</v>
      </c>
      <c r="E61" s="9" t="s">
        <v>636</v>
      </c>
      <c r="F61" s="9" t="s">
        <v>636</v>
      </c>
      <c r="G61" s="9" t="s">
        <v>637</v>
      </c>
      <c r="H61" s="10" t="n">
        <v>46178</v>
      </c>
      <c r="I61" s="10" t="s">
        <v>172</v>
      </c>
      <c r="J61" s="9" t="s">
        <v>295</v>
      </c>
      <c r="K61" s="9" t="s">
        <v>232</v>
      </c>
      <c r="L61" s="9" t="s">
        <v>389</v>
      </c>
      <c r="M61" s="9" t="s">
        <v>131</v>
      </c>
      <c r="N61" s="9" t="s">
        <v>112</v>
      </c>
      <c r="O61" s="9" t="s">
        <v>113</v>
      </c>
      <c r="P61" s="9" t="s">
        <v>279</v>
      </c>
      <c r="Q61" s="9" t="s">
        <v>638</v>
      </c>
      <c r="R61" s="9"/>
      <c r="S61" s="9"/>
      <c r="T61" s="9"/>
      <c r="U61" s="9" t="s">
        <v>22</v>
      </c>
      <c r="V61" s="9"/>
      <c r="W61" s="9" t="s">
        <v>135</v>
      </c>
      <c r="X61" s="9"/>
      <c r="Y61" s="9"/>
      <c r="Z61" s="9"/>
      <c r="AA61" s="9" t="s">
        <v>639</v>
      </c>
      <c r="AB61" s="9" t="s">
        <v>640</v>
      </c>
      <c r="AC61" s="9" t="s">
        <v>368</v>
      </c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3"/>
      <c r="CN61" s="3"/>
      <c r="CO61" s="3"/>
      <c r="CP61" s="3"/>
      <c r="CQ61" s="3"/>
      <c r="CR61" s="3" t="s">
        <v>120</v>
      </c>
      <c r="CS61" s="3" t="s">
        <v>180</v>
      </c>
      <c r="CT61" s="13" t="s">
        <v>641</v>
      </c>
      <c r="CU61" s="3" t="s">
        <v>167</v>
      </c>
      <c r="CV61" s="3" t="s">
        <v>124</v>
      </c>
      <c r="CW61" s="3"/>
      <c r="DG61" s="4"/>
    </row>
    <row r="62" customFormat="false" ht="11.25" hidden="false" customHeight="true" outlineLevel="0" collapsed="false">
      <c r="A62" s="9" t="n">
        <v>61</v>
      </c>
      <c r="B62" s="10" t="n">
        <v>46144.1918039236</v>
      </c>
      <c r="C62" s="10" t="n">
        <v>46144.2036442014</v>
      </c>
      <c r="D62" s="9" t="s">
        <v>642</v>
      </c>
      <c r="E62" s="9" t="s">
        <v>643</v>
      </c>
      <c r="F62" s="9" t="s">
        <v>643</v>
      </c>
      <c r="G62" s="9" t="s">
        <v>644</v>
      </c>
      <c r="H62" s="10" t="n">
        <v>46131</v>
      </c>
      <c r="I62" s="10" t="s">
        <v>244</v>
      </c>
      <c r="J62" s="9" t="s">
        <v>108</v>
      </c>
      <c r="K62" s="9" t="s">
        <v>196</v>
      </c>
      <c r="L62" s="9" t="s">
        <v>197</v>
      </c>
      <c r="M62" s="9" t="s">
        <v>111</v>
      </c>
      <c r="N62" s="9" t="s">
        <v>112</v>
      </c>
      <c r="O62" s="9" t="s">
        <v>113</v>
      </c>
      <c r="P62" s="9" t="s">
        <v>234</v>
      </c>
      <c r="Q62" s="9" t="s">
        <v>645</v>
      </c>
      <c r="R62" s="9"/>
      <c r="S62" s="9"/>
      <c r="T62" s="9"/>
      <c r="U62" s="9" t="s">
        <v>22</v>
      </c>
      <c r="V62" s="9"/>
      <c r="W62" s="9" t="s">
        <v>271</v>
      </c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 t="s">
        <v>646</v>
      </c>
      <c r="BL62" s="9" t="s">
        <v>647</v>
      </c>
      <c r="BM62" s="9" t="s">
        <v>648</v>
      </c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3"/>
      <c r="CN62" s="3"/>
      <c r="CO62" s="3"/>
      <c r="CP62" s="3"/>
      <c r="CQ62" s="3"/>
      <c r="CR62" s="3" t="s">
        <v>152</v>
      </c>
      <c r="CS62" s="3" t="s">
        <v>121</v>
      </c>
      <c r="CT62" s="9"/>
      <c r="CU62" s="3" t="s">
        <v>167</v>
      </c>
      <c r="CV62" s="3" t="s">
        <v>124</v>
      </c>
      <c r="CW62" s="3"/>
      <c r="DG62" s="4"/>
    </row>
    <row r="63" customFormat="false" ht="11.25" hidden="false" customHeight="true" outlineLevel="0" collapsed="false">
      <c r="A63" s="9" t="n">
        <v>62</v>
      </c>
      <c r="B63" s="10" t="n">
        <v>46126.0455251736</v>
      </c>
      <c r="C63" s="10" t="n">
        <v>46126.0544256366</v>
      </c>
      <c r="D63" s="9" t="s">
        <v>649</v>
      </c>
      <c r="E63" s="9" t="s">
        <v>650</v>
      </c>
      <c r="F63" s="9" t="s">
        <v>650</v>
      </c>
      <c r="G63" s="9" t="s">
        <v>651</v>
      </c>
      <c r="H63" s="10" t="n">
        <v>46118</v>
      </c>
      <c r="I63" s="10" t="s">
        <v>172</v>
      </c>
      <c r="J63" s="9" t="s">
        <v>108</v>
      </c>
      <c r="K63" s="9" t="s">
        <v>245</v>
      </c>
      <c r="L63" s="9" t="s">
        <v>491</v>
      </c>
      <c r="M63" s="9" t="s">
        <v>211</v>
      </c>
      <c r="N63" s="9" t="s">
        <v>145</v>
      </c>
      <c r="O63" s="9" t="s">
        <v>113</v>
      </c>
      <c r="P63" s="9" t="s">
        <v>652</v>
      </c>
      <c r="Q63" s="9" t="s">
        <v>653</v>
      </c>
      <c r="R63" s="9"/>
      <c r="S63" s="9"/>
      <c r="T63" s="9"/>
      <c r="U63" s="9" t="s">
        <v>21</v>
      </c>
      <c r="V63" s="9" t="s">
        <v>374</v>
      </c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 t="s">
        <v>654</v>
      </c>
      <c r="AK63" s="9" t="s">
        <v>655</v>
      </c>
      <c r="AL63" s="9" t="s">
        <v>377</v>
      </c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3"/>
      <c r="CN63" s="3"/>
      <c r="CO63" s="3"/>
      <c r="CP63" s="3"/>
      <c r="CQ63" s="3"/>
      <c r="CR63" s="3" t="s">
        <v>152</v>
      </c>
      <c r="CS63" s="3" t="s">
        <v>352</v>
      </c>
      <c r="CT63" s="9"/>
      <c r="CU63" s="3" t="s">
        <v>167</v>
      </c>
      <c r="CV63" s="3" t="s">
        <v>124</v>
      </c>
      <c r="CW63" s="3"/>
      <c r="DG63" s="4"/>
    </row>
    <row r="64" customFormat="false" ht="11.25" hidden="false" customHeight="true" outlineLevel="0" collapsed="false">
      <c r="A64" s="9" t="n">
        <v>63</v>
      </c>
      <c r="B64" s="10" t="n">
        <v>46149.5678612153</v>
      </c>
      <c r="C64" s="10" t="n">
        <v>46149.5804422338</v>
      </c>
      <c r="D64" s="9" t="s">
        <v>656</v>
      </c>
      <c r="E64" s="9" t="s">
        <v>657</v>
      </c>
      <c r="F64" s="9" t="s">
        <v>657</v>
      </c>
      <c r="G64" s="9" t="s">
        <v>658</v>
      </c>
      <c r="H64" s="10" t="n">
        <v>46145</v>
      </c>
      <c r="I64" s="10" t="s">
        <v>107</v>
      </c>
      <c r="J64" s="9" t="s">
        <v>108</v>
      </c>
      <c r="K64" s="9" t="s">
        <v>245</v>
      </c>
      <c r="L64" s="9" t="s">
        <v>389</v>
      </c>
      <c r="M64" s="9" t="s">
        <v>111</v>
      </c>
      <c r="N64" s="9" t="s">
        <v>112</v>
      </c>
      <c r="O64" s="9" t="s">
        <v>336</v>
      </c>
      <c r="P64" s="9" t="s">
        <v>391</v>
      </c>
      <c r="Q64" s="9" t="s">
        <v>440</v>
      </c>
      <c r="R64" s="9"/>
      <c r="S64" s="9"/>
      <c r="T64" s="9"/>
      <c r="U64" s="9" t="s">
        <v>22</v>
      </c>
      <c r="V64" s="9"/>
      <c r="W64" s="9" t="s">
        <v>148</v>
      </c>
      <c r="X64" s="9"/>
      <c r="Y64" s="9"/>
      <c r="Z64" s="9"/>
      <c r="AA64" s="9"/>
      <c r="AB64" s="9"/>
      <c r="AC64" s="9"/>
      <c r="AD64" s="9" t="s">
        <v>659</v>
      </c>
      <c r="AE64" s="9" t="s">
        <v>660</v>
      </c>
      <c r="AF64" s="9" t="s">
        <v>661</v>
      </c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3"/>
      <c r="CN64" s="3"/>
      <c r="CO64" s="3"/>
      <c r="CP64" s="3"/>
      <c r="CQ64" s="3"/>
      <c r="CR64" s="3" t="s">
        <v>320</v>
      </c>
      <c r="CS64" s="3" t="s">
        <v>121</v>
      </c>
      <c r="CT64" s="9" t="s">
        <v>122</v>
      </c>
      <c r="CU64" s="3" t="s">
        <v>167</v>
      </c>
      <c r="CV64" s="3" t="s">
        <v>139</v>
      </c>
      <c r="CW64" s="3"/>
      <c r="DG64" s="4"/>
    </row>
    <row r="65" customFormat="false" ht="11.25" hidden="false" customHeight="true" outlineLevel="0" collapsed="false">
      <c r="A65" s="9" t="n">
        <v>64</v>
      </c>
      <c r="B65" s="10" t="n">
        <v>46094.6790033102</v>
      </c>
      <c r="C65" s="10" t="n">
        <v>46094.6829269213</v>
      </c>
      <c r="D65" s="9" t="s">
        <v>662</v>
      </c>
      <c r="E65" s="9" t="s">
        <v>663</v>
      </c>
      <c r="F65" s="9" t="s">
        <v>663</v>
      </c>
      <c r="G65" s="9" t="s">
        <v>664</v>
      </c>
      <c r="H65" s="10" t="n">
        <v>46074</v>
      </c>
      <c r="I65" s="10" t="s">
        <v>244</v>
      </c>
      <c r="J65" s="9" t="s">
        <v>108</v>
      </c>
      <c r="K65" s="9" t="s">
        <v>196</v>
      </c>
      <c r="L65" s="9" t="s">
        <v>346</v>
      </c>
      <c r="M65" s="9" t="s">
        <v>111</v>
      </c>
      <c r="N65" s="9" t="s">
        <v>112</v>
      </c>
      <c r="O65" s="9" t="s">
        <v>113</v>
      </c>
      <c r="P65" s="9" t="s">
        <v>160</v>
      </c>
      <c r="Q65" s="9" t="s">
        <v>665</v>
      </c>
      <c r="R65" s="9"/>
      <c r="S65" s="9"/>
      <c r="T65" s="9"/>
      <c r="U65" s="9" t="s">
        <v>22</v>
      </c>
      <c r="V65" s="9"/>
      <c r="W65" s="9" t="s">
        <v>298</v>
      </c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 t="s">
        <v>666</v>
      </c>
      <c r="AW65" s="9" t="s">
        <v>667</v>
      </c>
      <c r="AX65" s="9" t="s">
        <v>668</v>
      </c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3"/>
      <c r="CN65" s="3"/>
      <c r="CO65" s="3"/>
      <c r="CP65" s="3"/>
      <c r="CQ65" s="3"/>
      <c r="CR65" s="3" t="s">
        <v>152</v>
      </c>
      <c r="CS65" s="3" t="s">
        <v>180</v>
      </c>
      <c r="CT65" s="9"/>
      <c r="CU65" s="3" t="s">
        <v>123</v>
      </c>
      <c r="CV65" s="3" t="s">
        <v>124</v>
      </c>
      <c r="CW65" s="3"/>
      <c r="CX65" s="3" t="s">
        <v>331</v>
      </c>
      <c r="DG65" s="4"/>
    </row>
    <row r="66" customFormat="false" ht="11.25" hidden="false" customHeight="true" outlineLevel="0" collapsed="false">
      <c r="A66" s="9" t="n">
        <v>65</v>
      </c>
      <c r="B66" s="10" t="n">
        <v>46169.0877292824</v>
      </c>
      <c r="C66" s="10" t="n">
        <v>46169.0949978009</v>
      </c>
      <c r="D66" s="9" t="s">
        <v>669</v>
      </c>
      <c r="E66" s="9" t="s">
        <v>670</v>
      </c>
      <c r="F66" s="9" t="s">
        <v>670</v>
      </c>
      <c r="G66" s="9" t="s">
        <v>671</v>
      </c>
      <c r="H66" s="10" t="n">
        <v>46162</v>
      </c>
      <c r="I66" s="10" t="s">
        <v>172</v>
      </c>
      <c r="J66" s="9" t="s">
        <v>108</v>
      </c>
      <c r="K66" s="9" t="s">
        <v>173</v>
      </c>
      <c r="L66" s="9" t="s">
        <v>346</v>
      </c>
      <c r="M66" s="9" t="s">
        <v>111</v>
      </c>
      <c r="N66" s="9" t="s">
        <v>145</v>
      </c>
      <c r="O66" s="9" t="s">
        <v>113</v>
      </c>
      <c r="P66" s="9" t="s">
        <v>566</v>
      </c>
      <c r="Q66" s="9" t="s">
        <v>672</v>
      </c>
      <c r="R66" s="9"/>
      <c r="S66" s="9"/>
      <c r="T66" s="9"/>
      <c r="U66" s="9" t="s">
        <v>22</v>
      </c>
      <c r="V66" s="9"/>
      <c r="W66" s="9" t="s">
        <v>339</v>
      </c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 t="s">
        <v>673</v>
      </c>
      <c r="BO66" s="9" t="s">
        <v>674</v>
      </c>
      <c r="BP66" s="9" t="s">
        <v>675</v>
      </c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3"/>
      <c r="CN66" s="3"/>
      <c r="CO66" s="3"/>
      <c r="CP66" s="3"/>
      <c r="CQ66" s="3"/>
      <c r="CR66" s="3" t="s">
        <v>227</v>
      </c>
      <c r="CS66" s="3" t="s">
        <v>121</v>
      </c>
      <c r="CT66" s="9" t="s">
        <v>122</v>
      </c>
      <c r="CU66" s="3" t="s">
        <v>123</v>
      </c>
      <c r="CV66" s="3" t="s">
        <v>124</v>
      </c>
      <c r="CW66" s="3" t="s">
        <v>219</v>
      </c>
      <c r="DG66" s="4"/>
    </row>
    <row r="67" s="12" customFormat="true" ht="11.25" hidden="false" customHeight="true" outlineLevel="0" collapsed="false">
      <c r="A67" s="9" t="n">
        <v>66</v>
      </c>
      <c r="B67" s="10" t="n">
        <v>46047.5317732292</v>
      </c>
      <c r="C67" s="10" t="n">
        <v>46047.5512176736</v>
      </c>
      <c r="D67" s="9" t="s">
        <v>676</v>
      </c>
      <c r="E67" s="9" t="s">
        <v>677</v>
      </c>
      <c r="F67" s="9" t="s">
        <v>677</v>
      </c>
      <c r="G67" s="9" t="s">
        <v>678</v>
      </c>
      <c r="H67" s="10" t="n">
        <v>46028</v>
      </c>
      <c r="I67" s="10" t="s">
        <v>157</v>
      </c>
      <c r="J67" s="9" t="s">
        <v>108</v>
      </c>
      <c r="K67" s="9" t="s">
        <v>257</v>
      </c>
      <c r="L67" s="9" t="s">
        <v>110</v>
      </c>
      <c r="M67" s="9" t="s">
        <v>211</v>
      </c>
      <c r="N67" s="9" t="s">
        <v>112</v>
      </c>
      <c r="O67" s="9" t="s">
        <v>132</v>
      </c>
      <c r="P67" s="9" t="s">
        <v>439</v>
      </c>
      <c r="Q67" s="9" t="s">
        <v>115</v>
      </c>
      <c r="R67" s="9"/>
      <c r="S67" s="9"/>
      <c r="T67" s="9"/>
      <c r="U67" s="9" t="s">
        <v>22</v>
      </c>
      <c r="V67" s="9"/>
      <c r="W67" s="9" t="s">
        <v>116</v>
      </c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 t="s">
        <v>679</v>
      </c>
      <c r="BU67" s="9" t="s">
        <v>680</v>
      </c>
      <c r="BV67" s="9" t="s">
        <v>681</v>
      </c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11"/>
      <c r="CN67" s="11"/>
      <c r="CO67" s="11"/>
      <c r="CP67" s="11"/>
      <c r="CQ67" s="11"/>
      <c r="CR67" s="11" t="s">
        <v>120</v>
      </c>
      <c r="CS67" s="11" t="s">
        <v>121</v>
      </c>
      <c r="CT67" s="9" t="s">
        <v>682</v>
      </c>
      <c r="CU67" s="11" t="s">
        <v>167</v>
      </c>
      <c r="CV67" s="11" t="s">
        <v>124</v>
      </c>
      <c r="CW67" s="11"/>
      <c r="CX67" s="11"/>
      <c r="CY67" s="11"/>
      <c r="CZ67" s="11"/>
      <c r="DA67" s="11"/>
      <c r="DB67" s="11"/>
      <c r="DC67" s="11"/>
      <c r="DD67" s="11"/>
      <c r="DE67" s="11"/>
      <c r="DF67" s="11"/>
    </row>
    <row r="68" customFormat="false" ht="11.25" hidden="false" customHeight="true" outlineLevel="0" collapsed="false">
      <c r="A68" s="9" t="n">
        <v>67</v>
      </c>
      <c r="B68" s="10" t="n">
        <v>46140.1179099653</v>
      </c>
      <c r="C68" s="10" t="n">
        <v>46140.1302479282</v>
      </c>
      <c r="D68" s="9" t="s">
        <v>683</v>
      </c>
      <c r="E68" s="9" t="s">
        <v>684</v>
      </c>
      <c r="F68" s="9" t="s">
        <v>684</v>
      </c>
      <c r="G68" s="9" t="s">
        <v>685</v>
      </c>
      <c r="H68" s="10" t="n">
        <v>46140</v>
      </c>
      <c r="I68" s="10" t="s">
        <v>172</v>
      </c>
      <c r="J68" s="9" t="s">
        <v>295</v>
      </c>
      <c r="K68" s="9" t="s">
        <v>462</v>
      </c>
      <c r="L68" s="9" t="s">
        <v>197</v>
      </c>
      <c r="M68" s="9" t="s">
        <v>111</v>
      </c>
      <c r="N68" s="9" t="s">
        <v>145</v>
      </c>
      <c r="O68" s="9" t="s">
        <v>113</v>
      </c>
      <c r="P68" s="9" t="s">
        <v>686</v>
      </c>
      <c r="Q68" s="9" t="s">
        <v>407</v>
      </c>
      <c r="R68" s="9"/>
      <c r="S68" s="9"/>
      <c r="T68" s="9"/>
      <c r="U68" s="9" t="s">
        <v>25</v>
      </c>
      <c r="V68" s="9"/>
      <c r="W68" s="9"/>
      <c r="X68" s="9"/>
      <c r="Y68" s="9"/>
      <c r="Z68" s="9" t="s">
        <v>687</v>
      </c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 t="s">
        <v>688</v>
      </c>
      <c r="CM68" s="3" t="s">
        <v>689</v>
      </c>
      <c r="CN68" s="3" t="s">
        <v>690</v>
      </c>
      <c r="CO68" s="3"/>
      <c r="CP68" s="3"/>
      <c r="CQ68" s="3"/>
      <c r="CR68" s="3" t="s">
        <v>152</v>
      </c>
      <c r="CS68" s="3" t="s">
        <v>228</v>
      </c>
      <c r="CT68" s="9"/>
      <c r="CU68" s="3" t="s">
        <v>167</v>
      </c>
      <c r="CV68" s="3" t="s">
        <v>168</v>
      </c>
      <c r="CW68" s="3"/>
      <c r="DG68" s="4"/>
    </row>
    <row r="69" customFormat="false" ht="11.25" hidden="false" customHeight="true" outlineLevel="0" collapsed="false">
      <c r="A69" s="9" t="n">
        <v>68</v>
      </c>
      <c r="B69" s="10" t="n">
        <v>46041.4328670833</v>
      </c>
      <c r="C69" s="10" t="n">
        <v>46041.4469874537</v>
      </c>
      <c r="D69" s="9" t="s">
        <v>691</v>
      </c>
      <c r="E69" s="9" t="s">
        <v>692</v>
      </c>
      <c r="F69" s="9" t="s">
        <v>692</v>
      </c>
      <c r="G69" s="9" t="s">
        <v>693</v>
      </c>
      <c r="H69" s="10" t="n">
        <v>46034</v>
      </c>
      <c r="I69" s="10" t="s">
        <v>157</v>
      </c>
      <c r="J69" s="9" t="s">
        <v>295</v>
      </c>
      <c r="K69" s="9" t="s">
        <v>196</v>
      </c>
      <c r="L69" s="9" t="s">
        <v>159</v>
      </c>
      <c r="M69" s="9" t="s">
        <v>111</v>
      </c>
      <c r="N69" s="9" t="s">
        <v>145</v>
      </c>
      <c r="O69" s="9" t="s">
        <v>113</v>
      </c>
      <c r="P69" s="9" t="s">
        <v>694</v>
      </c>
      <c r="Q69" s="9" t="s">
        <v>234</v>
      </c>
      <c r="R69" s="9"/>
      <c r="S69" s="9"/>
      <c r="T69" s="9"/>
      <c r="U69" s="9" t="s">
        <v>22</v>
      </c>
      <c r="V69" s="9"/>
      <c r="W69" s="9" t="s">
        <v>148</v>
      </c>
      <c r="X69" s="9"/>
      <c r="Y69" s="9"/>
      <c r="Z69" s="9"/>
      <c r="AA69" s="9"/>
      <c r="AB69" s="9"/>
      <c r="AC69" s="9"/>
      <c r="AD69" s="9" t="s">
        <v>695</v>
      </c>
      <c r="AE69" s="9" t="s">
        <v>660</v>
      </c>
      <c r="AF69" s="9" t="s">
        <v>696</v>
      </c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3"/>
      <c r="CN69" s="3"/>
      <c r="CO69" s="3"/>
      <c r="CP69" s="3"/>
      <c r="CQ69" s="3"/>
      <c r="CR69" s="3" t="s">
        <v>152</v>
      </c>
      <c r="CS69" s="3" t="s">
        <v>121</v>
      </c>
      <c r="CT69" s="9" t="s">
        <v>122</v>
      </c>
      <c r="CU69" s="3" t="s">
        <v>123</v>
      </c>
      <c r="CV69" s="3" t="s">
        <v>124</v>
      </c>
      <c r="CW69" s="3"/>
      <c r="DG69" s="4"/>
    </row>
    <row r="70" customFormat="false" ht="11.25" hidden="false" customHeight="true" outlineLevel="0" collapsed="false">
      <c r="A70" s="9" t="n">
        <v>69</v>
      </c>
      <c r="B70" s="10" t="n">
        <v>46072.141433669</v>
      </c>
      <c r="C70" s="10" t="n">
        <v>46072.1612137616</v>
      </c>
      <c r="D70" s="9" t="s">
        <v>697</v>
      </c>
      <c r="E70" s="9" t="s">
        <v>698</v>
      </c>
      <c r="F70" s="9" t="s">
        <v>699</v>
      </c>
      <c r="G70" s="9" t="s">
        <v>700</v>
      </c>
      <c r="H70" s="10" t="n">
        <v>46063</v>
      </c>
      <c r="I70" s="10" t="s">
        <v>107</v>
      </c>
      <c r="J70" s="9" t="s">
        <v>128</v>
      </c>
      <c r="K70" s="9" t="s">
        <v>257</v>
      </c>
      <c r="L70" s="9" t="s">
        <v>184</v>
      </c>
      <c r="M70" s="9" t="s">
        <v>111</v>
      </c>
      <c r="N70" s="9" t="s">
        <v>112</v>
      </c>
      <c r="O70" s="9" t="s">
        <v>113</v>
      </c>
      <c r="P70" s="9" t="s">
        <v>114</v>
      </c>
      <c r="Q70" s="9" t="s">
        <v>701</v>
      </c>
      <c r="R70" s="9"/>
      <c r="S70" s="9"/>
      <c r="T70" s="9"/>
      <c r="U70" s="9" t="s">
        <v>22</v>
      </c>
      <c r="V70" s="9"/>
      <c r="W70" s="9" t="s">
        <v>135</v>
      </c>
      <c r="X70" s="9"/>
      <c r="Y70" s="9"/>
      <c r="Z70" s="9"/>
      <c r="AA70" s="9" t="s">
        <v>702</v>
      </c>
      <c r="AB70" s="9" t="s">
        <v>703</v>
      </c>
      <c r="AC70" s="9" t="s">
        <v>704</v>
      </c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3"/>
      <c r="CN70" s="3"/>
      <c r="CO70" s="3"/>
      <c r="CP70" s="3"/>
      <c r="CQ70" s="3"/>
      <c r="CR70" s="3" t="s">
        <v>152</v>
      </c>
      <c r="CS70" s="3" t="s">
        <v>121</v>
      </c>
      <c r="CT70" s="9"/>
      <c r="CU70" s="3" t="s">
        <v>192</v>
      </c>
      <c r="CV70" s="3" t="s">
        <v>124</v>
      </c>
      <c r="CW70" s="3"/>
      <c r="DG70" s="4"/>
    </row>
    <row r="71" customFormat="false" ht="11.25" hidden="false" customHeight="true" outlineLevel="0" collapsed="false">
      <c r="A71" s="9" t="n">
        <v>70</v>
      </c>
      <c r="B71" s="10" t="n">
        <v>46191.6060955671</v>
      </c>
      <c r="C71" s="10" t="n">
        <v>46191.6265816782</v>
      </c>
      <c r="D71" s="9" t="s">
        <v>705</v>
      </c>
      <c r="E71" s="9" t="s">
        <v>706</v>
      </c>
      <c r="F71" s="9" t="s">
        <v>706</v>
      </c>
      <c r="G71" s="9" t="s">
        <v>707</v>
      </c>
      <c r="H71" s="10" t="n">
        <v>46174</v>
      </c>
      <c r="I71" s="10" t="s">
        <v>172</v>
      </c>
      <c r="J71" s="9" t="s">
        <v>108</v>
      </c>
      <c r="K71" s="9" t="s">
        <v>245</v>
      </c>
      <c r="L71" s="9" t="s">
        <v>184</v>
      </c>
      <c r="M71" s="9" t="s">
        <v>111</v>
      </c>
      <c r="N71" s="9" t="s">
        <v>112</v>
      </c>
      <c r="O71" s="9" t="s">
        <v>113</v>
      </c>
      <c r="P71" s="9" t="s">
        <v>130</v>
      </c>
      <c r="Q71" s="9" t="s">
        <v>227</v>
      </c>
      <c r="R71" s="9"/>
      <c r="S71" s="9"/>
      <c r="T71" s="9"/>
      <c r="U71" s="9" t="s">
        <v>21</v>
      </c>
      <c r="V71" s="9" t="s">
        <v>187</v>
      </c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 t="s">
        <v>188</v>
      </c>
      <c r="AQ71" s="9" t="s">
        <v>708</v>
      </c>
      <c r="AR71" s="9" t="s">
        <v>190</v>
      </c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3"/>
      <c r="CN71" s="3"/>
      <c r="CO71" s="3"/>
      <c r="CP71" s="3"/>
      <c r="CQ71" s="3"/>
      <c r="CR71" s="3" t="s">
        <v>120</v>
      </c>
      <c r="CS71" s="3" t="s">
        <v>180</v>
      </c>
      <c r="CT71" s="9" t="s">
        <v>191</v>
      </c>
      <c r="CU71" s="3" t="s">
        <v>192</v>
      </c>
      <c r="CV71" s="3" t="s">
        <v>168</v>
      </c>
      <c r="CW71" s="3"/>
      <c r="DG71" s="4"/>
    </row>
    <row r="72" customFormat="false" ht="11.25" hidden="false" customHeight="true" outlineLevel="0" collapsed="false">
      <c r="A72" s="9" t="n">
        <v>71</v>
      </c>
      <c r="B72" s="10" t="n">
        <v>46066.5351721759</v>
      </c>
      <c r="C72" s="10" t="n">
        <v>46066.5410633796</v>
      </c>
      <c r="D72" s="9" t="s">
        <v>709</v>
      </c>
      <c r="E72" s="9" t="s">
        <v>710</v>
      </c>
      <c r="F72" s="9" t="s">
        <v>711</v>
      </c>
      <c r="G72" s="9" t="s">
        <v>712</v>
      </c>
      <c r="H72" s="10" t="n">
        <v>46051</v>
      </c>
      <c r="I72" s="10" t="s">
        <v>713</v>
      </c>
      <c r="J72" s="9" t="s">
        <v>295</v>
      </c>
      <c r="K72" s="9" t="s">
        <v>245</v>
      </c>
      <c r="L72" s="9" t="s">
        <v>184</v>
      </c>
      <c r="M72" s="9" t="s">
        <v>111</v>
      </c>
      <c r="N72" s="9" t="s">
        <v>145</v>
      </c>
      <c r="O72" s="9" t="s">
        <v>113</v>
      </c>
      <c r="P72" s="9" t="s">
        <v>578</v>
      </c>
      <c r="Q72" s="9" t="s">
        <v>714</v>
      </c>
      <c r="R72" s="9"/>
      <c r="S72" s="9"/>
      <c r="T72" s="9"/>
      <c r="U72" s="9" t="s">
        <v>22</v>
      </c>
      <c r="V72" s="9"/>
      <c r="W72" s="9" t="s">
        <v>715</v>
      </c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 t="s">
        <v>716</v>
      </c>
      <c r="BI72" s="9" t="s">
        <v>717</v>
      </c>
      <c r="BJ72" s="9" t="s">
        <v>718</v>
      </c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3"/>
      <c r="CN72" s="3"/>
      <c r="CO72" s="3"/>
      <c r="CP72" s="3"/>
      <c r="CQ72" s="3"/>
      <c r="CR72" s="3" t="s">
        <v>152</v>
      </c>
      <c r="CS72" s="3" t="s">
        <v>121</v>
      </c>
      <c r="CT72" s="13" t="s">
        <v>641</v>
      </c>
      <c r="CU72" s="3" t="s">
        <v>123</v>
      </c>
      <c r="CV72" s="3" t="s">
        <v>124</v>
      </c>
      <c r="CW72" s="3"/>
      <c r="DG72" s="4"/>
    </row>
    <row r="73" customFormat="false" ht="11.25" hidden="false" customHeight="true" outlineLevel="0" collapsed="false">
      <c r="A73" s="9" t="n">
        <v>72</v>
      </c>
      <c r="B73" s="10" t="n">
        <v>46103.6197790972</v>
      </c>
      <c r="C73" s="10" t="n">
        <v>46103.6258091898</v>
      </c>
      <c r="D73" s="9" t="s">
        <v>719</v>
      </c>
      <c r="E73" s="9" t="s">
        <v>720</v>
      </c>
      <c r="F73" s="9" t="s">
        <v>720</v>
      </c>
      <c r="G73" s="9" t="s">
        <v>721</v>
      </c>
      <c r="H73" s="10" t="n">
        <v>46085</v>
      </c>
      <c r="I73" s="10" t="s">
        <v>157</v>
      </c>
      <c r="J73" s="9" t="s">
        <v>108</v>
      </c>
      <c r="K73" s="9" t="s">
        <v>257</v>
      </c>
      <c r="L73" s="9" t="s">
        <v>346</v>
      </c>
      <c r="M73" s="9" t="s">
        <v>111</v>
      </c>
      <c r="N73" s="9" t="s">
        <v>112</v>
      </c>
      <c r="O73" s="9" t="s">
        <v>325</v>
      </c>
      <c r="P73" s="9" t="s">
        <v>357</v>
      </c>
      <c r="Q73" s="9" t="s">
        <v>398</v>
      </c>
      <c r="R73" s="9"/>
      <c r="S73" s="9"/>
      <c r="T73" s="9"/>
      <c r="U73" s="9" t="s">
        <v>22</v>
      </c>
      <c r="V73" s="9"/>
      <c r="W73" s="9" t="s">
        <v>271</v>
      </c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 t="s">
        <v>722</v>
      </c>
      <c r="BL73" s="9" t="s">
        <v>723</v>
      </c>
      <c r="BM73" s="9" t="s">
        <v>724</v>
      </c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3"/>
      <c r="CN73" s="3"/>
      <c r="CO73" s="3"/>
      <c r="CP73" s="3"/>
      <c r="CQ73" s="3"/>
      <c r="CR73" s="3" t="s">
        <v>227</v>
      </c>
      <c r="CS73" s="3" t="s">
        <v>180</v>
      </c>
      <c r="CT73" s="9" t="s">
        <v>725</v>
      </c>
      <c r="CU73" s="3" t="s">
        <v>123</v>
      </c>
      <c r="CV73" s="3" t="s">
        <v>124</v>
      </c>
      <c r="CW73" s="3"/>
      <c r="DG73" s="4"/>
    </row>
    <row r="74" customFormat="false" ht="11.25" hidden="false" customHeight="true" outlineLevel="0" collapsed="false">
      <c r="A74" s="9" t="n">
        <v>73</v>
      </c>
      <c r="B74" s="10" t="n">
        <v>46070.2242968287</v>
      </c>
      <c r="C74" s="10" t="n">
        <v>46070.2364843287</v>
      </c>
      <c r="D74" s="9" t="s">
        <v>726</v>
      </c>
      <c r="E74" s="9" t="s">
        <v>727</v>
      </c>
      <c r="F74" s="9" t="s">
        <v>728</v>
      </c>
      <c r="G74" s="9" t="s">
        <v>729</v>
      </c>
      <c r="H74" s="10" t="n">
        <v>46050</v>
      </c>
      <c r="I74" s="10" t="s">
        <v>244</v>
      </c>
      <c r="J74" s="9" t="s">
        <v>108</v>
      </c>
      <c r="K74" s="9" t="s">
        <v>196</v>
      </c>
      <c r="L74" s="9" t="s">
        <v>246</v>
      </c>
      <c r="M74" s="9" t="s">
        <v>111</v>
      </c>
      <c r="N74" s="9" t="s">
        <v>112</v>
      </c>
      <c r="O74" s="9" t="s">
        <v>113</v>
      </c>
      <c r="P74" s="9" t="s">
        <v>144</v>
      </c>
      <c r="Q74" s="9" t="s">
        <v>389</v>
      </c>
      <c r="R74" s="9"/>
      <c r="S74" s="9"/>
      <c r="T74" s="9"/>
      <c r="U74" s="9" t="s">
        <v>22</v>
      </c>
      <c r="V74" s="9"/>
      <c r="W74" s="9" t="s">
        <v>715</v>
      </c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 t="s">
        <v>730</v>
      </c>
      <c r="BI74" s="9" t="s">
        <v>731</v>
      </c>
      <c r="BJ74" s="9" t="s">
        <v>732</v>
      </c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3"/>
      <c r="CN74" s="3"/>
      <c r="CO74" s="3"/>
      <c r="CP74" s="3"/>
      <c r="CQ74" s="3"/>
      <c r="CR74" s="3" t="s">
        <v>152</v>
      </c>
      <c r="CS74" s="3" t="s">
        <v>121</v>
      </c>
      <c r="CT74" s="9" t="s">
        <v>122</v>
      </c>
      <c r="CU74" s="3" t="s">
        <v>123</v>
      </c>
      <c r="CV74" s="3" t="s">
        <v>124</v>
      </c>
      <c r="CW74" s="3"/>
      <c r="DG74" s="4"/>
    </row>
    <row r="75" customFormat="false" ht="11.25" hidden="false" customHeight="true" outlineLevel="0" collapsed="false">
      <c r="A75" s="9" t="n">
        <v>74</v>
      </c>
      <c r="B75" s="10" t="n">
        <v>46154.2675204051</v>
      </c>
      <c r="C75" s="10" t="n">
        <v>46154.2854254977</v>
      </c>
      <c r="D75" s="9" t="s">
        <v>733</v>
      </c>
      <c r="E75" s="9" t="s">
        <v>734</v>
      </c>
      <c r="F75" s="9" t="s">
        <v>734</v>
      </c>
      <c r="G75" s="9" t="s">
        <v>735</v>
      </c>
      <c r="H75" s="10" t="n">
        <v>46152</v>
      </c>
      <c r="I75" s="10" t="s">
        <v>244</v>
      </c>
      <c r="J75" s="9" t="s">
        <v>128</v>
      </c>
      <c r="K75" s="9" t="s">
        <v>462</v>
      </c>
      <c r="L75" s="9" t="s">
        <v>210</v>
      </c>
      <c r="M75" s="9" t="s">
        <v>111</v>
      </c>
      <c r="N75" s="9" t="s">
        <v>112</v>
      </c>
      <c r="O75" s="9" t="s">
        <v>113</v>
      </c>
      <c r="P75" s="9" t="s">
        <v>736</v>
      </c>
      <c r="Q75" s="9" t="s">
        <v>306</v>
      </c>
      <c r="R75" s="9"/>
      <c r="S75" s="9"/>
      <c r="T75" s="9"/>
      <c r="U75" s="9" t="s">
        <v>22</v>
      </c>
      <c r="V75" s="9"/>
      <c r="W75" s="9" t="s">
        <v>381</v>
      </c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 t="s">
        <v>737</v>
      </c>
      <c r="BR75" s="9" t="s">
        <v>464</v>
      </c>
      <c r="BS75" s="9" t="s">
        <v>738</v>
      </c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3"/>
      <c r="CN75" s="3"/>
      <c r="CO75" s="3"/>
      <c r="CP75" s="3"/>
      <c r="CQ75" s="3"/>
      <c r="CR75" s="3" t="s">
        <v>152</v>
      </c>
      <c r="CS75" s="3" t="s">
        <v>264</v>
      </c>
      <c r="CT75" s="9" t="s">
        <v>562</v>
      </c>
      <c r="CU75" s="3" t="s">
        <v>123</v>
      </c>
      <c r="CV75" s="3" t="s">
        <v>139</v>
      </c>
      <c r="CW75" s="3"/>
      <c r="DG75" s="4"/>
    </row>
    <row r="76" customFormat="false" ht="11.25" hidden="false" customHeight="true" outlineLevel="0" collapsed="false">
      <c r="A76" s="9" t="n">
        <v>75</v>
      </c>
      <c r="B76" s="10" t="n">
        <v>46191.5599628704</v>
      </c>
      <c r="C76" s="10" t="n">
        <v>46191.576942037</v>
      </c>
      <c r="D76" s="9" t="s">
        <v>739</v>
      </c>
      <c r="E76" s="9" t="s">
        <v>740</v>
      </c>
      <c r="F76" s="9" t="s">
        <v>740</v>
      </c>
      <c r="G76" s="9" t="s">
        <v>741</v>
      </c>
      <c r="H76" s="10" t="n">
        <v>46181</v>
      </c>
      <c r="I76" s="10" t="s">
        <v>107</v>
      </c>
      <c r="J76" s="9" t="s">
        <v>108</v>
      </c>
      <c r="K76" s="9" t="s">
        <v>742</v>
      </c>
      <c r="L76" s="9" t="s">
        <v>210</v>
      </c>
      <c r="M76" s="9" t="s">
        <v>211</v>
      </c>
      <c r="N76" s="9" t="s">
        <v>112</v>
      </c>
      <c r="O76" s="9" t="s">
        <v>113</v>
      </c>
      <c r="P76" s="9" t="s">
        <v>133</v>
      </c>
      <c r="Q76" s="9" t="s">
        <v>743</v>
      </c>
      <c r="R76" s="9"/>
      <c r="S76" s="9"/>
      <c r="T76" s="9"/>
      <c r="U76" s="9" t="s">
        <v>22</v>
      </c>
      <c r="V76" s="9"/>
      <c r="W76" s="9" t="s">
        <v>116</v>
      </c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 t="s">
        <v>744</v>
      </c>
      <c r="BU76" s="9" t="s">
        <v>745</v>
      </c>
      <c r="BV76" s="9" t="s">
        <v>746</v>
      </c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11"/>
      <c r="CM76" s="3"/>
      <c r="CN76" s="3"/>
      <c r="CO76" s="3"/>
      <c r="CP76" s="3"/>
      <c r="CQ76" s="3"/>
      <c r="CR76" s="3" t="s">
        <v>152</v>
      </c>
      <c r="CS76" s="3" t="s">
        <v>496</v>
      </c>
      <c r="CT76" s="9" t="s">
        <v>122</v>
      </c>
      <c r="CU76" s="3" t="s">
        <v>167</v>
      </c>
      <c r="CV76" s="3" t="s">
        <v>124</v>
      </c>
      <c r="CW76" s="3"/>
      <c r="DG76" s="4"/>
    </row>
    <row r="77" customFormat="false" ht="11.25" hidden="false" customHeight="true" outlineLevel="0" collapsed="false">
      <c r="A77" s="9" t="n">
        <v>76</v>
      </c>
      <c r="B77" s="10" t="n">
        <v>46094.2397378357</v>
      </c>
      <c r="C77" s="10" t="n">
        <v>46094.2517980208</v>
      </c>
      <c r="D77" s="9" t="s">
        <v>747</v>
      </c>
      <c r="E77" s="9" t="s">
        <v>748</v>
      </c>
      <c r="F77" s="9" t="s">
        <v>748</v>
      </c>
      <c r="G77" s="9" t="s">
        <v>749</v>
      </c>
      <c r="H77" s="10" t="n">
        <v>46077</v>
      </c>
      <c r="I77" s="10" t="s">
        <v>750</v>
      </c>
      <c r="J77" s="9" t="s">
        <v>108</v>
      </c>
      <c r="K77" s="9" t="s">
        <v>245</v>
      </c>
      <c r="L77" s="9" t="s">
        <v>110</v>
      </c>
      <c r="M77" s="9" t="s">
        <v>111</v>
      </c>
      <c r="N77" s="9" t="s">
        <v>112</v>
      </c>
      <c r="O77" s="9" t="s">
        <v>113</v>
      </c>
      <c r="P77" s="9" t="s">
        <v>365</v>
      </c>
      <c r="Q77" s="9" t="s">
        <v>560</v>
      </c>
      <c r="R77" s="9"/>
      <c r="S77" s="9"/>
      <c r="T77" s="9"/>
      <c r="U77" s="9" t="s">
        <v>22</v>
      </c>
      <c r="V77" s="9"/>
      <c r="W77" s="9" t="s">
        <v>339</v>
      </c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 t="s">
        <v>751</v>
      </c>
      <c r="BO77" s="9" t="s">
        <v>752</v>
      </c>
      <c r="BP77" s="9" t="s">
        <v>753</v>
      </c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3"/>
      <c r="CN77" s="3"/>
      <c r="CO77" s="3"/>
      <c r="CP77" s="3"/>
      <c r="CQ77" s="3"/>
      <c r="CR77" s="3" t="s">
        <v>227</v>
      </c>
      <c r="CS77" s="3" t="s">
        <v>121</v>
      </c>
      <c r="CT77" s="9" t="s">
        <v>291</v>
      </c>
      <c r="CU77" s="3" t="s">
        <v>123</v>
      </c>
      <c r="CV77" s="3" t="s">
        <v>124</v>
      </c>
      <c r="CW77" s="3"/>
      <c r="DG77" s="4"/>
    </row>
    <row r="78" customFormat="false" ht="11.25" hidden="false" customHeight="true" outlineLevel="0" collapsed="false">
      <c r="A78" s="9" t="n">
        <v>77</v>
      </c>
      <c r="B78" s="10" t="n">
        <v>46066.3904617014</v>
      </c>
      <c r="C78" s="10" t="n">
        <v>46066.3924640162</v>
      </c>
      <c r="D78" s="9" t="s">
        <v>754</v>
      </c>
      <c r="E78" s="9" t="s">
        <v>755</v>
      </c>
      <c r="F78" s="9" t="s">
        <v>755</v>
      </c>
      <c r="G78" s="9" t="s">
        <v>756</v>
      </c>
      <c r="H78" s="10" t="n">
        <v>46064</v>
      </c>
      <c r="I78" s="10" t="s">
        <v>244</v>
      </c>
      <c r="J78" s="9" t="s">
        <v>295</v>
      </c>
      <c r="K78" s="9" t="s">
        <v>173</v>
      </c>
      <c r="L78" s="9" t="s">
        <v>130</v>
      </c>
      <c r="M78" s="9" t="s">
        <v>111</v>
      </c>
      <c r="N78" s="9" t="s">
        <v>145</v>
      </c>
      <c r="O78" s="9" t="s">
        <v>325</v>
      </c>
      <c r="P78" s="9" t="s">
        <v>757</v>
      </c>
      <c r="Q78" s="9" t="s">
        <v>758</v>
      </c>
      <c r="R78" s="9"/>
      <c r="S78" s="9"/>
      <c r="T78" s="9"/>
      <c r="U78" s="9" t="s">
        <v>22</v>
      </c>
      <c r="V78" s="9"/>
      <c r="W78" s="9" t="s">
        <v>298</v>
      </c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 t="s">
        <v>759</v>
      </c>
      <c r="AW78" s="9" t="s">
        <v>760</v>
      </c>
      <c r="AX78" s="9" t="s">
        <v>761</v>
      </c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3"/>
      <c r="CN78" s="3"/>
      <c r="CO78" s="3"/>
      <c r="CP78" s="3"/>
      <c r="CQ78" s="3"/>
      <c r="CR78" s="3" t="s">
        <v>152</v>
      </c>
      <c r="CS78" s="3" t="s">
        <v>121</v>
      </c>
      <c r="CT78" s="9" t="s">
        <v>122</v>
      </c>
      <c r="CU78" s="3" t="s">
        <v>123</v>
      </c>
      <c r="CV78" s="3" t="s">
        <v>139</v>
      </c>
      <c r="CW78" s="3"/>
      <c r="DG78" s="4"/>
    </row>
    <row r="79" customFormat="false" ht="11.25" hidden="false" customHeight="true" outlineLevel="0" collapsed="false">
      <c r="A79" s="9" t="n">
        <v>78</v>
      </c>
      <c r="B79" s="10" t="n">
        <v>46142.6844493519</v>
      </c>
      <c r="C79" s="10" t="n">
        <v>46142.6966831482</v>
      </c>
      <c r="D79" s="9" t="s">
        <v>762</v>
      </c>
      <c r="E79" s="9" t="s">
        <v>763</v>
      </c>
      <c r="F79" s="9" t="s">
        <v>764</v>
      </c>
      <c r="G79" s="9" t="s">
        <v>765</v>
      </c>
      <c r="H79" s="10" t="n">
        <v>46142</v>
      </c>
      <c r="I79" s="10" t="s">
        <v>750</v>
      </c>
      <c r="J79" s="9" t="s">
        <v>108</v>
      </c>
      <c r="K79" s="9" t="s">
        <v>257</v>
      </c>
      <c r="L79" s="9" t="s">
        <v>296</v>
      </c>
      <c r="M79" s="9" t="s">
        <v>111</v>
      </c>
      <c r="N79" s="9" t="s">
        <v>145</v>
      </c>
      <c r="O79" s="9" t="s">
        <v>132</v>
      </c>
      <c r="P79" s="9" t="s">
        <v>269</v>
      </c>
      <c r="Q79" s="9" t="s">
        <v>766</v>
      </c>
      <c r="R79" s="9"/>
      <c r="S79" s="9"/>
      <c r="T79" s="9"/>
      <c r="U79" s="9" t="s">
        <v>22</v>
      </c>
      <c r="V79" s="9"/>
      <c r="W79" s="9" t="s">
        <v>176</v>
      </c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 t="s">
        <v>767</v>
      </c>
      <c r="AZ79" s="9" t="s">
        <v>768</v>
      </c>
      <c r="BA79" s="9" t="s">
        <v>769</v>
      </c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3"/>
      <c r="CN79" s="3"/>
      <c r="CO79" s="3"/>
      <c r="CP79" s="3"/>
      <c r="CQ79" s="3"/>
      <c r="CR79" s="3" t="s">
        <v>152</v>
      </c>
      <c r="CS79" s="3" t="s">
        <v>121</v>
      </c>
      <c r="CT79" s="9" t="s">
        <v>770</v>
      </c>
      <c r="CU79" s="3" t="s">
        <v>123</v>
      </c>
      <c r="CV79" s="3" t="s">
        <v>124</v>
      </c>
      <c r="CW79" s="3"/>
      <c r="DG79" s="4"/>
    </row>
    <row r="80" customFormat="false" ht="11.25" hidden="false" customHeight="true" outlineLevel="0" collapsed="false">
      <c r="A80" s="9" t="n">
        <v>79</v>
      </c>
      <c r="B80" s="10" t="n">
        <v>46080.290215706</v>
      </c>
      <c r="C80" s="10" t="n">
        <v>46080.3046370023</v>
      </c>
      <c r="D80" s="9" t="s">
        <v>771</v>
      </c>
      <c r="E80" s="9" t="s">
        <v>772</v>
      </c>
      <c r="F80" s="9" t="s">
        <v>772</v>
      </c>
      <c r="G80" s="9" t="s">
        <v>773</v>
      </c>
      <c r="H80" s="10" t="n">
        <v>46066</v>
      </c>
      <c r="I80" s="10" t="s">
        <v>750</v>
      </c>
      <c r="J80" s="9" t="s">
        <v>108</v>
      </c>
      <c r="K80" s="9" t="s">
        <v>462</v>
      </c>
      <c r="L80" s="9" t="s">
        <v>159</v>
      </c>
      <c r="M80" s="9" t="s">
        <v>111</v>
      </c>
      <c r="N80" s="9" t="s">
        <v>112</v>
      </c>
      <c r="O80" s="9" t="s">
        <v>113</v>
      </c>
      <c r="P80" s="9" t="s">
        <v>774</v>
      </c>
      <c r="Q80" s="9" t="s">
        <v>775</v>
      </c>
      <c r="R80" s="9"/>
      <c r="S80" s="9"/>
      <c r="T80" s="9"/>
      <c r="U80" s="9" t="s">
        <v>22</v>
      </c>
      <c r="V80" s="9"/>
      <c r="W80" s="9" t="s">
        <v>339</v>
      </c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 t="s">
        <v>776</v>
      </c>
      <c r="BO80" s="9" t="s">
        <v>777</v>
      </c>
      <c r="BP80" s="9" t="s">
        <v>752</v>
      </c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11"/>
      <c r="CM80" s="3"/>
      <c r="CN80" s="3"/>
      <c r="CO80" s="3"/>
      <c r="CP80" s="3"/>
      <c r="CQ80" s="3"/>
      <c r="CR80" s="3" t="s">
        <v>120</v>
      </c>
      <c r="CS80" s="3" t="s">
        <v>121</v>
      </c>
      <c r="CT80" s="9" t="s">
        <v>153</v>
      </c>
      <c r="CU80" s="3" t="s">
        <v>192</v>
      </c>
      <c r="CV80" s="3" t="s">
        <v>139</v>
      </c>
      <c r="CW80" s="3"/>
      <c r="DG80" s="4"/>
    </row>
    <row r="81" customFormat="false" ht="11.25" hidden="false" customHeight="true" outlineLevel="0" collapsed="false">
      <c r="A81" s="9" t="n">
        <v>80</v>
      </c>
      <c r="B81" s="10" t="n">
        <v>46202.7342430903</v>
      </c>
      <c r="C81" s="10" t="n">
        <v>46202.7395671644</v>
      </c>
      <c r="D81" s="9" t="s">
        <v>778</v>
      </c>
      <c r="E81" s="9" t="s">
        <v>779</v>
      </c>
      <c r="F81" s="9" t="s">
        <v>779</v>
      </c>
      <c r="G81" s="9" t="s">
        <v>780</v>
      </c>
      <c r="H81" s="10" t="n">
        <v>46184</v>
      </c>
      <c r="I81" s="10" t="s">
        <v>781</v>
      </c>
      <c r="J81" s="9" t="s">
        <v>295</v>
      </c>
      <c r="K81" s="9" t="s">
        <v>257</v>
      </c>
      <c r="L81" s="9" t="s">
        <v>159</v>
      </c>
      <c r="M81" s="9" t="s">
        <v>111</v>
      </c>
      <c r="N81" s="9" t="s">
        <v>112</v>
      </c>
      <c r="O81" s="9" t="s">
        <v>113</v>
      </c>
      <c r="P81" s="9" t="s">
        <v>357</v>
      </c>
      <c r="Q81" s="9" t="s">
        <v>606</v>
      </c>
      <c r="R81" s="9"/>
      <c r="S81" s="9"/>
      <c r="T81" s="9"/>
      <c r="U81" s="9" t="s">
        <v>22</v>
      </c>
      <c r="V81" s="9"/>
      <c r="W81" s="9" t="s">
        <v>176</v>
      </c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 t="s">
        <v>782</v>
      </c>
      <c r="AZ81" s="9" t="s">
        <v>783</v>
      </c>
      <c r="BA81" s="9" t="s">
        <v>784</v>
      </c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3"/>
      <c r="CN81" s="3"/>
      <c r="CO81" s="3"/>
      <c r="CP81" s="3"/>
      <c r="CQ81" s="3"/>
      <c r="CR81" s="3" t="s">
        <v>152</v>
      </c>
      <c r="CS81" s="3" t="s">
        <v>121</v>
      </c>
      <c r="CT81" s="9" t="s">
        <v>785</v>
      </c>
      <c r="CU81" s="3" t="s">
        <v>167</v>
      </c>
      <c r="CV81" s="3" t="s">
        <v>124</v>
      </c>
      <c r="CW81" s="3"/>
      <c r="DG81" s="4"/>
    </row>
    <row r="82" customFormat="false" ht="11.25" hidden="false" customHeight="true" outlineLevel="0" collapsed="false">
      <c r="A82" s="14" t="n">
        <v>81</v>
      </c>
      <c r="B82" s="15" t="n">
        <v>46046.5698839005</v>
      </c>
      <c r="C82" s="15" t="n">
        <v>46046.5836223264</v>
      </c>
      <c r="D82" s="14" t="s">
        <v>786</v>
      </c>
      <c r="E82" s="14" t="s">
        <v>787</v>
      </c>
      <c r="F82" s="14" t="s">
        <v>787</v>
      </c>
      <c r="G82" s="14" t="s">
        <v>788</v>
      </c>
      <c r="H82" s="15" t="n">
        <v>46043</v>
      </c>
      <c r="I82" s="15" t="s">
        <v>172</v>
      </c>
      <c r="J82" s="14" t="s">
        <v>295</v>
      </c>
      <c r="K82" s="14" t="s">
        <v>232</v>
      </c>
      <c r="L82" s="14" t="s">
        <v>197</v>
      </c>
      <c r="M82" s="14" t="s">
        <v>131</v>
      </c>
      <c r="N82" s="14" t="s">
        <v>112</v>
      </c>
      <c r="O82" s="14" t="s">
        <v>132</v>
      </c>
      <c r="P82" s="14" t="s">
        <v>789</v>
      </c>
      <c r="Q82" s="14" t="s">
        <v>235</v>
      </c>
      <c r="R82" s="14"/>
      <c r="S82" s="14"/>
      <c r="T82" s="14"/>
      <c r="U82" s="14" t="s">
        <v>22</v>
      </c>
      <c r="V82" s="14"/>
      <c r="W82" s="14" t="s">
        <v>298</v>
      </c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 t="s">
        <v>790</v>
      </c>
      <c r="AW82" s="14" t="s">
        <v>791</v>
      </c>
      <c r="AX82" s="14" t="s">
        <v>792</v>
      </c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R82" s="1" t="s">
        <v>120</v>
      </c>
      <c r="CS82" s="1" t="s">
        <v>180</v>
      </c>
      <c r="CT82" s="14" t="s">
        <v>122</v>
      </c>
      <c r="CU82" s="1" t="s">
        <v>123</v>
      </c>
      <c r="CV82" s="1" t="s">
        <v>124</v>
      </c>
      <c r="CW82" s="3"/>
      <c r="DG82" s="4"/>
    </row>
    <row r="83" customFormat="false" ht="11.25" hidden="false" customHeight="true" outlineLevel="0" collapsed="false">
      <c r="A83" s="14" t="n">
        <v>82</v>
      </c>
      <c r="B83" s="15" t="n">
        <v>46165.1678119792</v>
      </c>
      <c r="C83" s="15" t="n">
        <v>46165.1693050347</v>
      </c>
      <c r="D83" s="14" t="s">
        <v>793</v>
      </c>
      <c r="E83" s="14" t="s">
        <v>794</v>
      </c>
      <c r="F83" s="14" t="s">
        <v>794</v>
      </c>
      <c r="G83" s="14" t="s">
        <v>795</v>
      </c>
      <c r="H83" s="15" t="n">
        <v>46157</v>
      </c>
      <c r="I83" s="15" t="s">
        <v>278</v>
      </c>
      <c r="J83" s="14" t="s">
        <v>295</v>
      </c>
      <c r="K83" s="14" t="s">
        <v>796</v>
      </c>
      <c r="L83" s="14" t="s">
        <v>114</v>
      </c>
      <c r="M83" s="14" t="s">
        <v>131</v>
      </c>
      <c r="N83" s="14" t="s">
        <v>112</v>
      </c>
      <c r="O83" s="14" t="s">
        <v>113</v>
      </c>
      <c r="P83" s="14" t="s">
        <v>797</v>
      </c>
      <c r="Q83" s="14" t="s">
        <v>338</v>
      </c>
      <c r="R83" s="14"/>
      <c r="S83" s="14"/>
      <c r="T83" s="14"/>
      <c r="U83" s="14" t="s">
        <v>21</v>
      </c>
      <c r="V83" s="14" t="s">
        <v>187</v>
      </c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 t="s">
        <v>188</v>
      </c>
      <c r="AQ83" s="14" t="s">
        <v>708</v>
      </c>
      <c r="AR83" s="14" t="s">
        <v>190</v>
      </c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R83" s="1" t="s">
        <v>120</v>
      </c>
      <c r="CS83" s="1" t="s">
        <v>180</v>
      </c>
      <c r="CT83" s="14" t="s">
        <v>798</v>
      </c>
      <c r="CU83" s="1" t="s">
        <v>167</v>
      </c>
      <c r="CV83" s="1" t="s">
        <v>124</v>
      </c>
      <c r="CW83" s="3"/>
      <c r="DG83" s="4"/>
    </row>
    <row r="84" customFormat="false" ht="11.25" hidden="false" customHeight="true" outlineLevel="0" collapsed="false">
      <c r="A84" s="14" t="n">
        <v>83</v>
      </c>
      <c r="B84" s="15" t="n">
        <v>46107.2443825347</v>
      </c>
      <c r="C84" s="15" t="n">
        <v>46107.2485376273</v>
      </c>
      <c r="D84" s="14" t="s">
        <v>799</v>
      </c>
      <c r="E84" s="14" t="s">
        <v>800</v>
      </c>
      <c r="F84" s="14" t="s">
        <v>800</v>
      </c>
      <c r="G84" s="14" t="s">
        <v>801</v>
      </c>
      <c r="H84" s="15" t="n">
        <v>46103</v>
      </c>
      <c r="I84" s="15" t="s">
        <v>172</v>
      </c>
      <c r="J84" s="14" t="s">
        <v>108</v>
      </c>
      <c r="K84" s="14" t="s">
        <v>802</v>
      </c>
      <c r="L84" s="14" t="s">
        <v>210</v>
      </c>
      <c r="M84" s="14" t="s">
        <v>111</v>
      </c>
      <c r="N84" s="14" t="s">
        <v>112</v>
      </c>
      <c r="O84" s="14" t="s">
        <v>113</v>
      </c>
      <c r="P84" s="14" t="s">
        <v>789</v>
      </c>
      <c r="Q84" s="14" t="s">
        <v>523</v>
      </c>
      <c r="R84" s="14"/>
      <c r="S84" s="14"/>
      <c r="T84" s="14"/>
      <c r="U84" s="14" t="s">
        <v>22</v>
      </c>
      <c r="V84" s="14"/>
      <c r="W84" s="14" t="s">
        <v>381</v>
      </c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 t="s">
        <v>803</v>
      </c>
      <c r="BR84" s="14" t="s">
        <v>804</v>
      </c>
      <c r="BS84" s="14" t="s">
        <v>805</v>
      </c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R84" s="1" t="s">
        <v>152</v>
      </c>
      <c r="CS84" s="1" t="s">
        <v>496</v>
      </c>
      <c r="CT84" s="14" t="s">
        <v>239</v>
      </c>
      <c r="CU84" s="1" t="s">
        <v>192</v>
      </c>
      <c r="CV84" s="1" t="s">
        <v>124</v>
      </c>
      <c r="CW84" s="3"/>
      <c r="DG84" s="4"/>
    </row>
    <row r="85" customFormat="false" ht="11.25" hidden="false" customHeight="true" outlineLevel="0" collapsed="false">
      <c r="A85" s="14" t="n">
        <v>84</v>
      </c>
      <c r="B85" s="15" t="n">
        <v>46157.4223352546</v>
      </c>
      <c r="C85" s="15" t="n">
        <v>46157.4276824769</v>
      </c>
      <c r="D85" s="14" t="s">
        <v>806</v>
      </c>
      <c r="E85" s="14" t="s">
        <v>807</v>
      </c>
      <c r="F85" s="14" t="s">
        <v>807</v>
      </c>
      <c r="G85" s="14" t="s">
        <v>808</v>
      </c>
      <c r="H85" s="15" t="n">
        <v>46150</v>
      </c>
      <c r="I85" s="15" t="s">
        <v>172</v>
      </c>
      <c r="J85" s="14" t="s">
        <v>108</v>
      </c>
      <c r="K85" s="14" t="s">
        <v>364</v>
      </c>
      <c r="L85" s="14" t="s">
        <v>296</v>
      </c>
      <c r="M85" s="14" t="s">
        <v>111</v>
      </c>
      <c r="N85" s="14" t="s">
        <v>145</v>
      </c>
      <c r="O85" s="14" t="s">
        <v>113</v>
      </c>
      <c r="P85" s="14" t="s">
        <v>809</v>
      </c>
      <c r="Q85" s="14" t="s">
        <v>810</v>
      </c>
      <c r="R85" s="14"/>
      <c r="S85" s="14"/>
      <c r="T85" s="14"/>
      <c r="U85" s="14" t="s">
        <v>22</v>
      </c>
      <c r="V85" s="14"/>
      <c r="W85" s="14" t="s">
        <v>715</v>
      </c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 t="s">
        <v>811</v>
      </c>
      <c r="BI85" s="14" t="s">
        <v>812</v>
      </c>
      <c r="BJ85" s="14" t="s">
        <v>813</v>
      </c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R85" s="1" t="s">
        <v>152</v>
      </c>
      <c r="CS85" s="1" t="s">
        <v>814</v>
      </c>
      <c r="CT85" s="14"/>
      <c r="CU85" s="1" t="s">
        <v>167</v>
      </c>
      <c r="CV85" s="1" t="s">
        <v>124</v>
      </c>
      <c r="CW85" s="3" t="s">
        <v>621</v>
      </c>
      <c r="DG85" s="4"/>
    </row>
    <row r="86" customFormat="false" ht="11.25" hidden="false" customHeight="true" outlineLevel="0" collapsed="false">
      <c r="A86" s="14" t="n">
        <v>85</v>
      </c>
      <c r="B86" s="15" t="n">
        <v>46133.8077640278</v>
      </c>
      <c r="C86" s="15" t="n">
        <v>46133.8254839352</v>
      </c>
      <c r="D86" s="14" t="s">
        <v>815</v>
      </c>
      <c r="E86" s="14" t="s">
        <v>816</v>
      </c>
      <c r="F86" s="14" t="s">
        <v>816</v>
      </c>
      <c r="G86" s="14" t="s">
        <v>817</v>
      </c>
      <c r="H86" s="15" t="n">
        <v>46114</v>
      </c>
      <c r="I86" s="15" t="s">
        <v>244</v>
      </c>
      <c r="J86" s="14" t="s">
        <v>108</v>
      </c>
      <c r="K86" s="14" t="s">
        <v>818</v>
      </c>
      <c r="L86" s="14" t="s">
        <v>286</v>
      </c>
      <c r="M86" s="14" t="s">
        <v>131</v>
      </c>
      <c r="N86" s="14" t="s">
        <v>145</v>
      </c>
      <c r="O86" s="14" t="s">
        <v>113</v>
      </c>
      <c r="P86" s="14" t="s">
        <v>578</v>
      </c>
      <c r="Q86" s="14" t="s">
        <v>819</v>
      </c>
      <c r="R86" s="14"/>
      <c r="S86" s="14"/>
      <c r="T86" s="14"/>
      <c r="U86" s="14" t="s">
        <v>22</v>
      </c>
      <c r="V86" s="14"/>
      <c r="W86" s="14" t="s">
        <v>298</v>
      </c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 t="s">
        <v>820</v>
      </c>
      <c r="AW86" s="14" t="s">
        <v>821</v>
      </c>
      <c r="AX86" s="14" t="s">
        <v>668</v>
      </c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R86" s="1" t="s">
        <v>227</v>
      </c>
      <c r="CS86" s="1" t="s">
        <v>352</v>
      </c>
      <c r="CT86" s="14" t="s">
        <v>822</v>
      </c>
      <c r="CU86" s="1" t="s">
        <v>167</v>
      </c>
      <c r="CV86" s="1" t="s">
        <v>124</v>
      </c>
      <c r="CW86" s="3"/>
      <c r="DG86" s="4"/>
    </row>
    <row r="87" customFormat="false" ht="11.25" hidden="false" customHeight="true" outlineLevel="0" collapsed="false">
      <c r="A87" s="14" t="n">
        <v>86</v>
      </c>
      <c r="B87" s="15" t="n">
        <v>46177.214965081</v>
      </c>
      <c r="C87" s="15" t="n">
        <v>46177.2222104514</v>
      </c>
      <c r="D87" s="14" t="s">
        <v>823</v>
      </c>
      <c r="E87" s="14" t="s">
        <v>824</v>
      </c>
      <c r="F87" s="14" t="s">
        <v>824</v>
      </c>
      <c r="G87" s="14" t="s">
        <v>825</v>
      </c>
      <c r="H87" s="15" t="n">
        <v>46165</v>
      </c>
      <c r="I87" s="15" t="s">
        <v>172</v>
      </c>
      <c r="J87" s="14" t="s">
        <v>108</v>
      </c>
      <c r="K87" s="14" t="s">
        <v>826</v>
      </c>
      <c r="L87" s="14" t="s">
        <v>159</v>
      </c>
      <c r="M87" s="14" t="s">
        <v>111</v>
      </c>
      <c r="N87" s="14" t="s">
        <v>112</v>
      </c>
      <c r="O87" s="14" t="s">
        <v>325</v>
      </c>
      <c r="P87" s="14" t="s">
        <v>326</v>
      </c>
      <c r="Q87" s="14" t="s">
        <v>827</v>
      </c>
      <c r="R87" s="14"/>
      <c r="S87" s="14"/>
      <c r="T87" s="14"/>
      <c r="U87" s="14" t="s">
        <v>22</v>
      </c>
      <c r="V87" s="14"/>
      <c r="W87" s="14" t="s">
        <v>715</v>
      </c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 t="s">
        <v>828</v>
      </c>
      <c r="BI87" s="14" t="s">
        <v>829</v>
      </c>
      <c r="BJ87" s="14" t="s">
        <v>830</v>
      </c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R87" s="1" t="s">
        <v>227</v>
      </c>
      <c r="CS87" s="1" t="s">
        <v>180</v>
      </c>
      <c r="CT87" s="14" t="s">
        <v>831</v>
      </c>
      <c r="CU87" s="1" t="s">
        <v>192</v>
      </c>
      <c r="CV87" s="1" t="s">
        <v>124</v>
      </c>
      <c r="CW87" s="3" t="s">
        <v>621</v>
      </c>
      <c r="DG87" s="4"/>
    </row>
    <row r="88" customFormat="false" ht="11.25" hidden="false" customHeight="true" outlineLevel="0" collapsed="false">
      <c r="A88" s="14" t="n">
        <v>87</v>
      </c>
      <c r="B88" s="15" t="n">
        <v>46127.097741794</v>
      </c>
      <c r="C88" s="15" t="n">
        <v>46127.1058436458</v>
      </c>
      <c r="D88" s="14" t="s">
        <v>832</v>
      </c>
      <c r="E88" s="14" t="s">
        <v>833</v>
      </c>
      <c r="F88" s="14" t="s">
        <v>833</v>
      </c>
      <c r="G88" s="14" t="s">
        <v>834</v>
      </c>
      <c r="H88" s="15" t="n">
        <v>46123</v>
      </c>
      <c r="I88" s="15" t="s">
        <v>244</v>
      </c>
      <c r="J88" s="14" t="s">
        <v>108</v>
      </c>
      <c r="K88" s="14" t="s">
        <v>173</v>
      </c>
      <c r="L88" s="14" t="s">
        <v>197</v>
      </c>
      <c r="M88" s="14" t="s">
        <v>111</v>
      </c>
      <c r="N88" s="14" t="s">
        <v>145</v>
      </c>
      <c r="O88" s="14" t="s">
        <v>113</v>
      </c>
      <c r="P88" s="14" t="s">
        <v>566</v>
      </c>
      <c r="Q88" s="14" t="s">
        <v>259</v>
      </c>
      <c r="R88" s="14"/>
      <c r="S88" s="14"/>
      <c r="T88" s="14"/>
      <c r="U88" s="14" t="s">
        <v>22</v>
      </c>
      <c r="V88" s="14"/>
      <c r="W88" s="14" t="s">
        <v>135</v>
      </c>
      <c r="X88" s="14"/>
      <c r="Y88" s="14"/>
      <c r="Z88" s="14"/>
      <c r="AA88" s="14" t="s">
        <v>835</v>
      </c>
      <c r="AB88" s="14" t="s">
        <v>836</v>
      </c>
      <c r="AC88" s="14" t="s">
        <v>837</v>
      </c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R88" s="1" t="s">
        <v>152</v>
      </c>
      <c r="CS88" s="1" t="s">
        <v>121</v>
      </c>
      <c r="CT88" s="14" t="s">
        <v>321</v>
      </c>
      <c r="CU88" s="1" t="s">
        <v>123</v>
      </c>
      <c r="CV88" s="1" t="s">
        <v>124</v>
      </c>
      <c r="CW88" s="3"/>
      <c r="DG88" s="4"/>
    </row>
    <row r="89" customFormat="false" ht="11.25" hidden="false" customHeight="true" outlineLevel="0" collapsed="false">
      <c r="A89" s="14" t="n">
        <v>88</v>
      </c>
      <c r="B89" s="15" t="n">
        <v>46127.8785647338</v>
      </c>
      <c r="C89" s="15" t="n">
        <v>46127.8954860301</v>
      </c>
      <c r="D89" s="14" t="s">
        <v>838</v>
      </c>
      <c r="E89" s="14" t="s">
        <v>839</v>
      </c>
      <c r="F89" s="14" t="s">
        <v>839</v>
      </c>
      <c r="G89" s="14" t="s">
        <v>840</v>
      </c>
      <c r="H89" s="15" t="n">
        <v>46127</v>
      </c>
      <c r="I89" s="15" t="s">
        <v>107</v>
      </c>
      <c r="J89" s="14" t="s">
        <v>108</v>
      </c>
      <c r="K89" s="14" t="s">
        <v>196</v>
      </c>
      <c r="L89" s="14" t="s">
        <v>246</v>
      </c>
      <c r="M89" s="14" t="s">
        <v>111</v>
      </c>
      <c r="N89" s="14" t="s">
        <v>112</v>
      </c>
      <c r="O89" s="14" t="s">
        <v>113</v>
      </c>
      <c r="P89" s="14" t="s">
        <v>406</v>
      </c>
      <c r="Q89" s="14" t="s">
        <v>841</v>
      </c>
      <c r="R89" s="14"/>
      <c r="S89" s="14"/>
      <c r="T89" s="14"/>
      <c r="U89" s="14" t="s">
        <v>22</v>
      </c>
      <c r="V89" s="14"/>
      <c r="W89" s="14" t="s">
        <v>381</v>
      </c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 t="s">
        <v>842</v>
      </c>
      <c r="BR89" s="14" t="s">
        <v>843</v>
      </c>
      <c r="BS89" s="14" t="s">
        <v>844</v>
      </c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R89" s="1" t="s">
        <v>152</v>
      </c>
      <c r="CS89" s="1" t="s">
        <v>121</v>
      </c>
      <c r="CT89" s="14" t="s">
        <v>122</v>
      </c>
      <c r="CU89" s="1" t="s">
        <v>167</v>
      </c>
      <c r="CV89" s="1" t="s">
        <v>124</v>
      </c>
      <c r="CW89" s="3"/>
      <c r="DG89" s="4"/>
    </row>
    <row r="90" customFormat="false" ht="11.25" hidden="false" customHeight="true" outlineLevel="0" collapsed="false">
      <c r="A90" s="14" t="n">
        <v>89</v>
      </c>
      <c r="B90" s="15" t="n">
        <v>46156.5969296759</v>
      </c>
      <c r="C90" s="15" t="n">
        <v>46156.6127745833</v>
      </c>
      <c r="D90" s="14" t="s">
        <v>845</v>
      </c>
      <c r="E90" s="14" t="s">
        <v>846</v>
      </c>
      <c r="F90" s="14" t="s">
        <v>846</v>
      </c>
      <c r="G90" s="14" t="s">
        <v>847</v>
      </c>
      <c r="H90" s="15" t="n">
        <v>46145</v>
      </c>
      <c r="I90" s="15" t="s">
        <v>278</v>
      </c>
      <c r="J90" s="14" t="s">
        <v>108</v>
      </c>
      <c r="K90" s="14" t="s">
        <v>848</v>
      </c>
      <c r="L90" s="14" t="s">
        <v>159</v>
      </c>
      <c r="M90" s="14" t="s">
        <v>111</v>
      </c>
      <c r="N90" s="14" t="s">
        <v>112</v>
      </c>
      <c r="O90" s="14" t="s">
        <v>113</v>
      </c>
      <c r="P90" s="14" t="s">
        <v>439</v>
      </c>
      <c r="Q90" s="14" t="s">
        <v>849</v>
      </c>
      <c r="R90" s="14"/>
      <c r="S90" s="14"/>
      <c r="T90" s="14"/>
      <c r="U90" s="14" t="s">
        <v>22</v>
      </c>
      <c r="V90" s="14"/>
      <c r="W90" s="14" t="s">
        <v>148</v>
      </c>
      <c r="X90" s="14"/>
      <c r="Y90" s="14"/>
      <c r="Z90" s="14"/>
      <c r="AA90" s="14"/>
      <c r="AB90" s="14"/>
      <c r="AC90" s="14"/>
      <c r="AD90" s="14" t="s">
        <v>850</v>
      </c>
      <c r="AE90" s="14" t="s">
        <v>851</v>
      </c>
      <c r="AF90" s="14" t="s">
        <v>852</v>
      </c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R90" s="1" t="s">
        <v>152</v>
      </c>
      <c r="CS90" s="1" t="s">
        <v>180</v>
      </c>
      <c r="CT90" s="14" t="s">
        <v>853</v>
      </c>
      <c r="CU90" s="1" t="s">
        <v>192</v>
      </c>
      <c r="CV90" s="1" t="s">
        <v>124</v>
      </c>
      <c r="CW90" s="3"/>
      <c r="DG90" s="4"/>
    </row>
    <row r="91" customFormat="false" ht="11.25" hidden="false" customHeight="true" outlineLevel="0" collapsed="false">
      <c r="A91" s="14" t="n">
        <v>90</v>
      </c>
      <c r="B91" s="15" t="n">
        <v>46078.4869250347</v>
      </c>
      <c r="C91" s="15" t="n">
        <v>46078.5005824421</v>
      </c>
      <c r="D91" s="14" t="s">
        <v>854</v>
      </c>
      <c r="E91" s="14" t="s">
        <v>855</v>
      </c>
      <c r="F91" s="14" t="s">
        <v>855</v>
      </c>
      <c r="G91" s="14" t="s">
        <v>856</v>
      </c>
      <c r="H91" s="15" t="n">
        <v>46066</v>
      </c>
      <c r="I91" s="15" t="s">
        <v>172</v>
      </c>
      <c r="J91" s="14" t="s">
        <v>108</v>
      </c>
      <c r="K91" s="14" t="s">
        <v>143</v>
      </c>
      <c r="L91" s="14" t="s">
        <v>389</v>
      </c>
      <c r="M91" s="14" t="s">
        <v>111</v>
      </c>
      <c r="N91" s="14" t="s">
        <v>112</v>
      </c>
      <c r="O91" s="14" t="s">
        <v>113</v>
      </c>
      <c r="P91" s="14" t="s">
        <v>365</v>
      </c>
      <c r="Q91" s="14" t="s">
        <v>161</v>
      </c>
      <c r="R91" s="14"/>
      <c r="S91" s="14"/>
      <c r="T91" s="14"/>
      <c r="U91" s="14" t="s">
        <v>24</v>
      </c>
      <c r="V91" s="14"/>
      <c r="W91" s="14"/>
      <c r="X91" s="14"/>
      <c r="Y91" s="14" t="s">
        <v>260</v>
      </c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 t="s">
        <v>857</v>
      </c>
      <c r="CG91" s="14" t="s">
        <v>858</v>
      </c>
      <c r="CH91" s="14" t="s">
        <v>859</v>
      </c>
      <c r="CI91" s="14"/>
      <c r="CJ91" s="14"/>
      <c r="CK91" s="14"/>
      <c r="CL91" s="14"/>
      <c r="CR91" s="1" t="s">
        <v>227</v>
      </c>
      <c r="CS91" s="1" t="s">
        <v>352</v>
      </c>
      <c r="CT91" s="14"/>
      <c r="CU91" s="1" t="s">
        <v>123</v>
      </c>
      <c r="CV91" s="1" t="s">
        <v>124</v>
      </c>
      <c r="CW91" s="3"/>
      <c r="DG91" s="4"/>
    </row>
    <row r="92" customFormat="false" ht="11.25" hidden="false" customHeight="true" outlineLevel="0" collapsed="false">
      <c r="A92" s="14" t="n">
        <v>91</v>
      </c>
      <c r="B92" s="15" t="n">
        <v>46109.4420372107</v>
      </c>
      <c r="C92" s="15" t="n">
        <v>46109.4583219329</v>
      </c>
      <c r="D92" s="14" t="s">
        <v>860</v>
      </c>
      <c r="E92" s="14" t="s">
        <v>861</v>
      </c>
      <c r="F92" s="14" t="s">
        <v>861</v>
      </c>
      <c r="G92" s="14" t="s">
        <v>862</v>
      </c>
      <c r="H92" s="15" t="n">
        <v>46096</v>
      </c>
      <c r="I92" s="15" t="s">
        <v>172</v>
      </c>
      <c r="J92" s="14" t="s">
        <v>108</v>
      </c>
      <c r="K92" s="14" t="s">
        <v>364</v>
      </c>
      <c r="L92" s="14" t="s">
        <v>346</v>
      </c>
      <c r="M92" s="14" t="s">
        <v>111</v>
      </c>
      <c r="N92" s="14" t="s">
        <v>112</v>
      </c>
      <c r="O92" s="14" t="s">
        <v>863</v>
      </c>
      <c r="P92" s="14" t="s">
        <v>864</v>
      </c>
      <c r="Q92" s="14" t="s">
        <v>234</v>
      </c>
      <c r="R92" s="14"/>
      <c r="S92" s="14"/>
      <c r="T92" s="14"/>
      <c r="U92" s="14" t="s">
        <v>22</v>
      </c>
      <c r="V92" s="14"/>
      <c r="W92" s="14" t="s">
        <v>339</v>
      </c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 t="s">
        <v>865</v>
      </c>
      <c r="BO92" s="14" t="s">
        <v>866</v>
      </c>
      <c r="BP92" s="14" t="s">
        <v>675</v>
      </c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R92" s="1" t="s">
        <v>152</v>
      </c>
      <c r="CS92" s="1" t="s">
        <v>121</v>
      </c>
      <c r="CT92" s="14" t="s">
        <v>122</v>
      </c>
      <c r="CU92" s="1" t="s">
        <v>123</v>
      </c>
      <c r="CV92" s="1" t="s">
        <v>124</v>
      </c>
      <c r="CW92" s="3"/>
      <c r="DG92" s="4"/>
    </row>
    <row r="93" customFormat="false" ht="11.25" hidden="false" customHeight="true" outlineLevel="0" collapsed="false">
      <c r="A93" s="14" t="n">
        <v>92</v>
      </c>
      <c r="B93" s="15" t="n">
        <v>46106.7429044213</v>
      </c>
      <c r="C93" s="15" t="n">
        <v>46106.7609136806</v>
      </c>
      <c r="D93" s="14" t="s">
        <v>867</v>
      </c>
      <c r="E93" s="14" t="s">
        <v>868</v>
      </c>
      <c r="F93" s="14" t="s">
        <v>868</v>
      </c>
      <c r="G93" s="14" t="s">
        <v>869</v>
      </c>
      <c r="H93" s="15" t="n">
        <v>46095</v>
      </c>
      <c r="I93" s="15" t="s">
        <v>244</v>
      </c>
      <c r="J93" s="14" t="s">
        <v>295</v>
      </c>
      <c r="K93" s="14" t="s">
        <v>364</v>
      </c>
      <c r="L93" s="14" t="s">
        <v>491</v>
      </c>
      <c r="M93" s="14" t="s">
        <v>111</v>
      </c>
      <c r="N93" s="14" t="s">
        <v>145</v>
      </c>
      <c r="O93" s="14" t="s">
        <v>113</v>
      </c>
      <c r="P93" s="14" t="s">
        <v>870</v>
      </c>
      <c r="Q93" s="14" t="s">
        <v>757</v>
      </c>
      <c r="R93" s="14" t="s">
        <v>871</v>
      </c>
      <c r="S93" s="14"/>
      <c r="T93" s="14"/>
      <c r="U93" s="14" t="s">
        <v>23</v>
      </c>
      <c r="V93" s="14"/>
      <c r="W93" s="14"/>
      <c r="X93" s="14" t="s">
        <v>503</v>
      </c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R93" s="1" t="s">
        <v>120</v>
      </c>
      <c r="CS93" s="1" t="s">
        <v>121</v>
      </c>
      <c r="CT93" s="14" t="s">
        <v>122</v>
      </c>
      <c r="CU93" s="1" t="s">
        <v>192</v>
      </c>
      <c r="CV93" s="1" t="s">
        <v>124</v>
      </c>
      <c r="CW93" s="3"/>
      <c r="DG93" s="4"/>
    </row>
    <row r="94" customFormat="false" ht="11.25" hidden="false" customHeight="true" outlineLevel="0" collapsed="false">
      <c r="A94" s="14" t="n">
        <v>93</v>
      </c>
      <c r="B94" s="15" t="n">
        <v>46175.8755565278</v>
      </c>
      <c r="C94" s="15" t="n">
        <v>46175.8903713426</v>
      </c>
      <c r="D94" s="14" t="s">
        <v>872</v>
      </c>
      <c r="E94" s="14" t="s">
        <v>873</v>
      </c>
      <c r="F94" s="14" t="s">
        <v>873</v>
      </c>
      <c r="G94" s="14" t="s">
        <v>874</v>
      </c>
      <c r="H94" s="15" t="n">
        <v>46167</v>
      </c>
      <c r="I94" s="15" t="s">
        <v>278</v>
      </c>
      <c r="J94" s="14" t="s">
        <v>128</v>
      </c>
      <c r="K94" s="14" t="s">
        <v>462</v>
      </c>
      <c r="L94" s="14" t="s">
        <v>184</v>
      </c>
      <c r="M94" s="14" t="s">
        <v>111</v>
      </c>
      <c r="N94" s="14" t="s">
        <v>112</v>
      </c>
      <c r="O94" s="14" t="s">
        <v>132</v>
      </c>
      <c r="P94" s="14" t="s">
        <v>736</v>
      </c>
      <c r="Q94" s="14" t="s">
        <v>758</v>
      </c>
      <c r="R94" s="14"/>
      <c r="S94" s="14"/>
      <c r="T94" s="14"/>
      <c r="U94" s="14" t="s">
        <v>21</v>
      </c>
      <c r="V94" s="14" t="s">
        <v>250</v>
      </c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 t="s">
        <v>875</v>
      </c>
      <c r="BF94" s="14" t="s">
        <v>745</v>
      </c>
      <c r="BG94" s="14" t="s">
        <v>876</v>
      </c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R94" s="1" t="s">
        <v>152</v>
      </c>
      <c r="CS94" s="1" t="s">
        <v>228</v>
      </c>
      <c r="CT94" s="14" t="s">
        <v>122</v>
      </c>
      <c r="CU94" s="1" t="s">
        <v>192</v>
      </c>
      <c r="CV94" s="1" t="s">
        <v>124</v>
      </c>
      <c r="CW94" s="3"/>
      <c r="DG94" s="4"/>
    </row>
    <row r="95" customFormat="false" ht="11.25" hidden="false" customHeight="true" outlineLevel="0" collapsed="false">
      <c r="A95" s="14" t="n">
        <v>94</v>
      </c>
      <c r="B95" s="15" t="n">
        <v>46118.5879088194</v>
      </c>
      <c r="C95" s="15" t="n">
        <v>46118.6015199306</v>
      </c>
      <c r="D95" s="14" t="s">
        <v>877</v>
      </c>
      <c r="E95" s="14" t="s">
        <v>878</v>
      </c>
      <c r="F95" s="14" t="s">
        <v>878</v>
      </c>
      <c r="G95" s="14" t="s">
        <v>879</v>
      </c>
      <c r="H95" s="15" t="n">
        <v>46116</v>
      </c>
      <c r="I95" s="15" t="s">
        <v>157</v>
      </c>
      <c r="J95" s="14" t="s">
        <v>128</v>
      </c>
      <c r="K95" s="14" t="s">
        <v>232</v>
      </c>
      <c r="L95" s="14" t="s">
        <v>144</v>
      </c>
      <c r="M95" s="14" t="s">
        <v>111</v>
      </c>
      <c r="N95" s="14" t="s">
        <v>112</v>
      </c>
      <c r="O95" s="14" t="s">
        <v>113</v>
      </c>
      <c r="P95" s="14" t="s">
        <v>652</v>
      </c>
      <c r="Q95" s="14" t="s">
        <v>613</v>
      </c>
      <c r="R95" s="14"/>
      <c r="S95" s="14"/>
      <c r="T95" s="14" t="s">
        <v>880</v>
      </c>
      <c r="U95" s="14" t="s">
        <v>24</v>
      </c>
      <c r="V95" s="14"/>
      <c r="W95" s="14"/>
      <c r="X95" s="14"/>
      <c r="Y95" s="14" t="s">
        <v>19</v>
      </c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R95" s="1" t="s">
        <v>152</v>
      </c>
      <c r="CS95" s="1" t="s">
        <v>180</v>
      </c>
      <c r="CT95" s="14" t="s">
        <v>122</v>
      </c>
      <c r="CU95" s="1" t="s">
        <v>123</v>
      </c>
      <c r="CV95" s="1" t="s">
        <v>168</v>
      </c>
      <c r="CW95" s="3"/>
      <c r="DG95" s="4"/>
    </row>
    <row r="96" customFormat="false" ht="11.25" hidden="false" customHeight="true" outlineLevel="0" collapsed="false">
      <c r="A96" s="14" t="n">
        <v>95</v>
      </c>
      <c r="B96" s="15" t="n">
        <v>46058.1353174306</v>
      </c>
      <c r="C96" s="15" t="n">
        <v>46058.1464169676</v>
      </c>
      <c r="D96" s="14" t="s">
        <v>881</v>
      </c>
      <c r="E96" s="14" t="s">
        <v>882</v>
      </c>
      <c r="F96" s="14" t="s">
        <v>882</v>
      </c>
      <c r="G96" s="14" t="s">
        <v>883</v>
      </c>
      <c r="H96" s="15" t="n">
        <v>46047</v>
      </c>
      <c r="I96" s="15" t="s">
        <v>244</v>
      </c>
      <c r="J96" s="14" t="s">
        <v>295</v>
      </c>
      <c r="K96" s="14" t="s">
        <v>884</v>
      </c>
      <c r="L96" s="14" t="s">
        <v>144</v>
      </c>
      <c r="M96" s="14" t="s">
        <v>111</v>
      </c>
      <c r="N96" s="14" t="s">
        <v>112</v>
      </c>
      <c r="O96" s="14" t="s">
        <v>132</v>
      </c>
      <c r="P96" s="14" t="s">
        <v>885</v>
      </c>
      <c r="Q96" s="14" t="s">
        <v>175</v>
      </c>
      <c r="R96" s="14"/>
      <c r="S96" s="14"/>
      <c r="T96" s="14"/>
      <c r="U96" s="14" t="s">
        <v>21</v>
      </c>
      <c r="V96" s="14" t="s">
        <v>457</v>
      </c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 t="s">
        <v>886</v>
      </c>
      <c r="AN96" s="14" t="s">
        <v>887</v>
      </c>
      <c r="AO96" s="14" t="s">
        <v>746</v>
      </c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R96" s="1" t="s">
        <v>227</v>
      </c>
      <c r="CS96" s="1" t="s">
        <v>264</v>
      </c>
      <c r="CT96" s="14" t="s">
        <v>122</v>
      </c>
      <c r="CU96" s="1" t="s">
        <v>123</v>
      </c>
      <c r="CV96" s="1" t="s">
        <v>139</v>
      </c>
      <c r="CW96" s="3"/>
      <c r="DG96" s="4"/>
    </row>
    <row r="97" customFormat="false" ht="11.25" hidden="false" customHeight="true" outlineLevel="0" collapsed="false">
      <c r="A97" s="14" t="n">
        <v>96</v>
      </c>
      <c r="B97" s="15" t="n">
        <v>46115.1864163657</v>
      </c>
      <c r="C97" s="15" t="n">
        <v>46115.207238125</v>
      </c>
      <c r="D97" s="14" t="s">
        <v>888</v>
      </c>
      <c r="E97" s="14" t="s">
        <v>889</v>
      </c>
      <c r="F97" s="14" t="s">
        <v>890</v>
      </c>
      <c r="G97" s="14" t="s">
        <v>891</v>
      </c>
      <c r="H97" s="15" t="n">
        <v>46097</v>
      </c>
      <c r="I97" s="10" t="s">
        <v>107</v>
      </c>
      <c r="J97" s="14" t="s">
        <v>295</v>
      </c>
      <c r="K97" s="14" t="s">
        <v>892</v>
      </c>
      <c r="L97" s="14" t="s">
        <v>130</v>
      </c>
      <c r="M97" s="14" t="s">
        <v>111</v>
      </c>
      <c r="N97" s="14" t="s">
        <v>112</v>
      </c>
      <c r="O97" s="14" t="s">
        <v>325</v>
      </c>
      <c r="P97" s="14" t="s">
        <v>397</v>
      </c>
      <c r="Q97" s="14" t="s">
        <v>893</v>
      </c>
      <c r="R97" s="14"/>
      <c r="S97" s="14"/>
      <c r="T97" s="14"/>
      <c r="U97" s="14" t="s">
        <v>22</v>
      </c>
      <c r="V97" s="14"/>
      <c r="W97" s="14" t="s">
        <v>381</v>
      </c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 t="s">
        <v>803</v>
      </c>
      <c r="BR97" s="14" t="s">
        <v>894</v>
      </c>
      <c r="BS97" s="14" t="s">
        <v>738</v>
      </c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R97" s="1" t="s">
        <v>152</v>
      </c>
      <c r="CS97" s="1" t="s">
        <v>121</v>
      </c>
      <c r="CT97" s="14"/>
      <c r="CU97" s="1" t="s">
        <v>123</v>
      </c>
      <c r="CV97" s="1" t="s">
        <v>168</v>
      </c>
      <c r="CW97" s="3"/>
      <c r="DG97" s="4"/>
    </row>
    <row r="98" customFormat="false" ht="11.25" hidden="false" customHeight="true" outlineLevel="0" collapsed="false">
      <c r="A98" s="14" t="n">
        <v>97</v>
      </c>
      <c r="B98" s="15" t="n">
        <v>46083.9177898958</v>
      </c>
      <c r="C98" s="15" t="n">
        <v>46083.9213199884</v>
      </c>
      <c r="D98" s="14" t="s">
        <v>895</v>
      </c>
      <c r="E98" s="14" t="s">
        <v>896</v>
      </c>
      <c r="F98" s="14" t="s">
        <v>896</v>
      </c>
      <c r="G98" s="14" t="s">
        <v>897</v>
      </c>
      <c r="H98" s="15" t="n">
        <v>46074</v>
      </c>
      <c r="I98" s="10" t="s">
        <v>278</v>
      </c>
      <c r="J98" s="14" t="s">
        <v>295</v>
      </c>
      <c r="K98" s="14" t="s">
        <v>898</v>
      </c>
      <c r="L98" s="14" t="s">
        <v>144</v>
      </c>
      <c r="M98" s="14" t="s">
        <v>111</v>
      </c>
      <c r="N98" s="14" t="s">
        <v>145</v>
      </c>
      <c r="O98" s="14" t="s">
        <v>336</v>
      </c>
      <c r="P98" s="14" t="s">
        <v>199</v>
      </c>
      <c r="Q98" s="14" t="s">
        <v>899</v>
      </c>
      <c r="R98" s="14"/>
      <c r="S98" s="14"/>
      <c r="T98" s="14"/>
      <c r="U98" s="14" t="s">
        <v>21</v>
      </c>
      <c r="V98" s="14" t="s">
        <v>250</v>
      </c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 t="s">
        <v>900</v>
      </c>
      <c r="BF98" s="14" t="s">
        <v>329</v>
      </c>
      <c r="BG98" s="14" t="s">
        <v>901</v>
      </c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C98" s="14"/>
      <c r="CD98" s="14"/>
      <c r="CE98" s="14"/>
      <c r="CF98" s="14"/>
      <c r="CG98" s="14"/>
      <c r="CH98" s="14"/>
      <c r="CI98" s="14"/>
      <c r="CJ98" s="14"/>
      <c r="CK98" s="14"/>
      <c r="CL98" s="14"/>
      <c r="CR98" s="1" t="s">
        <v>152</v>
      </c>
      <c r="CS98" s="1" t="s">
        <v>352</v>
      </c>
      <c r="CT98" s="14"/>
      <c r="CU98" s="1" t="s">
        <v>192</v>
      </c>
      <c r="CV98" s="1" t="s">
        <v>124</v>
      </c>
      <c r="CW98" s="3"/>
      <c r="DG98" s="4"/>
    </row>
    <row r="99" customFormat="false" ht="11.25" hidden="false" customHeight="true" outlineLevel="0" collapsed="false">
      <c r="A99" s="14" t="n">
        <v>98</v>
      </c>
      <c r="B99" s="15" t="n">
        <v>46092.1516543171</v>
      </c>
      <c r="C99" s="15" t="n">
        <v>46092.1683209838</v>
      </c>
      <c r="D99" s="14" t="s">
        <v>902</v>
      </c>
      <c r="E99" s="14" t="s">
        <v>903</v>
      </c>
      <c r="F99" s="14" t="s">
        <v>903</v>
      </c>
      <c r="G99" s="14" t="s">
        <v>904</v>
      </c>
      <c r="H99" s="15" t="n">
        <v>46084</v>
      </c>
      <c r="I99" s="15" t="s">
        <v>713</v>
      </c>
      <c r="J99" s="14" t="s">
        <v>108</v>
      </c>
      <c r="K99" s="14" t="s">
        <v>143</v>
      </c>
      <c r="L99" s="14" t="s">
        <v>296</v>
      </c>
      <c r="M99" s="14" t="s">
        <v>131</v>
      </c>
      <c r="N99" s="14" t="s">
        <v>112</v>
      </c>
      <c r="O99" s="14" t="s">
        <v>132</v>
      </c>
      <c r="P99" s="14" t="s">
        <v>864</v>
      </c>
      <c r="Q99" s="14" t="s">
        <v>905</v>
      </c>
      <c r="R99" s="14"/>
      <c r="S99" s="14"/>
      <c r="T99" s="14"/>
      <c r="U99" s="14" t="s">
        <v>21</v>
      </c>
      <c r="V99" s="14" t="s">
        <v>374</v>
      </c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 t="s">
        <v>906</v>
      </c>
      <c r="AK99" s="14" t="s">
        <v>907</v>
      </c>
      <c r="AL99" s="14" t="s">
        <v>908</v>
      </c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  <c r="CL99" s="14"/>
      <c r="CR99" s="1" t="s">
        <v>120</v>
      </c>
      <c r="CS99" s="1" t="s">
        <v>121</v>
      </c>
      <c r="CT99" s="14"/>
      <c r="CU99" s="1" t="s">
        <v>123</v>
      </c>
      <c r="CV99" s="1" t="s">
        <v>168</v>
      </c>
      <c r="CW99" s="3"/>
      <c r="DG99" s="4"/>
    </row>
    <row r="100" customFormat="false" ht="11.25" hidden="false" customHeight="true" outlineLevel="0" collapsed="false">
      <c r="A100" s="14" t="n">
        <v>99</v>
      </c>
      <c r="B100" s="15" t="n">
        <v>46076.0081091667</v>
      </c>
      <c r="C100" s="15" t="n">
        <v>46076.0164887963</v>
      </c>
      <c r="D100" s="14" t="s">
        <v>909</v>
      </c>
      <c r="E100" s="14" t="s">
        <v>910</v>
      </c>
      <c r="F100" s="14" t="s">
        <v>910</v>
      </c>
      <c r="G100" s="14" t="s">
        <v>911</v>
      </c>
      <c r="H100" s="15" t="n">
        <v>46059</v>
      </c>
      <c r="I100" s="15" t="s">
        <v>172</v>
      </c>
      <c r="J100" s="14" t="s">
        <v>108</v>
      </c>
      <c r="K100" s="14" t="s">
        <v>245</v>
      </c>
      <c r="L100" s="14" t="s">
        <v>286</v>
      </c>
      <c r="M100" s="14" t="s">
        <v>111</v>
      </c>
      <c r="N100" s="14" t="s">
        <v>145</v>
      </c>
      <c r="O100" s="14" t="s">
        <v>113</v>
      </c>
      <c r="P100" s="14" t="s">
        <v>864</v>
      </c>
      <c r="Q100" s="14" t="s">
        <v>249</v>
      </c>
      <c r="R100" s="14"/>
      <c r="S100" s="14"/>
      <c r="T100" s="14"/>
      <c r="U100" s="14" t="s">
        <v>24</v>
      </c>
      <c r="V100" s="14"/>
      <c r="W100" s="14"/>
      <c r="X100" s="14"/>
      <c r="Y100" s="14" t="s">
        <v>214</v>
      </c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 t="s">
        <v>912</v>
      </c>
      <c r="CD100" s="14" t="s">
        <v>913</v>
      </c>
      <c r="CE100" s="14" t="s">
        <v>914</v>
      </c>
      <c r="CF100" s="14"/>
      <c r="CG100" s="14"/>
      <c r="CH100" s="14"/>
      <c r="CI100" s="14"/>
      <c r="CJ100" s="14"/>
      <c r="CK100" s="14"/>
      <c r="CL100" s="14"/>
      <c r="CR100" s="1" t="s">
        <v>152</v>
      </c>
      <c r="CS100" s="1" t="s">
        <v>180</v>
      </c>
      <c r="CT100" s="14" t="s">
        <v>122</v>
      </c>
      <c r="CU100" s="1" t="s">
        <v>123</v>
      </c>
      <c r="CV100" s="1" t="s">
        <v>168</v>
      </c>
      <c r="CW100" s="3"/>
      <c r="DG100" s="4"/>
    </row>
    <row r="101" customFormat="false" ht="11.25" hidden="false" customHeight="true" outlineLevel="0" collapsed="false">
      <c r="A101" s="14" t="n">
        <v>100</v>
      </c>
      <c r="B101" s="15" t="n">
        <v>46109.5199522454</v>
      </c>
      <c r="C101" s="15" t="n">
        <v>46109.5268503935</v>
      </c>
      <c r="D101" s="14" t="s">
        <v>915</v>
      </c>
      <c r="E101" s="14" t="s">
        <v>916</v>
      </c>
      <c r="F101" s="14" t="s">
        <v>917</v>
      </c>
      <c r="G101" s="14" t="s">
        <v>918</v>
      </c>
      <c r="H101" s="15" t="n">
        <v>46102</v>
      </c>
      <c r="I101" s="15" t="s">
        <v>107</v>
      </c>
      <c r="J101" s="14" t="s">
        <v>295</v>
      </c>
      <c r="K101" s="14" t="s">
        <v>173</v>
      </c>
      <c r="L101" s="14" t="s">
        <v>184</v>
      </c>
      <c r="M101" s="14" t="s">
        <v>111</v>
      </c>
      <c r="N101" s="14" t="s">
        <v>198</v>
      </c>
      <c r="O101" s="14" t="s">
        <v>113</v>
      </c>
      <c r="P101" s="14" t="s">
        <v>174</v>
      </c>
      <c r="Q101" s="14" t="s">
        <v>523</v>
      </c>
      <c r="R101" s="14"/>
      <c r="S101" s="14"/>
      <c r="T101" s="14"/>
      <c r="U101" s="14" t="s">
        <v>22</v>
      </c>
      <c r="V101" s="14"/>
      <c r="W101" s="14" t="s">
        <v>271</v>
      </c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 t="s">
        <v>919</v>
      </c>
      <c r="BL101" s="14" t="s">
        <v>273</v>
      </c>
      <c r="BM101" s="14" t="s">
        <v>920</v>
      </c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R101" s="1" t="s">
        <v>152</v>
      </c>
      <c r="CS101" s="1" t="s">
        <v>121</v>
      </c>
      <c r="CT101" s="14"/>
      <c r="CU101" s="1" t="s">
        <v>192</v>
      </c>
      <c r="CV101" s="1" t="s">
        <v>124</v>
      </c>
      <c r="CW101" s="3"/>
      <c r="DG101" s="4"/>
    </row>
    <row r="102" customFormat="false" ht="11.25" hidden="false" customHeight="true" outlineLevel="0" collapsed="false">
      <c r="A102" s="14" t="n">
        <v>101</v>
      </c>
      <c r="B102" s="15" t="n">
        <v>46104.8855717361</v>
      </c>
      <c r="C102" s="15" t="n">
        <v>46104.9060694213</v>
      </c>
      <c r="D102" s="14" t="s">
        <v>921</v>
      </c>
      <c r="E102" s="14" t="s">
        <v>922</v>
      </c>
      <c r="F102" s="14" t="s">
        <v>922</v>
      </c>
      <c r="G102" s="14" t="s">
        <v>923</v>
      </c>
      <c r="H102" s="15" t="n">
        <v>46099</v>
      </c>
      <c r="I102" s="15" t="s">
        <v>713</v>
      </c>
      <c r="J102" s="14" t="s">
        <v>295</v>
      </c>
      <c r="K102" s="14" t="s">
        <v>173</v>
      </c>
      <c r="L102" s="14" t="s">
        <v>431</v>
      </c>
      <c r="M102" s="14" t="s">
        <v>111</v>
      </c>
      <c r="N102" s="14" t="s">
        <v>145</v>
      </c>
      <c r="O102" s="14" t="s">
        <v>325</v>
      </c>
      <c r="P102" s="14" t="s">
        <v>543</v>
      </c>
      <c r="Q102" s="14" t="s">
        <v>161</v>
      </c>
      <c r="R102" s="14"/>
      <c r="S102" s="14"/>
      <c r="T102" s="14"/>
      <c r="U102" s="14" t="s">
        <v>24</v>
      </c>
      <c r="V102" s="14"/>
      <c r="W102" s="14"/>
      <c r="X102" s="14"/>
      <c r="Y102" s="14" t="s">
        <v>260</v>
      </c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 t="s">
        <v>924</v>
      </c>
      <c r="CG102" s="14" t="s">
        <v>925</v>
      </c>
      <c r="CH102" s="14" t="s">
        <v>926</v>
      </c>
      <c r="CI102" s="14"/>
      <c r="CJ102" s="14"/>
      <c r="CK102" s="14"/>
      <c r="CL102" s="14"/>
      <c r="CR102" s="1" t="s">
        <v>120</v>
      </c>
      <c r="CS102" s="1" t="s">
        <v>121</v>
      </c>
      <c r="CT102" s="14" t="s">
        <v>927</v>
      </c>
      <c r="CU102" s="1" t="s">
        <v>192</v>
      </c>
      <c r="CV102" s="1" t="s">
        <v>124</v>
      </c>
      <c r="CW102" s="3" t="s">
        <v>928</v>
      </c>
      <c r="DG102" s="4"/>
    </row>
    <row r="103" customFormat="false" ht="11.25" hidden="false" customHeight="true" outlineLevel="0" collapsed="false">
      <c r="A103" s="14" t="n">
        <v>102</v>
      </c>
      <c r="B103" s="15" t="n">
        <v>46034.8744170602</v>
      </c>
      <c r="C103" s="15" t="n">
        <v>46034.8842550232</v>
      </c>
      <c r="D103" s="14" t="s">
        <v>929</v>
      </c>
      <c r="E103" s="14" t="s">
        <v>930</v>
      </c>
      <c r="F103" s="14" t="s">
        <v>930</v>
      </c>
      <c r="G103" s="14" t="s">
        <v>931</v>
      </c>
      <c r="H103" s="15" t="n">
        <v>46029</v>
      </c>
      <c r="I103" s="15" t="s">
        <v>172</v>
      </c>
      <c r="J103" s="14" t="s">
        <v>295</v>
      </c>
      <c r="K103" s="14" t="s">
        <v>932</v>
      </c>
      <c r="L103" s="14" t="s">
        <v>268</v>
      </c>
      <c r="M103" s="14" t="s">
        <v>111</v>
      </c>
      <c r="N103" s="14" t="s">
        <v>247</v>
      </c>
      <c r="O103" s="14" t="s">
        <v>336</v>
      </c>
      <c r="P103" s="14" t="s">
        <v>199</v>
      </c>
      <c r="Q103" s="14" t="s">
        <v>552</v>
      </c>
      <c r="R103" s="14"/>
      <c r="S103" s="14"/>
      <c r="T103" s="14"/>
      <c r="U103" s="14" t="s">
        <v>25</v>
      </c>
      <c r="V103" s="14"/>
      <c r="W103" s="14"/>
      <c r="X103" s="14"/>
      <c r="Y103" s="14"/>
      <c r="Z103" s="14" t="s">
        <v>327</v>
      </c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 t="s">
        <v>117</v>
      </c>
      <c r="CJ103" s="14" t="s">
        <v>933</v>
      </c>
      <c r="CK103" s="14" t="s">
        <v>901</v>
      </c>
      <c r="CL103" s="14"/>
      <c r="CR103" s="1" t="s">
        <v>152</v>
      </c>
      <c r="CS103" s="1" t="s">
        <v>352</v>
      </c>
      <c r="CT103" s="14" t="s">
        <v>122</v>
      </c>
      <c r="CU103" s="1" t="s">
        <v>123</v>
      </c>
      <c r="CV103" s="1" t="s">
        <v>168</v>
      </c>
      <c r="CW103" s="3"/>
      <c r="DG103" s="4"/>
    </row>
    <row r="104" customFormat="false" ht="11.25" hidden="false" customHeight="true" outlineLevel="0" collapsed="false">
      <c r="A104" s="14" t="n">
        <v>103</v>
      </c>
      <c r="B104" s="15" t="n">
        <v>46170.2348237963</v>
      </c>
      <c r="C104" s="15" t="n">
        <v>46170.2441640741</v>
      </c>
      <c r="D104" s="14" t="s">
        <v>934</v>
      </c>
      <c r="E104" s="14" t="s">
        <v>935</v>
      </c>
      <c r="F104" s="14" t="s">
        <v>936</v>
      </c>
      <c r="G104" s="14" t="s">
        <v>937</v>
      </c>
      <c r="H104" s="15" t="n">
        <v>46164</v>
      </c>
      <c r="I104" s="15" t="s">
        <v>107</v>
      </c>
      <c r="J104" s="14" t="s">
        <v>108</v>
      </c>
      <c r="K104" s="14" t="s">
        <v>938</v>
      </c>
      <c r="L104" s="14" t="s">
        <v>114</v>
      </c>
      <c r="M104" s="14" t="s">
        <v>111</v>
      </c>
      <c r="N104" s="14" t="s">
        <v>112</v>
      </c>
      <c r="O104" s="14" t="s">
        <v>113</v>
      </c>
      <c r="P104" s="14" t="s">
        <v>279</v>
      </c>
      <c r="Q104" s="14" t="s">
        <v>939</v>
      </c>
      <c r="R104" s="14"/>
      <c r="S104" s="14"/>
      <c r="T104" s="14"/>
      <c r="U104" s="14" t="s">
        <v>24</v>
      </c>
      <c r="V104" s="14"/>
      <c r="W104" s="14"/>
      <c r="X104" s="14"/>
      <c r="Y104" s="14" t="s">
        <v>214</v>
      </c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 t="s">
        <v>940</v>
      </c>
      <c r="CD104" s="14" t="s">
        <v>434</v>
      </c>
      <c r="CE104" s="14" t="s">
        <v>681</v>
      </c>
      <c r="CF104" s="14"/>
      <c r="CG104" s="14"/>
      <c r="CH104" s="14"/>
      <c r="CI104" s="14"/>
      <c r="CJ104" s="14"/>
      <c r="CK104" s="14"/>
      <c r="CL104" s="14"/>
      <c r="CR104" s="1" t="s">
        <v>152</v>
      </c>
      <c r="CS104" s="1" t="s">
        <v>352</v>
      </c>
      <c r="CT104" s="14"/>
      <c r="CU104" s="1" t="s">
        <v>123</v>
      </c>
      <c r="CV104" s="1" t="s">
        <v>124</v>
      </c>
      <c r="CW104" s="3"/>
      <c r="DG104" s="4"/>
    </row>
    <row r="105" customFormat="false" ht="11.25" hidden="false" customHeight="true" outlineLevel="0" collapsed="false">
      <c r="A105" s="14" t="n">
        <v>104</v>
      </c>
      <c r="B105" s="15" t="n">
        <v>46095.148628206</v>
      </c>
      <c r="C105" s="15" t="n">
        <v>46095.1517879282</v>
      </c>
      <c r="D105" s="14" t="s">
        <v>941</v>
      </c>
      <c r="E105" s="14" t="s">
        <v>942</v>
      </c>
      <c r="F105" s="14" t="s">
        <v>942</v>
      </c>
      <c r="G105" s="14" t="s">
        <v>943</v>
      </c>
      <c r="H105" s="15" t="n">
        <v>46093</v>
      </c>
      <c r="I105" s="10" t="s">
        <v>172</v>
      </c>
      <c r="J105" s="14" t="s">
        <v>128</v>
      </c>
      <c r="K105" s="14" t="s">
        <v>173</v>
      </c>
      <c r="L105" s="14" t="s">
        <v>159</v>
      </c>
      <c r="M105" s="14" t="s">
        <v>211</v>
      </c>
      <c r="N105" s="14" t="s">
        <v>112</v>
      </c>
      <c r="O105" s="14" t="s">
        <v>305</v>
      </c>
      <c r="P105" s="14" t="s">
        <v>944</v>
      </c>
      <c r="Q105" s="14" t="s">
        <v>945</v>
      </c>
      <c r="R105" s="14"/>
      <c r="S105" s="14"/>
      <c r="T105" s="14"/>
      <c r="U105" s="14" t="s">
        <v>21</v>
      </c>
      <c r="V105" s="14" t="s">
        <v>348</v>
      </c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 t="s">
        <v>946</v>
      </c>
      <c r="BC105" s="14" t="s">
        <v>350</v>
      </c>
      <c r="BD105" s="14" t="s">
        <v>947</v>
      </c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R105" s="1" t="s">
        <v>152</v>
      </c>
      <c r="CS105" s="1" t="s">
        <v>180</v>
      </c>
      <c r="CT105" s="14" t="s">
        <v>948</v>
      </c>
      <c r="CU105" s="1" t="s">
        <v>123</v>
      </c>
      <c r="CV105" s="1" t="s">
        <v>124</v>
      </c>
      <c r="CW105" s="3"/>
      <c r="DG105" s="4"/>
    </row>
    <row r="106" customFormat="false" ht="11.25" hidden="false" customHeight="true" outlineLevel="0" collapsed="false">
      <c r="A106" s="14" t="n">
        <v>105</v>
      </c>
      <c r="B106" s="15" t="n">
        <v>46201.6330004977</v>
      </c>
      <c r="C106" s="15" t="n">
        <v>46201.6457667014</v>
      </c>
      <c r="D106" s="14" t="s">
        <v>949</v>
      </c>
      <c r="E106" s="14" t="s">
        <v>950</v>
      </c>
      <c r="F106" s="14" t="s">
        <v>951</v>
      </c>
      <c r="G106" s="14" t="s">
        <v>952</v>
      </c>
      <c r="H106" s="15" t="n">
        <v>46195</v>
      </c>
      <c r="I106" s="10" t="s">
        <v>107</v>
      </c>
      <c r="J106" s="14" t="s">
        <v>108</v>
      </c>
      <c r="K106" s="14" t="s">
        <v>953</v>
      </c>
      <c r="L106" s="14" t="s">
        <v>114</v>
      </c>
      <c r="M106" s="14" t="s">
        <v>111</v>
      </c>
      <c r="N106" s="14" t="s">
        <v>112</v>
      </c>
      <c r="O106" s="14" t="s">
        <v>113</v>
      </c>
      <c r="P106" s="14" t="s">
        <v>234</v>
      </c>
      <c r="Q106" s="14" t="s">
        <v>213</v>
      </c>
      <c r="R106" s="14"/>
      <c r="S106" s="14"/>
      <c r="T106" s="14"/>
      <c r="U106" s="14" t="s">
        <v>21</v>
      </c>
      <c r="V106" s="14" t="s">
        <v>457</v>
      </c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 t="s">
        <v>954</v>
      </c>
      <c r="AN106" s="14" t="s">
        <v>525</v>
      </c>
      <c r="AO106" s="14" t="s">
        <v>955</v>
      </c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R106" s="1" t="s">
        <v>152</v>
      </c>
      <c r="CS106" s="1" t="s">
        <v>121</v>
      </c>
      <c r="CT106" s="14" t="s">
        <v>956</v>
      </c>
      <c r="CU106" s="1" t="s">
        <v>123</v>
      </c>
      <c r="CV106" s="1" t="s">
        <v>168</v>
      </c>
      <c r="CW106" s="3"/>
      <c r="DG106" s="4"/>
    </row>
    <row r="107" customFormat="false" ht="11.25" hidden="false" customHeight="true" outlineLevel="0" collapsed="false">
      <c r="A107" s="14" t="n">
        <v>106</v>
      </c>
      <c r="B107" s="15" t="n">
        <v>46042.9762151968</v>
      </c>
      <c r="C107" s="15" t="n">
        <v>46042.9904281597</v>
      </c>
      <c r="D107" s="14" t="s">
        <v>957</v>
      </c>
      <c r="E107" s="14" t="s">
        <v>958</v>
      </c>
      <c r="F107" s="14" t="s">
        <v>958</v>
      </c>
      <c r="G107" s="14" t="s">
        <v>959</v>
      </c>
      <c r="H107" s="15" t="n">
        <v>46024</v>
      </c>
      <c r="I107" s="15" t="s">
        <v>107</v>
      </c>
      <c r="J107" s="14" t="s">
        <v>108</v>
      </c>
      <c r="K107" s="14" t="s">
        <v>245</v>
      </c>
      <c r="L107" s="14" t="s">
        <v>389</v>
      </c>
      <c r="M107" s="14" t="s">
        <v>111</v>
      </c>
      <c r="N107" s="14" t="s">
        <v>112</v>
      </c>
      <c r="O107" s="14" t="s">
        <v>113</v>
      </c>
      <c r="P107" s="14" t="s">
        <v>199</v>
      </c>
      <c r="Q107" s="14" t="s">
        <v>653</v>
      </c>
      <c r="R107" s="14"/>
      <c r="S107" s="14"/>
      <c r="T107" s="14"/>
      <c r="U107" s="14" t="s">
        <v>21</v>
      </c>
      <c r="V107" s="14" t="s">
        <v>457</v>
      </c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 t="s">
        <v>607</v>
      </c>
      <c r="AN107" s="14" t="s">
        <v>960</v>
      </c>
      <c r="AO107" s="14" t="s">
        <v>681</v>
      </c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R107" s="1" t="s">
        <v>152</v>
      </c>
      <c r="CS107" s="1" t="s">
        <v>121</v>
      </c>
      <c r="CT107" s="14" t="s">
        <v>961</v>
      </c>
      <c r="CU107" s="1" t="s">
        <v>123</v>
      </c>
      <c r="CV107" s="1" t="s">
        <v>168</v>
      </c>
      <c r="CW107" s="3"/>
      <c r="DG107" s="4"/>
    </row>
    <row r="108" customFormat="false" ht="11.25" hidden="false" customHeight="true" outlineLevel="0" collapsed="false">
      <c r="A108" s="14" t="n">
        <v>107</v>
      </c>
      <c r="B108" s="15" t="n">
        <v>46116.7899846875</v>
      </c>
      <c r="C108" s="15" t="n">
        <v>46116.8086073727</v>
      </c>
      <c r="D108" s="14" t="s">
        <v>962</v>
      </c>
      <c r="E108" s="14" t="s">
        <v>963</v>
      </c>
      <c r="F108" s="14" t="s">
        <v>964</v>
      </c>
      <c r="G108" s="14" t="s">
        <v>965</v>
      </c>
      <c r="H108" s="15" t="n">
        <v>46104</v>
      </c>
      <c r="I108" s="10" t="s">
        <v>244</v>
      </c>
      <c r="J108" s="14" t="s">
        <v>108</v>
      </c>
      <c r="K108" s="14" t="s">
        <v>196</v>
      </c>
      <c r="L108" s="14" t="s">
        <v>246</v>
      </c>
      <c r="M108" s="14" t="s">
        <v>111</v>
      </c>
      <c r="N108" s="14" t="s">
        <v>112</v>
      </c>
      <c r="O108" s="14" t="s">
        <v>113</v>
      </c>
      <c r="P108" s="14" t="s">
        <v>279</v>
      </c>
      <c r="Q108" s="14" t="s">
        <v>810</v>
      </c>
      <c r="R108" s="14"/>
      <c r="S108" s="14"/>
      <c r="T108" s="14"/>
      <c r="U108" s="14" t="s">
        <v>22</v>
      </c>
      <c r="V108" s="14"/>
      <c r="W108" s="14" t="s">
        <v>298</v>
      </c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 t="s">
        <v>966</v>
      </c>
      <c r="AW108" s="14" t="s">
        <v>967</v>
      </c>
      <c r="AX108" s="14" t="s">
        <v>968</v>
      </c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R108" s="1" t="s">
        <v>152</v>
      </c>
      <c r="CS108" s="1" t="s">
        <v>121</v>
      </c>
      <c r="CT108" s="16" t="s">
        <v>969</v>
      </c>
      <c r="CU108" s="1" t="s">
        <v>123</v>
      </c>
      <c r="CV108" s="1" t="s">
        <v>124</v>
      </c>
      <c r="CW108" s="3"/>
      <c r="DG108" s="4"/>
    </row>
    <row r="109" customFormat="false" ht="11.25" hidden="false" customHeight="true" outlineLevel="0" collapsed="false">
      <c r="A109" s="14" t="n">
        <v>108</v>
      </c>
      <c r="B109" s="15" t="n">
        <v>46119.6386676389</v>
      </c>
      <c r="C109" s="15" t="n">
        <v>46119.6494315278</v>
      </c>
      <c r="D109" s="14" t="s">
        <v>970</v>
      </c>
      <c r="E109" s="14" t="s">
        <v>971</v>
      </c>
      <c r="F109" s="14" t="s">
        <v>971</v>
      </c>
      <c r="G109" s="14" t="s">
        <v>972</v>
      </c>
      <c r="H109" s="15" t="n">
        <v>46118</v>
      </c>
      <c r="I109" s="10" t="s">
        <v>278</v>
      </c>
      <c r="J109" s="14" t="s">
        <v>128</v>
      </c>
      <c r="K109" s="14" t="s">
        <v>173</v>
      </c>
      <c r="L109" s="14" t="s">
        <v>144</v>
      </c>
      <c r="M109" s="14" t="s">
        <v>131</v>
      </c>
      <c r="N109" s="14" t="s">
        <v>112</v>
      </c>
      <c r="O109" s="14" t="s">
        <v>113</v>
      </c>
      <c r="P109" s="14" t="s">
        <v>973</v>
      </c>
      <c r="Q109" s="14" t="s">
        <v>306</v>
      </c>
      <c r="R109" s="14"/>
      <c r="S109" s="14"/>
      <c r="T109" s="14"/>
      <c r="U109" s="14" t="s">
        <v>22</v>
      </c>
      <c r="V109" s="14"/>
      <c r="W109" s="14" t="s">
        <v>176</v>
      </c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 t="s">
        <v>974</v>
      </c>
      <c r="AZ109" s="14" t="s">
        <v>975</v>
      </c>
      <c r="BA109" s="14" t="s">
        <v>976</v>
      </c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R109" s="1" t="s">
        <v>152</v>
      </c>
      <c r="CS109" s="1" t="s">
        <v>121</v>
      </c>
      <c r="CT109" s="14" t="s">
        <v>725</v>
      </c>
      <c r="CU109" s="1" t="s">
        <v>192</v>
      </c>
      <c r="CV109" s="1" t="s">
        <v>168</v>
      </c>
      <c r="CW109" s="3"/>
      <c r="DG109" s="4"/>
    </row>
    <row r="110" customFormat="false" ht="11.25" hidden="false" customHeight="true" outlineLevel="0" collapsed="false">
      <c r="A110" s="14" t="n">
        <v>109</v>
      </c>
      <c r="B110" s="15" t="n">
        <v>46152.4625637847</v>
      </c>
      <c r="C110" s="15" t="n">
        <v>46152.4677142477</v>
      </c>
      <c r="D110" s="14" t="s">
        <v>977</v>
      </c>
      <c r="E110" s="14" t="s">
        <v>978</v>
      </c>
      <c r="F110" s="14" t="s">
        <v>978</v>
      </c>
      <c r="G110" s="14" t="s">
        <v>979</v>
      </c>
      <c r="H110" s="15" t="n">
        <v>46136</v>
      </c>
      <c r="I110" s="15" t="s">
        <v>172</v>
      </c>
      <c r="J110" s="14" t="s">
        <v>295</v>
      </c>
      <c r="K110" s="14" t="s">
        <v>173</v>
      </c>
      <c r="L110" s="14" t="s">
        <v>268</v>
      </c>
      <c r="M110" s="14" t="s">
        <v>111</v>
      </c>
      <c r="N110" s="14" t="s">
        <v>145</v>
      </c>
      <c r="O110" s="14" t="s">
        <v>132</v>
      </c>
      <c r="P110" s="14" t="s">
        <v>286</v>
      </c>
      <c r="Q110" s="14" t="s">
        <v>980</v>
      </c>
      <c r="R110" s="14"/>
      <c r="S110" s="14"/>
      <c r="T110" s="14"/>
      <c r="U110" s="14" t="s">
        <v>22</v>
      </c>
      <c r="V110" s="14"/>
      <c r="W110" s="14" t="s">
        <v>271</v>
      </c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 t="s">
        <v>981</v>
      </c>
      <c r="BL110" s="14" t="s">
        <v>982</v>
      </c>
      <c r="BM110" s="14" t="s">
        <v>252</v>
      </c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R110" s="1" t="s">
        <v>152</v>
      </c>
      <c r="CS110" s="1" t="s">
        <v>121</v>
      </c>
      <c r="CT110" s="14"/>
      <c r="CU110" s="1" t="s">
        <v>167</v>
      </c>
      <c r="CV110" s="1" t="s">
        <v>124</v>
      </c>
      <c r="CW110" s="3"/>
      <c r="DG110" s="4"/>
    </row>
    <row r="111" customFormat="false" ht="11.25" hidden="false" customHeight="true" outlineLevel="0" collapsed="false">
      <c r="A111" s="14" t="n">
        <v>110</v>
      </c>
      <c r="B111" s="15" t="n">
        <v>46070.1855756366</v>
      </c>
      <c r="C111" s="15" t="n">
        <v>46070.204707581</v>
      </c>
      <c r="D111" s="14" t="s">
        <v>983</v>
      </c>
      <c r="E111" s="14" t="s">
        <v>984</v>
      </c>
      <c r="F111" s="14" t="s">
        <v>984</v>
      </c>
      <c r="G111" s="14" t="s">
        <v>985</v>
      </c>
      <c r="H111" s="15" t="n">
        <v>46061</v>
      </c>
      <c r="I111" s="15" t="s">
        <v>107</v>
      </c>
      <c r="J111" s="14" t="s">
        <v>108</v>
      </c>
      <c r="K111" s="14" t="s">
        <v>143</v>
      </c>
      <c r="L111" s="14" t="s">
        <v>184</v>
      </c>
      <c r="M111" s="14" t="s">
        <v>111</v>
      </c>
      <c r="N111" s="14" t="s">
        <v>112</v>
      </c>
      <c r="O111" s="14" t="s">
        <v>113</v>
      </c>
      <c r="P111" s="14" t="s">
        <v>279</v>
      </c>
      <c r="Q111" s="14" t="s">
        <v>899</v>
      </c>
      <c r="R111" s="14"/>
      <c r="S111" s="14"/>
      <c r="T111" s="14"/>
      <c r="U111" s="14" t="s">
        <v>21</v>
      </c>
      <c r="V111" s="14" t="s">
        <v>307</v>
      </c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 t="s">
        <v>986</v>
      </c>
      <c r="AT111" s="14" t="s">
        <v>546</v>
      </c>
      <c r="AU111" s="14" t="s">
        <v>472</v>
      </c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R111" s="1" t="s">
        <v>152</v>
      </c>
      <c r="CS111" s="1" t="s">
        <v>352</v>
      </c>
      <c r="CT111" s="14" t="s">
        <v>122</v>
      </c>
      <c r="CU111" s="1" t="s">
        <v>192</v>
      </c>
      <c r="CV111" s="1" t="s">
        <v>124</v>
      </c>
      <c r="CW111" s="3"/>
      <c r="DG111" s="4"/>
    </row>
    <row r="112" customFormat="false" ht="11.25" hidden="false" customHeight="true" outlineLevel="0" collapsed="false">
      <c r="A112" s="14" t="n">
        <v>111</v>
      </c>
      <c r="B112" s="15" t="n">
        <v>46056.8361162269</v>
      </c>
      <c r="C112" s="15" t="n">
        <v>46056.8485583565</v>
      </c>
      <c r="D112" s="14" t="s">
        <v>987</v>
      </c>
      <c r="E112" s="14" t="s">
        <v>988</v>
      </c>
      <c r="F112" s="14" t="s">
        <v>988</v>
      </c>
      <c r="G112" s="14" t="s">
        <v>989</v>
      </c>
      <c r="H112" s="15" t="n">
        <v>46037</v>
      </c>
      <c r="I112" s="15" t="s">
        <v>172</v>
      </c>
      <c r="J112" s="14" t="s">
        <v>108</v>
      </c>
      <c r="K112" s="14" t="s">
        <v>257</v>
      </c>
      <c r="L112" s="14" t="s">
        <v>130</v>
      </c>
      <c r="M112" s="14" t="s">
        <v>111</v>
      </c>
      <c r="N112" s="14" t="s">
        <v>112</v>
      </c>
      <c r="O112" s="14" t="s">
        <v>113</v>
      </c>
      <c r="P112" s="14" t="s">
        <v>258</v>
      </c>
      <c r="Q112" s="14" t="s">
        <v>990</v>
      </c>
      <c r="R112" s="14"/>
      <c r="S112" s="14"/>
      <c r="T112" s="14"/>
      <c r="U112" s="14" t="s">
        <v>22</v>
      </c>
      <c r="V112" s="14"/>
      <c r="W112" s="14" t="s">
        <v>715</v>
      </c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 t="s">
        <v>991</v>
      </c>
      <c r="BI112" s="14" t="s">
        <v>992</v>
      </c>
      <c r="BJ112" s="14" t="s">
        <v>993</v>
      </c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R112" s="1" t="s">
        <v>120</v>
      </c>
      <c r="CS112" s="1" t="s">
        <v>352</v>
      </c>
      <c r="CT112" s="14" t="s">
        <v>994</v>
      </c>
      <c r="CU112" s="1" t="s">
        <v>123</v>
      </c>
      <c r="CV112" s="1" t="s">
        <v>124</v>
      </c>
      <c r="CW112" s="3"/>
      <c r="DG112" s="4"/>
    </row>
    <row r="113" customFormat="false" ht="11.25" hidden="false" customHeight="true" outlineLevel="0" collapsed="false">
      <c r="A113" s="14" t="n">
        <v>112</v>
      </c>
      <c r="B113" s="15" t="n">
        <v>46161.4646104398</v>
      </c>
      <c r="C113" s="15" t="n">
        <v>46161.4759183102</v>
      </c>
      <c r="D113" s="14" t="s">
        <v>995</v>
      </c>
      <c r="E113" s="14" t="s">
        <v>996</v>
      </c>
      <c r="F113" s="14" t="s">
        <v>996</v>
      </c>
      <c r="G113" s="14" t="s">
        <v>997</v>
      </c>
      <c r="H113" s="15" t="n">
        <v>46160</v>
      </c>
      <c r="I113" s="15" t="s">
        <v>244</v>
      </c>
      <c r="J113" s="14" t="s">
        <v>128</v>
      </c>
      <c r="K113" s="14" t="s">
        <v>257</v>
      </c>
      <c r="L113" s="14" t="s">
        <v>184</v>
      </c>
      <c r="M113" s="14" t="s">
        <v>111</v>
      </c>
      <c r="N113" s="14" t="s">
        <v>112</v>
      </c>
      <c r="O113" s="14" t="s">
        <v>113</v>
      </c>
      <c r="P113" s="14" t="s">
        <v>234</v>
      </c>
      <c r="Q113" s="14" t="s">
        <v>998</v>
      </c>
      <c r="R113" s="14"/>
      <c r="S113" s="14"/>
      <c r="T113" s="14"/>
      <c r="U113" s="14" t="s">
        <v>22</v>
      </c>
      <c r="V113" s="14"/>
      <c r="W113" s="14" t="s">
        <v>298</v>
      </c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 t="s">
        <v>999</v>
      </c>
      <c r="AW113" s="14" t="s">
        <v>1000</v>
      </c>
      <c r="AX113" s="14" t="s">
        <v>1001</v>
      </c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R113" s="1" t="s">
        <v>152</v>
      </c>
      <c r="CS113" s="1" t="s">
        <v>496</v>
      </c>
      <c r="CT113" s="14" t="s">
        <v>1002</v>
      </c>
      <c r="CU113" s="1" t="s">
        <v>167</v>
      </c>
      <c r="CV113" s="1" t="s">
        <v>168</v>
      </c>
      <c r="CW113" s="3"/>
      <c r="DG113" s="4"/>
    </row>
    <row r="114" customFormat="false" ht="11.25" hidden="false" customHeight="true" outlineLevel="0" collapsed="false">
      <c r="A114" s="14" t="n">
        <v>113</v>
      </c>
      <c r="B114" s="15" t="n">
        <v>46175.7608389583</v>
      </c>
      <c r="C114" s="15" t="n">
        <v>46175.7694963657</v>
      </c>
      <c r="D114" s="14" t="s">
        <v>1003</v>
      </c>
      <c r="E114" s="14" t="s">
        <v>1004</v>
      </c>
      <c r="F114" s="14" t="s">
        <v>1004</v>
      </c>
      <c r="G114" s="14" t="s">
        <v>1005</v>
      </c>
      <c r="H114" s="15" t="n">
        <v>46165</v>
      </c>
      <c r="I114" s="10" t="s">
        <v>172</v>
      </c>
      <c r="J114" s="14" t="s">
        <v>108</v>
      </c>
      <c r="K114" s="14" t="s">
        <v>462</v>
      </c>
      <c r="L114" s="14" t="s">
        <v>389</v>
      </c>
      <c r="M114" s="14" t="s">
        <v>111</v>
      </c>
      <c r="N114" s="14" t="s">
        <v>112</v>
      </c>
      <c r="O114" s="14" t="s">
        <v>113</v>
      </c>
      <c r="P114" s="14" t="s">
        <v>515</v>
      </c>
      <c r="Q114" s="14" t="s">
        <v>1006</v>
      </c>
      <c r="R114" s="14"/>
      <c r="S114" s="14"/>
      <c r="T114" s="14"/>
      <c r="U114" s="14" t="s">
        <v>22</v>
      </c>
      <c r="V114" s="14"/>
      <c r="W114" s="14" t="s">
        <v>176</v>
      </c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 t="s">
        <v>1007</v>
      </c>
      <c r="AZ114" s="14" t="s">
        <v>1008</v>
      </c>
      <c r="BA114" s="14" t="s">
        <v>1009</v>
      </c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R114" s="1" t="s">
        <v>152</v>
      </c>
      <c r="CS114" s="1" t="s">
        <v>121</v>
      </c>
      <c r="CT114" s="14" t="s">
        <v>122</v>
      </c>
      <c r="CU114" s="1" t="s">
        <v>167</v>
      </c>
      <c r="CV114" s="1" t="s">
        <v>124</v>
      </c>
      <c r="CW114" s="3"/>
      <c r="DG114" s="4"/>
    </row>
    <row r="115" customFormat="false" ht="11.25" hidden="false" customHeight="true" outlineLevel="0" collapsed="false">
      <c r="A115" s="14" t="n">
        <v>114</v>
      </c>
      <c r="B115" s="15" t="n">
        <v>46139.4198012616</v>
      </c>
      <c r="C115" s="15" t="n">
        <v>46139.4327410764</v>
      </c>
      <c r="D115" s="14" t="s">
        <v>1010</v>
      </c>
      <c r="E115" s="14" t="s">
        <v>1011</v>
      </c>
      <c r="F115" s="14" t="s">
        <v>1011</v>
      </c>
      <c r="G115" s="14" t="s">
        <v>1012</v>
      </c>
      <c r="H115" s="15" t="n">
        <v>46134</v>
      </c>
      <c r="I115" s="10" t="s">
        <v>172</v>
      </c>
      <c r="J115" s="14" t="s">
        <v>108</v>
      </c>
      <c r="K115" s="14" t="s">
        <v>143</v>
      </c>
      <c r="L115" s="14" t="s">
        <v>268</v>
      </c>
      <c r="M115" s="14" t="s">
        <v>111</v>
      </c>
      <c r="N115" s="14" t="s">
        <v>112</v>
      </c>
      <c r="O115" s="14" t="s">
        <v>325</v>
      </c>
      <c r="P115" s="14" t="s">
        <v>326</v>
      </c>
      <c r="Q115" s="14" t="s">
        <v>827</v>
      </c>
      <c r="R115" s="14"/>
      <c r="S115" s="14"/>
      <c r="T115" s="14"/>
      <c r="U115" s="14" t="s">
        <v>21</v>
      </c>
      <c r="V115" s="14" t="s">
        <v>374</v>
      </c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 t="s">
        <v>654</v>
      </c>
      <c r="AK115" s="14" t="s">
        <v>1013</v>
      </c>
      <c r="AL115" s="14" t="s">
        <v>1014</v>
      </c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R115" s="1" t="s">
        <v>120</v>
      </c>
      <c r="CS115" s="1" t="s">
        <v>165</v>
      </c>
      <c r="CT115" s="14" t="s">
        <v>1015</v>
      </c>
      <c r="CU115" s="1" t="s">
        <v>123</v>
      </c>
      <c r="CV115" s="1" t="s">
        <v>124</v>
      </c>
      <c r="CW115" s="3"/>
      <c r="DG115" s="4"/>
    </row>
    <row r="116" customFormat="false" ht="11.25" hidden="false" customHeight="true" outlineLevel="0" collapsed="false">
      <c r="A116" s="14" t="n">
        <v>115</v>
      </c>
      <c r="B116" s="15" t="n">
        <v>46205.6354775347</v>
      </c>
      <c r="C116" s="15" t="n">
        <v>46205.6450261458</v>
      </c>
      <c r="D116" s="14" t="s">
        <v>1016</v>
      </c>
      <c r="E116" s="14" t="s">
        <v>1017</v>
      </c>
      <c r="F116" s="14" t="s">
        <v>1018</v>
      </c>
      <c r="G116" s="14" t="s">
        <v>1019</v>
      </c>
      <c r="H116" s="15" t="n">
        <v>46193</v>
      </c>
      <c r="I116" s="10" t="s">
        <v>172</v>
      </c>
      <c r="J116" s="14" t="s">
        <v>108</v>
      </c>
      <c r="K116" s="14" t="s">
        <v>1020</v>
      </c>
      <c r="L116" s="14" t="s">
        <v>197</v>
      </c>
      <c r="M116" s="14" t="s">
        <v>111</v>
      </c>
      <c r="N116" s="14" t="s">
        <v>112</v>
      </c>
      <c r="O116" s="14" t="s">
        <v>325</v>
      </c>
      <c r="P116" s="14" t="s">
        <v>269</v>
      </c>
      <c r="Q116" s="14" t="s">
        <v>161</v>
      </c>
      <c r="R116" s="14"/>
      <c r="S116" s="14"/>
      <c r="T116" s="14"/>
      <c r="U116" s="14" t="s">
        <v>22</v>
      </c>
      <c r="V116" s="14"/>
      <c r="W116" s="14" t="s">
        <v>298</v>
      </c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 t="s">
        <v>1021</v>
      </c>
      <c r="AW116" s="14" t="s">
        <v>1022</v>
      </c>
      <c r="AX116" s="14" t="s">
        <v>1023</v>
      </c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R116" s="1" t="s">
        <v>152</v>
      </c>
      <c r="CS116" s="1" t="s">
        <v>1024</v>
      </c>
      <c r="CT116" s="14"/>
      <c r="CU116" s="1" t="s">
        <v>192</v>
      </c>
      <c r="CV116" s="1" t="s">
        <v>124</v>
      </c>
      <c r="CW116" s="3"/>
      <c r="DG116" s="4"/>
    </row>
    <row r="117" customFormat="false" ht="11.25" hidden="false" customHeight="true" outlineLevel="0" collapsed="false">
      <c r="A117" s="14" t="n">
        <v>116</v>
      </c>
      <c r="B117" s="15" t="n">
        <v>46131.0349260648</v>
      </c>
      <c r="C117" s="15" t="n">
        <v>46131.0514885648</v>
      </c>
      <c r="D117" s="14" t="s">
        <v>1025</v>
      </c>
      <c r="E117" s="14" t="s">
        <v>1026</v>
      </c>
      <c r="F117" s="14" t="s">
        <v>1026</v>
      </c>
      <c r="G117" s="14" t="s">
        <v>1027</v>
      </c>
      <c r="H117" s="15" t="n">
        <v>46112</v>
      </c>
      <c r="I117" s="15" t="s">
        <v>107</v>
      </c>
      <c r="J117" s="14" t="s">
        <v>128</v>
      </c>
      <c r="K117" s="14" t="s">
        <v>173</v>
      </c>
      <c r="L117" s="14" t="s">
        <v>197</v>
      </c>
      <c r="M117" s="14" t="s">
        <v>111</v>
      </c>
      <c r="N117" s="14" t="s">
        <v>112</v>
      </c>
      <c r="O117" s="14" t="s">
        <v>113</v>
      </c>
      <c r="P117" s="14" t="s">
        <v>757</v>
      </c>
      <c r="Q117" s="14" t="s">
        <v>1028</v>
      </c>
      <c r="R117" s="14"/>
      <c r="S117" s="14"/>
      <c r="T117" s="14"/>
      <c r="U117" s="14" t="s">
        <v>22</v>
      </c>
      <c r="V117" s="14"/>
      <c r="W117" s="14" t="s">
        <v>298</v>
      </c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 t="s">
        <v>1029</v>
      </c>
      <c r="AW117" s="14" t="s">
        <v>1030</v>
      </c>
      <c r="AX117" s="14" t="s">
        <v>1031</v>
      </c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R117" s="1" t="s">
        <v>152</v>
      </c>
      <c r="CS117" s="1" t="s">
        <v>180</v>
      </c>
      <c r="CT117" s="14" t="s">
        <v>1032</v>
      </c>
      <c r="CU117" s="1" t="s">
        <v>167</v>
      </c>
      <c r="CV117" s="1" t="s">
        <v>124</v>
      </c>
      <c r="CW117" s="3"/>
      <c r="DG117" s="4"/>
    </row>
    <row r="118" customFormat="false" ht="11.25" hidden="false" customHeight="true" outlineLevel="0" collapsed="false">
      <c r="A118" s="14" t="n">
        <v>117</v>
      </c>
      <c r="B118" s="15" t="n">
        <v>46151.9878586227</v>
      </c>
      <c r="C118" s="15" t="n">
        <v>46151.9917590857</v>
      </c>
      <c r="D118" s="14" t="s">
        <v>1033</v>
      </c>
      <c r="E118" s="14" t="s">
        <v>1034</v>
      </c>
      <c r="F118" s="14" t="s">
        <v>1034</v>
      </c>
      <c r="G118" s="14" t="s">
        <v>1035</v>
      </c>
      <c r="H118" s="15" t="n">
        <v>46145</v>
      </c>
      <c r="I118" s="10" t="s">
        <v>278</v>
      </c>
      <c r="J118" s="14" t="s">
        <v>295</v>
      </c>
      <c r="K118" s="14" t="s">
        <v>257</v>
      </c>
      <c r="L118" s="14" t="s">
        <v>159</v>
      </c>
      <c r="M118" s="14" t="s">
        <v>111</v>
      </c>
      <c r="N118" s="14" t="s">
        <v>112</v>
      </c>
      <c r="O118" s="14" t="s">
        <v>113</v>
      </c>
      <c r="P118" s="14" t="s">
        <v>507</v>
      </c>
      <c r="Q118" s="14" t="s">
        <v>1036</v>
      </c>
      <c r="R118" s="14"/>
      <c r="S118" s="14"/>
      <c r="T118" s="14"/>
      <c r="U118" s="14" t="s">
        <v>24</v>
      </c>
      <c r="V118" s="14"/>
      <c r="W118" s="14"/>
      <c r="X118" s="14"/>
      <c r="Y118" s="14" t="s">
        <v>448</v>
      </c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 t="s">
        <v>1037</v>
      </c>
      <c r="BX118" s="14" t="s">
        <v>1038</v>
      </c>
      <c r="BY118" s="14" t="s">
        <v>495</v>
      </c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R118" s="1" t="s">
        <v>120</v>
      </c>
      <c r="CS118" s="1" t="s">
        <v>121</v>
      </c>
      <c r="CT118" s="14" t="s">
        <v>122</v>
      </c>
      <c r="CU118" s="1" t="s">
        <v>192</v>
      </c>
      <c r="CV118" s="1" t="s">
        <v>124</v>
      </c>
      <c r="CW118" s="3"/>
      <c r="CY118" s="3" t="s">
        <v>205</v>
      </c>
      <c r="DG118" s="4"/>
    </row>
    <row r="119" customFormat="false" ht="11.25" hidden="false" customHeight="true" outlineLevel="0" collapsed="false">
      <c r="A119" s="14" t="n">
        <v>118</v>
      </c>
      <c r="B119" s="15" t="n">
        <v>46053.0612185532</v>
      </c>
      <c r="C119" s="15" t="n">
        <v>46053.069621331</v>
      </c>
      <c r="D119" s="14" t="s">
        <v>1039</v>
      </c>
      <c r="E119" s="14" t="s">
        <v>1040</v>
      </c>
      <c r="F119" s="14" t="s">
        <v>1040</v>
      </c>
      <c r="G119" s="14" t="s">
        <v>1041</v>
      </c>
      <c r="H119" s="15" t="n">
        <v>46050</v>
      </c>
      <c r="I119" s="15" t="s">
        <v>278</v>
      </c>
      <c r="J119" s="14" t="s">
        <v>128</v>
      </c>
      <c r="K119" s="14" t="s">
        <v>257</v>
      </c>
      <c r="L119" s="14" t="s">
        <v>144</v>
      </c>
      <c r="M119" s="14" t="s">
        <v>111</v>
      </c>
      <c r="N119" s="14" t="s">
        <v>112</v>
      </c>
      <c r="O119" s="14" t="s">
        <v>132</v>
      </c>
      <c r="P119" s="14" t="s">
        <v>870</v>
      </c>
      <c r="Q119" s="14" t="s">
        <v>1042</v>
      </c>
      <c r="R119" s="14"/>
      <c r="S119" s="14"/>
      <c r="T119" s="14"/>
      <c r="U119" s="14" t="s">
        <v>21</v>
      </c>
      <c r="V119" s="14" t="s">
        <v>348</v>
      </c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 t="s">
        <v>1043</v>
      </c>
      <c r="BC119" s="14" t="s">
        <v>350</v>
      </c>
      <c r="BD119" s="14" t="s">
        <v>1044</v>
      </c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R119" s="1" t="s">
        <v>152</v>
      </c>
      <c r="CS119" s="1" t="s">
        <v>121</v>
      </c>
      <c r="CT119" s="14"/>
      <c r="CU119" s="1" t="s">
        <v>192</v>
      </c>
      <c r="CV119" s="1" t="s">
        <v>168</v>
      </c>
      <c r="CW119" s="3"/>
      <c r="DG119" s="4"/>
    </row>
    <row r="120" customFormat="false" ht="11.25" hidden="false" customHeight="true" outlineLevel="0" collapsed="false">
      <c r="A120" s="14" t="n">
        <v>119</v>
      </c>
      <c r="B120" s="15" t="n">
        <v>46113.2833775926</v>
      </c>
      <c r="C120" s="15" t="n">
        <v>46113.3036553704</v>
      </c>
      <c r="D120" s="14" t="s">
        <v>1045</v>
      </c>
      <c r="E120" s="14" t="s">
        <v>1046</v>
      </c>
      <c r="F120" s="14" t="s">
        <v>1047</v>
      </c>
      <c r="G120" s="14" t="s">
        <v>1048</v>
      </c>
      <c r="H120" s="15" t="n">
        <v>46112</v>
      </c>
      <c r="I120" s="15" t="s">
        <v>781</v>
      </c>
      <c r="J120" s="14" t="s">
        <v>295</v>
      </c>
      <c r="K120" s="14" t="s">
        <v>1049</v>
      </c>
      <c r="L120" s="14" t="s">
        <v>389</v>
      </c>
      <c r="M120" s="14" t="s">
        <v>131</v>
      </c>
      <c r="N120" s="14" t="s">
        <v>112</v>
      </c>
      <c r="O120" s="14" t="s">
        <v>113</v>
      </c>
      <c r="P120" s="14" t="s">
        <v>212</v>
      </c>
      <c r="Q120" s="14" t="s">
        <v>1050</v>
      </c>
      <c r="R120" s="14"/>
      <c r="S120" s="14"/>
      <c r="T120" s="14"/>
      <c r="U120" s="14" t="s">
        <v>22</v>
      </c>
      <c r="V120" s="14"/>
      <c r="W120" s="14" t="s">
        <v>135</v>
      </c>
      <c r="X120" s="14"/>
      <c r="Y120" s="14"/>
      <c r="Z120" s="14"/>
      <c r="AA120" s="14" t="s">
        <v>1051</v>
      </c>
      <c r="AB120" s="14" t="s">
        <v>1052</v>
      </c>
      <c r="AC120" s="14" t="s">
        <v>1053</v>
      </c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R120" s="1" t="s">
        <v>152</v>
      </c>
      <c r="CS120" s="1" t="s">
        <v>121</v>
      </c>
      <c r="CT120" s="14" t="s">
        <v>452</v>
      </c>
      <c r="CU120" s="1" t="s">
        <v>192</v>
      </c>
      <c r="CV120" s="1" t="s">
        <v>124</v>
      </c>
      <c r="CW120" s="3"/>
      <c r="DG120" s="4"/>
    </row>
    <row r="121" customFormat="false" ht="11.25" hidden="false" customHeight="true" outlineLevel="0" collapsed="false">
      <c r="A121" s="14" t="n">
        <v>120</v>
      </c>
      <c r="B121" s="15" t="n">
        <v>46084.7082479282</v>
      </c>
      <c r="C121" s="15" t="n">
        <v>46084.7176460764</v>
      </c>
      <c r="D121" s="14" t="s">
        <v>1054</v>
      </c>
      <c r="E121" s="14" t="s">
        <v>1055</v>
      </c>
      <c r="F121" s="14" t="s">
        <v>1055</v>
      </c>
      <c r="G121" s="14" t="s">
        <v>1056</v>
      </c>
      <c r="H121" s="15" t="n">
        <v>46065</v>
      </c>
      <c r="I121" s="15" t="s">
        <v>107</v>
      </c>
      <c r="J121" s="14" t="s">
        <v>295</v>
      </c>
      <c r="K121" s="14" t="s">
        <v>1057</v>
      </c>
      <c r="L121" s="14" t="s">
        <v>491</v>
      </c>
      <c r="M121" s="14" t="s">
        <v>111</v>
      </c>
      <c r="N121" s="14" t="s">
        <v>112</v>
      </c>
      <c r="O121" s="14" t="s">
        <v>113</v>
      </c>
      <c r="P121" s="14" t="s">
        <v>484</v>
      </c>
      <c r="Q121" s="14" t="s">
        <v>347</v>
      </c>
      <c r="R121" s="14"/>
      <c r="S121" s="14"/>
      <c r="T121" s="14" t="s">
        <v>880</v>
      </c>
      <c r="U121" s="14" t="s">
        <v>24</v>
      </c>
      <c r="V121" s="14"/>
      <c r="W121" s="14"/>
      <c r="X121" s="14"/>
      <c r="Y121" s="14" t="s">
        <v>19</v>
      </c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R121" s="1" t="s">
        <v>152</v>
      </c>
      <c r="CS121" s="1" t="s">
        <v>228</v>
      </c>
      <c r="CT121" s="14"/>
      <c r="CU121" s="1" t="s">
        <v>192</v>
      </c>
      <c r="CV121" s="1" t="s">
        <v>124</v>
      </c>
      <c r="CW121" s="3"/>
      <c r="DG121" s="4"/>
    </row>
    <row r="122" customFormat="false" ht="11.25" hidden="false" customHeight="true" outlineLevel="0" collapsed="false">
      <c r="A122" s="14" t="n">
        <v>121</v>
      </c>
      <c r="B122" s="15" t="n">
        <v>46039.0365874769</v>
      </c>
      <c r="C122" s="15" t="n">
        <v>46039.0445620139</v>
      </c>
      <c r="D122" s="14" t="s">
        <v>1058</v>
      </c>
      <c r="E122" s="14" t="s">
        <v>1059</v>
      </c>
      <c r="F122" s="14" t="s">
        <v>1059</v>
      </c>
      <c r="G122" s="14" t="s">
        <v>1060</v>
      </c>
      <c r="H122" s="15" t="n">
        <v>46022</v>
      </c>
      <c r="I122" s="15" t="s">
        <v>244</v>
      </c>
      <c r="J122" s="14" t="s">
        <v>108</v>
      </c>
      <c r="K122" s="14" t="s">
        <v>1061</v>
      </c>
      <c r="L122" s="14" t="s">
        <v>296</v>
      </c>
      <c r="M122" s="14" t="s">
        <v>111</v>
      </c>
      <c r="N122" s="14" t="s">
        <v>112</v>
      </c>
      <c r="O122" s="14" t="s">
        <v>113</v>
      </c>
      <c r="P122" s="14" t="s">
        <v>973</v>
      </c>
      <c r="Q122" s="14" t="s">
        <v>595</v>
      </c>
      <c r="R122" s="14"/>
      <c r="S122" s="14"/>
      <c r="T122" s="14"/>
      <c r="U122" s="14" t="s">
        <v>22</v>
      </c>
      <c r="V122" s="14"/>
      <c r="W122" s="14" t="s">
        <v>381</v>
      </c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 t="s">
        <v>1062</v>
      </c>
      <c r="BR122" s="14" t="s">
        <v>843</v>
      </c>
      <c r="BS122" s="14" t="s">
        <v>844</v>
      </c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R122" s="1" t="s">
        <v>120</v>
      </c>
      <c r="CS122" s="1" t="s">
        <v>180</v>
      </c>
      <c r="CT122" s="14" t="s">
        <v>1063</v>
      </c>
      <c r="CU122" s="1" t="s">
        <v>167</v>
      </c>
      <c r="CV122" s="1" t="s">
        <v>124</v>
      </c>
      <c r="CW122" s="3"/>
      <c r="DG122" s="4"/>
    </row>
    <row r="123" customFormat="false" ht="11.25" hidden="false" customHeight="true" outlineLevel="0" collapsed="false">
      <c r="A123" s="14" t="n">
        <v>122</v>
      </c>
      <c r="B123" s="15" t="n">
        <v>46179.4186256597</v>
      </c>
      <c r="C123" s="15" t="n">
        <v>46179.4332900116</v>
      </c>
      <c r="D123" s="14" t="s">
        <v>1064</v>
      </c>
      <c r="E123" s="14" t="s">
        <v>1065</v>
      </c>
      <c r="F123" s="14" t="s">
        <v>1065</v>
      </c>
      <c r="G123" s="14" t="s">
        <v>1066</v>
      </c>
      <c r="H123" s="15" t="n">
        <v>46164</v>
      </c>
      <c r="I123" s="15" t="s">
        <v>278</v>
      </c>
      <c r="J123" s="14" t="s">
        <v>108</v>
      </c>
      <c r="K123" s="14" t="s">
        <v>462</v>
      </c>
      <c r="L123" s="14" t="s">
        <v>184</v>
      </c>
      <c r="M123" s="14" t="s">
        <v>111</v>
      </c>
      <c r="N123" s="14" t="s">
        <v>112</v>
      </c>
      <c r="O123" s="14" t="s">
        <v>113</v>
      </c>
      <c r="P123" s="14" t="s">
        <v>864</v>
      </c>
      <c r="Q123" s="14" t="s">
        <v>1067</v>
      </c>
      <c r="R123" s="14"/>
      <c r="S123" s="14"/>
      <c r="T123" s="14"/>
      <c r="U123" s="14" t="s">
        <v>22</v>
      </c>
      <c r="V123" s="14"/>
      <c r="W123" s="14" t="s">
        <v>271</v>
      </c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 t="s">
        <v>1068</v>
      </c>
      <c r="BL123" s="14" t="s">
        <v>1069</v>
      </c>
      <c r="BM123" s="14" t="s">
        <v>920</v>
      </c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R123" s="1" t="s">
        <v>152</v>
      </c>
      <c r="CS123" s="1" t="s">
        <v>121</v>
      </c>
      <c r="CT123" s="14" t="s">
        <v>1070</v>
      </c>
      <c r="CU123" s="1" t="s">
        <v>123</v>
      </c>
      <c r="CV123" s="1" t="s">
        <v>168</v>
      </c>
      <c r="CW123" s="3"/>
      <c r="DG123" s="4"/>
    </row>
    <row r="124" customFormat="false" ht="11.25" hidden="false" customHeight="true" outlineLevel="0" collapsed="false">
      <c r="A124" s="14" t="n">
        <v>123</v>
      </c>
      <c r="B124" s="15" t="n">
        <v>46135.2412423032</v>
      </c>
      <c r="C124" s="15" t="n">
        <v>46135.2437307292</v>
      </c>
      <c r="D124" s="14" t="s">
        <v>1071</v>
      </c>
      <c r="E124" s="14" t="s">
        <v>1072</v>
      </c>
      <c r="F124" s="14" t="s">
        <v>1072</v>
      </c>
      <c r="G124" s="14" t="s">
        <v>1073</v>
      </c>
      <c r="H124" s="15" t="n">
        <v>46117</v>
      </c>
      <c r="I124" s="15" t="s">
        <v>107</v>
      </c>
      <c r="J124" s="14" t="s">
        <v>128</v>
      </c>
      <c r="K124" s="14" t="s">
        <v>364</v>
      </c>
      <c r="L124" s="14" t="s">
        <v>389</v>
      </c>
      <c r="M124" s="14" t="s">
        <v>111</v>
      </c>
      <c r="N124" s="14" t="s">
        <v>145</v>
      </c>
      <c r="O124" s="14" t="s">
        <v>113</v>
      </c>
      <c r="P124" s="14" t="s">
        <v>1074</v>
      </c>
      <c r="Q124" s="14" t="s">
        <v>638</v>
      </c>
      <c r="R124" s="14"/>
      <c r="S124" s="14"/>
      <c r="T124" s="14"/>
      <c r="U124" s="14" t="s">
        <v>22</v>
      </c>
      <c r="V124" s="14"/>
      <c r="W124" s="14" t="s">
        <v>116</v>
      </c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 t="s">
        <v>117</v>
      </c>
      <c r="BU124" s="14" t="s">
        <v>216</v>
      </c>
      <c r="BV124" s="14" t="s">
        <v>901</v>
      </c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R124" s="1" t="s">
        <v>120</v>
      </c>
      <c r="CS124" s="1" t="s">
        <v>180</v>
      </c>
      <c r="CT124" s="14" t="s">
        <v>122</v>
      </c>
      <c r="CU124" s="1" t="s">
        <v>123</v>
      </c>
      <c r="CV124" s="1" t="s">
        <v>124</v>
      </c>
      <c r="CW124" s="3"/>
      <c r="DG124" s="4"/>
    </row>
    <row r="125" customFormat="false" ht="11.25" hidden="false" customHeight="true" outlineLevel="0" collapsed="false">
      <c r="A125" s="14" t="n">
        <v>124</v>
      </c>
      <c r="B125" s="15" t="n">
        <v>46165.2262915857</v>
      </c>
      <c r="C125" s="15" t="n">
        <v>46165.2358054745</v>
      </c>
      <c r="D125" s="14" t="s">
        <v>1075</v>
      </c>
      <c r="E125" s="14" t="s">
        <v>1076</v>
      </c>
      <c r="F125" s="14" t="s">
        <v>1076</v>
      </c>
      <c r="G125" s="14" t="s">
        <v>1077</v>
      </c>
      <c r="H125" s="15" t="n">
        <v>46161</v>
      </c>
      <c r="I125" s="15" t="s">
        <v>107</v>
      </c>
      <c r="J125" s="14" t="s">
        <v>108</v>
      </c>
      <c r="K125" s="14" t="s">
        <v>232</v>
      </c>
      <c r="L125" s="14" t="s">
        <v>144</v>
      </c>
      <c r="M125" s="14" t="s">
        <v>111</v>
      </c>
      <c r="N125" s="14" t="s">
        <v>247</v>
      </c>
      <c r="O125" s="14" t="s">
        <v>113</v>
      </c>
      <c r="P125" s="14" t="s">
        <v>797</v>
      </c>
      <c r="Q125" s="14" t="s">
        <v>1078</v>
      </c>
      <c r="R125" s="14"/>
      <c r="S125" s="14"/>
      <c r="T125" s="14"/>
      <c r="U125" s="14" t="s">
        <v>22</v>
      </c>
      <c r="V125" s="14"/>
      <c r="W125" s="14" t="s">
        <v>715</v>
      </c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 t="s">
        <v>1079</v>
      </c>
      <c r="BI125" s="14" t="s">
        <v>992</v>
      </c>
      <c r="BJ125" s="14" t="s">
        <v>1080</v>
      </c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R125" s="1" t="s">
        <v>120</v>
      </c>
      <c r="CS125" s="1" t="s">
        <v>180</v>
      </c>
      <c r="CT125" s="14" t="s">
        <v>122</v>
      </c>
      <c r="CU125" s="1" t="s">
        <v>192</v>
      </c>
      <c r="CV125" s="1" t="s">
        <v>124</v>
      </c>
      <c r="CW125" s="3"/>
      <c r="DG125" s="4"/>
    </row>
    <row r="126" customFormat="false" ht="11.25" hidden="false" customHeight="true" outlineLevel="0" collapsed="false">
      <c r="A126" s="14" t="n">
        <v>125</v>
      </c>
      <c r="B126" s="15" t="n">
        <v>46151.6884611458</v>
      </c>
      <c r="C126" s="15" t="n">
        <v>46151.6998616088</v>
      </c>
      <c r="D126" s="14" t="s">
        <v>1081</v>
      </c>
      <c r="E126" s="14" t="s">
        <v>1082</v>
      </c>
      <c r="F126" s="14" t="s">
        <v>1083</v>
      </c>
      <c r="G126" s="14" t="s">
        <v>1084</v>
      </c>
      <c r="H126" s="15" t="n">
        <v>46148</v>
      </c>
      <c r="I126" s="15" t="s">
        <v>107</v>
      </c>
      <c r="J126" s="14" t="s">
        <v>108</v>
      </c>
      <c r="K126" s="14" t="s">
        <v>143</v>
      </c>
      <c r="L126" s="14" t="s">
        <v>346</v>
      </c>
      <c r="M126" s="14" t="s">
        <v>111</v>
      </c>
      <c r="N126" s="14" t="s">
        <v>112</v>
      </c>
      <c r="O126" s="14" t="s">
        <v>113</v>
      </c>
      <c r="P126" s="14" t="s">
        <v>774</v>
      </c>
      <c r="Q126" s="14" t="s">
        <v>337</v>
      </c>
      <c r="R126" s="14"/>
      <c r="S126" s="14"/>
      <c r="T126" s="14"/>
      <c r="U126" s="14" t="s">
        <v>24</v>
      </c>
      <c r="V126" s="14"/>
      <c r="W126" s="14"/>
      <c r="X126" s="14"/>
      <c r="Y126" s="14" t="s">
        <v>448</v>
      </c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 t="s">
        <v>1085</v>
      </c>
      <c r="BX126" s="14" t="s">
        <v>1086</v>
      </c>
      <c r="BY126" s="14" t="s">
        <v>597</v>
      </c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R126" s="1" t="s">
        <v>120</v>
      </c>
      <c r="CS126" s="1" t="s">
        <v>180</v>
      </c>
      <c r="CT126" s="14" t="s">
        <v>122</v>
      </c>
      <c r="CU126" s="1" t="s">
        <v>192</v>
      </c>
      <c r="CV126" s="1" t="s">
        <v>124</v>
      </c>
      <c r="CW126" s="3"/>
      <c r="DG126" s="4"/>
    </row>
    <row r="127" customFormat="false" ht="11.25" hidden="false" customHeight="true" outlineLevel="0" collapsed="false">
      <c r="A127" s="14" t="n">
        <v>126</v>
      </c>
      <c r="B127" s="15" t="n">
        <v>46107.6095578935</v>
      </c>
      <c r="C127" s="15" t="n">
        <v>46107.629627338</v>
      </c>
      <c r="D127" s="14" t="s">
        <v>1087</v>
      </c>
      <c r="E127" s="14" t="s">
        <v>1088</v>
      </c>
      <c r="F127" s="14" t="s">
        <v>1088</v>
      </c>
      <c r="G127" s="14" t="s">
        <v>1089</v>
      </c>
      <c r="H127" s="15" t="n">
        <v>46090</v>
      </c>
      <c r="I127" s="15" t="s">
        <v>107</v>
      </c>
      <c r="J127" s="14" t="s">
        <v>295</v>
      </c>
      <c r="K127" s="14" t="s">
        <v>1090</v>
      </c>
      <c r="L127" s="14" t="s">
        <v>296</v>
      </c>
      <c r="M127" s="14" t="s">
        <v>131</v>
      </c>
      <c r="N127" s="14" t="s">
        <v>145</v>
      </c>
      <c r="O127" s="14" t="s">
        <v>325</v>
      </c>
      <c r="P127" s="14" t="s">
        <v>789</v>
      </c>
      <c r="Q127" s="14" t="s">
        <v>227</v>
      </c>
      <c r="R127" s="14"/>
      <c r="S127" s="14" t="s">
        <v>441</v>
      </c>
      <c r="T127" s="14"/>
      <c r="U127" s="14" t="s">
        <v>23</v>
      </c>
      <c r="V127" s="14"/>
      <c r="W127" s="14"/>
      <c r="X127" s="14" t="s">
        <v>442</v>
      </c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R127" s="1" t="s">
        <v>152</v>
      </c>
      <c r="CS127" s="1" t="s">
        <v>121</v>
      </c>
      <c r="CT127" s="14" t="s">
        <v>1002</v>
      </c>
      <c r="CU127" s="1" t="s">
        <v>167</v>
      </c>
      <c r="CV127" s="1" t="s">
        <v>124</v>
      </c>
      <c r="CW127" s="3"/>
      <c r="DG127" s="4"/>
    </row>
    <row r="128" customFormat="false" ht="11.25" hidden="false" customHeight="true" outlineLevel="0" collapsed="false">
      <c r="A128" s="14" t="n">
        <v>127</v>
      </c>
      <c r="B128" s="15" t="n">
        <v>46130.702134757</v>
      </c>
      <c r="C128" s="15" t="n">
        <v>46130.7097852199</v>
      </c>
      <c r="D128" s="14" t="s">
        <v>1091</v>
      </c>
      <c r="E128" s="14" t="s">
        <v>1092</v>
      </c>
      <c r="F128" s="14" t="s">
        <v>1092</v>
      </c>
      <c r="G128" s="14" t="s">
        <v>1093</v>
      </c>
      <c r="H128" s="15" t="n">
        <v>46122</v>
      </c>
      <c r="I128" s="15" t="s">
        <v>107</v>
      </c>
      <c r="J128" s="14" t="s">
        <v>108</v>
      </c>
      <c r="K128" s="14" t="s">
        <v>173</v>
      </c>
      <c r="L128" s="14" t="s">
        <v>431</v>
      </c>
      <c r="M128" s="14" t="s">
        <v>211</v>
      </c>
      <c r="N128" s="14" t="s">
        <v>112</v>
      </c>
      <c r="O128" s="14" t="s">
        <v>325</v>
      </c>
      <c r="P128" s="14" t="s">
        <v>337</v>
      </c>
      <c r="Q128" s="14" t="s">
        <v>1094</v>
      </c>
      <c r="R128" s="14"/>
      <c r="S128" s="14"/>
      <c r="T128" s="14"/>
      <c r="U128" s="14" t="s">
        <v>24</v>
      </c>
      <c r="V128" s="14"/>
      <c r="W128" s="14"/>
      <c r="X128" s="14"/>
      <c r="Y128" s="14" t="s">
        <v>448</v>
      </c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 t="s">
        <v>1095</v>
      </c>
      <c r="BX128" s="14" t="s">
        <v>1086</v>
      </c>
      <c r="BY128" s="14" t="s">
        <v>1096</v>
      </c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R128" s="1" t="s">
        <v>152</v>
      </c>
      <c r="CS128" s="1" t="s">
        <v>352</v>
      </c>
      <c r="CT128" s="14" t="s">
        <v>122</v>
      </c>
      <c r="CU128" s="1" t="s">
        <v>123</v>
      </c>
      <c r="CV128" s="1" t="s">
        <v>124</v>
      </c>
      <c r="CW128" s="3"/>
      <c r="DG128" s="4"/>
    </row>
    <row r="129" customFormat="false" ht="11.25" hidden="false" customHeight="true" outlineLevel="0" collapsed="false">
      <c r="A129" s="14" t="n">
        <v>128</v>
      </c>
      <c r="B129" s="15" t="n">
        <v>46162.0833479398</v>
      </c>
      <c r="C129" s="15" t="n">
        <v>46162.0916928472</v>
      </c>
      <c r="D129" s="14" t="s">
        <v>1097</v>
      </c>
      <c r="E129" s="14" t="s">
        <v>1098</v>
      </c>
      <c r="F129" s="14" t="s">
        <v>1098</v>
      </c>
      <c r="G129" s="14" t="s">
        <v>1099</v>
      </c>
      <c r="H129" s="15" t="n">
        <v>46143</v>
      </c>
      <c r="I129" s="15" t="s">
        <v>244</v>
      </c>
      <c r="J129" s="14" t="s">
        <v>128</v>
      </c>
      <c r="K129" s="14" t="s">
        <v>173</v>
      </c>
      <c r="L129" s="14" t="s">
        <v>114</v>
      </c>
      <c r="M129" s="14" t="s">
        <v>111</v>
      </c>
      <c r="N129" s="14" t="s">
        <v>112</v>
      </c>
      <c r="O129" s="14" t="s">
        <v>305</v>
      </c>
      <c r="P129" s="14" t="s">
        <v>515</v>
      </c>
      <c r="Q129" s="14" t="s">
        <v>1100</v>
      </c>
      <c r="R129" s="14"/>
      <c r="S129" s="14"/>
      <c r="T129" s="14"/>
      <c r="U129" s="14" t="s">
        <v>22</v>
      </c>
      <c r="V129" s="14"/>
      <c r="W129" s="14" t="s">
        <v>135</v>
      </c>
      <c r="X129" s="14"/>
      <c r="Y129" s="14"/>
      <c r="Z129" s="14"/>
      <c r="AA129" s="14" t="s">
        <v>1101</v>
      </c>
      <c r="AB129" s="14" t="s">
        <v>1102</v>
      </c>
      <c r="AC129" s="14" t="s">
        <v>569</v>
      </c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R129" s="1" t="s">
        <v>120</v>
      </c>
      <c r="CS129" s="1" t="s">
        <v>121</v>
      </c>
      <c r="CT129" s="14" t="s">
        <v>682</v>
      </c>
      <c r="CU129" s="1" t="s">
        <v>192</v>
      </c>
      <c r="CV129" s="1" t="s">
        <v>124</v>
      </c>
      <c r="CW129" s="3"/>
      <c r="DG129" s="4"/>
    </row>
    <row r="130" customFormat="false" ht="11.25" hidden="false" customHeight="true" outlineLevel="0" collapsed="false">
      <c r="A130" s="14" t="n">
        <v>129</v>
      </c>
      <c r="B130" s="15" t="n">
        <v>46075.8760671875</v>
      </c>
      <c r="C130" s="15" t="n">
        <v>46075.8797245949</v>
      </c>
      <c r="D130" s="14" t="s">
        <v>1103</v>
      </c>
      <c r="E130" s="14" t="s">
        <v>1104</v>
      </c>
      <c r="F130" s="14" t="s">
        <v>1104</v>
      </c>
      <c r="G130" s="14" t="s">
        <v>1105</v>
      </c>
      <c r="H130" s="15" t="n">
        <v>46058</v>
      </c>
      <c r="I130" s="15" t="s">
        <v>244</v>
      </c>
      <c r="J130" s="14" t="s">
        <v>108</v>
      </c>
      <c r="K130" s="14" t="s">
        <v>1106</v>
      </c>
      <c r="L130" s="14" t="s">
        <v>286</v>
      </c>
      <c r="M130" s="14" t="s">
        <v>131</v>
      </c>
      <c r="N130" s="14" t="s">
        <v>112</v>
      </c>
      <c r="O130" s="14" t="s">
        <v>113</v>
      </c>
      <c r="P130" s="14" t="s">
        <v>578</v>
      </c>
      <c r="Q130" s="14" t="s">
        <v>306</v>
      </c>
      <c r="R130" s="14"/>
      <c r="S130" s="14"/>
      <c r="T130" s="14"/>
      <c r="U130" s="14" t="s">
        <v>24</v>
      </c>
      <c r="V130" s="14"/>
      <c r="W130" s="14"/>
      <c r="X130" s="14"/>
      <c r="Y130" s="14" t="s">
        <v>214</v>
      </c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 t="s">
        <v>1107</v>
      </c>
      <c r="CD130" s="14" t="s">
        <v>163</v>
      </c>
      <c r="CE130" s="14" t="s">
        <v>252</v>
      </c>
      <c r="CF130" s="14"/>
      <c r="CG130" s="14"/>
      <c r="CH130" s="14"/>
      <c r="CI130" s="14"/>
      <c r="CJ130" s="14"/>
      <c r="CK130" s="14"/>
      <c r="CL130" s="14"/>
      <c r="CR130" s="1" t="s">
        <v>152</v>
      </c>
      <c r="CS130" s="1" t="s">
        <v>352</v>
      </c>
      <c r="CT130" s="14" t="s">
        <v>122</v>
      </c>
      <c r="CU130" s="1" t="s">
        <v>123</v>
      </c>
      <c r="CV130" s="1" t="s">
        <v>124</v>
      </c>
      <c r="CW130" s="3"/>
      <c r="DG130" s="4"/>
    </row>
    <row r="131" customFormat="false" ht="11.25" hidden="false" customHeight="true" outlineLevel="0" collapsed="false">
      <c r="A131" s="14" t="n">
        <v>130</v>
      </c>
      <c r="B131" s="15" t="n">
        <v>46073.2927883565</v>
      </c>
      <c r="C131" s="15" t="n">
        <v>46073.2945707639</v>
      </c>
      <c r="D131" s="14" t="s">
        <v>1108</v>
      </c>
      <c r="E131" s="14" t="s">
        <v>1109</v>
      </c>
      <c r="F131" s="14" t="s">
        <v>1109</v>
      </c>
      <c r="G131" s="14" t="s">
        <v>1110</v>
      </c>
      <c r="H131" s="15" t="n">
        <v>46056</v>
      </c>
      <c r="I131" s="15" t="s">
        <v>107</v>
      </c>
      <c r="J131" s="14" t="s">
        <v>295</v>
      </c>
      <c r="K131" s="14" t="s">
        <v>1111</v>
      </c>
      <c r="L131" s="14" t="s">
        <v>197</v>
      </c>
      <c r="M131" s="14" t="s">
        <v>111</v>
      </c>
      <c r="N131" s="14" t="s">
        <v>112</v>
      </c>
      <c r="O131" s="14" t="s">
        <v>863</v>
      </c>
      <c r="P131" s="14" t="s">
        <v>1112</v>
      </c>
      <c r="Q131" s="14" t="s">
        <v>1067</v>
      </c>
      <c r="R131" s="14"/>
      <c r="S131" s="14"/>
      <c r="T131" s="14"/>
      <c r="U131" s="14" t="s">
        <v>24</v>
      </c>
      <c r="V131" s="14"/>
      <c r="W131" s="14"/>
      <c r="X131" s="14"/>
      <c r="Y131" s="14" t="s">
        <v>448</v>
      </c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 t="s">
        <v>1113</v>
      </c>
      <c r="BX131" s="14" t="s">
        <v>1114</v>
      </c>
      <c r="BY131" s="14" t="s">
        <v>1115</v>
      </c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R131" s="1" t="s">
        <v>152</v>
      </c>
      <c r="CS131" s="1" t="s">
        <v>121</v>
      </c>
      <c r="CT131" s="14" t="s">
        <v>614</v>
      </c>
      <c r="CU131" s="1" t="s">
        <v>123</v>
      </c>
      <c r="CV131" s="1" t="s">
        <v>124</v>
      </c>
      <c r="CW131" s="3"/>
      <c r="DG131" s="4"/>
    </row>
    <row r="132" customFormat="false" ht="11.25" hidden="false" customHeight="true" outlineLevel="0" collapsed="false">
      <c r="A132" s="14" t="n">
        <v>131</v>
      </c>
      <c r="B132" s="15" t="n">
        <v>46185.7695927662</v>
      </c>
      <c r="C132" s="15" t="n">
        <v>46185.7882617477</v>
      </c>
      <c r="D132" s="14" t="s">
        <v>1116</v>
      </c>
      <c r="E132" s="14" t="s">
        <v>1117</v>
      </c>
      <c r="F132" s="14" t="s">
        <v>1117</v>
      </c>
      <c r="G132" s="14" t="s">
        <v>1118</v>
      </c>
      <c r="H132" s="15" t="n">
        <v>46185</v>
      </c>
      <c r="I132" s="15" t="s">
        <v>244</v>
      </c>
      <c r="J132" s="14" t="s">
        <v>108</v>
      </c>
      <c r="K132" s="14" t="s">
        <v>1119</v>
      </c>
      <c r="L132" s="14" t="s">
        <v>246</v>
      </c>
      <c r="M132" s="14" t="s">
        <v>111</v>
      </c>
      <c r="N132" s="14" t="s">
        <v>112</v>
      </c>
      <c r="O132" s="14" t="s">
        <v>113</v>
      </c>
      <c r="P132" s="14" t="s">
        <v>1120</v>
      </c>
      <c r="Q132" s="14" t="s">
        <v>175</v>
      </c>
      <c r="R132" s="14"/>
      <c r="S132" s="14"/>
      <c r="T132" s="14"/>
      <c r="U132" s="14" t="s">
        <v>22</v>
      </c>
      <c r="V132" s="14"/>
      <c r="W132" s="14" t="s">
        <v>271</v>
      </c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 t="s">
        <v>646</v>
      </c>
      <c r="BL132" s="14" t="s">
        <v>1121</v>
      </c>
      <c r="BM132" s="14" t="s">
        <v>724</v>
      </c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R132" s="1" t="s">
        <v>152</v>
      </c>
      <c r="CS132" s="1" t="s">
        <v>121</v>
      </c>
      <c r="CT132" s="14" t="s">
        <v>122</v>
      </c>
      <c r="CU132" s="1" t="s">
        <v>192</v>
      </c>
      <c r="CV132" s="1" t="s">
        <v>124</v>
      </c>
      <c r="CW132" s="3"/>
      <c r="CX132" s="3" t="s">
        <v>331</v>
      </c>
      <c r="DG132" s="4"/>
    </row>
    <row r="133" customFormat="false" ht="11.25" hidden="false" customHeight="true" outlineLevel="0" collapsed="false">
      <c r="A133" s="14" t="n">
        <v>132</v>
      </c>
      <c r="B133" s="15" t="n">
        <v>46036.3806238773</v>
      </c>
      <c r="C133" s="15" t="n">
        <v>46036.397290544</v>
      </c>
      <c r="D133" s="14" t="s">
        <v>1122</v>
      </c>
      <c r="E133" s="14" t="s">
        <v>1123</v>
      </c>
      <c r="F133" s="14" t="s">
        <v>1124</v>
      </c>
      <c r="G133" s="14" t="s">
        <v>1125</v>
      </c>
      <c r="H133" s="15" t="n">
        <v>46034</v>
      </c>
      <c r="I133" s="15" t="s">
        <v>107</v>
      </c>
      <c r="J133" s="14" t="s">
        <v>108</v>
      </c>
      <c r="K133" s="14" t="s">
        <v>257</v>
      </c>
      <c r="L133" s="14" t="s">
        <v>491</v>
      </c>
      <c r="M133" s="14" t="s">
        <v>111</v>
      </c>
      <c r="N133" s="14" t="s">
        <v>112</v>
      </c>
      <c r="O133" s="14" t="s">
        <v>113</v>
      </c>
      <c r="P133" s="14" t="s">
        <v>515</v>
      </c>
      <c r="Q133" s="14" t="s">
        <v>407</v>
      </c>
      <c r="R133" s="14"/>
      <c r="S133" s="14"/>
      <c r="T133" s="14"/>
      <c r="U133" s="14" t="s">
        <v>24</v>
      </c>
      <c r="V133" s="14"/>
      <c r="W133" s="14"/>
      <c r="X133" s="14"/>
      <c r="Y133" s="14" t="s">
        <v>448</v>
      </c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 t="s">
        <v>1126</v>
      </c>
      <c r="BX133" s="14" t="s">
        <v>1127</v>
      </c>
      <c r="BY133" s="14" t="s">
        <v>1128</v>
      </c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R133" s="1" t="s">
        <v>152</v>
      </c>
      <c r="CS133" s="1" t="s">
        <v>121</v>
      </c>
      <c r="CT133" s="14" t="s">
        <v>1129</v>
      </c>
      <c r="CU133" s="1" t="s">
        <v>123</v>
      </c>
      <c r="CV133" s="1" t="s">
        <v>168</v>
      </c>
      <c r="CW133" s="3"/>
      <c r="DG133" s="4"/>
    </row>
    <row r="134" customFormat="false" ht="11.25" hidden="false" customHeight="true" outlineLevel="0" collapsed="false">
      <c r="A134" s="14" t="n">
        <v>133</v>
      </c>
      <c r="B134" s="15" t="n">
        <v>46150.2222333333</v>
      </c>
      <c r="C134" s="15" t="n">
        <v>46150.2345828704</v>
      </c>
      <c r="D134" s="14" t="s">
        <v>1130</v>
      </c>
      <c r="E134" s="14" t="s">
        <v>1131</v>
      </c>
      <c r="F134" s="14" t="s">
        <v>1131</v>
      </c>
      <c r="G134" s="14" t="s">
        <v>1132</v>
      </c>
      <c r="H134" s="15" t="n">
        <v>46141</v>
      </c>
      <c r="I134" s="15" t="s">
        <v>172</v>
      </c>
      <c r="J134" s="14" t="s">
        <v>108</v>
      </c>
      <c r="K134" s="14" t="s">
        <v>462</v>
      </c>
      <c r="L134" s="14" t="s">
        <v>346</v>
      </c>
      <c r="M134" s="14" t="s">
        <v>131</v>
      </c>
      <c r="N134" s="14" t="s">
        <v>112</v>
      </c>
      <c r="O134" s="14" t="s">
        <v>113</v>
      </c>
      <c r="P134" s="14" t="s">
        <v>774</v>
      </c>
      <c r="Q134" s="14" t="s">
        <v>200</v>
      </c>
      <c r="R134" s="14"/>
      <c r="S134" s="14"/>
      <c r="T134" s="14"/>
      <c r="U134" s="14" t="s">
        <v>24</v>
      </c>
      <c r="V134" s="14"/>
      <c r="W134" s="14"/>
      <c r="X134" s="14"/>
      <c r="Y134" s="14" t="s">
        <v>260</v>
      </c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 t="s">
        <v>1133</v>
      </c>
      <c r="CG134" s="14" t="s">
        <v>1134</v>
      </c>
      <c r="CH134" s="14" t="s">
        <v>1135</v>
      </c>
      <c r="CI134" s="14"/>
      <c r="CJ134" s="14"/>
      <c r="CK134" s="14"/>
      <c r="CL134" s="14"/>
      <c r="CR134" s="1" t="s">
        <v>152</v>
      </c>
      <c r="CS134" s="1" t="s">
        <v>121</v>
      </c>
      <c r="CT134" s="14" t="s">
        <v>562</v>
      </c>
      <c r="CU134" s="1" t="s">
        <v>192</v>
      </c>
      <c r="CV134" s="1" t="s">
        <v>124</v>
      </c>
      <c r="CW134" s="3"/>
      <c r="DG134" s="4"/>
    </row>
    <row r="135" customFormat="false" ht="11.25" hidden="false" customHeight="true" outlineLevel="0" collapsed="false">
      <c r="A135" s="14" t="n">
        <v>134</v>
      </c>
      <c r="B135" s="15" t="n">
        <v>46138.5764652546</v>
      </c>
      <c r="C135" s="15" t="n">
        <v>46138.5847407176</v>
      </c>
      <c r="D135" s="14" t="s">
        <v>1136</v>
      </c>
      <c r="E135" s="14" t="s">
        <v>1137</v>
      </c>
      <c r="F135" s="14" t="s">
        <v>1137</v>
      </c>
      <c r="G135" s="14" t="s">
        <v>1138</v>
      </c>
      <c r="H135" s="15" t="n">
        <v>46122</v>
      </c>
      <c r="I135" s="15" t="s">
        <v>107</v>
      </c>
      <c r="J135" s="14" t="s">
        <v>108</v>
      </c>
      <c r="K135" s="14" t="s">
        <v>1139</v>
      </c>
      <c r="L135" s="14" t="s">
        <v>184</v>
      </c>
      <c r="M135" s="14" t="s">
        <v>131</v>
      </c>
      <c r="N135" s="14" t="s">
        <v>145</v>
      </c>
      <c r="O135" s="14" t="s">
        <v>113</v>
      </c>
      <c r="P135" s="14" t="s">
        <v>944</v>
      </c>
      <c r="Q135" s="14" t="s">
        <v>1140</v>
      </c>
      <c r="R135" s="14"/>
      <c r="S135" s="14"/>
      <c r="T135" s="14"/>
      <c r="U135" s="14" t="s">
        <v>22</v>
      </c>
      <c r="V135" s="14"/>
      <c r="W135" s="14" t="s">
        <v>381</v>
      </c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 t="s">
        <v>842</v>
      </c>
      <c r="BR135" s="14" t="s">
        <v>464</v>
      </c>
      <c r="BS135" s="14" t="s">
        <v>465</v>
      </c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R135" s="1" t="s">
        <v>152</v>
      </c>
      <c r="CS135" s="1" t="s">
        <v>121</v>
      </c>
      <c r="CT135" s="14"/>
      <c r="CU135" s="1" t="s">
        <v>123</v>
      </c>
      <c r="CV135" s="1" t="s">
        <v>124</v>
      </c>
      <c r="CW135" s="3" t="s">
        <v>370</v>
      </c>
      <c r="DG135" s="4"/>
    </row>
    <row r="136" customFormat="false" ht="11.25" hidden="false" customHeight="true" outlineLevel="0" collapsed="false">
      <c r="A136" s="14" t="n">
        <v>135</v>
      </c>
      <c r="B136" s="15" t="n">
        <v>46210.0208937153</v>
      </c>
      <c r="C136" s="15" t="n">
        <v>46210.0233821412</v>
      </c>
      <c r="D136" s="14" t="s">
        <v>1141</v>
      </c>
      <c r="E136" s="14" t="s">
        <v>1142</v>
      </c>
      <c r="F136" s="14" t="s">
        <v>1142</v>
      </c>
      <c r="G136" s="14" t="s">
        <v>1143</v>
      </c>
      <c r="H136" s="15" t="n">
        <v>46200</v>
      </c>
      <c r="I136" s="15" t="s">
        <v>107</v>
      </c>
      <c r="J136" s="14" t="s">
        <v>128</v>
      </c>
      <c r="K136" s="14" t="s">
        <v>232</v>
      </c>
      <c r="L136" s="14" t="s">
        <v>346</v>
      </c>
      <c r="M136" s="14" t="s">
        <v>111</v>
      </c>
      <c r="N136" s="14" t="s">
        <v>112</v>
      </c>
      <c r="O136" s="14" t="s">
        <v>113</v>
      </c>
      <c r="P136" s="14" t="s">
        <v>212</v>
      </c>
      <c r="Q136" s="14" t="s">
        <v>1144</v>
      </c>
      <c r="R136" s="14"/>
      <c r="S136" s="14"/>
      <c r="T136" s="14"/>
      <c r="U136" s="14" t="s">
        <v>22</v>
      </c>
      <c r="V136" s="14"/>
      <c r="W136" s="14" t="s">
        <v>148</v>
      </c>
      <c r="X136" s="14"/>
      <c r="Y136" s="14"/>
      <c r="Z136" s="14"/>
      <c r="AA136" s="14"/>
      <c r="AB136" s="14"/>
      <c r="AC136" s="14"/>
      <c r="AD136" s="14" t="s">
        <v>1145</v>
      </c>
      <c r="AE136" s="14" t="s">
        <v>1146</v>
      </c>
      <c r="AF136" s="14" t="s">
        <v>1147</v>
      </c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R136" s="1" t="s">
        <v>152</v>
      </c>
      <c r="CS136" s="1" t="s">
        <v>264</v>
      </c>
      <c r="CT136" s="14"/>
      <c r="CU136" s="1" t="s">
        <v>192</v>
      </c>
      <c r="CV136" s="1" t="s">
        <v>124</v>
      </c>
      <c r="CW136" s="3"/>
      <c r="DG136" s="4"/>
    </row>
    <row r="137" customFormat="false" ht="11.25" hidden="false" customHeight="true" outlineLevel="0" collapsed="false">
      <c r="A137" s="14" t="n">
        <v>136</v>
      </c>
      <c r="B137" s="15" t="n">
        <v>46183.8508114699</v>
      </c>
      <c r="C137" s="15" t="n">
        <v>46183.8715637847</v>
      </c>
      <c r="D137" s="14" t="s">
        <v>1148</v>
      </c>
      <c r="E137" s="14" t="s">
        <v>1149</v>
      </c>
      <c r="F137" s="14" t="s">
        <v>1149</v>
      </c>
      <c r="G137" s="14" t="s">
        <v>1150</v>
      </c>
      <c r="H137" s="15" t="n">
        <v>46170</v>
      </c>
      <c r="I137" s="15" t="s">
        <v>278</v>
      </c>
      <c r="J137" s="14" t="s">
        <v>295</v>
      </c>
      <c r="K137" s="14" t="s">
        <v>196</v>
      </c>
      <c r="L137" s="14" t="s">
        <v>389</v>
      </c>
      <c r="M137" s="14" t="s">
        <v>111</v>
      </c>
      <c r="N137" s="14" t="s">
        <v>112</v>
      </c>
      <c r="O137" s="14" t="s">
        <v>132</v>
      </c>
      <c r="P137" s="14" t="s">
        <v>1151</v>
      </c>
      <c r="Q137" s="14" t="s">
        <v>758</v>
      </c>
      <c r="R137" s="14"/>
      <c r="S137" s="14"/>
      <c r="T137" s="14"/>
      <c r="U137" s="14" t="s">
        <v>21</v>
      </c>
      <c r="V137" s="14" t="s">
        <v>457</v>
      </c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 t="s">
        <v>1152</v>
      </c>
      <c r="AN137" s="14" t="s">
        <v>745</v>
      </c>
      <c r="AO137" s="14" t="s">
        <v>252</v>
      </c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R137" s="1" t="s">
        <v>152</v>
      </c>
      <c r="CS137" s="1" t="s">
        <v>228</v>
      </c>
      <c r="CT137" s="14"/>
      <c r="CU137" s="1" t="s">
        <v>167</v>
      </c>
      <c r="CV137" s="1" t="s">
        <v>124</v>
      </c>
      <c r="CW137" s="3"/>
      <c r="DG137" s="4"/>
    </row>
    <row r="138" customFormat="false" ht="11.25" hidden="false" customHeight="true" outlineLevel="0" collapsed="false">
      <c r="A138" s="14" t="n">
        <v>137</v>
      </c>
      <c r="B138" s="15" t="n">
        <v>46139.1161653704</v>
      </c>
      <c r="C138" s="15" t="n">
        <v>46139.1195797222</v>
      </c>
      <c r="D138" s="14" t="s">
        <v>1153</v>
      </c>
      <c r="E138" s="14" t="s">
        <v>1154</v>
      </c>
      <c r="F138" s="14" t="s">
        <v>1154</v>
      </c>
      <c r="G138" s="14" t="s">
        <v>1155</v>
      </c>
      <c r="H138" s="15" t="n">
        <v>46124</v>
      </c>
      <c r="I138" s="15" t="s">
        <v>157</v>
      </c>
      <c r="J138" s="14" t="s">
        <v>108</v>
      </c>
      <c r="K138" s="14" t="s">
        <v>364</v>
      </c>
      <c r="L138" s="14" t="s">
        <v>268</v>
      </c>
      <c r="M138" s="14" t="s">
        <v>111</v>
      </c>
      <c r="N138" s="14" t="s">
        <v>112</v>
      </c>
      <c r="O138" s="14" t="s">
        <v>113</v>
      </c>
      <c r="P138" s="14" t="s">
        <v>594</v>
      </c>
      <c r="Q138" s="14" t="s">
        <v>1156</v>
      </c>
      <c r="R138" s="14"/>
      <c r="S138" s="14"/>
      <c r="T138" s="14" t="s">
        <v>880</v>
      </c>
      <c r="U138" s="14" t="s">
        <v>24</v>
      </c>
      <c r="V138" s="14"/>
      <c r="W138" s="14"/>
      <c r="X138" s="14"/>
      <c r="Y138" s="14" t="s">
        <v>19</v>
      </c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R138" s="1" t="s">
        <v>152</v>
      </c>
      <c r="CS138" s="1" t="s">
        <v>121</v>
      </c>
      <c r="CT138" s="14"/>
      <c r="CU138" s="1" t="s">
        <v>167</v>
      </c>
      <c r="CV138" s="1" t="s">
        <v>124</v>
      </c>
      <c r="CW138" s="3"/>
      <c r="DG138" s="4"/>
    </row>
    <row r="139" customFormat="false" ht="11.25" hidden="false" customHeight="true" outlineLevel="0" collapsed="false">
      <c r="A139" s="14" t="n">
        <v>138</v>
      </c>
      <c r="B139" s="15" t="n">
        <v>46181.8479156482</v>
      </c>
      <c r="C139" s="15" t="n">
        <v>46181.8605776852</v>
      </c>
      <c r="D139" s="14" t="s">
        <v>1157</v>
      </c>
      <c r="E139" s="14" t="s">
        <v>1158</v>
      </c>
      <c r="F139" s="14" t="s">
        <v>1158</v>
      </c>
      <c r="G139" s="14" t="s">
        <v>1159</v>
      </c>
      <c r="H139" s="15" t="n">
        <v>46164</v>
      </c>
      <c r="I139" s="15" t="s">
        <v>172</v>
      </c>
      <c r="J139" s="14" t="s">
        <v>108</v>
      </c>
      <c r="K139" s="14" t="s">
        <v>364</v>
      </c>
      <c r="L139" s="14" t="s">
        <v>246</v>
      </c>
      <c r="M139" s="14" t="s">
        <v>131</v>
      </c>
      <c r="N139" s="14" t="s">
        <v>145</v>
      </c>
      <c r="O139" s="14" t="s">
        <v>113</v>
      </c>
      <c r="P139" s="14" t="s">
        <v>144</v>
      </c>
      <c r="Q139" s="14" t="s">
        <v>1160</v>
      </c>
      <c r="R139" s="14"/>
      <c r="S139" s="14"/>
      <c r="T139" s="14"/>
      <c r="U139" s="14" t="s">
        <v>22</v>
      </c>
      <c r="V139" s="14"/>
      <c r="W139" s="14" t="s">
        <v>135</v>
      </c>
      <c r="X139" s="14"/>
      <c r="Y139" s="14"/>
      <c r="Z139" s="14"/>
      <c r="AA139" s="14" t="s">
        <v>1161</v>
      </c>
      <c r="AB139" s="14" t="s">
        <v>1162</v>
      </c>
      <c r="AC139" s="14" t="s">
        <v>252</v>
      </c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R139" s="1" t="s">
        <v>152</v>
      </c>
      <c r="CS139" s="1" t="s">
        <v>121</v>
      </c>
      <c r="CT139" s="14" t="s">
        <v>122</v>
      </c>
      <c r="CU139" s="1" t="s">
        <v>123</v>
      </c>
      <c r="CV139" s="1" t="s">
        <v>168</v>
      </c>
      <c r="CW139" s="3"/>
      <c r="DG139" s="4"/>
    </row>
    <row r="140" customFormat="false" ht="11.25" hidden="false" customHeight="true" outlineLevel="0" collapsed="false">
      <c r="A140" s="14" t="n">
        <v>139</v>
      </c>
      <c r="B140" s="15" t="n">
        <v>46055.4180430208</v>
      </c>
      <c r="C140" s="15" t="n">
        <v>46055.4381356134</v>
      </c>
      <c r="D140" s="14" t="s">
        <v>1163</v>
      </c>
      <c r="E140" s="14" t="s">
        <v>1164</v>
      </c>
      <c r="F140" s="14" t="s">
        <v>1164</v>
      </c>
      <c r="G140" s="14" t="s">
        <v>1165</v>
      </c>
      <c r="H140" s="15" t="n">
        <v>46052</v>
      </c>
      <c r="I140" s="15" t="s">
        <v>244</v>
      </c>
      <c r="J140" s="14" t="s">
        <v>108</v>
      </c>
      <c r="K140" s="14" t="s">
        <v>1166</v>
      </c>
      <c r="L140" s="14" t="s">
        <v>144</v>
      </c>
      <c r="M140" s="14" t="s">
        <v>111</v>
      </c>
      <c r="N140" s="14" t="s">
        <v>112</v>
      </c>
      <c r="O140" s="14" t="s">
        <v>113</v>
      </c>
      <c r="P140" s="14" t="s">
        <v>185</v>
      </c>
      <c r="Q140" s="14" t="s">
        <v>1028</v>
      </c>
      <c r="R140" s="14"/>
      <c r="S140" s="14"/>
      <c r="T140" s="14"/>
      <c r="U140" s="14" t="s">
        <v>22</v>
      </c>
      <c r="V140" s="14"/>
      <c r="W140" s="14" t="s">
        <v>116</v>
      </c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 t="s">
        <v>1167</v>
      </c>
      <c r="BU140" s="14" t="s">
        <v>329</v>
      </c>
      <c r="BV140" s="14" t="s">
        <v>1168</v>
      </c>
      <c r="BW140" s="14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R140" s="1" t="s">
        <v>152</v>
      </c>
      <c r="CS140" s="1" t="s">
        <v>180</v>
      </c>
      <c r="CT140" s="14" t="s">
        <v>122</v>
      </c>
      <c r="CU140" s="1" t="s">
        <v>192</v>
      </c>
      <c r="CV140" s="1" t="s">
        <v>168</v>
      </c>
      <c r="CW140" s="3"/>
      <c r="DG140" s="4"/>
    </row>
    <row r="141" customFormat="false" ht="11.25" hidden="false" customHeight="true" outlineLevel="0" collapsed="false">
      <c r="A141" s="14" t="n">
        <v>140</v>
      </c>
      <c r="B141" s="15" t="n">
        <v>46199.6184828935</v>
      </c>
      <c r="C141" s="15" t="n">
        <v>46199.6226842824</v>
      </c>
      <c r="D141" s="14" t="s">
        <v>1169</v>
      </c>
      <c r="E141" s="14" t="s">
        <v>1170</v>
      </c>
      <c r="F141" s="14" t="s">
        <v>1170</v>
      </c>
      <c r="G141" s="14" t="s">
        <v>1171</v>
      </c>
      <c r="H141" s="15" t="n">
        <v>46194</v>
      </c>
      <c r="I141" s="15" t="s">
        <v>107</v>
      </c>
      <c r="J141" s="14" t="s">
        <v>108</v>
      </c>
      <c r="K141" s="14" t="s">
        <v>173</v>
      </c>
      <c r="L141" s="14" t="s">
        <v>268</v>
      </c>
      <c r="M141" s="14" t="s">
        <v>111</v>
      </c>
      <c r="N141" s="14" t="s">
        <v>112</v>
      </c>
      <c r="O141" s="14" t="s">
        <v>132</v>
      </c>
      <c r="P141" s="14" t="s">
        <v>484</v>
      </c>
      <c r="Q141" s="14" t="s">
        <v>337</v>
      </c>
      <c r="R141" s="14"/>
      <c r="S141" s="14"/>
      <c r="T141" s="14"/>
      <c r="U141" s="14" t="s">
        <v>22</v>
      </c>
      <c r="V141" s="14"/>
      <c r="W141" s="14" t="s">
        <v>339</v>
      </c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 t="s">
        <v>1172</v>
      </c>
      <c r="BO141" s="14" t="s">
        <v>1173</v>
      </c>
      <c r="BP141" s="14" t="s">
        <v>252</v>
      </c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R141" s="1" t="s">
        <v>152</v>
      </c>
      <c r="CS141" s="1" t="s">
        <v>121</v>
      </c>
      <c r="CT141" s="14" t="s">
        <v>1174</v>
      </c>
      <c r="CU141" s="1" t="s">
        <v>192</v>
      </c>
      <c r="CV141" s="1" t="s">
        <v>124</v>
      </c>
      <c r="CW141" s="3" t="s">
        <v>1175</v>
      </c>
      <c r="DG141" s="4"/>
    </row>
    <row r="142" customFormat="false" ht="11.25" hidden="false" customHeight="true" outlineLevel="0" collapsed="false">
      <c r="A142" s="14" t="n">
        <v>141</v>
      </c>
      <c r="B142" s="15" t="n">
        <v>46137.5845148727</v>
      </c>
      <c r="C142" s="15" t="n">
        <v>46137.6010773727</v>
      </c>
      <c r="D142" s="14" t="s">
        <v>1176</v>
      </c>
      <c r="E142" s="14" t="s">
        <v>1177</v>
      </c>
      <c r="F142" s="14" t="s">
        <v>1177</v>
      </c>
      <c r="G142" s="14" t="s">
        <v>1178</v>
      </c>
      <c r="H142" s="15" t="n">
        <v>46131</v>
      </c>
      <c r="I142" s="15" t="s">
        <v>157</v>
      </c>
      <c r="J142" s="14" t="s">
        <v>128</v>
      </c>
      <c r="K142" s="14" t="s">
        <v>143</v>
      </c>
      <c r="L142" s="14" t="s">
        <v>197</v>
      </c>
      <c r="M142" s="14" t="s">
        <v>111</v>
      </c>
      <c r="N142" s="14" t="s">
        <v>112</v>
      </c>
      <c r="O142" s="14" t="s">
        <v>113</v>
      </c>
      <c r="P142" s="14" t="s">
        <v>515</v>
      </c>
      <c r="Q142" s="14" t="s">
        <v>939</v>
      </c>
      <c r="R142" s="14"/>
      <c r="S142" s="14"/>
      <c r="T142" s="14"/>
      <c r="U142" s="14" t="s">
        <v>22</v>
      </c>
      <c r="V142" s="14"/>
      <c r="W142" s="14" t="s">
        <v>271</v>
      </c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 t="s">
        <v>1179</v>
      </c>
      <c r="BL142" s="14" t="s">
        <v>1180</v>
      </c>
      <c r="BM142" s="14" t="s">
        <v>1181</v>
      </c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R142" s="1" t="s">
        <v>120</v>
      </c>
      <c r="CS142" s="1" t="s">
        <v>121</v>
      </c>
      <c r="CT142" s="14"/>
      <c r="CU142" s="1" t="s">
        <v>192</v>
      </c>
      <c r="CV142" s="1" t="s">
        <v>139</v>
      </c>
      <c r="CW142" s="3"/>
      <c r="DG142" s="4"/>
    </row>
    <row r="143" customFormat="false" ht="11.25" hidden="false" customHeight="true" outlineLevel="0" collapsed="false">
      <c r="A143" s="14" t="n">
        <v>142</v>
      </c>
      <c r="B143" s="15" t="n">
        <v>46147.9672672338</v>
      </c>
      <c r="C143" s="15" t="n">
        <v>46147.9824639931</v>
      </c>
      <c r="D143" s="14" t="s">
        <v>1182</v>
      </c>
      <c r="E143" s="14" t="s">
        <v>1183</v>
      </c>
      <c r="F143" s="14" t="s">
        <v>1183</v>
      </c>
      <c r="G143" s="14" t="s">
        <v>1184</v>
      </c>
      <c r="H143" s="15" t="n">
        <v>46139</v>
      </c>
      <c r="I143" s="15" t="s">
        <v>107</v>
      </c>
      <c r="J143" s="14" t="s">
        <v>128</v>
      </c>
      <c r="K143" s="14" t="s">
        <v>245</v>
      </c>
      <c r="L143" s="14" t="s">
        <v>246</v>
      </c>
      <c r="M143" s="14" t="s">
        <v>111</v>
      </c>
      <c r="N143" s="14" t="s">
        <v>112</v>
      </c>
      <c r="O143" s="14" t="s">
        <v>113</v>
      </c>
      <c r="P143" s="14" t="s">
        <v>365</v>
      </c>
      <c r="Q143" s="14" t="s">
        <v>115</v>
      </c>
      <c r="R143" s="14"/>
      <c r="S143" s="14"/>
      <c r="T143" s="14"/>
      <c r="U143" s="14" t="s">
        <v>22</v>
      </c>
      <c r="V143" s="14"/>
      <c r="W143" s="14" t="s">
        <v>148</v>
      </c>
      <c r="X143" s="14"/>
      <c r="Y143" s="14"/>
      <c r="Z143" s="14"/>
      <c r="AA143" s="14"/>
      <c r="AB143" s="14"/>
      <c r="AC143" s="14"/>
      <c r="AD143" s="14" t="s">
        <v>1185</v>
      </c>
      <c r="AE143" s="14" t="s">
        <v>1186</v>
      </c>
      <c r="AF143" s="14" t="s">
        <v>1187</v>
      </c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R143" s="1" t="s">
        <v>227</v>
      </c>
      <c r="CS143" s="1" t="s">
        <v>121</v>
      </c>
      <c r="CT143" s="14" t="s">
        <v>122</v>
      </c>
      <c r="CU143" s="1" t="s">
        <v>123</v>
      </c>
      <c r="CV143" s="1" t="s">
        <v>124</v>
      </c>
      <c r="CW143" s="3"/>
      <c r="CY143" s="3" t="s">
        <v>205</v>
      </c>
      <c r="DG143" s="4"/>
    </row>
    <row r="144" customFormat="false" ht="11.25" hidden="false" customHeight="true" outlineLevel="0" collapsed="false">
      <c r="A144" s="14" t="n">
        <v>143</v>
      </c>
      <c r="B144" s="15" t="n">
        <v>46077.5784561227</v>
      </c>
      <c r="C144" s="15" t="n">
        <v>46077.5958866782</v>
      </c>
      <c r="D144" s="14" t="s">
        <v>1188</v>
      </c>
      <c r="E144" s="14" t="s">
        <v>1189</v>
      </c>
      <c r="F144" s="14" t="s">
        <v>1189</v>
      </c>
      <c r="G144" s="14" t="s">
        <v>1190</v>
      </c>
      <c r="H144" s="15" t="n">
        <v>46067</v>
      </c>
      <c r="I144" s="15" t="s">
        <v>172</v>
      </c>
      <c r="J144" s="14" t="s">
        <v>108</v>
      </c>
      <c r="K144" s="14" t="s">
        <v>232</v>
      </c>
      <c r="L144" s="14" t="s">
        <v>184</v>
      </c>
      <c r="M144" s="14" t="s">
        <v>111</v>
      </c>
      <c r="N144" s="14" t="s">
        <v>112</v>
      </c>
      <c r="O144" s="14" t="s">
        <v>325</v>
      </c>
      <c r="P144" s="14" t="s">
        <v>612</v>
      </c>
      <c r="Q144" s="14" t="s">
        <v>1006</v>
      </c>
      <c r="R144" s="14"/>
      <c r="S144" s="14"/>
      <c r="T144" s="14"/>
      <c r="U144" s="14" t="s">
        <v>22</v>
      </c>
      <c r="V144" s="14"/>
      <c r="W144" s="14" t="s">
        <v>298</v>
      </c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 t="s">
        <v>1191</v>
      </c>
      <c r="AW144" s="14" t="s">
        <v>537</v>
      </c>
      <c r="AX144" s="14" t="s">
        <v>1192</v>
      </c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R144" s="1" t="s">
        <v>120</v>
      </c>
      <c r="CS144" s="1" t="s">
        <v>228</v>
      </c>
      <c r="CT144" s="14"/>
      <c r="CU144" s="1" t="s">
        <v>192</v>
      </c>
      <c r="CV144" s="1" t="s">
        <v>168</v>
      </c>
      <c r="CW144" s="3"/>
      <c r="DG144" s="4"/>
    </row>
    <row r="145" customFormat="false" ht="11.25" hidden="false" customHeight="true" outlineLevel="0" collapsed="false">
      <c r="A145" s="14" t="n">
        <v>144</v>
      </c>
      <c r="B145" s="15" t="n">
        <v>46108.36089125</v>
      </c>
      <c r="C145" s="15" t="n">
        <v>46108.3769329167</v>
      </c>
      <c r="D145" s="14" t="s">
        <v>1193</v>
      </c>
      <c r="E145" s="14" t="s">
        <v>1194</v>
      </c>
      <c r="F145" s="14" t="s">
        <v>1194</v>
      </c>
      <c r="G145" s="14" t="s">
        <v>1195</v>
      </c>
      <c r="H145" s="15" t="n">
        <v>46105</v>
      </c>
      <c r="I145" s="15" t="s">
        <v>107</v>
      </c>
      <c r="J145" s="14" t="s">
        <v>108</v>
      </c>
      <c r="K145" s="14" t="s">
        <v>196</v>
      </c>
      <c r="L145" s="14" t="s">
        <v>246</v>
      </c>
      <c r="M145" s="14" t="s">
        <v>111</v>
      </c>
      <c r="N145" s="14" t="s">
        <v>112</v>
      </c>
      <c r="O145" s="14" t="s">
        <v>113</v>
      </c>
      <c r="P145" s="14" t="s">
        <v>492</v>
      </c>
      <c r="Q145" s="14" t="s">
        <v>227</v>
      </c>
      <c r="R145" s="14"/>
      <c r="S145" s="14"/>
      <c r="T145" s="14"/>
      <c r="U145" s="14" t="s">
        <v>22</v>
      </c>
      <c r="V145" s="14"/>
      <c r="W145" s="14" t="s">
        <v>381</v>
      </c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 t="s">
        <v>1196</v>
      </c>
      <c r="BR145" s="14" t="s">
        <v>804</v>
      </c>
      <c r="BS145" s="14" t="s">
        <v>1197</v>
      </c>
      <c r="BT145" s="14"/>
      <c r="BU145" s="14"/>
      <c r="BV145" s="14"/>
      <c r="BW145" s="14"/>
      <c r="BX145" s="14"/>
      <c r="BY145" s="14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R145" s="1" t="s">
        <v>152</v>
      </c>
      <c r="CS145" s="1" t="s">
        <v>121</v>
      </c>
      <c r="CT145" s="16" t="s">
        <v>969</v>
      </c>
      <c r="CU145" s="1" t="s">
        <v>192</v>
      </c>
      <c r="CV145" s="1" t="s">
        <v>124</v>
      </c>
      <c r="CW145" s="3"/>
      <c r="CY145" s="3" t="s">
        <v>205</v>
      </c>
      <c r="DG145" s="4"/>
    </row>
    <row r="146" customFormat="false" ht="11.25" hidden="false" customHeight="true" outlineLevel="0" collapsed="false">
      <c r="A146" s="14" t="n">
        <v>145</v>
      </c>
      <c r="B146" s="15" t="n">
        <v>46076.0473062153</v>
      </c>
      <c r="C146" s="15" t="n">
        <v>46076.0652460301</v>
      </c>
      <c r="D146" s="14" t="s">
        <v>1198</v>
      </c>
      <c r="E146" s="14" t="s">
        <v>1199</v>
      </c>
      <c r="F146" s="14" t="s">
        <v>1199</v>
      </c>
      <c r="G146" s="14" t="s">
        <v>1200</v>
      </c>
      <c r="H146" s="15" t="n">
        <v>46076</v>
      </c>
      <c r="I146" s="15" t="s">
        <v>107</v>
      </c>
      <c r="J146" s="14" t="s">
        <v>108</v>
      </c>
      <c r="K146" s="14" t="s">
        <v>257</v>
      </c>
      <c r="L146" s="14" t="s">
        <v>491</v>
      </c>
      <c r="M146" s="14" t="s">
        <v>111</v>
      </c>
      <c r="N146" s="14" t="s">
        <v>112</v>
      </c>
      <c r="O146" s="14" t="s">
        <v>113</v>
      </c>
      <c r="P146" s="14" t="s">
        <v>286</v>
      </c>
      <c r="Q146" s="14" t="s">
        <v>357</v>
      </c>
      <c r="R146" s="14"/>
      <c r="S146" s="14"/>
      <c r="T146" s="14"/>
      <c r="U146" s="14" t="s">
        <v>22</v>
      </c>
      <c r="V146" s="14"/>
      <c r="W146" s="14" t="s">
        <v>271</v>
      </c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 t="s">
        <v>1201</v>
      </c>
      <c r="BL146" s="14" t="s">
        <v>1069</v>
      </c>
      <c r="BM146" s="14" t="s">
        <v>1181</v>
      </c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R146" s="1" t="s">
        <v>152</v>
      </c>
      <c r="CS146" s="1" t="s">
        <v>121</v>
      </c>
      <c r="CT146" s="14" t="s">
        <v>122</v>
      </c>
      <c r="CU146" s="1" t="s">
        <v>123</v>
      </c>
      <c r="CV146" s="1" t="s">
        <v>124</v>
      </c>
      <c r="CW146" s="3"/>
      <c r="DG146" s="4"/>
    </row>
    <row r="147" customFormat="false" ht="11.25" hidden="false" customHeight="true" outlineLevel="0" collapsed="false">
      <c r="A147" s="14" t="n">
        <v>146</v>
      </c>
      <c r="B147" s="15" t="n">
        <v>46159.2597595023</v>
      </c>
      <c r="C147" s="15" t="n">
        <v>46159.270176169</v>
      </c>
      <c r="D147" s="14" t="s">
        <v>1202</v>
      </c>
      <c r="E147" s="14" t="s">
        <v>1203</v>
      </c>
      <c r="F147" s="14" t="s">
        <v>1204</v>
      </c>
      <c r="G147" s="14" t="s">
        <v>1205</v>
      </c>
      <c r="H147" s="15" t="n">
        <v>46155</v>
      </c>
      <c r="I147" s="15" t="s">
        <v>172</v>
      </c>
      <c r="J147" s="14" t="s">
        <v>108</v>
      </c>
      <c r="K147" s="14" t="s">
        <v>364</v>
      </c>
      <c r="L147" s="14" t="s">
        <v>233</v>
      </c>
      <c r="M147" s="14" t="s">
        <v>111</v>
      </c>
      <c r="N147" s="14" t="s">
        <v>112</v>
      </c>
      <c r="O147" s="14" t="s">
        <v>113</v>
      </c>
      <c r="P147" s="14" t="s">
        <v>774</v>
      </c>
      <c r="Q147" s="14" t="s">
        <v>347</v>
      </c>
      <c r="R147" s="14"/>
      <c r="S147" s="14"/>
      <c r="T147" s="14"/>
      <c r="U147" s="14" t="s">
        <v>24</v>
      </c>
      <c r="V147" s="14"/>
      <c r="W147" s="14"/>
      <c r="X147" s="14"/>
      <c r="Y147" s="14" t="s">
        <v>260</v>
      </c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 t="s">
        <v>1206</v>
      </c>
      <c r="CG147" s="14" t="s">
        <v>262</v>
      </c>
      <c r="CH147" s="14" t="s">
        <v>1207</v>
      </c>
      <c r="CI147" s="14"/>
      <c r="CJ147" s="14"/>
      <c r="CK147" s="14"/>
      <c r="CL147" s="14"/>
      <c r="CR147" s="1" t="s">
        <v>120</v>
      </c>
      <c r="CS147" s="1" t="s">
        <v>121</v>
      </c>
      <c r="CT147" s="14"/>
      <c r="CU147" s="1" t="s">
        <v>192</v>
      </c>
      <c r="CV147" s="1" t="s">
        <v>139</v>
      </c>
      <c r="CW147" s="3"/>
      <c r="DG147" s="4"/>
    </row>
    <row r="148" customFormat="false" ht="11.25" hidden="false" customHeight="true" outlineLevel="0" collapsed="false">
      <c r="A148" s="14" t="n">
        <v>147</v>
      </c>
      <c r="B148" s="15" t="n">
        <v>46199.6015208681</v>
      </c>
      <c r="C148" s="15" t="n">
        <v>46199.619009294</v>
      </c>
      <c r="D148" s="14" t="s">
        <v>1208</v>
      </c>
      <c r="E148" s="14" t="s">
        <v>1209</v>
      </c>
      <c r="F148" s="14" t="s">
        <v>1209</v>
      </c>
      <c r="G148" s="14" t="s">
        <v>1210</v>
      </c>
      <c r="H148" s="15" t="n">
        <v>46181</v>
      </c>
      <c r="I148" s="15" t="s">
        <v>244</v>
      </c>
      <c r="J148" s="14" t="s">
        <v>108</v>
      </c>
      <c r="K148" s="14" t="s">
        <v>232</v>
      </c>
      <c r="L148" s="14" t="s">
        <v>491</v>
      </c>
      <c r="M148" s="14" t="s">
        <v>111</v>
      </c>
      <c r="N148" s="14" t="s">
        <v>112</v>
      </c>
      <c r="O148" s="14" t="s">
        <v>325</v>
      </c>
      <c r="P148" s="14" t="s">
        <v>130</v>
      </c>
      <c r="Q148" s="14" t="s">
        <v>560</v>
      </c>
      <c r="R148" s="14"/>
      <c r="S148" s="14"/>
      <c r="T148" s="14"/>
      <c r="U148" s="14" t="s">
        <v>22</v>
      </c>
      <c r="V148" s="14"/>
      <c r="W148" s="14" t="s">
        <v>715</v>
      </c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 t="s">
        <v>1211</v>
      </c>
      <c r="BI148" s="14" t="s">
        <v>1212</v>
      </c>
      <c r="BJ148" s="14" t="s">
        <v>993</v>
      </c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R148" s="1" t="s">
        <v>152</v>
      </c>
      <c r="CS148" s="1" t="s">
        <v>121</v>
      </c>
      <c r="CT148" s="14"/>
      <c r="CU148" s="1" t="s">
        <v>123</v>
      </c>
      <c r="CV148" s="1" t="s">
        <v>124</v>
      </c>
      <c r="CW148" s="3"/>
      <c r="DG148" s="4"/>
    </row>
    <row r="149" customFormat="false" ht="11.25" hidden="false" customHeight="true" outlineLevel="0" collapsed="false">
      <c r="A149" s="14" t="n">
        <v>148</v>
      </c>
      <c r="B149" s="15" t="n">
        <v>46064.0824913773</v>
      </c>
      <c r="C149" s="15" t="n">
        <v>46064.0924798032</v>
      </c>
      <c r="D149" s="14" t="s">
        <v>1213</v>
      </c>
      <c r="E149" s="14" t="s">
        <v>1214</v>
      </c>
      <c r="F149" s="14" t="s">
        <v>1214</v>
      </c>
      <c r="G149" s="14" t="s">
        <v>1215</v>
      </c>
      <c r="H149" s="15" t="n">
        <v>46050</v>
      </c>
      <c r="I149" s="15" t="s">
        <v>172</v>
      </c>
      <c r="J149" s="14" t="s">
        <v>108</v>
      </c>
      <c r="K149" s="14" t="s">
        <v>1216</v>
      </c>
      <c r="L149" s="14" t="s">
        <v>184</v>
      </c>
      <c r="M149" s="14" t="s">
        <v>111</v>
      </c>
      <c r="N149" s="14" t="s">
        <v>247</v>
      </c>
      <c r="O149" s="14" t="s">
        <v>325</v>
      </c>
      <c r="P149" s="14" t="s">
        <v>1120</v>
      </c>
      <c r="Q149" s="14" t="s">
        <v>1078</v>
      </c>
      <c r="R149" s="14"/>
      <c r="S149" s="14"/>
      <c r="T149" s="14"/>
      <c r="U149" s="14" t="s">
        <v>22</v>
      </c>
      <c r="V149" s="14"/>
      <c r="W149" s="14" t="s">
        <v>148</v>
      </c>
      <c r="X149" s="14"/>
      <c r="Y149" s="14"/>
      <c r="Z149" s="14"/>
      <c r="AA149" s="14"/>
      <c r="AB149" s="14"/>
      <c r="AC149" s="14"/>
      <c r="AD149" s="14" t="s">
        <v>1217</v>
      </c>
      <c r="AE149" s="14" t="s">
        <v>1218</v>
      </c>
      <c r="AF149" s="14" t="s">
        <v>1219</v>
      </c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R149" s="1" t="s">
        <v>152</v>
      </c>
      <c r="CS149" s="1" t="s">
        <v>814</v>
      </c>
      <c r="CT149" s="14" t="s">
        <v>122</v>
      </c>
      <c r="CU149" s="1" t="s">
        <v>123</v>
      </c>
      <c r="CV149" s="1" t="s">
        <v>139</v>
      </c>
      <c r="CW149" s="3"/>
      <c r="DG149" s="4"/>
    </row>
    <row r="150" customFormat="false" ht="11.25" hidden="false" customHeight="true" outlineLevel="0" collapsed="false">
      <c r="A150" s="14" t="n">
        <v>149</v>
      </c>
      <c r="B150" s="15" t="n">
        <v>46159.4957708449</v>
      </c>
      <c r="C150" s="15" t="n">
        <v>46159.507657419</v>
      </c>
      <c r="D150" s="14" t="s">
        <v>1220</v>
      </c>
      <c r="E150" s="14" t="s">
        <v>1221</v>
      </c>
      <c r="F150" s="14" t="s">
        <v>1222</v>
      </c>
      <c r="G150" s="14" t="s">
        <v>1223</v>
      </c>
      <c r="H150" s="15" t="n">
        <v>46143</v>
      </c>
      <c r="I150" s="15" t="s">
        <v>157</v>
      </c>
      <c r="J150" s="14" t="s">
        <v>108</v>
      </c>
      <c r="K150" s="14" t="s">
        <v>257</v>
      </c>
      <c r="L150" s="14" t="s">
        <v>389</v>
      </c>
      <c r="M150" s="14" t="s">
        <v>111</v>
      </c>
      <c r="N150" s="14" t="s">
        <v>145</v>
      </c>
      <c r="O150" s="14" t="s">
        <v>863</v>
      </c>
      <c r="P150" s="14" t="s">
        <v>757</v>
      </c>
      <c r="Q150" s="14" t="s">
        <v>1224</v>
      </c>
      <c r="R150" s="14"/>
      <c r="S150" s="14"/>
      <c r="T150" s="14"/>
      <c r="U150" s="14" t="s">
        <v>22</v>
      </c>
      <c r="V150" s="14"/>
      <c r="W150" s="14" t="s">
        <v>116</v>
      </c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  <c r="BT150" s="14" t="s">
        <v>117</v>
      </c>
      <c r="BU150" s="14" t="s">
        <v>680</v>
      </c>
      <c r="BV150" s="14" t="s">
        <v>1225</v>
      </c>
      <c r="BW150" s="14"/>
      <c r="BX150" s="14"/>
      <c r="BY150" s="14"/>
      <c r="BZ150" s="14"/>
      <c r="CA150" s="14"/>
      <c r="CB150" s="14"/>
      <c r="CC150" s="14"/>
      <c r="CD150" s="14"/>
      <c r="CE150" s="14"/>
      <c r="CF150" s="14"/>
      <c r="CG150" s="14"/>
      <c r="CH150" s="14"/>
      <c r="CI150" s="14"/>
      <c r="CJ150" s="14"/>
      <c r="CK150" s="14"/>
      <c r="CL150" s="14"/>
      <c r="CR150" s="1" t="s">
        <v>152</v>
      </c>
      <c r="CS150" s="1" t="s">
        <v>352</v>
      </c>
      <c r="CT150" s="14"/>
      <c r="CU150" s="1" t="s">
        <v>123</v>
      </c>
      <c r="CV150" s="1" t="s">
        <v>124</v>
      </c>
      <c r="CW150" s="3"/>
      <c r="DG150" s="4"/>
    </row>
    <row r="151" customFormat="false" ht="11.25" hidden="false" customHeight="true" outlineLevel="0" collapsed="false">
      <c r="A151" s="14" t="n">
        <v>150</v>
      </c>
      <c r="B151" s="15" t="n">
        <v>46142.9519154398</v>
      </c>
      <c r="C151" s="15" t="n">
        <v>46142.9614524769</v>
      </c>
      <c r="D151" s="14" t="s">
        <v>1226</v>
      </c>
      <c r="E151" s="14" t="s">
        <v>1227</v>
      </c>
      <c r="F151" s="14" t="s">
        <v>1227</v>
      </c>
      <c r="G151" s="14" t="s">
        <v>1228</v>
      </c>
      <c r="H151" s="15" t="n">
        <v>46142</v>
      </c>
      <c r="I151" s="15" t="s">
        <v>244</v>
      </c>
      <c r="J151" s="14" t="s">
        <v>108</v>
      </c>
      <c r="K151" s="14" t="s">
        <v>232</v>
      </c>
      <c r="L151" s="14" t="s">
        <v>246</v>
      </c>
      <c r="M151" s="14" t="s">
        <v>111</v>
      </c>
      <c r="N151" s="14" t="s">
        <v>145</v>
      </c>
      <c r="O151" s="14" t="s">
        <v>113</v>
      </c>
      <c r="P151" s="14" t="s">
        <v>447</v>
      </c>
      <c r="Q151" s="14" t="s">
        <v>1229</v>
      </c>
      <c r="R151" s="14"/>
      <c r="S151" s="14"/>
      <c r="T151" s="14"/>
      <c r="U151" s="14" t="s">
        <v>22</v>
      </c>
      <c r="V151" s="14"/>
      <c r="W151" s="14" t="s">
        <v>176</v>
      </c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 t="s">
        <v>1230</v>
      </c>
      <c r="AZ151" s="14" t="s">
        <v>1231</v>
      </c>
      <c r="BA151" s="14" t="s">
        <v>1232</v>
      </c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4"/>
      <c r="CG151" s="14"/>
      <c r="CH151" s="14"/>
      <c r="CI151" s="14"/>
      <c r="CJ151" s="14"/>
      <c r="CK151" s="14"/>
      <c r="CL151" s="14"/>
      <c r="CR151" s="1" t="s">
        <v>152</v>
      </c>
      <c r="CS151" s="1" t="s">
        <v>121</v>
      </c>
      <c r="CT151" s="14" t="s">
        <v>122</v>
      </c>
      <c r="CU151" s="1" t="s">
        <v>167</v>
      </c>
      <c r="CV151" s="1" t="s">
        <v>168</v>
      </c>
      <c r="CW151" s="3"/>
      <c r="DG151" s="4"/>
    </row>
    <row r="152" customFormat="false" ht="11.25" hidden="false" customHeight="true" outlineLevel="0" collapsed="false">
      <c r="A152" s="14" t="n">
        <v>151</v>
      </c>
      <c r="B152" s="15" t="n">
        <v>46038.5191240509</v>
      </c>
      <c r="C152" s="15" t="n">
        <v>46038.5396796065</v>
      </c>
      <c r="D152" s="14" t="s">
        <v>1233</v>
      </c>
      <c r="E152" s="14" t="s">
        <v>1234</v>
      </c>
      <c r="F152" s="14" t="s">
        <v>1234</v>
      </c>
      <c r="G152" s="14" t="s">
        <v>1235</v>
      </c>
      <c r="H152" s="15" t="n">
        <v>46036</v>
      </c>
      <c r="I152" s="15" t="s">
        <v>107</v>
      </c>
      <c r="J152" s="14" t="s">
        <v>108</v>
      </c>
      <c r="K152" s="14" t="s">
        <v>196</v>
      </c>
      <c r="L152" s="14" t="s">
        <v>346</v>
      </c>
      <c r="M152" s="14" t="s">
        <v>111</v>
      </c>
      <c r="N152" s="14" t="s">
        <v>112</v>
      </c>
      <c r="O152" s="14" t="s">
        <v>113</v>
      </c>
      <c r="P152" s="14" t="s">
        <v>248</v>
      </c>
      <c r="Q152" s="14" t="s">
        <v>945</v>
      </c>
      <c r="R152" s="14"/>
      <c r="S152" s="14"/>
      <c r="T152" s="14"/>
      <c r="U152" s="14" t="s">
        <v>25</v>
      </c>
      <c r="V152" s="14"/>
      <c r="W152" s="14"/>
      <c r="X152" s="14"/>
      <c r="Y152" s="14"/>
      <c r="Z152" s="14" t="s">
        <v>327</v>
      </c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  <c r="BY152" s="14"/>
      <c r="BZ152" s="14"/>
      <c r="CA152" s="14"/>
      <c r="CB152" s="14"/>
      <c r="CC152" s="14"/>
      <c r="CD152" s="14"/>
      <c r="CE152" s="14"/>
      <c r="CF152" s="14"/>
      <c r="CG152" s="14"/>
      <c r="CH152" s="14"/>
      <c r="CI152" s="14" t="s">
        <v>162</v>
      </c>
      <c r="CJ152" s="14" t="s">
        <v>525</v>
      </c>
      <c r="CK152" s="14" t="s">
        <v>119</v>
      </c>
      <c r="CL152" s="14"/>
      <c r="CR152" s="1" t="s">
        <v>152</v>
      </c>
      <c r="CS152" s="1" t="s">
        <v>121</v>
      </c>
      <c r="CT152" s="14"/>
      <c r="CU152" s="1" t="s">
        <v>192</v>
      </c>
      <c r="CV152" s="1" t="s">
        <v>124</v>
      </c>
      <c r="CW152" s="3"/>
      <c r="DG152" s="4"/>
    </row>
    <row r="153" customFormat="false" ht="11.25" hidden="false" customHeight="true" outlineLevel="0" collapsed="false">
      <c r="A153" s="14" t="n">
        <v>152</v>
      </c>
      <c r="B153" s="15" t="n">
        <v>46138.9748635185</v>
      </c>
      <c r="C153" s="15" t="n">
        <v>46138.9781505556</v>
      </c>
      <c r="D153" s="14" t="s">
        <v>1236</v>
      </c>
      <c r="E153" s="14" t="s">
        <v>1237</v>
      </c>
      <c r="F153" s="14" t="s">
        <v>1237</v>
      </c>
      <c r="G153" s="14" t="s">
        <v>1238</v>
      </c>
      <c r="H153" s="15" t="n">
        <v>46134</v>
      </c>
      <c r="I153" s="15" t="s">
        <v>107</v>
      </c>
      <c r="J153" s="14" t="s">
        <v>295</v>
      </c>
      <c r="K153" s="14" t="s">
        <v>500</v>
      </c>
      <c r="L153" s="14" t="s">
        <v>389</v>
      </c>
      <c r="M153" s="14" t="s">
        <v>111</v>
      </c>
      <c r="N153" s="14" t="s">
        <v>145</v>
      </c>
      <c r="O153" s="14" t="s">
        <v>113</v>
      </c>
      <c r="P153" s="14" t="s">
        <v>212</v>
      </c>
      <c r="Q153" s="14" t="s">
        <v>432</v>
      </c>
      <c r="R153" s="14"/>
      <c r="S153" s="14"/>
      <c r="T153" s="14"/>
      <c r="U153" s="14" t="s">
        <v>21</v>
      </c>
      <c r="V153" s="14" t="s">
        <v>307</v>
      </c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 t="s">
        <v>986</v>
      </c>
      <c r="AT153" s="14" t="s">
        <v>546</v>
      </c>
      <c r="AU153" s="14" t="s">
        <v>472</v>
      </c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  <c r="BZ153" s="14"/>
      <c r="CA153" s="14"/>
      <c r="CB153" s="14"/>
      <c r="CC153" s="14"/>
      <c r="CD153" s="14"/>
      <c r="CE153" s="14"/>
      <c r="CF153" s="14"/>
      <c r="CG153" s="14"/>
      <c r="CH153" s="14"/>
      <c r="CI153" s="14"/>
      <c r="CJ153" s="14"/>
      <c r="CK153" s="14"/>
      <c r="CL153" s="14"/>
      <c r="CR153" s="1" t="s">
        <v>152</v>
      </c>
      <c r="CS153" s="1" t="s">
        <v>352</v>
      </c>
      <c r="CT153" s="14" t="s">
        <v>122</v>
      </c>
      <c r="CU153" s="1" t="s">
        <v>192</v>
      </c>
      <c r="CV153" s="1" t="s">
        <v>124</v>
      </c>
      <c r="CW153" s="3"/>
      <c r="DG153" s="4"/>
    </row>
    <row r="154" customFormat="false" ht="11.25" hidden="false" customHeight="true" outlineLevel="0" collapsed="false">
      <c r="A154" s="14" t="n">
        <v>153</v>
      </c>
      <c r="B154" s="15" t="n">
        <v>46066.923663044</v>
      </c>
      <c r="C154" s="15" t="n">
        <v>46066.9260473032</v>
      </c>
      <c r="D154" s="14" t="s">
        <v>1239</v>
      </c>
      <c r="E154" s="14" t="s">
        <v>1240</v>
      </c>
      <c r="F154" s="14" t="s">
        <v>1240</v>
      </c>
      <c r="G154" s="14" t="s">
        <v>1241</v>
      </c>
      <c r="H154" s="15" t="n">
        <v>46050</v>
      </c>
      <c r="I154" s="15" t="s">
        <v>107</v>
      </c>
      <c r="J154" s="14" t="s">
        <v>108</v>
      </c>
      <c r="K154" s="14" t="s">
        <v>1242</v>
      </c>
      <c r="L154" s="14" t="s">
        <v>491</v>
      </c>
      <c r="M154" s="14" t="s">
        <v>131</v>
      </c>
      <c r="N154" s="14" t="s">
        <v>145</v>
      </c>
      <c r="O154" s="14" t="s">
        <v>113</v>
      </c>
      <c r="P154" s="14" t="s">
        <v>566</v>
      </c>
      <c r="Q154" s="14" t="s">
        <v>1243</v>
      </c>
      <c r="R154" s="14"/>
      <c r="S154" s="14"/>
      <c r="T154" s="14"/>
      <c r="U154" s="14" t="s">
        <v>22</v>
      </c>
      <c r="V154" s="14"/>
      <c r="W154" s="14" t="s">
        <v>271</v>
      </c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 t="s">
        <v>722</v>
      </c>
      <c r="BL154" s="14" t="s">
        <v>1244</v>
      </c>
      <c r="BM154" s="14" t="s">
        <v>319</v>
      </c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  <c r="BZ154" s="14"/>
      <c r="CA154" s="14"/>
      <c r="CB154" s="14"/>
      <c r="CC154" s="14"/>
      <c r="CD154" s="14"/>
      <c r="CE154" s="14"/>
      <c r="CF154" s="14"/>
      <c r="CG154" s="14"/>
      <c r="CH154" s="14"/>
      <c r="CI154" s="14"/>
      <c r="CJ154" s="14"/>
      <c r="CK154" s="14"/>
      <c r="CL154" s="14"/>
      <c r="CR154" s="1" t="s">
        <v>227</v>
      </c>
      <c r="CS154" s="1" t="s">
        <v>180</v>
      </c>
      <c r="CT154" s="14" t="s">
        <v>1245</v>
      </c>
      <c r="CU154" s="1" t="s">
        <v>123</v>
      </c>
      <c r="CV154" s="1" t="s">
        <v>168</v>
      </c>
      <c r="CW154" s="3"/>
      <c r="DG154" s="4"/>
    </row>
    <row r="155" customFormat="false" ht="11.25" hidden="false" customHeight="true" outlineLevel="0" collapsed="false">
      <c r="A155" s="14" t="n">
        <v>154</v>
      </c>
      <c r="B155" s="15" t="n">
        <v>46108.3299579051</v>
      </c>
      <c r="C155" s="15" t="n">
        <v>46108.3393676273</v>
      </c>
      <c r="D155" s="14" t="s">
        <v>1246</v>
      </c>
      <c r="E155" s="14" t="s">
        <v>1247</v>
      </c>
      <c r="F155" s="14" t="s">
        <v>1247</v>
      </c>
      <c r="G155" s="14" t="s">
        <v>1248</v>
      </c>
      <c r="H155" s="15" t="n">
        <v>46107</v>
      </c>
      <c r="I155" s="15" t="s">
        <v>172</v>
      </c>
      <c r="J155" s="14" t="s">
        <v>108</v>
      </c>
      <c r="K155" s="14" t="s">
        <v>462</v>
      </c>
      <c r="L155" s="14" t="s">
        <v>431</v>
      </c>
      <c r="M155" s="14" t="s">
        <v>111</v>
      </c>
      <c r="N155" s="14" t="s">
        <v>112</v>
      </c>
      <c r="O155" s="14" t="s">
        <v>113</v>
      </c>
      <c r="P155" s="14" t="s">
        <v>789</v>
      </c>
      <c r="Q155" s="14" t="s">
        <v>1140</v>
      </c>
      <c r="R155" s="14"/>
      <c r="S155" s="14"/>
      <c r="T155" s="14"/>
      <c r="U155" s="14" t="s">
        <v>22</v>
      </c>
      <c r="V155" s="14"/>
      <c r="W155" s="14" t="s">
        <v>381</v>
      </c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 t="s">
        <v>1249</v>
      </c>
      <c r="BR155" s="14" t="s">
        <v>1250</v>
      </c>
      <c r="BS155" s="14" t="s">
        <v>805</v>
      </c>
      <c r="BT155" s="14"/>
      <c r="BU155" s="14"/>
      <c r="BV155" s="14"/>
      <c r="BW155" s="14"/>
      <c r="BX155" s="14"/>
      <c r="BY155" s="14"/>
      <c r="BZ155" s="14"/>
      <c r="CA155" s="14"/>
      <c r="CB155" s="14"/>
      <c r="CC155" s="14"/>
      <c r="CD155" s="14"/>
      <c r="CE155" s="14"/>
      <c r="CF155" s="14"/>
      <c r="CG155" s="14"/>
      <c r="CH155" s="14"/>
      <c r="CI155" s="14"/>
      <c r="CJ155" s="14"/>
      <c r="CK155" s="14"/>
      <c r="CL155" s="14"/>
      <c r="CR155" s="1" t="s">
        <v>120</v>
      </c>
      <c r="CS155" s="1" t="s">
        <v>180</v>
      </c>
      <c r="CT155" s="14"/>
      <c r="CU155" s="1" t="s">
        <v>192</v>
      </c>
      <c r="CV155" s="1" t="s">
        <v>124</v>
      </c>
      <c r="CW155" s="3"/>
      <c r="DG155" s="4"/>
    </row>
    <row r="156" customFormat="false" ht="11.25" hidden="false" customHeight="true" outlineLevel="0" collapsed="false">
      <c r="A156" s="14" t="n">
        <v>155</v>
      </c>
      <c r="B156" s="15" t="n">
        <v>46093.9940285648</v>
      </c>
      <c r="C156" s="15" t="n">
        <v>46094.0096072685</v>
      </c>
      <c r="D156" s="14" t="s">
        <v>1251</v>
      </c>
      <c r="E156" s="14" t="s">
        <v>1252</v>
      </c>
      <c r="F156" s="14" t="s">
        <v>1252</v>
      </c>
      <c r="G156" s="14" t="s">
        <v>1253</v>
      </c>
      <c r="H156" s="15" t="n">
        <v>46077</v>
      </c>
      <c r="I156" s="15" t="s">
        <v>107</v>
      </c>
      <c r="J156" s="14" t="s">
        <v>108</v>
      </c>
      <c r="K156" s="14" t="s">
        <v>1254</v>
      </c>
      <c r="L156" s="14" t="s">
        <v>491</v>
      </c>
      <c r="M156" s="14" t="s">
        <v>111</v>
      </c>
      <c r="N156" s="14" t="s">
        <v>145</v>
      </c>
      <c r="O156" s="14" t="s">
        <v>113</v>
      </c>
      <c r="P156" s="14" t="s">
        <v>885</v>
      </c>
      <c r="Q156" s="14" t="s">
        <v>1255</v>
      </c>
      <c r="R156" s="14"/>
      <c r="S156" s="14"/>
      <c r="T156" s="14" t="s">
        <v>880</v>
      </c>
      <c r="U156" s="14" t="s">
        <v>24</v>
      </c>
      <c r="V156" s="14"/>
      <c r="W156" s="14"/>
      <c r="X156" s="14"/>
      <c r="Y156" s="14" t="s">
        <v>19</v>
      </c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  <c r="BY156" s="14"/>
      <c r="BZ156" s="14"/>
      <c r="CA156" s="14"/>
      <c r="CB156" s="14"/>
      <c r="CC156" s="14"/>
      <c r="CD156" s="14"/>
      <c r="CE156" s="14"/>
      <c r="CF156" s="14"/>
      <c r="CG156" s="14"/>
      <c r="CH156" s="14"/>
      <c r="CI156" s="14"/>
      <c r="CJ156" s="14"/>
      <c r="CK156" s="14"/>
      <c r="CL156" s="14"/>
      <c r="CR156" s="1" t="s">
        <v>120</v>
      </c>
      <c r="CS156" s="1" t="s">
        <v>121</v>
      </c>
      <c r="CT156" s="14" t="s">
        <v>994</v>
      </c>
      <c r="CU156" s="1" t="s">
        <v>167</v>
      </c>
      <c r="CV156" s="1" t="s">
        <v>168</v>
      </c>
      <c r="CW156" s="3"/>
      <c r="DG156" s="4"/>
    </row>
    <row r="157" customFormat="false" ht="11.25" hidden="false" customHeight="true" outlineLevel="0" collapsed="false">
      <c r="A157" s="14" t="n">
        <v>156</v>
      </c>
      <c r="B157" s="15" t="n">
        <v>46049.8709372685</v>
      </c>
      <c r="C157" s="15" t="n">
        <v>46049.8759719907</v>
      </c>
      <c r="D157" s="14" t="s">
        <v>1256</v>
      </c>
      <c r="E157" s="14" t="s">
        <v>1257</v>
      </c>
      <c r="F157" s="14" t="s">
        <v>1257</v>
      </c>
      <c r="G157" s="14" t="s">
        <v>1258</v>
      </c>
      <c r="H157" s="15" t="n">
        <v>46036</v>
      </c>
      <c r="I157" s="15" t="s">
        <v>244</v>
      </c>
      <c r="J157" s="14" t="s">
        <v>108</v>
      </c>
      <c r="K157" s="14" t="s">
        <v>462</v>
      </c>
      <c r="L157" s="14" t="s">
        <v>197</v>
      </c>
      <c r="M157" s="14" t="s">
        <v>131</v>
      </c>
      <c r="N157" s="14" t="s">
        <v>112</v>
      </c>
      <c r="O157" s="14" t="s">
        <v>305</v>
      </c>
      <c r="P157" s="14" t="s">
        <v>797</v>
      </c>
      <c r="Q157" s="14" t="s">
        <v>235</v>
      </c>
      <c r="R157" s="14"/>
      <c r="S157" s="14"/>
      <c r="T157" s="14"/>
      <c r="U157" s="14" t="s">
        <v>22</v>
      </c>
      <c r="V157" s="14"/>
      <c r="W157" s="14" t="s">
        <v>148</v>
      </c>
      <c r="X157" s="14"/>
      <c r="Y157" s="14"/>
      <c r="Z157" s="14"/>
      <c r="AA157" s="14"/>
      <c r="AB157" s="14"/>
      <c r="AC157" s="14"/>
      <c r="AD157" s="14" t="s">
        <v>149</v>
      </c>
      <c r="AE157" s="14" t="s">
        <v>1259</v>
      </c>
      <c r="AF157" s="14" t="s">
        <v>1260</v>
      </c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4"/>
      <c r="CE157" s="14"/>
      <c r="CF157" s="14"/>
      <c r="CG157" s="14"/>
      <c r="CH157" s="14"/>
      <c r="CI157" s="14"/>
      <c r="CJ157" s="14"/>
      <c r="CK157" s="14"/>
      <c r="CL157" s="14"/>
      <c r="CR157" s="1" t="s">
        <v>152</v>
      </c>
      <c r="CS157" s="1" t="s">
        <v>352</v>
      </c>
      <c r="CT157" s="14" t="s">
        <v>122</v>
      </c>
      <c r="CU157" s="1" t="s">
        <v>192</v>
      </c>
      <c r="CV157" s="1" t="s">
        <v>139</v>
      </c>
      <c r="CW157" s="3"/>
      <c r="DG157" s="4"/>
    </row>
    <row r="158" customFormat="false" ht="11.25" hidden="false" customHeight="true" outlineLevel="0" collapsed="false">
      <c r="A158" s="14" t="n">
        <v>157</v>
      </c>
      <c r="B158" s="15" t="n">
        <v>46210.8763802315</v>
      </c>
      <c r="C158" s="15" t="n">
        <v>46210.8863223611</v>
      </c>
      <c r="D158" s="14" t="s">
        <v>1261</v>
      </c>
      <c r="E158" s="14" t="s">
        <v>1262</v>
      </c>
      <c r="F158" s="14" t="s">
        <v>1262</v>
      </c>
      <c r="G158" s="14" t="s">
        <v>1263</v>
      </c>
      <c r="H158" s="15" t="n">
        <v>46197</v>
      </c>
      <c r="I158" s="15" t="s">
        <v>278</v>
      </c>
      <c r="J158" s="14" t="s">
        <v>295</v>
      </c>
      <c r="K158" s="14" t="s">
        <v>1264</v>
      </c>
      <c r="L158" s="14" t="s">
        <v>346</v>
      </c>
      <c r="M158" s="14" t="s">
        <v>111</v>
      </c>
      <c r="N158" s="14" t="s">
        <v>145</v>
      </c>
      <c r="O158" s="14" t="s">
        <v>132</v>
      </c>
      <c r="P158" s="14" t="s">
        <v>365</v>
      </c>
      <c r="Q158" s="14" t="s">
        <v>625</v>
      </c>
      <c r="R158" s="14"/>
      <c r="S158" s="14"/>
      <c r="T158" s="14"/>
      <c r="U158" s="14" t="s">
        <v>25</v>
      </c>
      <c r="V158" s="14"/>
      <c r="W158" s="14"/>
      <c r="X158" s="14"/>
      <c r="Y158" s="14"/>
      <c r="Z158" s="14" t="s">
        <v>327</v>
      </c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  <c r="BZ158" s="14"/>
      <c r="CA158" s="14"/>
      <c r="CB158" s="14"/>
      <c r="CC158" s="14"/>
      <c r="CD158" s="14"/>
      <c r="CE158" s="14"/>
      <c r="CF158" s="14"/>
      <c r="CG158" s="14"/>
      <c r="CH158" s="14"/>
      <c r="CI158" s="14" t="s">
        <v>679</v>
      </c>
      <c r="CJ158" s="14" t="s">
        <v>960</v>
      </c>
      <c r="CK158" s="14" t="s">
        <v>330</v>
      </c>
      <c r="CL158" s="14"/>
      <c r="CR158" s="1" t="s">
        <v>120</v>
      </c>
      <c r="CS158" s="1" t="s">
        <v>121</v>
      </c>
      <c r="CT158" s="14" t="s">
        <v>1032</v>
      </c>
      <c r="CU158" s="1" t="s">
        <v>192</v>
      </c>
      <c r="CV158" s="1" t="s">
        <v>168</v>
      </c>
      <c r="CW158" s="3"/>
      <c r="DG158" s="4"/>
    </row>
    <row r="159" customFormat="false" ht="11.25" hidden="false" customHeight="true" outlineLevel="0" collapsed="false">
      <c r="A159" s="14" t="n">
        <v>158</v>
      </c>
      <c r="B159" s="15" t="n">
        <v>46043.6915935532</v>
      </c>
      <c r="C159" s="15" t="n">
        <v>46043.7030981829</v>
      </c>
      <c r="D159" s="14" t="s">
        <v>1265</v>
      </c>
      <c r="E159" s="14" t="s">
        <v>1266</v>
      </c>
      <c r="F159" s="14" t="s">
        <v>1266</v>
      </c>
      <c r="G159" s="14" t="s">
        <v>1267</v>
      </c>
      <c r="H159" s="15" t="n">
        <v>46038</v>
      </c>
      <c r="I159" s="15" t="s">
        <v>244</v>
      </c>
      <c r="J159" s="14" t="s">
        <v>108</v>
      </c>
      <c r="K159" s="14" t="s">
        <v>196</v>
      </c>
      <c r="L159" s="14" t="s">
        <v>491</v>
      </c>
      <c r="M159" s="14" t="s">
        <v>211</v>
      </c>
      <c r="N159" s="14" t="s">
        <v>112</v>
      </c>
      <c r="O159" s="14" t="s">
        <v>1268</v>
      </c>
      <c r="P159" s="14" t="s">
        <v>543</v>
      </c>
      <c r="Q159" s="14" t="s">
        <v>227</v>
      </c>
      <c r="R159" s="14"/>
      <c r="S159" s="14"/>
      <c r="T159" s="14"/>
      <c r="U159" s="14" t="s">
        <v>22</v>
      </c>
      <c r="V159" s="14"/>
      <c r="W159" s="14" t="s">
        <v>339</v>
      </c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 t="s">
        <v>1269</v>
      </c>
      <c r="BO159" s="14" t="s">
        <v>1270</v>
      </c>
      <c r="BP159" s="14" t="s">
        <v>1271</v>
      </c>
      <c r="BQ159" s="14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  <c r="CC159" s="14"/>
      <c r="CD159" s="14"/>
      <c r="CE159" s="14"/>
      <c r="CF159" s="14"/>
      <c r="CG159" s="14"/>
      <c r="CH159" s="14"/>
      <c r="CI159" s="14"/>
      <c r="CJ159" s="14"/>
      <c r="CK159" s="14"/>
      <c r="CL159" s="14"/>
      <c r="CR159" s="1" t="s">
        <v>152</v>
      </c>
      <c r="CS159" s="1" t="s">
        <v>121</v>
      </c>
      <c r="CT159" s="14" t="s">
        <v>853</v>
      </c>
      <c r="CU159" s="1" t="s">
        <v>192</v>
      </c>
      <c r="CV159" s="1" t="s">
        <v>124</v>
      </c>
      <c r="CW159" s="3" t="s">
        <v>370</v>
      </c>
      <c r="CY159" s="3" t="s">
        <v>205</v>
      </c>
      <c r="DG159" s="4"/>
    </row>
    <row r="160" customFormat="false" ht="11.25" hidden="false" customHeight="true" outlineLevel="0" collapsed="false">
      <c r="A160" s="14" t="n">
        <v>159</v>
      </c>
      <c r="B160" s="15" t="n">
        <v>46172.5117365278</v>
      </c>
      <c r="C160" s="15" t="n">
        <v>46172.5182064352</v>
      </c>
      <c r="D160" s="14" t="s">
        <v>1272</v>
      </c>
      <c r="E160" s="14" t="s">
        <v>1273</v>
      </c>
      <c r="F160" s="14" t="s">
        <v>1273</v>
      </c>
      <c r="G160" s="14" t="s">
        <v>1274</v>
      </c>
      <c r="H160" s="15" t="n">
        <v>46164</v>
      </c>
      <c r="I160" s="15" t="s">
        <v>713</v>
      </c>
      <c r="J160" s="14" t="s">
        <v>108</v>
      </c>
      <c r="K160" s="14" t="s">
        <v>364</v>
      </c>
      <c r="L160" s="14" t="s">
        <v>114</v>
      </c>
      <c r="M160" s="14" t="s">
        <v>111</v>
      </c>
      <c r="N160" s="14" t="s">
        <v>112</v>
      </c>
      <c r="O160" s="14" t="s">
        <v>113</v>
      </c>
      <c r="P160" s="14" t="s">
        <v>501</v>
      </c>
      <c r="Q160" s="14" t="s">
        <v>638</v>
      </c>
      <c r="R160" s="14"/>
      <c r="S160" s="14"/>
      <c r="T160" s="14"/>
      <c r="U160" s="14" t="s">
        <v>22</v>
      </c>
      <c r="V160" s="14"/>
      <c r="W160" s="14" t="s">
        <v>715</v>
      </c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 t="s">
        <v>1275</v>
      </c>
      <c r="BI160" s="14" t="s">
        <v>1276</v>
      </c>
      <c r="BJ160" s="14" t="s">
        <v>1277</v>
      </c>
      <c r="BK160" s="14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  <c r="BY160" s="14"/>
      <c r="BZ160" s="14"/>
      <c r="CA160" s="14"/>
      <c r="CB160" s="14"/>
      <c r="CC160" s="14"/>
      <c r="CD160" s="14"/>
      <c r="CE160" s="14"/>
      <c r="CF160" s="14"/>
      <c r="CG160" s="14"/>
      <c r="CH160" s="14"/>
      <c r="CI160" s="14"/>
      <c r="CJ160" s="14"/>
      <c r="CK160" s="14"/>
      <c r="CL160" s="14"/>
      <c r="CR160" s="1" t="s">
        <v>152</v>
      </c>
      <c r="CS160" s="1" t="s">
        <v>264</v>
      </c>
      <c r="CT160" s="14" t="s">
        <v>1278</v>
      </c>
      <c r="CU160" s="1" t="s">
        <v>192</v>
      </c>
      <c r="CV160" s="1" t="s">
        <v>124</v>
      </c>
      <c r="CW160" s="3"/>
      <c r="DG160" s="4"/>
    </row>
    <row r="161" customFormat="false" ht="11.25" hidden="false" customHeight="true" outlineLevel="0" collapsed="false">
      <c r="A161" s="14" t="n">
        <v>160</v>
      </c>
      <c r="B161" s="15" t="n">
        <v>46203.1170962037</v>
      </c>
      <c r="C161" s="15" t="n">
        <v>46203.119804537</v>
      </c>
      <c r="D161" s="14" t="s">
        <v>1279</v>
      </c>
      <c r="E161" s="14" t="s">
        <v>1280</v>
      </c>
      <c r="F161" s="14" t="s">
        <v>1280</v>
      </c>
      <c r="G161" s="14" t="s">
        <v>1281</v>
      </c>
      <c r="H161" s="15" t="n">
        <v>46190</v>
      </c>
      <c r="I161" s="15" t="s">
        <v>172</v>
      </c>
      <c r="J161" s="14" t="s">
        <v>128</v>
      </c>
      <c r="K161" s="14" t="s">
        <v>143</v>
      </c>
      <c r="L161" s="14" t="s">
        <v>246</v>
      </c>
      <c r="M161" s="14" t="s">
        <v>111</v>
      </c>
      <c r="N161" s="14" t="s">
        <v>112</v>
      </c>
      <c r="O161" s="14" t="s">
        <v>113</v>
      </c>
      <c r="P161" s="14" t="s">
        <v>144</v>
      </c>
      <c r="Q161" s="14" t="s">
        <v>1042</v>
      </c>
      <c r="R161" s="14"/>
      <c r="S161" s="14"/>
      <c r="T161" s="14"/>
      <c r="U161" s="14" t="s">
        <v>22</v>
      </c>
      <c r="V161" s="14"/>
      <c r="W161" s="14" t="s">
        <v>298</v>
      </c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 t="s">
        <v>1282</v>
      </c>
      <c r="AW161" s="14" t="s">
        <v>1283</v>
      </c>
      <c r="AX161" s="14" t="s">
        <v>1284</v>
      </c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  <c r="BZ161" s="14"/>
      <c r="CA161" s="14"/>
      <c r="CB161" s="14"/>
      <c r="CC161" s="14"/>
      <c r="CD161" s="14"/>
      <c r="CE161" s="14"/>
      <c r="CF161" s="14"/>
      <c r="CG161" s="14"/>
      <c r="CH161" s="14"/>
      <c r="CI161" s="14"/>
      <c r="CJ161" s="14"/>
      <c r="CK161" s="14"/>
      <c r="CL161" s="14"/>
      <c r="CR161" s="1" t="s">
        <v>152</v>
      </c>
      <c r="CS161" s="1" t="s">
        <v>121</v>
      </c>
      <c r="CT161" s="14" t="s">
        <v>122</v>
      </c>
      <c r="CU161" s="1" t="s">
        <v>123</v>
      </c>
      <c r="CV161" s="1" t="s">
        <v>124</v>
      </c>
      <c r="CW161" s="3"/>
      <c r="DG161" s="4"/>
    </row>
    <row r="162" customFormat="false" ht="11.25" hidden="false" customHeight="true" outlineLevel="0" collapsed="false">
      <c r="A162" s="14" t="n">
        <v>161</v>
      </c>
      <c r="B162" s="15" t="n">
        <v>46039.0675145255</v>
      </c>
      <c r="C162" s="15" t="n">
        <v>46039.0751186921</v>
      </c>
      <c r="D162" s="14" t="s">
        <v>1285</v>
      </c>
      <c r="E162" s="14" t="s">
        <v>1286</v>
      </c>
      <c r="F162" s="14" t="s">
        <v>1286</v>
      </c>
      <c r="G162" s="14" t="s">
        <v>1287</v>
      </c>
      <c r="H162" s="15" t="n">
        <v>46026</v>
      </c>
      <c r="I162" s="15" t="s">
        <v>278</v>
      </c>
      <c r="J162" s="14" t="s">
        <v>108</v>
      </c>
      <c r="K162" s="14" t="s">
        <v>1288</v>
      </c>
      <c r="L162" s="14" t="s">
        <v>286</v>
      </c>
      <c r="M162" s="14" t="s">
        <v>111</v>
      </c>
      <c r="N162" s="14" t="s">
        <v>112</v>
      </c>
      <c r="O162" s="14" t="s">
        <v>113</v>
      </c>
      <c r="P162" s="14" t="s">
        <v>515</v>
      </c>
      <c r="Q162" s="14" t="s">
        <v>893</v>
      </c>
      <c r="R162" s="14"/>
      <c r="S162" s="14"/>
      <c r="T162" s="14"/>
      <c r="U162" s="14" t="s">
        <v>22</v>
      </c>
      <c r="V162" s="14"/>
      <c r="W162" s="14" t="s">
        <v>176</v>
      </c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 t="s">
        <v>1289</v>
      </c>
      <c r="AZ162" s="14" t="s">
        <v>1290</v>
      </c>
      <c r="BA162" s="14" t="s">
        <v>179</v>
      </c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  <c r="BY162" s="14"/>
      <c r="BZ162" s="14"/>
      <c r="CA162" s="14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R162" s="1" t="s">
        <v>152</v>
      </c>
      <c r="CS162" s="1" t="s">
        <v>121</v>
      </c>
      <c r="CT162" s="14"/>
      <c r="CU162" s="1" t="s">
        <v>192</v>
      </c>
      <c r="CV162" s="1" t="s">
        <v>168</v>
      </c>
      <c r="CW162" s="3"/>
      <c r="DG162" s="4"/>
    </row>
    <row r="163" customFormat="false" ht="11.25" hidden="false" customHeight="true" outlineLevel="0" collapsed="false">
      <c r="A163" s="14" t="n">
        <v>162</v>
      </c>
      <c r="B163" s="15" t="n">
        <v>46108.2647241319</v>
      </c>
      <c r="C163" s="15" t="n">
        <v>46108.2851407986</v>
      </c>
      <c r="D163" s="14" t="s">
        <v>1291</v>
      </c>
      <c r="E163" s="14" t="s">
        <v>1292</v>
      </c>
      <c r="F163" s="14" t="s">
        <v>1292</v>
      </c>
      <c r="G163" s="14" t="s">
        <v>1293</v>
      </c>
      <c r="H163" s="15" t="n">
        <v>46094</v>
      </c>
      <c r="I163" s="15" t="s">
        <v>107</v>
      </c>
      <c r="J163" s="14" t="s">
        <v>295</v>
      </c>
      <c r="K163" s="14" t="s">
        <v>1294</v>
      </c>
      <c r="L163" s="14" t="s">
        <v>491</v>
      </c>
      <c r="M163" s="14" t="s">
        <v>111</v>
      </c>
      <c r="N163" s="14" t="s">
        <v>145</v>
      </c>
      <c r="O163" s="14" t="s">
        <v>113</v>
      </c>
      <c r="P163" s="14" t="s">
        <v>357</v>
      </c>
      <c r="Q163" s="14" t="s">
        <v>945</v>
      </c>
      <c r="R163" s="14"/>
      <c r="S163" s="14"/>
      <c r="T163" s="14"/>
      <c r="U163" s="14" t="s">
        <v>22</v>
      </c>
      <c r="V163" s="14"/>
      <c r="W163" s="14" t="s">
        <v>298</v>
      </c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 t="s">
        <v>1295</v>
      </c>
      <c r="AW163" s="14" t="s">
        <v>967</v>
      </c>
      <c r="AX163" s="14" t="s">
        <v>1296</v>
      </c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  <c r="CC163" s="14"/>
      <c r="CD163" s="14"/>
      <c r="CE163" s="14"/>
      <c r="CF163" s="14"/>
      <c r="CG163" s="14"/>
      <c r="CH163" s="14"/>
      <c r="CI163" s="14"/>
      <c r="CJ163" s="14"/>
      <c r="CK163" s="14"/>
      <c r="CL163" s="14"/>
      <c r="CR163" s="1" t="s">
        <v>152</v>
      </c>
      <c r="CS163" s="1" t="s">
        <v>352</v>
      </c>
      <c r="CT163" s="14" t="s">
        <v>122</v>
      </c>
      <c r="CU163" s="1" t="s">
        <v>192</v>
      </c>
      <c r="CV163" s="1" t="s">
        <v>124</v>
      </c>
      <c r="CW163" s="3"/>
      <c r="CX163" s="3" t="s">
        <v>331</v>
      </c>
      <c r="DG163" s="4"/>
    </row>
    <row r="164" customFormat="false" ht="11.25" hidden="false" customHeight="true" outlineLevel="0" collapsed="false">
      <c r="A164" s="14" t="n">
        <v>163</v>
      </c>
      <c r="B164" s="15" t="n">
        <v>46124.7617610069</v>
      </c>
      <c r="C164" s="15" t="n">
        <v>46124.7789832292</v>
      </c>
      <c r="D164" s="14" t="s">
        <v>1297</v>
      </c>
      <c r="E164" s="14" t="s">
        <v>1298</v>
      </c>
      <c r="F164" s="14" t="s">
        <v>1298</v>
      </c>
      <c r="G164" s="14" t="s">
        <v>1299</v>
      </c>
      <c r="H164" s="15" t="n">
        <v>46108</v>
      </c>
      <c r="I164" s="15" t="s">
        <v>107</v>
      </c>
      <c r="J164" s="14" t="s">
        <v>108</v>
      </c>
      <c r="K164" s="14" t="s">
        <v>1300</v>
      </c>
      <c r="L164" s="14" t="s">
        <v>346</v>
      </c>
      <c r="M164" s="14" t="s">
        <v>111</v>
      </c>
      <c r="N164" s="14" t="s">
        <v>112</v>
      </c>
      <c r="O164" s="14" t="s">
        <v>113</v>
      </c>
      <c r="P164" s="14" t="s">
        <v>212</v>
      </c>
      <c r="Q164" s="14" t="s">
        <v>775</v>
      </c>
      <c r="R164" s="14"/>
      <c r="S164" s="14"/>
      <c r="T164" s="14"/>
      <c r="U164" s="14" t="s">
        <v>22</v>
      </c>
      <c r="V164" s="14"/>
      <c r="W164" s="14" t="s">
        <v>271</v>
      </c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 t="s">
        <v>1179</v>
      </c>
      <c r="BL164" s="14" t="s">
        <v>1301</v>
      </c>
      <c r="BM164" s="14" t="s">
        <v>1302</v>
      </c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  <c r="BZ164" s="14"/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R164" s="1" t="s">
        <v>120</v>
      </c>
      <c r="CS164" s="1" t="s">
        <v>121</v>
      </c>
      <c r="CT164" s="14"/>
      <c r="CU164" s="1" t="s">
        <v>123</v>
      </c>
      <c r="CV164" s="1" t="s">
        <v>139</v>
      </c>
      <c r="CW164" s="3"/>
      <c r="DG164" s="4"/>
    </row>
    <row r="165" customFormat="false" ht="11.25" hidden="false" customHeight="true" outlineLevel="0" collapsed="false">
      <c r="A165" s="14" t="n">
        <v>164</v>
      </c>
      <c r="B165" s="15" t="n">
        <v>46212.7125142361</v>
      </c>
      <c r="C165" s="15" t="n">
        <v>46212.7264494213</v>
      </c>
      <c r="D165" s="14" t="s">
        <v>1303</v>
      </c>
      <c r="E165" s="14" t="s">
        <v>1304</v>
      </c>
      <c r="F165" s="14" t="s">
        <v>1304</v>
      </c>
      <c r="G165" s="14" t="s">
        <v>1305</v>
      </c>
      <c r="H165" s="15" t="n">
        <v>46200</v>
      </c>
      <c r="I165" s="15" t="s">
        <v>278</v>
      </c>
      <c r="J165" s="14" t="s">
        <v>108</v>
      </c>
      <c r="K165" s="14" t="s">
        <v>257</v>
      </c>
      <c r="L165" s="14" t="s">
        <v>130</v>
      </c>
      <c r="M165" s="14" t="s">
        <v>111</v>
      </c>
      <c r="N165" s="14" t="s">
        <v>198</v>
      </c>
      <c r="O165" s="14" t="s">
        <v>113</v>
      </c>
      <c r="P165" s="14" t="s">
        <v>864</v>
      </c>
      <c r="Q165" s="14" t="s">
        <v>1306</v>
      </c>
      <c r="R165" s="14"/>
      <c r="S165" s="14"/>
      <c r="T165" s="14"/>
      <c r="U165" s="14" t="s">
        <v>22</v>
      </c>
      <c r="V165" s="14"/>
      <c r="W165" s="14" t="s">
        <v>339</v>
      </c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 t="s">
        <v>1307</v>
      </c>
      <c r="BO165" s="14" t="s">
        <v>1308</v>
      </c>
      <c r="BP165" s="14" t="s">
        <v>1309</v>
      </c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  <c r="CL165" s="14"/>
      <c r="CR165" s="1" t="s">
        <v>152</v>
      </c>
      <c r="CS165" s="1" t="s">
        <v>121</v>
      </c>
      <c r="CT165" s="14" t="s">
        <v>1174</v>
      </c>
      <c r="CU165" s="1" t="s">
        <v>167</v>
      </c>
      <c r="CV165" s="1" t="s">
        <v>124</v>
      </c>
      <c r="CW165" s="3"/>
      <c r="DG165" s="4"/>
    </row>
    <row r="166" customFormat="false" ht="11.25" hidden="false" customHeight="true" outlineLevel="0" collapsed="false">
      <c r="A166" s="14" t="n">
        <v>165</v>
      </c>
      <c r="B166" s="15" t="n">
        <v>46103.8103830324</v>
      </c>
      <c r="C166" s="15" t="n">
        <v>46103.8191677546</v>
      </c>
      <c r="D166" s="14" t="s">
        <v>1310</v>
      </c>
      <c r="E166" s="14" t="s">
        <v>1311</v>
      </c>
      <c r="F166" s="14" t="s">
        <v>1311</v>
      </c>
      <c r="G166" s="14" t="s">
        <v>1312</v>
      </c>
      <c r="H166" s="15" t="n">
        <v>46086</v>
      </c>
      <c r="I166" s="15" t="s">
        <v>107</v>
      </c>
      <c r="J166" s="14" t="s">
        <v>295</v>
      </c>
      <c r="K166" s="14" t="s">
        <v>143</v>
      </c>
      <c r="L166" s="14" t="s">
        <v>431</v>
      </c>
      <c r="M166" s="14" t="s">
        <v>111</v>
      </c>
      <c r="N166" s="14" t="s">
        <v>145</v>
      </c>
      <c r="O166" s="14" t="s">
        <v>113</v>
      </c>
      <c r="P166" s="14" t="s">
        <v>1313</v>
      </c>
      <c r="Q166" s="14" t="s">
        <v>270</v>
      </c>
      <c r="R166" s="14"/>
      <c r="S166" s="14"/>
      <c r="T166" s="14"/>
      <c r="U166" s="14" t="s">
        <v>25</v>
      </c>
      <c r="V166" s="14"/>
      <c r="W166" s="14"/>
      <c r="X166" s="14"/>
      <c r="Y166" s="14"/>
      <c r="Z166" s="14" t="s">
        <v>327</v>
      </c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  <c r="BY166" s="14"/>
      <c r="BZ166" s="14"/>
      <c r="CA166" s="14"/>
      <c r="CB166" s="14"/>
      <c r="CC166" s="14"/>
      <c r="CD166" s="14"/>
      <c r="CE166" s="14"/>
      <c r="CF166" s="14"/>
      <c r="CG166" s="14"/>
      <c r="CH166" s="14"/>
      <c r="CI166" s="14" t="s">
        <v>251</v>
      </c>
      <c r="CJ166" s="14" t="s">
        <v>745</v>
      </c>
      <c r="CK166" s="14" t="s">
        <v>681</v>
      </c>
      <c r="CL166" s="14"/>
      <c r="CR166" s="1" t="s">
        <v>152</v>
      </c>
      <c r="CS166" s="1" t="s">
        <v>264</v>
      </c>
      <c r="CT166" s="14" t="s">
        <v>1314</v>
      </c>
      <c r="CU166" s="1" t="s">
        <v>167</v>
      </c>
      <c r="CV166" s="1" t="s">
        <v>124</v>
      </c>
      <c r="CW166" s="3"/>
      <c r="DG166" s="4"/>
    </row>
    <row r="167" customFormat="false" ht="11.25" hidden="false" customHeight="true" outlineLevel="0" collapsed="false">
      <c r="A167" s="14" t="n">
        <v>166</v>
      </c>
      <c r="B167" s="15" t="n">
        <v>46174.8269291088</v>
      </c>
      <c r="C167" s="15" t="n">
        <v>46174.8434105903</v>
      </c>
      <c r="D167" s="14" t="s">
        <v>1315</v>
      </c>
      <c r="E167" s="14" t="s">
        <v>1316</v>
      </c>
      <c r="F167" s="14" t="s">
        <v>1316</v>
      </c>
      <c r="G167" s="14" t="s">
        <v>1317</v>
      </c>
      <c r="H167" s="15" t="n">
        <v>46168</v>
      </c>
      <c r="I167" s="15" t="s">
        <v>107</v>
      </c>
      <c r="J167" s="14" t="s">
        <v>108</v>
      </c>
      <c r="K167" s="14" t="s">
        <v>232</v>
      </c>
      <c r="L167" s="14" t="s">
        <v>184</v>
      </c>
      <c r="M167" s="14" t="s">
        <v>111</v>
      </c>
      <c r="N167" s="14" t="s">
        <v>112</v>
      </c>
      <c r="O167" s="14" t="s">
        <v>113</v>
      </c>
      <c r="P167" s="14" t="s">
        <v>1120</v>
      </c>
      <c r="Q167" s="14" t="s">
        <v>1036</v>
      </c>
      <c r="R167" s="14"/>
      <c r="S167" s="14"/>
      <c r="T167" s="14"/>
      <c r="U167" s="14" t="s">
        <v>24</v>
      </c>
      <c r="V167" s="14"/>
      <c r="W167" s="14"/>
      <c r="X167" s="14"/>
      <c r="Y167" s="14" t="s">
        <v>223</v>
      </c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  <c r="BY167" s="14"/>
      <c r="BZ167" s="14" t="s">
        <v>1318</v>
      </c>
      <c r="CA167" s="14" t="s">
        <v>1319</v>
      </c>
      <c r="CB167" s="14" t="s">
        <v>511</v>
      </c>
      <c r="CC167" s="14"/>
      <c r="CD167" s="14"/>
      <c r="CE167" s="14"/>
      <c r="CF167" s="14"/>
      <c r="CG167" s="14"/>
      <c r="CH167" s="14"/>
      <c r="CI167" s="14"/>
      <c r="CJ167" s="14"/>
      <c r="CK167" s="14"/>
      <c r="CL167" s="14"/>
      <c r="CR167" s="1" t="s">
        <v>152</v>
      </c>
      <c r="CS167" s="1" t="s">
        <v>121</v>
      </c>
      <c r="CT167" s="14" t="s">
        <v>122</v>
      </c>
      <c r="CU167" s="1" t="s">
        <v>167</v>
      </c>
      <c r="CV167" s="1" t="s">
        <v>139</v>
      </c>
      <c r="CW167" s="3"/>
      <c r="DG167" s="4"/>
    </row>
    <row r="168" customFormat="false" ht="11.25" hidden="false" customHeight="true" outlineLevel="0" collapsed="false">
      <c r="A168" s="14" t="n">
        <v>167</v>
      </c>
      <c r="B168" s="15" t="n">
        <v>46082.5626183565</v>
      </c>
      <c r="C168" s="15" t="n">
        <v>46082.5688452083</v>
      </c>
      <c r="D168" s="14" t="s">
        <v>1320</v>
      </c>
      <c r="E168" s="14" t="s">
        <v>1321</v>
      </c>
      <c r="F168" s="14" t="s">
        <v>1321</v>
      </c>
      <c r="G168" s="14" t="s">
        <v>1322</v>
      </c>
      <c r="H168" s="15" t="n">
        <v>46068</v>
      </c>
      <c r="I168" s="15" t="s">
        <v>157</v>
      </c>
      <c r="J168" s="14" t="s">
        <v>108</v>
      </c>
      <c r="K168" s="14" t="s">
        <v>196</v>
      </c>
      <c r="L168" s="14" t="s">
        <v>184</v>
      </c>
      <c r="M168" s="14" t="s">
        <v>111</v>
      </c>
      <c r="N168" s="14" t="s">
        <v>145</v>
      </c>
      <c r="O168" s="14" t="s">
        <v>113</v>
      </c>
      <c r="P168" s="14" t="s">
        <v>484</v>
      </c>
      <c r="Q168" s="14" t="s">
        <v>1323</v>
      </c>
      <c r="R168" s="14"/>
      <c r="S168" s="14"/>
      <c r="T168" s="14"/>
      <c r="U168" s="14" t="s">
        <v>22</v>
      </c>
      <c r="V168" s="14"/>
      <c r="W168" s="14" t="s">
        <v>339</v>
      </c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 t="s">
        <v>1324</v>
      </c>
      <c r="BO168" s="14" t="s">
        <v>1270</v>
      </c>
      <c r="BP168" s="14" t="s">
        <v>1325</v>
      </c>
      <c r="BQ168" s="14"/>
      <c r="BR168" s="14"/>
      <c r="BS168" s="14"/>
      <c r="BT168" s="14"/>
      <c r="BU168" s="14"/>
      <c r="BV168" s="14"/>
      <c r="BW168" s="14"/>
      <c r="BX168" s="14"/>
      <c r="BY168" s="14"/>
      <c r="BZ168" s="14"/>
      <c r="CA168" s="14"/>
      <c r="CB168" s="14"/>
      <c r="CC168" s="14"/>
      <c r="CD168" s="14"/>
      <c r="CE168" s="14"/>
      <c r="CF168" s="14"/>
      <c r="CG168" s="14"/>
      <c r="CH168" s="14"/>
      <c r="CI168" s="14"/>
      <c r="CJ168" s="14"/>
      <c r="CK168" s="14"/>
      <c r="CL168" s="14"/>
      <c r="CR168" s="1" t="s">
        <v>152</v>
      </c>
      <c r="CS168" s="1" t="s">
        <v>121</v>
      </c>
      <c r="CT168" s="14" t="s">
        <v>1326</v>
      </c>
      <c r="CU168" s="1" t="s">
        <v>123</v>
      </c>
      <c r="CV168" s="1" t="s">
        <v>168</v>
      </c>
      <c r="CW168" s="3" t="s">
        <v>621</v>
      </c>
      <c r="DG168" s="4"/>
    </row>
    <row r="169" customFormat="false" ht="11.25" hidden="false" customHeight="true" outlineLevel="0" collapsed="false">
      <c r="A169" s="14" t="n">
        <v>168</v>
      </c>
      <c r="B169" s="15" t="n">
        <v>46186.6543692824</v>
      </c>
      <c r="C169" s="15" t="n">
        <v>46186.6629688194</v>
      </c>
      <c r="D169" s="14" t="s">
        <v>1327</v>
      </c>
      <c r="E169" s="14" t="s">
        <v>1328</v>
      </c>
      <c r="F169" s="14" t="s">
        <v>1328</v>
      </c>
      <c r="G169" s="14" t="s">
        <v>1329</v>
      </c>
      <c r="H169" s="15" t="n">
        <v>46172</v>
      </c>
      <c r="I169" s="15" t="s">
        <v>107</v>
      </c>
      <c r="J169" s="14" t="s">
        <v>108</v>
      </c>
      <c r="K169" s="14" t="s">
        <v>364</v>
      </c>
      <c r="L169" s="14" t="s">
        <v>296</v>
      </c>
      <c r="M169" s="14" t="s">
        <v>131</v>
      </c>
      <c r="N169" s="14" t="s">
        <v>112</v>
      </c>
      <c r="O169" s="14" t="s">
        <v>325</v>
      </c>
      <c r="P169" s="14" t="s">
        <v>566</v>
      </c>
      <c r="Q169" s="14" t="s">
        <v>1255</v>
      </c>
      <c r="R169" s="14"/>
      <c r="S169" s="14"/>
      <c r="T169" s="14" t="s">
        <v>880</v>
      </c>
      <c r="U169" s="14" t="s">
        <v>24</v>
      </c>
      <c r="V169" s="14"/>
      <c r="W169" s="14"/>
      <c r="X169" s="14"/>
      <c r="Y169" s="14" t="s">
        <v>19</v>
      </c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  <c r="BZ169" s="14"/>
      <c r="CA169" s="14"/>
      <c r="CB169" s="14"/>
      <c r="CC169" s="14"/>
      <c r="CD169" s="14"/>
      <c r="CE169" s="14"/>
      <c r="CF169" s="14"/>
      <c r="CG169" s="14"/>
      <c r="CH169" s="14"/>
      <c r="CI169" s="14"/>
      <c r="CJ169" s="14"/>
      <c r="CK169" s="14"/>
      <c r="CL169" s="14"/>
      <c r="CR169" s="1" t="s">
        <v>152</v>
      </c>
      <c r="CS169" s="1" t="s">
        <v>121</v>
      </c>
      <c r="CT169" s="14"/>
      <c r="CU169" s="1" t="s">
        <v>167</v>
      </c>
      <c r="CV169" s="1" t="s">
        <v>168</v>
      </c>
      <c r="CW169" s="3"/>
      <c r="DG169" s="4"/>
    </row>
    <row r="170" customFormat="false" ht="11.25" hidden="false" customHeight="true" outlineLevel="0" collapsed="false">
      <c r="A170" s="14" t="n">
        <v>169</v>
      </c>
      <c r="B170" s="15" t="n">
        <v>46132.0999909259</v>
      </c>
      <c r="C170" s="15" t="n">
        <v>46132.1167501852</v>
      </c>
      <c r="D170" s="14" t="s">
        <v>1330</v>
      </c>
      <c r="E170" s="14" t="s">
        <v>1331</v>
      </c>
      <c r="F170" s="14" t="s">
        <v>1331</v>
      </c>
      <c r="G170" s="14" t="s">
        <v>1332</v>
      </c>
      <c r="H170" s="15" t="n">
        <v>46129</v>
      </c>
      <c r="I170" s="15" t="s">
        <v>107</v>
      </c>
      <c r="J170" s="14" t="s">
        <v>295</v>
      </c>
      <c r="K170" s="14" t="s">
        <v>462</v>
      </c>
      <c r="L170" s="14" t="s">
        <v>233</v>
      </c>
      <c r="M170" s="14" t="s">
        <v>111</v>
      </c>
      <c r="N170" s="14" t="s">
        <v>145</v>
      </c>
      <c r="O170" s="14" t="s">
        <v>1333</v>
      </c>
      <c r="P170" s="14" t="s">
        <v>515</v>
      </c>
      <c r="Q170" s="14" t="s">
        <v>259</v>
      </c>
      <c r="R170" s="14"/>
      <c r="S170" s="14"/>
      <c r="T170" s="14"/>
      <c r="U170" s="14" t="s">
        <v>22</v>
      </c>
      <c r="V170" s="14"/>
      <c r="W170" s="14" t="s">
        <v>339</v>
      </c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 t="s">
        <v>1334</v>
      </c>
      <c r="BO170" s="14" t="s">
        <v>1335</v>
      </c>
      <c r="BP170" s="14" t="s">
        <v>675</v>
      </c>
      <c r="BQ170" s="14"/>
      <c r="BR170" s="14"/>
      <c r="BS170" s="14"/>
      <c r="BT170" s="14"/>
      <c r="BU170" s="14"/>
      <c r="BV170" s="14"/>
      <c r="BW170" s="14"/>
      <c r="BX170" s="14"/>
      <c r="BY170" s="14"/>
      <c r="BZ170" s="14"/>
      <c r="CA170" s="14"/>
      <c r="CB170" s="14"/>
      <c r="CC170" s="14"/>
      <c r="CD170" s="14"/>
      <c r="CE170" s="14"/>
      <c r="CF170" s="14"/>
      <c r="CG170" s="14"/>
      <c r="CH170" s="14"/>
      <c r="CI170" s="14"/>
      <c r="CJ170" s="14"/>
      <c r="CK170" s="14"/>
      <c r="CL170" s="14"/>
      <c r="CR170" s="1" t="s">
        <v>152</v>
      </c>
      <c r="CS170" s="1" t="s">
        <v>352</v>
      </c>
      <c r="CT170" s="14"/>
      <c r="CU170" s="1" t="s">
        <v>192</v>
      </c>
      <c r="CV170" s="1" t="s">
        <v>124</v>
      </c>
      <c r="CW170" s="3"/>
      <c r="DG170" s="4"/>
    </row>
    <row r="171" customFormat="false" ht="11.25" hidden="false" customHeight="true" outlineLevel="0" collapsed="false">
      <c r="A171" s="14" t="n">
        <v>170</v>
      </c>
      <c r="B171" s="15" t="n">
        <v>46116.9077633565</v>
      </c>
      <c r="C171" s="15" t="n">
        <v>46116.9139554861</v>
      </c>
      <c r="D171" s="14" t="s">
        <v>1336</v>
      </c>
      <c r="E171" s="14" t="s">
        <v>1337</v>
      </c>
      <c r="F171" s="14" t="s">
        <v>1337</v>
      </c>
      <c r="G171" s="14" t="s">
        <v>1338</v>
      </c>
      <c r="H171" s="15" t="n">
        <v>46108</v>
      </c>
      <c r="I171" s="15" t="s">
        <v>107</v>
      </c>
      <c r="J171" s="14" t="s">
        <v>108</v>
      </c>
      <c r="K171" s="14" t="s">
        <v>173</v>
      </c>
      <c r="L171" s="14" t="s">
        <v>389</v>
      </c>
      <c r="M171" s="14" t="s">
        <v>111</v>
      </c>
      <c r="N171" s="14" t="s">
        <v>112</v>
      </c>
      <c r="O171" s="14" t="s">
        <v>113</v>
      </c>
      <c r="P171" s="14" t="s">
        <v>279</v>
      </c>
      <c r="Q171" s="14" t="s">
        <v>1224</v>
      </c>
      <c r="R171" s="14"/>
      <c r="S171" s="14"/>
      <c r="T171" s="14"/>
      <c r="U171" s="14" t="s">
        <v>21</v>
      </c>
      <c r="V171" s="14" t="s">
        <v>457</v>
      </c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 t="s">
        <v>679</v>
      </c>
      <c r="AN171" s="14" t="s">
        <v>933</v>
      </c>
      <c r="AO171" s="14" t="s">
        <v>681</v>
      </c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  <c r="BY171" s="14"/>
      <c r="BZ171" s="14"/>
      <c r="CA171" s="14"/>
      <c r="CB171" s="14"/>
      <c r="CC171" s="14"/>
      <c r="CD171" s="14"/>
      <c r="CE171" s="14"/>
      <c r="CF171" s="14"/>
      <c r="CG171" s="14"/>
      <c r="CH171" s="14"/>
      <c r="CI171" s="14"/>
      <c r="CJ171" s="14"/>
      <c r="CK171" s="14"/>
      <c r="CL171" s="14"/>
      <c r="CR171" s="1" t="s">
        <v>152</v>
      </c>
      <c r="CS171" s="1" t="s">
        <v>180</v>
      </c>
      <c r="CT171" s="14" t="s">
        <v>122</v>
      </c>
      <c r="CU171" s="1" t="s">
        <v>192</v>
      </c>
      <c r="CV171" s="1" t="s">
        <v>168</v>
      </c>
      <c r="CW171" s="3"/>
      <c r="DG171" s="4"/>
    </row>
    <row r="172" customFormat="false" ht="11.25" hidden="false" customHeight="true" outlineLevel="0" collapsed="false">
      <c r="A172" s="14" t="n">
        <v>171</v>
      </c>
      <c r="B172" s="15" t="n">
        <v>46138.1627695023</v>
      </c>
      <c r="C172" s="15" t="n">
        <v>46138.1740310764</v>
      </c>
      <c r="D172" s="14" t="s">
        <v>1339</v>
      </c>
      <c r="E172" s="14" t="s">
        <v>1340</v>
      </c>
      <c r="F172" s="14" t="s">
        <v>1340</v>
      </c>
      <c r="G172" s="14" t="s">
        <v>1341</v>
      </c>
      <c r="H172" s="15" t="n">
        <v>46129</v>
      </c>
      <c r="I172" s="15" t="s">
        <v>244</v>
      </c>
      <c r="J172" s="14" t="s">
        <v>295</v>
      </c>
      <c r="K172" s="14" t="s">
        <v>364</v>
      </c>
      <c r="L172" s="14" t="s">
        <v>296</v>
      </c>
      <c r="M172" s="14" t="s">
        <v>111</v>
      </c>
      <c r="N172" s="14" t="s">
        <v>112</v>
      </c>
      <c r="O172" s="14" t="s">
        <v>113</v>
      </c>
      <c r="P172" s="14" t="s">
        <v>326</v>
      </c>
      <c r="Q172" s="14" t="s">
        <v>508</v>
      </c>
      <c r="R172" s="14"/>
      <c r="S172" s="14"/>
      <c r="T172" s="14"/>
      <c r="U172" s="14" t="s">
        <v>22</v>
      </c>
      <c r="V172" s="14"/>
      <c r="W172" s="14" t="s">
        <v>339</v>
      </c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 t="s">
        <v>1342</v>
      </c>
      <c r="BO172" s="14" t="s">
        <v>252</v>
      </c>
      <c r="BP172" s="14" t="s">
        <v>1343</v>
      </c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/>
      <c r="CC172" s="14"/>
      <c r="CD172" s="14"/>
      <c r="CE172" s="14"/>
      <c r="CF172" s="14"/>
      <c r="CG172" s="14"/>
      <c r="CH172" s="14"/>
      <c r="CI172" s="14"/>
      <c r="CJ172" s="14"/>
      <c r="CK172" s="14"/>
      <c r="CL172" s="14"/>
      <c r="CR172" s="1" t="s">
        <v>120</v>
      </c>
      <c r="CS172" s="1" t="s">
        <v>121</v>
      </c>
      <c r="CT172" s="14" t="s">
        <v>122</v>
      </c>
      <c r="CU172" s="1" t="s">
        <v>192</v>
      </c>
      <c r="CV172" s="1" t="s">
        <v>124</v>
      </c>
      <c r="CW172" s="3"/>
      <c r="DG172" s="4"/>
    </row>
    <row r="173" customFormat="false" ht="11.25" hidden="false" customHeight="true" outlineLevel="0" collapsed="false">
      <c r="A173" s="14" t="n">
        <v>172</v>
      </c>
      <c r="B173" s="15" t="n">
        <v>46091.8718071412</v>
      </c>
      <c r="C173" s="15" t="n">
        <v>46091.8752677894</v>
      </c>
      <c r="D173" s="14" t="s">
        <v>1344</v>
      </c>
      <c r="E173" s="14" t="s">
        <v>1345</v>
      </c>
      <c r="F173" s="14" t="s">
        <v>1345</v>
      </c>
      <c r="G173" s="14" t="s">
        <v>1346</v>
      </c>
      <c r="H173" s="15" t="n">
        <v>46072</v>
      </c>
      <c r="I173" s="15" t="s">
        <v>750</v>
      </c>
      <c r="J173" s="14" t="s">
        <v>128</v>
      </c>
      <c r="K173" s="14" t="s">
        <v>1347</v>
      </c>
      <c r="L173" s="14" t="s">
        <v>144</v>
      </c>
      <c r="M173" s="14" t="s">
        <v>111</v>
      </c>
      <c r="N173" s="14" t="s">
        <v>112</v>
      </c>
      <c r="O173" s="14" t="s">
        <v>113</v>
      </c>
      <c r="P173" s="14" t="s">
        <v>1313</v>
      </c>
      <c r="Q173" s="14" t="s">
        <v>1094</v>
      </c>
      <c r="R173" s="14"/>
      <c r="S173" s="14"/>
      <c r="T173" s="14"/>
      <c r="U173" s="14" t="s">
        <v>22</v>
      </c>
      <c r="V173" s="14"/>
      <c r="W173" s="14" t="s">
        <v>116</v>
      </c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 t="s">
        <v>1348</v>
      </c>
      <c r="BU173" s="14" t="s">
        <v>602</v>
      </c>
      <c r="BV173" s="14" t="s">
        <v>252</v>
      </c>
      <c r="BW173" s="14"/>
      <c r="BX173" s="14"/>
      <c r="BY173" s="14"/>
      <c r="BZ173" s="14"/>
      <c r="CA173" s="14"/>
      <c r="CB173" s="14"/>
      <c r="CC173" s="14"/>
      <c r="CD173" s="14"/>
      <c r="CE173" s="14"/>
      <c r="CF173" s="14"/>
      <c r="CG173" s="14"/>
      <c r="CH173" s="14"/>
      <c r="CI173" s="14"/>
      <c r="CJ173" s="14"/>
      <c r="CK173" s="14"/>
      <c r="CL173" s="14"/>
      <c r="CR173" s="1" t="s">
        <v>152</v>
      </c>
      <c r="CS173" s="1" t="s">
        <v>121</v>
      </c>
      <c r="CT173" s="14" t="s">
        <v>122</v>
      </c>
      <c r="CU173" s="1" t="s">
        <v>192</v>
      </c>
      <c r="CV173" s="1" t="s">
        <v>139</v>
      </c>
      <c r="CW173" s="3"/>
      <c r="DG173" s="4"/>
    </row>
    <row r="174" customFormat="false" ht="11.25" hidden="false" customHeight="true" outlineLevel="0" collapsed="false">
      <c r="A174" s="14" t="n">
        <v>173</v>
      </c>
      <c r="B174" s="15" t="n">
        <v>46209.8980203819</v>
      </c>
      <c r="C174" s="15" t="n">
        <v>46209.9145134375</v>
      </c>
      <c r="D174" s="14" t="s">
        <v>1349</v>
      </c>
      <c r="E174" s="14" t="s">
        <v>1350</v>
      </c>
      <c r="F174" s="14" t="s">
        <v>1351</v>
      </c>
      <c r="G174" s="14" t="s">
        <v>1352</v>
      </c>
      <c r="H174" s="15" t="n">
        <v>46203</v>
      </c>
      <c r="I174" s="15" t="s">
        <v>244</v>
      </c>
      <c r="J174" s="14" t="s">
        <v>108</v>
      </c>
      <c r="K174" s="14" t="s">
        <v>1353</v>
      </c>
      <c r="L174" s="14" t="s">
        <v>130</v>
      </c>
      <c r="M174" s="14" t="s">
        <v>111</v>
      </c>
      <c r="N174" s="14" t="s">
        <v>112</v>
      </c>
      <c r="O174" s="14" t="s">
        <v>113</v>
      </c>
      <c r="P174" s="14" t="s">
        <v>594</v>
      </c>
      <c r="Q174" s="14" t="s">
        <v>905</v>
      </c>
      <c r="R174" s="14"/>
      <c r="S174" s="14"/>
      <c r="T174" s="14"/>
      <c r="U174" s="14" t="s">
        <v>22</v>
      </c>
      <c r="V174" s="14"/>
      <c r="W174" s="14" t="s">
        <v>135</v>
      </c>
      <c r="X174" s="14"/>
      <c r="Y174" s="14"/>
      <c r="Z174" s="14"/>
      <c r="AA174" s="14" t="s">
        <v>366</v>
      </c>
      <c r="AB174" s="14" t="s">
        <v>1354</v>
      </c>
      <c r="AC174" s="14" t="s">
        <v>1355</v>
      </c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  <c r="BY174" s="14"/>
      <c r="BZ174" s="14"/>
      <c r="CA174" s="14"/>
      <c r="CB174" s="14"/>
      <c r="CC174" s="14"/>
      <c r="CD174" s="14"/>
      <c r="CE174" s="14"/>
      <c r="CF174" s="14"/>
      <c r="CG174" s="14"/>
      <c r="CH174" s="14"/>
      <c r="CI174" s="14"/>
      <c r="CJ174" s="14"/>
      <c r="CK174" s="14"/>
      <c r="CL174" s="14"/>
      <c r="CR174" s="1" t="s">
        <v>120</v>
      </c>
      <c r="CS174" s="1" t="s">
        <v>121</v>
      </c>
      <c r="CT174" s="14" t="s">
        <v>153</v>
      </c>
      <c r="CU174" s="1" t="s">
        <v>167</v>
      </c>
      <c r="CV174" s="1" t="s">
        <v>124</v>
      </c>
      <c r="CW174" s="3"/>
      <c r="DG174" s="4"/>
    </row>
    <row r="175" customFormat="false" ht="11.25" hidden="false" customHeight="true" outlineLevel="0" collapsed="false">
      <c r="A175" s="14" t="n">
        <v>174</v>
      </c>
      <c r="B175" s="15" t="n">
        <v>46165.6587112963</v>
      </c>
      <c r="C175" s="15" t="n">
        <v>46165.6724497222</v>
      </c>
      <c r="D175" s="14" t="s">
        <v>1356</v>
      </c>
      <c r="E175" s="14" t="s">
        <v>1357</v>
      </c>
      <c r="F175" s="14" t="s">
        <v>1357</v>
      </c>
      <c r="G175" s="14" t="s">
        <v>1358</v>
      </c>
      <c r="H175" s="15" t="n">
        <v>46155</v>
      </c>
      <c r="I175" s="15" t="s">
        <v>244</v>
      </c>
      <c r="J175" s="14" t="s">
        <v>108</v>
      </c>
      <c r="K175" s="14" t="s">
        <v>257</v>
      </c>
      <c r="L175" s="14" t="s">
        <v>491</v>
      </c>
      <c r="M175" s="14" t="s">
        <v>111</v>
      </c>
      <c r="N175" s="14" t="s">
        <v>112</v>
      </c>
      <c r="O175" s="14" t="s">
        <v>132</v>
      </c>
      <c r="P175" s="14" t="s">
        <v>612</v>
      </c>
      <c r="Q175" s="14" t="s">
        <v>1323</v>
      </c>
      <c r="R175" s="14"/>
      <c r="S175" s="14"/>
      <c r="T175" s="14"/>
      <c r="U175" s="14" t="s">
        <v>22</v>
      </c>
      <c r="V175" s="14"/>
      <c r="W175" s="14" t="s">
        <v>298</v>
      </c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 t="s">
        <v>1359</v>
      </c>
      <c r="AW175" s="14" t="s">
        <v>967</v>
      </c>
      <c r="AX175" s="14" t="s">
        <v>1360</v>
      </c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  <c r="BY175" s="14"/>
      <c r="BZ175" s="14"/>
      <c r="CA175" s="14"/>
      <c r="CB175" s="14"/>
      <c r="CC175" s="14"/>
      <c r="CD175" s="14"/>
      <c r="CE175" s="14"/>
      <c r="CF175" s="14"/>
      <c r="CG175" s="14"/>
      <c r="CH175" s="14"/>
      <c r="CI175" s="14"/>
      <c r="CJ175" s="14"/>
      <c r="CK175" s="14"/>
      <c r="CL175" s="14"/>
      <c r="CR175" s="1" t="s">
        <v>152</v>
      </c>
      <c r="CS175" s="1" t="s">
        <v>121</v>
      </c>
      <c r="CT175" s="14" t="s">
        <v>1361</v>
      </c>
      <c r="CU175" s="1" t="s">
        <v>192</v>
      </c>
      <c r="CV175" s="1" t="s">
        <v>139</v>
      </c>
      <c r="CW175" s="3"/>
      <c r="DG175" s="4"/>
    </row>
    <row r="176" customFormat="false" ht="11.25" hidden="false" customHeight="true" outlineLevel="0" collapsed="false">
      <c r="A176" s="14" t="n">
        <v>175</v>
      </c>
      <c r="B176" s="15" t="n">
        <v>46119.4896883796</v>
      </c>
      <c r="C176" s="15" t="n">
        <v>46119.5096768056</v>
      </c>
      <c r="D176" s="14" t="s">
        <v>1362</v>
      </c>
      <c r="E176" s="14" t="s">
        <v>1363</v>
      </c>
      <c r="F176" s="14" t="s">
        <v>1363</v>
      </c>
      <c r="G176" s="14" t="s">
        <v>1364</v>
      </c>
      <c r="H176" s="15" t="n">
        <v>46117</v>
      </c>
      <c r="I176" s="15" t="s">
        <v>172</v>
      </c>
      <c r="J176" s="14" t="s">
        <v>108</v>
      </c>
      <c r="K176" s="14" t="s">
        <v>364</v>
      </c>
      <c r="L176" s="14" t="s">
        <v>286</v>
      </c>
      <c r="M176" s="14" t="s">
        <v>111</v>
      </c>
      <c r="N176" s="14" t="s">
        <v>112</v>
      </c>
      <c r="O176" s="14" t="s">
        <v>305</v>
      </c>
      <c r="P176" s="14" t="s">
        <v>477</v>
      </c>
      <c r="Q176" s="14" t="s">
        <v>1050</v>
      </c>
      <c r="R176" s="14"/>
      <c r="S176" s="14"/>
      <c r="T176" s="14"/>
      <c r="U176" s="14" t="s">
        <v>22</v>
      </c>
      <c r="V176" s="14"/>
      <c r="W176" s="14" t="s">
        <v>148</v>
      </c>
      <c r="X176" s="14"/>
      <c r="Y176" s="14"/>
      <c r="Z176" s="14"/>
      <c r="AA176" s="14"/>
      <c r="AB176" s="14"/>
      <c r="AC176" s="14"/>
      <c r="AD176" s="14" t="s">
        <v>1365</v>
      </c>
      <c r="AE176" s="14" t="s">
        <v>1366</v>
      </c>
      <c r="AF176" s="14" t="s">
        <v>1367</v>
      </c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  <c r="BY176" s="14"/>
      <c r="BZ176" s="14"/>
      <c r="CA176" s="14"/>
      <c r="CB176" s="14"/>
      <c r="CC176" s="14"/>
      <c r="CD176" s="14"/>
      <c r="CE176" s="14"/>
      <c r="CF176" s="14"/>
      <c r="CG176" s="14"/>
      <c r="CH176" s="14"/>
      <c r="CI176" s="14"/>
      <c r="CJ176" s="14"/>
      <c r="CK176" s="14"/>
      <c r="CL176" s="14"/>
      <c r="CR176" s="1" t="s">
        <v>152</v>
      </c>
      <c r="CS176" s="1" t="s">
        <v>121</v>
      </c>
      <c r="CT176" s="14" t="s">
        <v>122</v>
      </c>
      <c r="CU176" s="1" t="s">
        <v>167</v>
      </c>
      <c r="CV176" s="1" t="s">
        <v>124</v>
      </c>
      <c r="CW176" s="3"/>
      <c r="DG176" s="4"/>
    </row>
    <row r="177" customFormat="false" ht="11.25" hidden="false" customHeight="true" outlineLevel="0" collapsed="false">
      <c r="A177" s="14" t="n">
        <v>176</v>
      </c>
      <c r="B177" s="15" t="n">
        <v>46152.4064497222</v>
      </c>
      <c r="C177" s="15" t="n">
        <v>46152.4255006482</v>
      </c>
      <c r="D177" s="14" t="s">
        <v>1368</v>
      </c>
      <c r="E177" s="14" t="s">
        <v>1369</v>
      </c>
      <c r="F177" s="14" t="s">
        <v>1370</v>
      </c>
      <c r="G177" s="14" t="s">
        <v>1371</v>
      </c>
      <c r="H177" s="15" t="n">
        <v>46143</v>
      </c>
      <c r="I177" s="15" t="s">
        <v>244</v>
      </c>
      <c r="J177" s="14" t="s">
        <v>108</v>
      </c>
      <c r="K177" s="14" t="s">
        <v>1372</v>
      </c>
      <c r="L177" s="14" t="s">
        <v>130</v>
      </c>
      <c r="M177" s="14" t="s">
        <v>111</v>
      </c>
      <c r="N177" s="14" t="s">
        <v>112</v>
      </c>
      <c r="O177" s="14" t="s">
        <v>113</v>
      </c>
      <c r="P177" s="14" t="s">
        <v>566</v>
      </c>
      <c r="Q177" s="14" t="s">
        <v>357</v>
      </c>
      <c r="R177" s="14"/>
      <c r="S177" s="14"/>
      <c r="T177" s="14"/>
      <c r="U177" s="14" t="s">
        <v>22</v>
      </c>
      <c r="V177" s="14"/>
      <c r="W177" s="14" t="s">
        <v>715</v>
      </c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 t="s">
        <v>1373</v>
      </c>
      <c r="BI177" s="14" t="s">
        <v>1374</v>
      </c>
      <c r="BJ177" s="14" t="s">
        <v>1375</v>
      </c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/>
      <c r="CD177" s="14"/>
      <c r="CE177" s="14"/>
      <c r="CF177" s="14"/>
      <c r="CG177" s="14"/>
      <c r="CH177" s="14"/>
      <c r="CI177" s="14"/>
      <c r="CJ177" s="14"/>
      <c r="CK177" s="14"/>
      <c r="CL177" s="14"/>
      <c r="CR177" s="1" t="s">
        <v>152</v>
      </c>
      <c r="CS177" s="1" t="s">
        <v>228</v>
      </c>
      <c r="CT177" s="14" t="s">
        <v>1376</v>
      </c>
      <c r="CU177" s="1" t="s">
        <v>123</v>
      </c>
      <c r="CV177" s="1" t="s">
        <v>124</v>
      </c>
      <c r="CW177" s="3"/>
      <c r="DG177" s="4"/>
    </row>
    <row r="178" customFormat="false" ht="11.25" hidden="false" customHeight="true" outlineLevel="0" collapsed="false">
      <c r="A178" s="14" t="n">
        <v>177</v>
      </c>
      <c r="B178" s="15" t="n">
        <v>46215.8484433449</v>
      </c>
      <c r="C178" s="15" t="n">
        <v>46215.8529109375</v>
      </c>
      <c r="D178" s="14" t="s">
        <v>1377</v>
      </c>
      <c r="E178" s="14" t="s">
        <v>1378</v>
      </c>
      <c r="F178" s="14" t="s">
        <v>1378</v>
      </c>
      <c r="G178" s="14" t="s">
        <v>1379</v>
      </c>
      <c r="H178" s="15" t="n">
        <v>46214</v>
      </c>
      <c r="I178" s="15" t="s">
        <v>107</v>
      </c>
      <c r="J178" s="14" t="s">
        <v>108</v>
      </c>
      <c r="K178" s="14" t="s">
        <v>364</v>
      </c>
      <c r="L178" s="14" t="s">
        <v>296</v>
      </c>
      <c r="M178" s="14" t="s">
        <v>111</v>
      </c>
      <c r="N178" s="14" t="s">
        <v>112</v>
      </c>
      <c r="O178" s="14" t="s">
        <v>132</v>
      </c>
      <c r="P178" s="14" t="s">
        <v>1380</v>
      </c>
      <c r="Q178" s="14" t="s">
        <v>1381</v>
      </c>
      <c r="R178" s="14"/>
      <c r="S178" s="14"/>
      <c r="T178" s="14"/>
      <c r="U178" s="14" t="s">
        <v>22</v>
      </c>
      <c r="V178" s="14"/>
      <c r="W178" s="14" t="s">
        <v>116</v>
      </c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4"/>
      <c r="BT178" s="14" t="s">
        <v>886</v>
      </c>
      <c r="BU178" s="14" t="s">
        <v>252</v>
      </c>
      <c r="BV178" s="14" t="s">
        <v>526</v>
      </c>
      <c r="BW178" s="14"/>
      <c r="BX178" s="14"/>
      <c r="BY178" s="14"/>
      <c r="BZ178" s="14"/>
      <c r="CA178" s="14"/>
      <c r="CB178" s="14"/>
      <c r="CC178" s="14"/>
      <c r="CD178" s="14"/>
      <c r="CE178" s="14"/>
      <c r="CF178" s="14"/>
      <c r="CG178" s="14"/>
      <c r="CH178" s="14"/>
      <c r="CI178" s="14"/>
      <c r="CJ178" s="14"/>
      <c r="CK178" s="14"/>
      <c r="CL178" s="14"/>
      <c r="CR178" s="1" t="s">
        <v>152</v>
      </c>
      <c r="CS178" s="1" t="s">
        <v>180</v>
      </c>
      <c r="CT178" s="14" t="s">
        <v>562</v>
      </c>
      <c r="CU178" s="1" t="s">
        <v>123</v>
      </c>
      <c r="CV178" s="1" t="s">
        <v>124</v>
      </c>
      <c r="CW178" s="3"/>
      <c r="DG178" s="4"/>
    </row>
    <row r="179" customFormat="false" ht="11.25" hidden="false" customHeight="true" outlineLevel="0" collapsed="false">
      <c r="A179" s="14" t="n">
        <v>178</v>
      </c>
      <c r="B179" s="15" t="n">
        <v>46172.5809402546</v>
      </c>
      <c r="C179" s="15" t="n">
        <v>46172.5916115509</v>
      </c>
      <c r="D179" s="14" t="s">
        <v>1382</v>
      </c>
      <c r="E179" s="14" t="s">
        <v>1383</v>
      </c>
      <c r="F179" s="14" t="s">
        <v>1383</v>
      </c>
      <c r="G179" s="14" t="s">
        <v>1384</v>
      </c>
      <c r="H179" s="15" t="n">
        <v>46162</v>
      </c>
      <c r="I179" s="15" t="s">
        <v>278</v>
      </c>
      <c r="J179" s="14" t="s">
        <v>128</v>
      </c>
      <c r="K179" s="14" t="s">
        <v>173</v>
      </c>
      <c r="L179" s="14" t="s">
        <v>110</v>
      </c>
      <c r="M179" s="14" t="s">
        <v>111</v>
      </c>
      <c r="N179" s="14" t="s">
        <v>112</v>
      </c>
      <c r="O179" s="14" t="s">
        <v>113</v>
      </c>
      <c r="P179" s="14" t="s">
        <v>944</v>
      </c>
      <c r="Q179" s="14" t="s">
        <v>440</v>
      </c>
      <c r="R179" s="14"/>
      <c r="S179" s="14" t="s">
        <v>441</v>
      </c>
      <c r="T179" s="14"/>
      <c r="U179" s="14" t="s">
        <v>23</v>
      </c>
      <c r="V179" s="14"/>
      <c r="W179" s="14"/>
      <c r="X179" s="14" t="s">
        <v>442</v>
      </c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14"/>
      <c r="CE179" s="14"/>
      <c r="CF179" s="14"/>
      <c r="CG179" s="14"/>
      <c r="CH179" s="14"/>
      <c r="CI179" s="14"/>
      <c r="CJ179" s="14"/>
      <c r="CK179" s="14"/>
      <c r="CL179" s="14"/>
      <c r="CR179" s="1" t="s">
        <v>152</v>
      </c>
      <c r="CS179" s="1" t="s">
        <v>352</v>
      </c>
      <c r="CT179" s="14" t="s">
        <v>122</v>
      </c>
      <c r="CU179" s="1" t="s">
        <v>123</v>
      </c>
      <c r="CV179" s="1" t="s">
        <v>124</v>
      </c>
      <c r="CW179" s="3"/>
      <c r="DG179" s="4"/>
    </row>
    <row r="180" customFormat="false" ht="11.25" hidden="false" customHeight="true" outlineLevel="0" collapsed="false">
      <c r="A180" s="14" t="n">
        <v>179</v>
      </c>
      <c r="B180" s="15" t="n">
        <v>46160.4673561227</v>
      </c>
      <c r="C180" s="15" t="n">
        <v>46160.4745204745</v>
      </c>
      <c r="D180" s="14" t="s">
        <v>1385</v>
      </c>
      <c r="E180" s="14" t="s">
        <v>1386</v>
      </c>
      <c r="F180" s="14" t="s">
        <v>1386</v>
      </c>
      <c r="G180" s="14" t="s">
        <v>1387</v>
      </c>
      <c r="H180" s="15" t="n">
        <v>46145</v>
      </c>
      <c r="I180" s="15" t="s">
        <v>172</v>
      </c>
      <c r="J180" s="14" t="s">
        <v>108</v>
      </c>
      <c r="K180" s="14" t="s">
        <v>245</v>
      </c>
      <c r="L180" s="14" t="s">
        <v>159</v>
      </c>
      <c r="M180" s="14" t="s">
        <v>111</v>
      </c>
      <c r="N180" s="14" t="s">
        <v>112</v>
      </c>
      <c r="O180" s="14" t="s">
        <v>113</v>
      </c>
      <c r="P180" s="14" t="s">
        <v>1388</v>
      </c>
      <c r="Q180" s="14" t="s">
        <v>775</v>
      </c>
      <c r="R180" s="14"/>
      <c r="S180" s="14"/>
      <c r="T180" s="14"/>
      <c r="U180" s="14" t="s">
        <v>22</v>
      </c>
      <c r="V180" s="14"/>
      <c r="W180" s="14" t="s">
        <v>381</v>
      </c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 t="s">
        <v>1389</v>
      </c>
      <c r="BR180" s="14" t="s">
        <v>1250</v>
      </c>
      <c r="BS180" s="14" t="s">
        <v>1390</v>
      </c>
      <c r="BT180" s="14"/>
      <c r="BU180" s="14"/>
      <c r="BV180" s="14"/>
      <c r="BW180" s="14"/>
      <c r="BX180" s="14"/>
      <c r="BY180" s="14"/>
      <c r="BZ180" s="14"/>
      <c r="CA180" s="14"/>
      <c r="CB180" s="14"/>
      <c r="CC180" s="14"/>
      <c r="CD180" s="14"/>
      <c r="CE180" s="14"/>
      <c r="CF180" s="14"/>
      <c r="CG180" s="14"/>
      <c r="CH180" s="14"/>
      <c r="CI180" s="14"/>
      <c r="CJ180" s="14"/>
      <c r="CK180" s="14"/>
      <c r="CL180" s="14"/>
      <c r="CR180" s="1" t="s">
        <v>227</v>
      </c>
      <c r="CS180" s="1" t="s">
        <v>121</v>
      </c>
      <c r="CT180" s="14" t="s">
        <v>122</v>
      </c>
      <c r="CU180" s="1" t="s">
        <v>192</v>
      </c>
      <c r="CV180" s="1" t="s">
        <v>124</v>
      </c>
      <c r="CW180" s="3"/>
      <c r="DG180" s="4"/>
    </row>
    <row r="181" customFormat="false" ht="11.25" hidden="false" customHeight="true" outlineLevel="0" collapsed="false">
      <c r="A181" s="14" t="n">
        <v>180</v>
      </c>
      <c r="B181" s="15" t="n">
        <v>46179.1103691551</v>
      </c>
      <c r="C181" s="15" t="n">
        <v>46179.1311214699</v>
      </c>
      <c r="D181" s="14" t="s">
        <v>1391</v>
      </c>
      <c r="E181" s="14" t="s">
        <v>1392</v>
      </c>
      <c r="F181" s="14" t="s">
        <v>1392</v>
      </c>
      <c r="G181" s="14" t="s">
        <v>1393</v>
      </c>
      <c r="H181" s="15" t="n">
        <v>46159</v>
      </c>
      <c r="I181" s="15" t="s">
        <v>278</v>
      </c>
      <c r="J181" s="14" t="s">
        <v>295</v>
      </c>
      <c r="K181" s="14" t="s">
        <v>196</v>
      </c>
      <c r="L181" s="14" t="s">
        <v>130</v>
      </c>
      <c r="M181" s="14" t="s">
        <v>111</v>
      </c>
      <c r="N181" s="14" t="s">
        <v>112</v>
      </c>
      <c r="O181" s="14" t="s">
        <v>113</v>
      </c>
      <c r="P181" s="14" t="s">
        <v>594</v>
      </c>
      <c r="Q181" s="14" t="s">
        <v>147</v>
      </c>
      <c r="R181" s="14"/>
      <c r="S181" s="14"/>
      <c r="T181" s="14"/>
      <c r="U181" s="14" t="s">
        <v>22</v>
      </c>
      <c r="V181" s="14"/>
      <c r="W181" s="14" t="s">
        <v>715</v>
      </c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 t="s">
        <v>1394</v>
      </c>
      <c r="BI181" s="14" t="s">
        <v>992</v>
      </c>
      <c r="BJ181" s="14" t="s">
        <v>718</v>
      </c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4"/>
      <c r="CI181" s="14"/>
      <c r="CJ181" s="14"/>
      <c r="CK181" s="14"/>
      <c r="CL181" s="14"/>
      <c r="CR181" s="1" t="s">
        <v>152</v>
      </c>
      <c r="CS181" s="1" t="s">
        <v>264</v>
      </c>
      <c r="CT181" s="14" t="s">
        <v>1395</v>
      </c>
      <c r="CU181" s="1" t="s">
        <v>192</v>
      </c>
      <c r="CV181" s="1" t="s">
        <v>168</v>
      </c>
      <c r="CW181" s="3"/>
      <c r="DG181" s="4"/>
    </row>
    <row r="182" customFormat="false" ht="11.25" hidden="false" customHeight="true" outlineLevel="0" collapsed="false">
      <c r="A182" s="14" t="n">
        <v>181</v>
      </c>
      <c r="B182" s="15" t="n">
        <v>46112.407216412</v>
      </c>
      <c r="C182" s="15" t="n">
        <v>46112.4141724306</v>
      </c>
      <c r="D182" s="14" t="s">
        <v>1396</v>
      </c>
      <c r="E182" s="14" t="s">
        <v>1397</v>
      </c>
      <c r="F182" s="14" t="s">
        <v>1397</v>
      </c>
      <c r="G182" s="14" t="s">
        <v>1398</v>
      </c>
      <c r="H182" s="15" t="n">
        <v>46100</v>
      </c>
      <c r="I182" s="15" t="s">
        <v>244</v>
      </c>
      <c r="J182" s="14" t="s">
        <v>295</v>
      </c>
      <c r="K182" s="14" t="s">
        <v>245</v>
      </c>
      <c r="L182" s="14" t="s">
        <v>286</v>
      </c>
      <c r="M182" s="14" t="s">
        <v>111</v>
      </c>
      <c r="N182" s="14" t="s">
        <v>112</v>
      </c>
      <c r="O182" s="14" t="s">
        <v>113</v>
      </c>
      <c r="P182" s="14" t="s">
        <v>212</v>
      </c>
      <c r="Q182" s="14" t="s">
        <v>1144</v>
      </c>
      <c r="R182" s="14"/>
      <c r="S182" s="14"/>
      <c r="T182" s="14"/>
      <c r="U182" s="14" t="s">
        <v>24</v>
      </c>
      <c r="V182" s="14"/>
      <c r="W182" s="14"/>
      <c r="X182" s="14"/>
      <c r="Y182" s="14" t="s">
        <v>223</v>
      </c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  <c r="BZ182" s="14" t="s">
        <v>1399</v>
      </c>
      <c r="CA182" s="14" t="s">
        <v>1400</v>
      </c>
      <c r="CB182" s="14" t="s">
        <v>634</v>
      </c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R182" s="1" t="s">
        <v>120</v>
      </c>
      <c r="CS182" s="1" t="s">
        <v>121</v>
      </c>
      <c r="CT182" s="14" t="s">
        <v>994</v>
      </c>
      <c r="CU182" s="1" t="s">
        <v>123</v>
      </c>
      <c r="CV182" s="1" t="s">
        <v>139</v>
      </c>
      <c r="CW182" s="3"/>
      <c r="DG182" s="4"/>
    </row>
    <row r="183" customFormat="false" ht="11.25" hidden="false" customHeight="true" outlineLevel="0" collapsed="false">
      <c r="A183" s="14" t="n">
        <v>182</v>
      </c>
      <c r="B183" s="15" t="n">
        <v>46064.8236795139</v>
      </c>
      <c r="C183" s="15" t="n">
        <v>46064.8358670139</v>
      </c>
      <c r="D183" s="14" t="s">
        <v>1401</v>
      </c>
      <c r="E183" s="14" t="s">
        <v>1402</v>
      </c>
      <c r="F183" s="14" t="s">
        <v>1402</v>
      </c>
      <c r="G183" s="14" t="s">
        <v>1403</v>
      </c>
      <c r="H183" s="15" t="n">
        <v>46051</v>
      </c>
      <c r="I183" s="15" t="s">
        <v>244</v>
      </c>
      <c r="J183" s="14" t="s">
        <v>108</v>
      </c>
      <c r="K183" s="14" t="s">
        <v>196</v>
      </c>
      <c r="L183" s="14" t="s">
        <v>210</v>
      </c>
      <c r="M183" s="14" t="s">
        <v>111</v>
      </c>
      <c r="N183" s="14" t="s">
        <v>112</v>
      </c>
      <c r="O183" s="14" t="s">
        <v>113</v>
      </c>
      <c r="P183" s="14" t="s">
        <v>133</v>
      </c>
      <c r="Q183" s="14" t="s">
        <v>567</v>
      </c>
      <c r="R183" s="14"/>
      <c r="S183" s="14"/>
      <c r="T183" s="14"/>
      <c r="U183" s="14" t="s">
        <v>24</v>
      </c>
      <c r="V183" s="14"/>
      <c r="W183" s="14"/>
      <c r="X183" s="14"/>
      <c r="Y183" s="14" t="s">
        <v>223</v>
      </c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  <c r="BY183" s="14"/>
      <c r="BZ183" s="14" t="s">
        <v>281</v>
      </c>
      <c r="CA183" s="14" t="s">
        <v>1404</v>
      </c>
      <c r="CB183" s="14" t="s">
        <v>1405</v>
      </c>
      <c r="CC183" s="14"/>
      <c r="CD183" s="14"/>
      <c r="CE183" s="14"/>
      <c r="CF183" s="14"/>
      <c r="CG183" s="14"/>
      <c r="CH183" s="14"/>
      <c r="CI183" s="14"/>
      <c r="CJ183" s="14"/>
      <c r="CK183" s="14"/>
      <c r="CL183" s="14"/>
      <c r="CR183" s="1" t="s">
        <v>152</v>
      </c>
      <c r="CS183" s="1" t="s">
        <v>1406</v>
      </c>
      <c r="CT183" s="14" t="s">
        <v>122</v>
      </c>
      <c r="CU183" s="1" t="s">
        <v>192</v>
      </c>
      <c r="CV183" s="1" t="s">
        <v>168</v>
      </c>
      <c r="CW183" s="3"/>
      <c r="DG183" s="4"/>
    </row>
    <row r="184" customFormat="false" ht="11.25" hidden="false" customHeight="true" outlineLevel="0" collapsed="false">
      <c r="A184" s="14" t="n">
        <v>183</v>
      </c>
      <c r="B184" s="15" t="n">
        <v>46124.632490787</v>
      </c>
      <c r="C184" s="15" t="n">
        <v>46124.6462755093</v>
      </c>
      <c r="D184" s="14" t="s">
        <v>1407</v>
      </c>
      <c r="E184" s="14" t="s">
        <v>1408</v>
      </c>
      <c r="F184" s="14" t="s">
        <v>1409</v>
      </c>
      <c r="G184" s="14" t="s">
        <v>1410</v>
      </c>
      <c r="H184" s="15" t="n">
        <v>46109</v>
      </c>
      <c r="I184" s="15" t="s">
        <v>244</v>
      </c>
      <c r="J184" s="14" t="s">
        <v>295</v>
      </c>
      <c r="K184" s="14" t="s">
        <v>232</v>
      </c>
      <c r="L184" s="14" t="s">
        <v>197</v>
      </c>
      <c r="M184" s="14" t="s">
        <v>211</v>
      </c>
      <c r="N184" s="14" t="s">
        <v>112</v>
      </c>
      <c r="O184" s="14" t="s">
        <v>113</v>
      </c>
      <c r="P184" s="14" t="s">
        <v>160</v>
      </c>
      <c r="Q184" s="14" t="s">
        <v>899</v>
      </c>
      <c r="R184" s="14"/>
      <c r="S184" s="14"/>
      <c r="T184" s="14" t="s">
        <v>880</v>
      </c>
      <c r="U184" s="14" t="s">
        <v>24</v>
      </c>
      <c r="V184" s="14"/>
      <c r="W184" s="14"/>
      <c r="X184" s="14"/>
      <c r="Y184" s="14" t="s">
        <v>19</v>
      </c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  <c r="BY184" s="14"/>
      <c r="BZ184" s="14"/>
      <c r="CA184" s="14"/>
      <c r="CB184" s="14"/>
      <c r="CC184" s="14"/>
      <c r="CD184" s="14"/>
      <c r="CE184" s="14"/>
      <c r="CF184" s="14"/>
      <c r="CG184" s="14"/>
      <c r="CH184" s="14"/>
      <c r="CI184" s="14"/>
      <c r="CJ184" s="14"/>
      <c r="CK184" s="14"/>
      <c r="CL184" s="14"/>
      <c r="CR184" s="1" t="s">
        <v>152</v>
      </c>
      <c r="CS184" s="1" t="s">
        <v>165</v>
      </c>
      <c r="CT184" s="14" t="s">
        <v>426</v>
      </c>
      <c r="CU184" s="1" t="s">
        <v>123</v>
      </c>
      <c r="CV184" s="1" t="s">
        <v>124</v>
      </c>
      <c r="CW184" s="3"/>
      <c r="DG184" s="4"/>
    </row>
    <row r="185" customFormat="false" ht="11.25" hidden="false" customHeight="true" outlineLevel="0" collapsed="false">
      <c r="A185" s="14" t="n">
        <v>184</v>
      </c>
      <c r="B185" s="15" t="n">
        <v>46155.5100316088</v>
      </c>
      <c r="C185" s="15" t="n">
        <v>46155.5175894792</v>
      </c>
      <c r="D185" s="14" t="s">
        <v>1411</v>
      </c>
      <c r="E185" s="14" t="s">
        <v>1412</v>
      </c>
      <c r="F185" s="14" t="s">
        <v>1412</v>
      </c>
      <c r="G185" s="14" t="s">
        <v>1413</v>
      </c>
      <c r="H185" s="15" t="n">
        <v>46137</v>
      </c>
      <c r="I185" s="15" t="s">
        <v>107</v>
      </c>
      <c r="J185" s="14" t="s">
        <v>108</v>
      </c>
      <c r="K185" s="14" t="s">
        <v>173</v>
      </c>
      <c r="L185" s="14" t="s">
        <v>130</v>
      </c>
      <c r="M185" s="14" t="s">
        <v>111</v>
      </c>
      <c r="N185" s="14" t="s">
        <v>112</v>
      </c>
      <c r="O185" s="14" t="s">
        <v>113</v>
      </c>
      <c r="P185" s="14" t="s">
        <v>447</v>
      </c>
      <c r="Q185" s="14" t="s">
        <v>819</v>
      </c>
      <c r="R185" s="14"/>
      <c r="S185" s="14"/>
      <c r="T185" s="14"/>
      <c r="U185" s="14" t="s">
        <v>22</v>
      </c>
      <c r="V185" s="14"/>
      <c r="W185" s="14" t="s">
        <v>715</v>
      </c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 t="s">
        <v>1394</v>
      </c>
      <c r="BI185" s="14" t="s">
        <v>992</v>
      </c>
      <c r="BJ185" s="14" t="s">
        <v>732</v>
      </c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14"/>
      <c r="BZ185" s="14"/>
      <c r="CA185" s="14"/>
      <c r="CB185" s="14"/>
      <c r="CC185" s="14"/>
      <c r="CD185" s="14"/>
      <c r="CE185" s="14"/>
      <c r="CF185" s="14"/>
      <c r="CG185" s="14"/>
      <c r="CH185" s="14"/>
      <c r="CI185" s="14"/>
      <c r="CJ185" s="14"/>
      <c r="CK185" s="14"/>
      <c r="CL185" s="14"/>
      <c r="CR185" s="1" t="s">
        <v>120</v>
      </c>
      <c r="CS185" s="1" t="s">
        <v>180</v>
      </c>
      <c r="CT185" s="14"/>
      <c r="CU185" s="1" t="s">
        <v>192</v>
      </c>
      <c r="CV185" s="1" t="s">
        <v>124</v>
      </c>
      <c r="CW185" s="3"/>
      <c r="DG185" s="4"/>
    </row>
    <row r="186" customFormat="false" ht="11.25" hidden="false" customHeight="true" outlineLevel="0" collapsed="false">
      <c r="A186" s="14" t="n">
        <v>185</v>
      </c>
      <c r="B186" s="15" t="n">
        <v>46047.2795379282</v>
      </c>
      <c r="C186" s="15" t="n">
        <v>46047.2829175579</v>
      </c>
      <c r="D186" s="14" t="s">
        <v>1414</v>
      </c>
      <c r="E186" s="14" t="s">
        <v>1415</v>
      </c>
      <c r="F186" s="14" t="s">
        <v>1415</v>
      </c>
      <c r="G186" s="14" t="s">
        <v>1416</v>
      </c>
      <c r="H186" s="15" t="n">
        <v>46043</v>
      </c>
      <c r="I186" s="15" t="s">
        <v>157</v>
      </c>
      <c r="J186" s="14" t="s">
        <v>295</v>
      </c>
      <c r="K186" s="14" t="s">
        <v>245</v>
      </c>
      <c r="L186" s="14" t="s">
        <v>184</v>
      </c>
      <c r="M186" s="14" t="s">
        <v>111</v>
      </c>
      <c r="N186" s="14" t="s">
        <v>145</v>
      </c>
      <c r="O186" s="14" t="s">
        <v>113</v>
      </c>
      <c r="P186" s="14" t="s">
        <v>133</v>
      </c>
      <c r="Q186" s="14" t="s">
        <v>200</v>
      </c>
      <c r="R186" s="14"/>
      <c r="S186" s="14"/>
      <c r="T186" s="14"/>
      <c r="U186" s="14" t="s">
        <v>24</v>
      </c>
      <c r="V186" s="14"/>
      <c r="W186" s="14"/>
      <c r="X186" s="14"/>
      <c r="Y186" s="14" t="s">
        <v>260</v>
      </c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  <c r="BY186" s="14"/>
      <c r="BZ186" s="14"/>
      <c r="CA186" s="14"/>
      <c r="CB186" s="14"/>
      <c r="CC186" s="14"/>
      <c r="CD186" s="14"/>
      <c r="CE186" s="14"/>
      <c r="CF186" s="14" t="s">
        <v>1417</v>
      </c>
      <c r="CG186" s="14" t="s">
        <v>1418</v>
      </c>
      <c r="CH186" s="14" t="s">
        <v>1419</v>
      </c>
      <c r="CI186" s="14"/>
      <c r="CJ186" s="14"/>
      <c r="CK186" s="14"/>
      <c r="CL186" s="14"/>
      <c r="CR186" s="1" t="s">
        <v>152</v>
      </c>
      <c r="CS186" s="1" t="s">
        <v>228</v>
      </c>
      <c r="CT186" s="14" t="s">
        <v>1420</v>
      </c>
      <c r="CU186" s="1" t="s">
        <v>123</v>
      </c>
      <c r="CV186" s="1" t="s">
        <v>124</v>
      </c>
      <c r="CW186" s="3"/>
      <c r="DG186" s="4"/>
    </row>
    <row r="187" customFormat="false" ht="11.25" hidden="false" customHeight="true" outlineLevel="0" collapsed="false">
      <c r="A187" s="14" t="n">
        <v>186</v>
      </c>
      <c r="B187" s="15" t="n">
        <v>46159.7942861806</v>
      </c>
      <c r="C187" s="15" t="n">
        <v>46159.7959528472</v>
      </c>
      <c r="D187" s="14" t="s">
        <v>1421</v>
      </c>
      <c r="E187" s="14" t="s">
        <v>1422</v>
      </c>
      <c r="F187" s="14" t="s">
        <v>1422</v>
      </c>
      <c r="G187" s="14" t="s">
        <v>1423</v>
      </c>
      <c r="H187" s="15" t="n">
        <v>46145</v>
      </c>
      <c r="I187" s="15" t="s">
        <v>172</v>
      </c>
      <c r="J187" s="14" t="s">
        <v>108</v>
      </c>
      <c r="K187" s="14" t="s">
        <v>173</v>
      </c>
      <c r="L187" s="14" t="s">
        <v>114</v>
      </c>
      <c r="M187" s="14" t="s">
        <v>211</v>
      </c>
      <c r="N187" s="14" t="s">
        <v>112</v>
      </c>
      <c r="O187" s="14" t="s">
        <v>336</v>
      </c>
      <c r="P187" s="14" t="s">
        <v>1074</v>
      </c>
      <c r="Q187" s="14" t="s">
        <v>1094</v>
      </c>
      <c r="R187" s="14"/>
      <c r="S187" s="14"/>
      <c r="T187" s="14"/>
      <c r="U187" s="14" t="s">
        <v>24</v>
      </c>
      <c r="V187" s="14"/>
      <c r="W187" s="14"/>
      <c r="X187" s="14"/>
      <c r="Y187" s="14" t="s">
        <v>448</v>
      </c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 t="s">
        <v>1424</v>
      </c>
      <c r="BX187" s="14" t="s">
        <v>1086</v>
      </c>
      <c r="BY187" s="14" t="s">
        <v>1425</v>
      </c>
      <c r="BZ187" s="14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R187" s="1" t="s">
        <v>120</v>
      </c>
      <c r="CS187" s="1" t="s">
        <v>180</v>
      </c>
      <c r="CT187" s="14"/>
      <c r="CU187" s="1" t="s">
        <v>192</v>
      </c>
      <c r="CV187" s="1" t="s">
        <v>124</v>
      </c>
      <c r="CW187" s="3"/>
      <c r="DG187" s="4"/>
    </row>
    <row r="188" customFormat="false" ht="11.25" hidden="false" customHeight="true" outlineLevel="0" collapsed="false">
      <c r="A188" s="14" t="n">
        <v>187</v>
      </c>
      <c r="B188" s="15" t="n">
        <v>46216.2039270602</v>
      </c>
      <c r="C188" s="15" t="n">
        <v>46216.2055937269</v>
      </c>
      <c r="D188" s="14" t="s">
        <v>1426</v>
      </c>
      <c r="E188" s="14" t="s">
        <v>1427</v>
      </c>
      <c r="F188" s="14" t="s">
        <v>1428</v>
      </c>
      <c r="G188" s="14" t="s">
        <v>1429</v>
      </c>
      <c r="H188" s="15" t="n">
        <v>46213</v>
      </c>
      <c r="I188" s="15" t="s">
        <v>244</v>
      </c>
      <c r="J188" s="14" t="s">
        <v>108</v>
      </c>
      <c r="K188" s="14" t="s">
        <v>232</v>
      </c>
      <c r="L188" s="14" t="s">
        <v>286</v>
      </c>
      <c r="M188" s="14" t="s">
        <v>111</v>
      </c>
      <c r="N188" s="14" t="s">
        <v>112</v>
      </c>
      <c r="O188" s="14" t="s">
        <v>113</v>
      </c>
      <c r="P188" s="14" t="s">
        <v>269</v>
      </c>
      <c r="Q188" s="14" t="s">
        <v>775</v>
      </c>
      <c r="R188" s="14"/>
      <c r="S188" s="14"/>
      <c r="T188" s="14"/>
      <c r="U188" s="14" t="s">
        <v>24</v>
      </c>
      <c r="V188" s="14"/>
      <c r="W188" s="14"/>
      <c r="X188" s="14"/>
      <c r="Y188" s="14" t="s">
        <v>223</v>
      </c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  <c r="BY188" s="14"/>
      <c r="BZ188" s="14" t="s">
        <v>1430</v>
      </c>
      <c r="CA188" s="14" t="s">
        <v>1431</v>
      </c>
      <c r="CB188" s="14" t="s">
        <v>1432</v>
      </c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R188" s="1" t="s">
        <v>120</v>
      </c>
      <c r="CS188" s="1" t="s">
        <v>264</v>
      </c>
      <c r="CT188" s="14" t="s">
        <v>122</v>
      </c>
      <c r="CU188" s="1" t="s">
        <v>167</v>
      </c>
      <c r="CV188" s="1" t="s">
        <v>124</v>
      </c>
      <c r="CW188" s="3"/>
      <c r="DG188" s="4"/>
    </row>
    <row r="189" customFormat="false" ht="11.25" hidden="false" customHeight="true" outlineLevel="0" collapsed="false">
      <c r="A189" s="14" t="n">
        <v>188</v>
      </c>
      <c r="B189" s="15" t="n">
        <v>46214.9844156945</v>
      </c>
      <c r="C189" s="15" t="n">
        <v>46215.0009434722</v>
      </c>
      <c r="D189" s="14" t="s">
        <v>1433</v>
      </c>
      <c r="E189" s="14" t="s">
        <v>1434</v>
      </c>
      <c r="F189" s="14" t="s">
        <v>1434</v>
      </c>
      <c r="G189" s="14" t="s">
        <v>1435</v>
      </c>
      <c r="H189" s="15" t="n">
        <v>46206</v>
      </c>
      <c r="I189" s="15" t="s">
        <v>278</v>
      </c>
      <c r="J189" s="14" t="s">
        <v>295</v>
      </c>
      <c r="K189" s="14" t="s">
        <v>257</v>
      </c>
      <c r="L189" s="14" t="s">
        <v>346</v>
      </c>
      <c r="M189" s="14" t="s">
        <v>111</v>
      </c>
      <c r="N189" s="14" t="s">
        <v>112</v>
      </c>
      <c r="O189" s="14" t="s">
        <v>325</v>
      </c>
      <c r="P189" s="14" t="s">
        <v>212</v>
      </c>
      <c r="Q189" s="14" t="s">
        <v>743</v>
      </c>
      <c r="R189" s="14"/>
      <c r="S189" s="14"/>
      <c r="T189" s="14"/>
      <c r="U189" s="14" t="s">
        <v>22</v>
      </c>
      <c r="V189" s="14"/>
      <c r="W189" s="14" t="s">
        <v>135</v>
      </c>
      <c r="X189" s="14"/>
      <c r="Y189" s="14"/>
      <c r="Z189" s="14"/>
      <c r="AA189" s="14" t="s">
        <v>1436</v>
      </c>
      <c r="AB189" s="14" t="s">
        <v>1052</v>
      </c>
      <c r="AC189" s="14" t="s">
        <v>368</v>
      </c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  <c r="BZ189" s="14"/>
      <c r="CA189" s="14"/>
      <c r="CB189" s="14"/>
      <c r="CC189" s="14"/>
      <c r="CD189" s="14"/>
      <c r="CE189" s="14"/>
      <c r="CF189" s="14"/>
      <c r="CG189" s="14"/>
      <c r="CH189" s="14"/>
      <c r="CI189" s="14"/>
      <c r="CJ189" s="14"/>
      <c r="CK189" s="14"/>
      <c r="CL189" s="14"/>
      <c r="CR189" s="1" t="s">
        <v>152</v>
      </c>
      <c r="CS189" s="1" t="s">
        <v>180</v>
      </c>
      <c r="CT189" s="14" t="s">
        <v>122</v>
      </c>
      <c r="CU189" s="1" t="s">
        <v>123</v>
      </c>
      <c r="CV189" s="1" t="s">
        <v>124</v>
      </c>
      <c r="CW189" s="3"/>
      <c r="DG189" s="4"/>
    </row>
    <row r="190" customFormat="false" ht="11.25" hidden="false" customHeight="true" outlineLevel="0" collapsed="false">
      <c r="A190" s="14" t="n">
        <v>189</v>
      </c>
      <c r="B190" s="15" t="n">
        <v>46083.896422882</v>
      </c>
      <c r="C190" s="15" t="n">
        <v>46083.8986335301</v>
      </c>
      <c r="D190" s="14" t="s">
        <v>1437</v>
      </c>
      <c r="E190" s="14" t="s">
        <v>1438</v>
      </c>
      <c r="F190" s="14" t="s">
        <v>1439</v>
      </c>
      <c r="G190" s="14" t="s">
        <v>1440</v>
      </c>
      <c r="H190" s="15" t="n">
        <v>46075</v>
      </c>
      <c r="I190" s="15" t="s">
        <v>278</v>
      </c>
      <c r="J190" s="14" t="s">
        <v>108</v>
      </c>
      <c r="K190" s="14" t="s">
        <v>173</v>
      </c>
      <c r="L190" s="14" t="s">
        <v>197</v>
      </c>
      <c r="M190" s="14" t="s">
        <v>111</v>
      </c>
      <c r="N190" s="14" t="s">
        <v>112</v>
      </c>
      <c r="O190" s="14" t="s">
        <v>325</v>
      </c>
      <c r="P190" s="14" t="s">
        <v>439</v>
      </c>
      <c r="Q190" s="14" t="s">
        <v>1441</v>
      </c>
      <c r="R190" s="14"/>
      <c r="S190" s="14"/>
      <c r="T190" s="14"/>
      <c r="U190" s="14" t="s">
        <v>22</v>
      </c>
      <c r="V190" s="14"/>
      <c r="W190" s="14" t="s">
        <v>116</v>
      </c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4"/>
      <c r="BT190" s="14" t="s">
        <v>1442</v>
      </c>
      <c r="BU190" s="14" t="s">
        <v>887</v>
      </c>
      <c r="BV190" s="14" t="s">
        <v>901</v>
      </c>
      <c r="BW190" s="14"/>
      <c r="BX190" s="14"/>
      <c r="BY190" s="14"/>
      <c r="BZ190" s="14"/>
      <c r="CA190" s="14"/>
      <c r="CB190" s="14"/>
      <c r="CC190" s="14"/>
      <c r="CD190" s="14"/>
      <c r="CE190" s="14"/>
      <c r="CF190" s="14"/>
      <c r="CG190" s="14"/>
      <c r="CH190" s="14"/>
      <c r="CI190" s="14"/>
      <c r="CJ190" s="14"/>
      <c r="CK190" s="14"/>
      <c r="CL190" s="14"/>
      <c r="CR190" s="1" t="s">
        <v>227</v>
      </c>
      <c r="CS190" s="1" t="s">
        <v>496</v>
      </c>
      <c r="CT190" s="14" t="s">
        <v>122</v>
      </c>
      <c r="CU190" s="1" t="s">
        <v>167</v>
      </c>
      <c r="CV190" s="1" t="s">
        <v>124</v>
      </c>
      <c r="CW190" s="3"/>
      <c r="DG190" s="4"/>
    </row>
    <row r="191" customFormat="false" ht="11.25" hidden="false" customHeight="true" outlineLevel="0" collapsed="false">
      <c r="A191" s="14" t="n">
        <v>190</v>
      </c>
      <c r="B191" s="15" t="n">
        <v>46149.9937589815</v>
      </c>
      <c r="C191" s="15" t="n">
        <v>46150.0104835185</v>
      </c>
      <c r="D191" s="14" t="s">
        <v>1443</v>
      </c>
      <c r="E191" s="14" t="s">
        <v>1444</v>
      </c>
      <c r="F191" s="14" t="s">
        <v>1444</v>
      </c>
      <c r="G191" s="14" t="s">
        <v>1445</v>
      </c>
      <c r="H191" s="15" t="n">
        <v>46139</v>
      </c>
      <c r="I191" s="15" t="s">
        <v>107</v>
      </c>
      <c r="J191" s="14" t="s">
        <v>108</v>
      </c>
      <c r="K191" s="14" t="s">
        <v>143</v>
      </c>
      <c r="L191" s="14" t="s">
        <v>268</v>
      </c>
      <c r="M191" s="14" t="s">
        <v>111</v>
      </c>
      <c r="N191" s="14" t="s">
        <v>247</v>
      </c>
      <c r="O191" s="14" t="s">
        <v>113</v>
      </c>
      <c r="P191" s="14" t="s">
        <v>477</v>
      </c>
      <c r="Q191" s="14" t="s">
        <v>306</v>
      </c>
      <c r="R191" s="14"/>
      <c r="S191" s="14"/>
      <c r="T191" s="14"/>
      <c r="U191" s="14" t="s">
        <v>22</v>
      </c>
      <c r="V191" s="14"/>
      <c r="W191" s="14" t="s">
        <v>148</v>
      </c>
      <c r="X191" s="14"/>
      <c r="Y191" s="14"/>
      <c r="Z191" s="14"/>
      <c r="AA191" s="14"/>
      <c r="AB191" s="14"/>
      <c r="AC191" s="14"/>
      <c r="AD191" s="14" t="s">
        <v>1145</v>
      </c>
      <c r="AE191" s="14" t="s">
        <v>1446</v>
      </c>
      <c r="AF191" s="14" t="s">
        <v>696</v>
      </c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  <c r="BZ191" s="14"/>
      <c r="CA191" s="14"/>
      <c r="CB191" s="14"/>
      <c r="CC191" s="14"/>
      <c r="CD191" s="14"/>
      <c r="CE191" s="14"/>
      <c r="CF191" s="14"/>
      <c r="CG191" s="14"/>
      <c r="CH191" s="14"/>
      <c r="CI191" s="14"/>
      <c r="CJ191" s="14"/>
      <c r="CK191" s="14"/>
      <c r="CL191" s="14"/>
      <c r="CR191" s="1" t="s">
        <v>152</v>
      </c>
      <c r="CS191" s="1" t="s">
        <v>352</v>
      </c>
      <c r="CT191" s="14"/>
      <c r="CU191" s="1" t="s">
        <v>123</v>
      </c>
      <c r="CV191" s="1" t="s">
        <v>124</v>
      </c>
      <c r="CW191" s="3"/>
      <c r="DG191" s="4"/>
    </row>
    <row r="192" customFormat="false" ht="11.25" hidden="false" customHeight="true" outlineLevel="0" collapsed="false">
      <c r="A192" s="14" t="n">
        <v>191</v>
      </c>
      <c r="B192" s="15" t="n">
        <v>46198.6875079514</v>
      </c>
      <c r="C192" s="15" t="n">
        <v>46198.6995449884</v>
      </c>
      <c r="D192" s="14" t="s">
        <v>1447</v>
      </c>
      <c r="E192" s="14" t="s">
        <v>1448</v>
      </c>
      <c r="F192" s="14" t="s">
        <v>1449</v>
      </c>
      <c r="G192" s="14" t="s">
        <v>1450</v>
      </c>
      <c r="H192" s="15" t="n">
        <v>46197</v>
      </c>
      <c r="I192" s="15" t="s">
        <v>172</v>
      </c>
      <c r="J192" s="14" t="s">
        <v>295</v>
      </c>
      <c r="K192" s="14" t="s">
        <v>143</v>
      </c>
      <c r="L192" s="14" t="s">
        <v>233</v>
      </c>
      <c r="M192" s="14" t="s">
        <v>111</v>
      </c>
      <c r="N192" s="14" t="s">
        <v>112</v>
      </c>
      <c r="O192" s="14" t="s">
        <v>305</v>
      </c>
      <c r="P192" s="14" t="s">
        <v>248</v>
      </c>
      <c r="Q192" s="14" t="s">
        <v>893</v>
      </c>
      <c r="R192" s="14"/>
      <c r="S192" s="14"/>
      <c r="T192" s="14"/>
      <c r="U192" s="14" t="s">
        <v>22</v>
      </c>
      <c r="V192" s="14"/>
      <c r="W192" s="14" t="s">
        <v>148</v>
      </c>
      <c r="X192" s="14"/>
      <c r="Y192" s="14"/>
      <c r="Z192" s="14"/>
      <c r="AA192" s="14"/>
      <c r="AB192" s="14"/>
      <c r="AC192" s="14"/>
      <c r="AD192" s="14" t="s">
        <v>201</v>
      </c>
      <c r="AE192" s="14" t="s">
        <v>1451</v>
      </c>
      <c r="AF192" s="14" t="s">
        <v>1452</v>
      </c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  <c r="BZ192" s="14"/>
      <c r="CA192" s="14"/>
      <c r="CB192" s="14"/>
      <c r="CC192" s="14"/>
      <c r="CD192" s="14"/>
      <c r="CE192" s="14"/>
      <c r="CF192" s="14"/>
      <c r="CG192" s="14"/>
      <c r="CH192" s="14"/>
      <c r="CI192" s="14"/>
      <c r="CJ192" s="14"/>
      <c r="CK192" s="14"/>
      <c r="CL192" s="14"/>
      <c r="CR192" s="1" t="s">
        <v>152</v>
      </c>
      <c r="CS192" s="1" t="s">
        <v>180</v>
      </c>
      <c r="CT192" s="14" t="s">
        <v>122</v>
      </c>
      <c r="CU192" s="1" t="s">
        <v>167</v>
      </c>
      <c r="CV192" s="1" t="s">
        <v>168</v>
      </c>
      <c r="CW192" s="3"/>
      <c r="DG192" s="4"/>
    </row>
    <row r="193" customFormat="false" ht="11.25" hidden="false" customHeight="true" outlineLevel="0" collapsed="false">
      <c r="A193" s="14" t="n">
        <v>192</v>
      </c>
      <c r="B193" s="15" t="n">
        <v>46050.2494076273</v>
      </c>
      <c r="C193" s="15" t="n">
        <v>46050.2523011458</v>
      </c>
      <c r="D193" s="14" t="s">
        <v>1453</v>
      </c>
      <c r="E193" s="14" t="s">
        <v>1454</v>
      </c>
      <c r="F193" s="14" t="s">
        <v>1454</v>
      </c>
      <c r="G193" s="14" t="s">
        <v>1455</v>
      </c>
      <c r="H193" s="15" t="n">
        <v>46047</v>
      </c>
      <c r="I193" s="15" t="s">
        <v>172</v>
      </c>
      <c r="J193" s="14" t="s">
        <v>295</v>
      </c>
      <c r="K193" s="14" t="s">
        <v>1456</v>
      </c>
      <c r="L193" s="14" t="s">
        <v>286</v>
      </c>
      <c r="M193" s="14" t="s">
        <v>111</v>
      </c>
      <c r="N193" s="14" t="s">
        <v>145</v>
      </c>
      <c r="O193" s="14" t="s">
        <v>551</v>
      </c>
      <c r="P193" s="14" t="s">
        <v>594</v>
      </c>
      <c r="Q193" s="14" t="s">
        <v>174</v>
      </c>
      <c r="R193" s="14"/>
      <c r="S193" s="14"/>
      <c r="T193" s="14"/>
      <c r="U193" s="14" t="s">
        <v>22</v>
      </c>
      <c r="V193" s="14"/>
      <c r="W193" s="14" t="s">
        <v>116</v>
      </c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 t="s">
        <v>1457</v>
      </c>
      <c r="BU193" s="14" t="s">
        <v>252</v>
      </c>
      <c r="BV193" s="14" t="s">
        <v>620</v>
      </c>
      <c r="BW193" s="14"/>
      <c r="BX193" s="14"/>
      <c r="BY193" s="14"/>
      <c r="BZ193" s="14"/>
      <c r="CA193" s="14"/>
      <c r="CB193" s="14"/>
      <c r="CC193" s="14"/>
      <c r="CD193" s="14"/>
      <c r="CE193" s="14"/>
      <c r="CF193" s="14"/>
      <c r="CG193" s="14"/>
      <c r="CH193" s="14"/>
      <c r="CI193" s="14"/>
      <c r="CJ193" s="14"/>
      <c r="CK193" s="14"/>
      <c r="CL193" s="14"/>
      <c r="CR193" s="1" t="s">
        <v>152</v>
      </c>
      <c r="CS193" s="1" t="s">
        <v>121</v>
      </c>
      <c r="CT193" s="14" t="s">
        <v>547</v>
      </c>
      <c r="CU193" s="1" t="s">
        <v>192</v>
      </c>
      <c r="CV193" s="1" t="s">
        <v>124</v>
      </c>
      <c r="CW193" s="3"/>
      <c r="DG193" s="4"/>
    </row>
    <row r="194" customFormat="false" ht="11.25" hidden="false" customHeight="true" outlineLevel="0" collapsed="false">
      <c r="A194" s="14" t="n">
        <v>193</v>
      </c>
      <c r="B194" s="15" t="n">
        <v>46057.9200701736</v>
      </c>
      <c r="C194" s="15" t="n">
        <v>46057.9238201736</v>
      </c>
      <c r="D194" s="14" t="s">
        <v>1458</v>
      </c>
      <c r="E194" s="14" t="s">
        <v>1459</v>
      </c>
      <c r="F194" s="14" t="s">
        <v>1459</v>
      </c>
      <c r="G194" s="14" t="s">
        <v>1460</v>
      </c>
      <c r="H194" s="15" t="n">
        <v>46038</v>
      </c>
      <c r="I194" s="15" t="s">
        <v>172</v>
      </c>
      <c r="J194" s="14" t="s">
        <v>108</v>
      </c>
      <c r="K194" s="14" t="s">
        <v>462</v>
      </c>
      <c r="L194" s="14" t="s">
        <v>246</v>
      </c>
      <c r="M194" s="14" t="s">
        <v>111</v>
      </c>
      <c r="N194" s="14" t="s">
        <v>247</v>
      </c>
      <c r="O194" s="14" t="s">
        <v>325</v>
      </c>
      <c r="P194" s="14" t="s">
        <v>185</v>
      </c>
      <c r="Q194" s="14" t="s">
        <v>440</v>
      </c>
      <c r="R194" s="14"/>
      <c r="S194" s="14"/>
      <c r="T194" s="14"/>
      <c r="U194" s="14" t="s">
        <v>22</v>
      </c>
      <c r="V194" s="14"/>
      <c r="W194" s="14" t="s">
        <v>381</v>
      </c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 t="s">
        <v>1461</v>
      </c>
      <c r="BR194" s="14" t="s">
        <v>383</v>
      </c>
      <c r="BS194" s="14" t="s">
        <v>1462</v>
      </c>
      <c r="BT194" s="14"/>
      <c r="BU194" s="14"/>
      <c r="BV194" s="14"/>
      <c r="BW194" s="14"/>
      <c r="BX194" s="14"/>
      <c r="BY194" s="14"/>
      <c r="BZ194" s="14"/>
      <c r="CA194" s="14"/>
      <c r="CB194" s="14"/>
      <c r="CC194" s="14"/>
      <c r="CD194" s="14"/>
      <c r="CE194" s="14"/>
      <c r="CF194" s="14"/>
      <c r="CG194" s="14"/>
      <c r="CH194" s="14"/>
      <c r="CI194" s="14"/>
      <c r="CJ194" s="14"/>
      <c r="CK194" s="14"/>
      <c r="CL194" s="14"/>
      <c r="CR194" s="1" t="s">
        <v>152</v>
      </c>
      <c r="CS194" s="1" t="s">
        <v>121</v>
      </c>
      <c r="CT194" s="14"/>
      <c r="CU194" s="1" t="s">
        <v>167</v>
      </c>
      <c r="CV194" s="1" t="s">
        <v>124</v>
      </c>
      <c r="CW194" s="3"/>
      <c r="DG194" s="4"/>
    </row>
    <row r="195" customFormat="false" ht="11.25" hidden="false" customHeight="true" outlineLevel="0" collapsed="false">
      <c r="A195" s="14" t="n">
        <v>194</v>
      </c>
      <c r="B195" s="15" t="n">
        <v>46185.376126412</v>
      </c>
      <c r="C195" s="15" t="n">
        <v>46185.3830940046</v>
      </c>
      <c r="D195" s="14" t="s">
        <v>1463</v>
      </c>
      <c r="E195" s="14" t="s">
        <v>1464</v>
      </c>
      <c r="F195" s="14" t="s">
        <v>1465</v>
      </c>
      <c r="G195" s="14" t="s">
        <v>1466</v>
      </c>
      <c r="H195" s="15" t="n">
        <v>46169</v>
      </c>
      <c r="I195" s="15" t="s">
        <v>405</v>
      </c>
      <c r="J195" s="14" t="s">
        <v>108</v>
      </c>
      <c r="K195" s="14" t="s">
        <v>143</v>
      </c>
      <c r="L195" s="14" t="s">
        <v>296</v>
      </c>
      <c r="M195" s="14" t="s">
        <v>111</v>
      </c>
      <c r="N195" s="14" t="s">
        <v>112</v>
      </c>
      <c r="O195" s="14" t="s">
        <v>113</v>
      </c>
      <c r="P195" s="14" t="s">
        <v>797</v>
      </c>
      <c r="Q195" s="14" t="s">
        <v>810</v>
      </c>
      <c r="R195" s="14"/>
      <c r="S195" s="14"/>
      <c r="T195" s="14"/>
      <c r="U195" s="14" t="s">
        <v>24</v>
      </c>
      <c r="V195" s="14"/>
      <c r="W195" s="14"/>
      <c r="X195" s="14"/>
      <c r="Y195" s="14" t="s">
        <v>214</v>
      </c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  <c r="BZ195" s="14"/>
      <c r="CA195" s="14"/>
      <c r="CB195" s="14"/>
      <c r="CC195" s="14" t="s">
        <v>875</v>
      </c>
      <c r="CD195" s="14" t="s">
        <v>252</v>
      </c>
      <c r="CE195" s="14" t="s">
        <v>914</v>
      </c>
      <c r="CF195" s="14"/>
      <c r="CG195" s="14"/>
      <c r="CH195" s="14"/>
      <c r="CI195" s="14"/>
      <c r="CJ195" s="14"/>
      <c r="CK195" s="14"/>
      <c r="CL195" s="14"/>
      <c r="CR195" s="1" t="s">
        <v>152</v>
      </c>
      <c r="CS195" s="1" t="s">
        <v>121</v>
      </c>
      <c r="CT195" s="14" t="s">
        <v>1063</v>
      </c>
      <c r="CU195" s="1" t="s">
        <v>123</v>
      </c>
      <c r="CV195" s="1" t="s">
        <v>124</v>
      </c>
      <c r="CW195" s="3" t="s">
        <v>621</v>
      </c>
      <c r="DG195" s="4"/>
    </row>
    <row r="196" customFormat="false" ht="11.25" hidden="false" customHeight="true" outlineLevel="0" collapsed="false">
      <c r="A196" s="14" t="n">
        <v>195</v>
      </c>
      <c r="B196" s="15" t="n">
        <v>46209.5455477083</v>
      </c>
      <c r="C196" s="15" t="n">
        <v>46209.5591356713</v>
      </c>
      <c r="D196" s="14" t="s">
        <v>1467</v>
      </c>
      <c r="E196" s="14" t="s">
        <v>1468</v>
      </c>
      <c r="F196" s="14" t="s">
        <v>1469</v>
      </c>
      <c r="G196" s="14" t="s">
        <v>1470</v>
      </c>
      <c r="H196" s="15" t="n">
        <v>46202</v>
      </c>
      <c r="I196" s="15" t="s">
        <v>278</v>
      </c>
      <c r="J196" s="14" t="s">
        <v>108</v>
      </c>
      <c r="K196" s="14" t="s">
        <v>143</v>
      </c>
      <c r="L196" s="14" t="s">
        <v>144</v>
      </c>
      <c r="M196" s="14" t="s">
        <v>111</v>
      </c>
      <c r="N196" s="14" t="s">
        <v>112</v>
      </c>
      <c r="O196" s="14" t="s">
        <v>113</v>
      </c>
      <c r="P196" s="14" t="s">
        <v>286</v>
      </c>
      <c r="Q196" s="14" t="s">
        <v>893</v>
      </c>
      <c r="R196" s="14"/>
      <c r="S196" s="14"/>
      <c r="T196" s="14"/>
      <c r="U196" s="14" t="s">
        <v>22</v>
      </c>
      <c r="V196" s="14"/>
      <c r="W196" s="14" t="s">
        <v>176</v>
      </c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 t="s">
        <v>1471</v>
      </c>
      <c r="AZ196" s="14" t="s">
        <v>1472</v>
      </c>
      <c r="BA196" s="14" t="s">
        <v>1473</v>
      </c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  <c r="BY196" s="14"/>
      <c r="BZ196" s="14"/>
      <c r="CA196" s="14"/>
      <c r="CB196" s="14"/>
      <c r="CC196" s="14"/>
      <c r="CD196" s="14"/>
      <c r="CE196" s="14"/>
      <c r="CF196" s="14"/>
      <c r="CG196" s="14"/>
      <c r="CH196" s="14"/>
      <c r="CI196" s="14"/>
      <c r="CJ196" s="14"/>
      <c r="CK196" s="14"/>
      <c r="CL196" s="14"/>
      <c r="CR196" s="1" t="s">
        <v>227</v>
      </c>
      <c r="CS196" s="1" t="s">
        <v>121</v>
      </c>
      <c r="CT196" s="14"/>
      <c r="CU196" s="1" t="s">
        <v>192</v>
      </c>
      <c r="CV196" s="1" t="s">
        <v>124</v>
      </c>
      <c r="CW196" s="3" t="s">
        <v>621</v>
      </c>
      <c r="DG196" s="4"/>
    </row>
    <row r="197" customFormat="false" ht="11.25" hidden="false" customHeight="true" outlineLevel="0" collapsed="false">
      <c r="A197" s="14" t="n">
        <v>196</v>
      </c>
      <c r="B197" s="15" t="n">
        <v>46036.3386968171</v>
      </c>
      <c r="C197" s="15" t="n">
        <v>46036.3535579282</v>
      </c>
      <c r="D197" s="14" t="s">
        <v>1474</v>
      </c>
      <c r="E197" s="14" t="s">
        <v>1475</v>
      </c>
      <c r="F197" s="14" t="s">
        <v>1475</v>
      </c>
      <c r="G197" s="14" t="s">
        <v>1476</v>
      </c>
      <c r="H197" s="15" t="n">
        <v>46033</v>
      </c>
      <c r="I197" s="15" t="s">
        <v>157</v>
      </c>
      <c r="J197" s="14" t="s">
        <v>108</v>
      </c>
      <c r="K197" s="14" t="s">
        <v>1477</v>
      </c>
      <c r="L197" s="14" t="s">
        <v>144</v>
      </c>
      <c r="M197" s="14" t="s">
        <v>111</v>
      </c>
      <c r="N197" s="14" t="s">
        <v>112</v>
      </c>
      <c r="O197" s="14" t="s">
        <v>113</v>
      </c>
      <c r="P197" s="14" t="s">
        <v>447</v>
      </c>
      <c r="Q197" s="14" t="s">
        <v>990</v>
      </c>
      <c r="R197" s="14"/>
      <c r="S197" s="14"/>
      <c r="T197" s="14"/>
      <c r="U197" s="14" t="s">
        <v>24</v>
      </c>
      <c r="V197" s="14"/>
      <c r="W197" s="14"/>
      <c r="X197" s="14"/>
      <c r="Y197" s="14" t="s">
        <v>223</v>
      </c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  <c r="BY197" s="14"/>
      <c r="BZ197" s="14" t="s">
        <v>1478</v>
      </c>
      <c r="CA197" s="14" t="s">
        <v>1479</v>
      </c>
      <c r="CB197" s="14" t="s">
        <v>238</v>
      </c>
      <c r="CC197" s="14"/>
      <c r="CD197" s="14"/>
      <c r="CE197" s="14"/>
      <c r="CF197" s="14"/>
      <c r="CG197" s="14"/>
      <c r="CH197" s="14"/>
      <c r="CI197" s="14"/>
      <c r="CJ197" s="14"/>
      <c r="CK197" s="14"/>
      <c r="CL197" s="14"/>
      <c r="CR197" s="1" t="s">
        <v>152</v>
      </c>
      <c r="CS197" s="1" t="s">
        <v>121</v>
      </c>
      <c r="CT197" s="14"/>
      <c r="CU197" s="1" t="s">
        <v>167</v>
      </c>
      <c r="CV197" s="1" t="s">
        <v>124</v>
      </c>
      <c r="CW197" s="3"/>
      <c r="DG197" s="4"/>
    </row>
    <row r="198" customFormat="false" ht="11.25" hidden="false" customHeight="true" outlineLevel="0" collapsed="false">
      <c r="A198" s="14" t="n">
        <v>197</v>
      </c>
      <c r="B198" s="15" t="n">
        <v>46103.3430380208</v>
      </c>
      <c r="C198" s="15" t="n">
        <v>46103.3479570023</v>
      </c>
      <c r="D198" s="14" t="s">
        <v>1480</v>
      </c>
      <c r="E198" s="14" t="s">
        <v>1481</v>
      </c>
      <c r="F198" s="14" t="s">
        <v>1481</v>
      </c>
      <c r="G198" s="14" t="s">
        <v>1482</v>
      </c>
      <c r="H198" s="15" t="n">
        <v>46090</v>
      </c>
      <c r="I198" s="15" t="s">
        <v>405</v>
      </c>
      <c r="J198" s="14" t="s">
        <v>108</v>
      </c>
      <c r="K198" s="14" t="s">
        <v>173</v>
      </c>
      <c r="L198" s="14" t="s">
        <v>159</v>
      </c>
      <c r="M198" s="14" t="s">
        <v>111</v>
      </c>
      <c r="N198" s="14" t="s">
        <v>112</v>
      </c>
      <c r="O198" s="14" t="s">
        <v>325</v>
      </c>
      <c r="P198" s="14" t="s">
        <v>484</v>
      </c>
      <c r="Q198" s="14" t="s">
        <v>849</v>
      </c>
      <c r="R198" s="14"/>
      <c r="S198" s="14"/>
      <c r="T198" s="14"/>
      <c r="U198" s="14" t="s">
        <v>22</v>
      </c>
      <c r="V198" s="14"/>
      <c r="W198" s="14" t="s">
        <v>176</v>
      </c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 t="s">
        <v>1483</v>
      </c>
      <c r="AZ198" s="14" t="s">
        <v>1484</v>
      </c>
      <c r="BA198" s="14" t="s">
        <v>1485</v>
      </c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  <c r="BY198" s="14"/>
      <c r="BZ198" s="14"/>
      <c r="CA198" s="14"/>
      <c r="CB198" s="14"/>
      <c r="CC198" s="14"/>
      <c r="CD198" s="14"/>
      <c r="CE198" s="14"/>
      <c r="CF198" s="14"/>
      <c r="CG198" s="14"/>
      <c r="CH198" s="14"/>
      <c r="CI198" s="14"/>
      <c r="CJ198" s="14"/>
      <c r="CK198" s="14"/>
      <c r="CL198" s="14"/>
      <c r="CR198" s="1" t="s">
        <v>120</v>
      </c>
      <c r="CS198" s="1" t="s">
        <v>121</v>
      </c>
      <c r="CT198" s="14"/>
      <c r="CU198" s="1" t="s">
        <v>192</v>
      </c>
      <c r="CV198" s="1" t="s">
        <v>168</v>
      </c>
      <c r="CW198" s="3"/>
      <c r="DG198" s="4"/>
    </row>
    <row r="199" customFormat="false" ht="11.25" hidden="false" customHeight="true" outlineLevel="0" collapsed="false">
      <c r="A199" s="14" t="n">
        <v>198</v>
      </c>
      <c r="B199" s="15" t="n">
        <v>46119.8522218287</v>
      </c>
      <c r="C199" s="15" t="n">
        <v>46119.8718977546</v>
      </c>
      <c r="D199" s="14" t="s">
        <v>1486</v>
      </c>
      <c r="E199" s="14" t="s">
        <v>1487</v>
      </c>
      <c r="F199" s="14" t="s">
        <v>1487</v>
      </c>
      <c r="G199" s="14" t="s">
        <v>1488</v>
      </c>
      <c r="H199" s="15" t="n">
        <v>46107</v>
      </c>
      <c r="I199" s="15" t="s">
        <v>107</v>
      </c>
      <c r="J199" s="14" t="s">
        <v>128</v>
      </c>
      <c r="K199" s="14" t="s">
        <v>173</v>
      </c>
      <c r="L199" s="14" t="s">
        <v>110</v>
      </c>
      <c r="M199" s="14" t="s">
        <v>111</v>
      </c>
      <c r="N199" s="14" t="s">
        <v>145</v>
      </c>
      <c r="O199" s="14" t="s">
        <v>113</v>
      </c>
      <c r="P199" s="14" t="s">
        <v>652</v>
      </c>
      <c r="Q199" s="14" t="s">
        <v>841</v>
      </c>
      <c r="R199" s="14"/>
      <c r="S199" s="14" t="s">
        <v>441</v>
      </c>
      <c r="T199" s="14"/>
      <c r="U199" s="14" t="s">
        <v>23</v>
      </c>
      <c r="V199" s="14"/>
      <c r="W199" s="14"/>
      <c r="X199" s="14" t="s">
        <v>442</v>
      </c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  <c r="BZ199" s="14"/>
      <c r="CA199" s="14"/>
      <c r="CB199" s="14"/>
      <c r="CC199" s="14"/>
      <c r="CD199" s="14"/>
      <c r="CE199" s="14"/>
      <c r="CF199" s="14"/>
      <c r="CG199" s="14"/>
      <c r="CH199" s="14"/>
      <c r="CI199" s="14"/>
      <c r="CJ199" s="14"/>
      <c r="CK199" s="14"/>
      <c r="CL199" s="14"/>
      <c r="CR199" s="1" t="s">
        <v>120</v>
      </c>
      <c r="CS199" s="1" t="s">
        <v>121</v>
      </c>
      <c r="CT199" s="14" t="s">
        <v>1489</v>
      </c>
      <c r="CU199" s="1" t="s">
        <v>167</v>
      </c>
      <c r="CV199" s="1" t="s">
        <v>124</v>
      </c>
      <c r="CW199" s="3"/>
      <c r="DG199" s="4"/>
    </row>
    <row r="200" customFormat="false" ht="11.25" hidden="false" customHeight="true" outlineLevel="0" collapsed="false">
      <c r="A200" s="14" t="n">
        <v>199</v>
      </c>
      <c r="B200" s="15" t="n">
        <v>46149.7721878009</v>
      </c>
      <c r="C200" s="15" t="n">
        <v>46149.7882410417</v>
      </c>
      <c r="D200" s="14" t="s">
        <v>1490</v>
      </c>
      <c r="E200" s="14" t="s">
        <v>1491</v>
      </c>
      <c r="F200" s="14" t="s">
        <v>1491</v>
      </c>
      <c r="G200" s="14" t="s">
        <v>1492</v>
      </c>
      <c r="H200" s="15" t="n">
        <v>46144</v>
      </c>
      <c r="I200" s="15" t="s">
        <v>244</v>
      </c>
      <c r="J200" s="14" t="s">
        <v>295</v>
      </c>
      <c r="K200" s="14" t="s">
        <v>143</v>
      </c>
      <c r="L200" s="14" t="s">
        <v>431</v>
      </c>
      <c r="M200" s="14" t="s">
        <v>390</v>
      </c>
      <c r="N200" s="14" t="s">
        <v>112</v>
      </c>
      <c r="O200" s="14" t="s">
        <v>113</v>
      </c>
      <c r="P200" s="14" t="s">
        <v>492</v>
      </c>
      <c r="Q200" s="14" t="s">
        <v>893</v>
      </c>
      <c r="R200" s="14"/>
      <c r="S200" s="14"/>
      <c r="T200" s="14" t="s">
        <v>880</v>
      </c>
      <c r="U200" s="14" t="s">
        <v>24</v>
      </c>
      <c r="V200" s="14"/>
      <c r="W200" s="14"/>
      <c r="X200" s="14"/>
      <c r="Y200" s="14" t="s">
        <v>19</v>
      </c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  <c r="BZ200" s="14"/>
      <c r="CA200" s="14"/>
      <c r="CB200" s="14"/>
      <c r="CC200" s="14"/>
      <c r="CD200" s="14"/>
      <c r="CE200" s="14"/>
      <c r="CF200" s="14"/>
      <c r="CG200" s="14"/>
      <c r="CH200" s="14"/>
      <c r="CI200" s="14"/>
      <c r="CJ200" s="14"/>
      <c r="CK200" s="14"/>
      <c r="CL200" s="14"/>
      <c r="CR200" s="1" t="s">
        <v>120</v>
      </c>
      <c r="CS200" s="1" t="s">
        <v>352</v>
      </c>
      <c r="CT200" s="14" t="s">
        <v>122</v>
      </c>
      <c r="CU200" s="1" t="s">
        <v>192</v>
      </c>
      <c r="CV200" s="1" t="s">
        <v>124</v>
      </c>
      <c r="CW200" s="3"/>
      <c r="DG200" s="4"/>
    </row>
    <row r="201" customFormat="false" ht="11.25" hidden="false" customHeight="true" outlineLevel="0" collapsed="false">
      <c r="A201" s="14" t="n">
        <v>200</v>
      </c>
      <c r="B201" s="15" t="n">
        <v>46055.0939558565</v>
      </c>
      <c r="C201" s="15" t="n">
        <v>46055.1072197454</v>
      </c>
      <c r="D201" s="14" t="s">
        <v>1493</v>
      </c>
      <c r="E201" s="14" t="s">
        <v>1494</v>
      </c>
      <c r="F201" s="14" t="s">
        <v>1494</v>
      </c>
      <c r="G201" s="14" t="s">
        <v>1495</v>
      </c>
      <c r="H201" s="15" t="n">
        <v>46040</v>
      </c>
      <c r="I201" s="15" t="s">
        <v>278</v>
      </c>
      <c r="J201" s="14" t="s">
        <v>295</v>
      </c>
      <c r="K201" s="14" t="s">
        <v>232</v>
      </c>
      <c r="L201" s="14" t="s">
        <v>296</v>
      </c>
      <c r="M201" s="14" t="s">
        <v>111</v>
      </c>
      <c r="N201" s="14" t="s">
        <v>145</v>
      </c>
      <c r="O201" s="14" t="s">
        <v>336</v>
      </c>
      <c r="P201" s="14" t="s">
        <v>864</v>
      </c>
      <c r="Q201" s="14" t="s">
        <v>407</v>
      </c>
      <c r="R201" s="14"/>
      <c r="S201" s="14"/>
      <c r="T201" s="14"/>
      <c r="U201" s="14" t="s">
        <v>22</v>
      </c>
      <c r="V201" s="14"/>
      <c r="W201" s="14" t="s">
        <v>381</v>
      </c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 t="s">
        <v>382</v>
      </c>
      <c r="BR201" s="14" t="s">
        <v>1496</v>
      </c>
      <c r="BS201" s="14" t="s">
        <v>1197</v>
      </c>
      <c r="BT201" s="14"/>
      <c r="BU201" s="14"/>
      <c r="BV201" s="14"/>
      <c r="BW201" s="14"/>
      <c r="BX201" s="14"/>
      <c r="BY201" s="14"/>
      <c r="BZ201" s="14"/>
      <c r="CA201" s="14"/>
      <c r="CB201" s="14"/>
      <c r="CC201" s="14"/>
      <c r="CD201" s="14"/>
      <c r="CE201" s="14"/>
      <c r="CF201" s="14"/>
      <c r="CG201" s="14"/>
      <c r="CH201" s="14"/>
      <c r="CI201" s="14"/>
      <c r="CJ201" s="14"/>
      <c r="CK201" s="14"/>
      <c r="CL201" s="14"/>
      <c r="CR201" s="1" t="s">
        <v>152</v>
      </c>
      <c r="CS201" s="1" t="s">
        <v>121</v>
      </c>
      <c r="CT201" s="14"/>
      <c r="CU201" s="1" t="s">
        <v>123</v>
      </c>
      <c r="CV201" s="1" t="s">
        <v>139</v>
      </c>
      <c r="CW201" s="3"/>
      <c r="DG201" s="4"/>
    </row>
    <row r="202" customFormat="false" ht="11.25" hidden="false" customHeight="true" outlineLevel="0" collapsed="false">
      <c r="A202" s="14" t="n">
        <v>201</v>
      </c>
      <c r="B202" s="15" t="n">
        <v>46215.5749283333</v>
      </c>
      <c r="C202" s="15" t="n">
        <v>46215.5794422222</v>
      </c>
      <c r="D202" s="14" t="s">
        <v>1497</v>
      </c>
      <c r="E202" s="14" t="s">
        <v>1498</v>
      </c>
      <c r="F202" s="14" t="s">
        <v>1498</v>
      </c>
      <c r="G202" s="14" t="s">
        <v>1499</v>
      </c>
      <c r="H202" s="15" t="n">
        <v>46201</v>
      </c>
      <c r="I202" s="15" t="s">
        <v>278</v>
      </c>
      <c r="J202" s="14" t="s">
        <v>108</v>
      </c>
      <c r="K202" s="14" t="s">
        <v>1500</v>
      </c>
      <c r="L202" s="14" t="s">
        <v>246</v>
      </c>
      <c r="M202" s="14" t="s">
        <v>131</v>
      </c>
      <c r="N202" s="14" t="s">
        <v>112</v>
      </c>
      <c r="O202" s="14" t="s">
        <v>336</v>
      </c>
      <c r="P202" s="14" t="s">
        <v>789</v>
      </c>
      <c r="Q202" s="14" t="s">
        <v>905</v>
      </c>
      <c r="R202" s="14"/>
      <c r="S202" s="14"/>
      <c r="T202" s="14"/>
      <c r="U202" s="14" t="s">
        <v>22</v>
      </c>
      <c r="V202" s="14"/>
      <c r="W202" s="14" t="s">
        <v>271</v>
      </c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 t="s">
        <v>1501</v>
      </c>
      <c r="BL202" s="14" t="s">
        <v>1502</v>
      </c>
      <c r="BM202" s="14" t="s">
        <v>920</v>
      </c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  <c r="BY202" s="14"/>
      <c r="BZ202" s="14"/>
      <c r="CA202" s="14"/>
      <c r="CB202" s="14"/>
      <c r="CC202" s="14"/>
      <c r="CD202" s="14"/>
      <c r="CE202" s="14"/>
      <c r="CF202" s="14"/>
      <c r="CG202" s="14"/>
      <c r="CH202" s="14"/>
      <c r="CI202" s="14"/>
      <c r="CJ202" s="14"/>
      <c r="CK202" s="14"/>
      <c r="CL202" s="14"/>
      <c r="CR202" s="1" t="s">
        <v>152</v>
      </c>
      <c r="CS202" s="1" t="s">
        <v>121</v>
      </c>
      <c r="CT202" s="14" t="s">
        <v>122</v>
      </c>
      <c r="CU202" s="1" t="s">
        <v>192</v>
      </c>
      <c r="CV202" s="1" t="s">
        <v>124</v>
      </c>
      <c r="CW202" s="3"/>
      <c r="DG202" s="4"/>
    </row>
    <row r="203" customFormat="false" ht="11.25" hidden="false" customHeight="true" outlineLevel="0" collapsed="false">
      <c r="A203" s="14" t="n">
        <v>202</v>
      </c>
      <c r="B203" s="15" t="n">
        <v>46116.5973223958</v>
      </c>
      <c r="C203" s="15" t="n">
        <v>46116.6025191551</v>
      </c>
      <c r="D203" s="14" t="s">
        <v>1503</v>
      </c>
      <c r="E203" s="14" t="s">
        <v>1504</v>
      </c>
      <c r="F203" s="14" t="s">
        <v>1504</v>
      </c>
      <c r="G203" s="14" t="s">
        <v>1505</v>
      </c>
      <c r="H203" s="15" t="n">
        <v>46111</v>
      </c>
      <c r="I203" s="15" t="s">
        <v>1506</v>
      </c>
      <c r="J203" s="14" t="s">
        <v>295</v>
      </c>
      <c r="K203" s="14" t="s">
        <v>364</v>
      </c>
      <c r="L203" s="14" t="s">
        <v>268</v>
      </c>
      <c r="M203" s="14" t="s">
        <v>111</v>
      </c>
      <c r="N203" s="14" t="s">
        <v>112</v>
      </c>
      <c r="O203" s="14" t="s">
        <v>113</v>
      </c>
      <c r="P203" s="14" t="s">
        <v>1313</v>
      </c>
      <c r="Q203" s="14" t="s">
        <v>1224</v>
      </c>
      <c r="R203" s="14"/>
      <c r="S203" s="14"/>
      <c r="T203" s="14"/>
      <c r="U203" s="14" t="s">
        <v>22</v>
      </c>
      <c r="V203" s="14"/>
      <c r="W203" s="14" t="s">
        <v>298</v>
      </c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 t="s">
        <v>1507</v>
      </c>
      <c r="AW203" s="14" t="s">
        <v>300</v>
      </c>
      <c r="AX203" s="14" t="s">
        <v>1508</v>
      </c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  <c r="BZ203" s="14"/>
      <c r="CA203" s="14"/>
      <c r="CB203" s="14"/>
      <c r="CC203" s="14"/>
      <c r="CD203" s="14"/>
      <c r="CE203" s="14"/>
      <c r="CF203" s="14"/>
      <c r="CG203" s="14"/>
      <c r="CH203" s="14"/>
      <c r="CI203" s="14"/>
      <c r="CJ203" s="14"/>
      <c r="CK203" s="14"/>
      <c r="CL203" s="14"/>
      <c r="CR203" s="1" t="s">
        <v>152</v>
      </c>
      <c r="CS203" s="1" t="s">
        <v>121</v>
      </c>
      <c r="CT203" s="14"/>
      <c r="CU203" s="1" t="s">
        <v>167</v>
      </c>
      <c r="CV203" s="1" t="s">
        <v>124</v>
      </c>
      <c r="CW203" s="3"/>
      <c r="DG203" s="4"/>
    </row>
    <row r="204" customFormat="false" ht="11.25" hidden="false" customHeight="true" outlineLevel="0" collapsed="false">
      <c r="A204" s="14" t="n">
        <v>203</v>
      </c>
      <c r="B204" s="15" t="n">
        <v>46153.3346086227</v>
      </c>
      <c r="C204" s="15" t="n">
        <v>46153.3435785301</v>
      </c>
      <c r="D204" s="14" t="s">
        <v>1509</v>
      </c>
      <c r="E204" s="14" t="s">
        <v>1510</v>
      </c>
      <c r="F204" s="14" t="s">
        <v>1511</v>
      </c>
      <c r="G204" s="14" t="s">
        <v>1512</v>
      </c>
      <c r="H204" s="15" t="n">
        <v>46136</v>
      </c>
      <c r="I204" s="15" t="s">
        <v>405</v>
      </c>
      <c r="J204" s="14" t="s">
        <v>108</v>
      </c>
      <c r="K204" s="14" t="s">
        <v>196</v>
      </c>
      <c r="L204" s="14" t="s">
        <v>130</v>
      </c>
      <c r="M204" s="14" t="s">
        <v>390</v>
      </c>
      <c r="N204" s="14" t="s">
        <v>145</v>
      </c>
      <c r="O204" s="14" t="s">
        <v>1268</v>
      </c>
      <c r="P204" s="14" t="s">
        <v>234</v>
      </c>
      <c r="Q204" s="14" t="s">
        <v>337</v>
      </c>
      <c r="R204" s="14"/>
      <c r="S204" s="14"/>
      <c r="T204" s="14"/>
      <c r="U204" s="14" t="s">
        <v>24</v>
      </c>
      <c r="V204" s="14"/>
      <c r="W204" s="14"/>
      <c r="X204" s="14"/>
      <c r="Y204" s="14" t="s">
        <v>214</v>
      </c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  <c r="BY204" s="14"/>
      <c r="BZ204" s="14"/>
      <c r="CA204" s="14"/>
      <c r="CB204" s="14"/>
      <c r="CC204" s="14" t="s">
        <v>1513</v>
      </c>
      <c r="CD204" s="14" t="s">
        <v>216</v>
      </c>
      <c r="CE204" s="14" t="s">
        <v>620</v>
      </c>
      <c r="CF204" s="14"/>
      <c r="CG204" s="14"/>
      <c r="CH204" s="14"/>
      <c r="CI204" s="14"/>
      <c r="CJ204" s="14"/>
      <c r="CK204" s="14"/>
      <c r="CL204" s="14"/>
      <c r="CR204" s="1" t="s">
        <v>152</v>
      </c>
      <c r="CS204" s="1" t="s">
        <v>180</v>
      </c>
      <c r="CT204" s="14"/>
      <c r="CU204" s="1" t="s">
        <v>123</v>
      </c>
      <c r="CV204" s="1" t="s">
        <v>124</v>
      </c>
      <c r="CW204" s="3"/>
      <c r="DG204" s="4"/>
    </row>
    <row r="205" customFormat="false" ht="11.25" hidden="false" customHeight="true" outlineLevel="0" collapsed="false">
      <c r="A205" s="14" t="n">
        <v>204</v>
      </c>
      <c r="B205" s="15" t="n">
        <v>46114.7245447569</v>
      </c>
      <c r="C205" s="15" t="n">
        <v>46114.7441165162</v>
      </c>
      <c r="D205" s="14" t="s">
        <v>1514</v>
      </c>
      <c r="E205" s="14" t="s">
        <v>1515</v>
      </c>
      <c r="F205" s="14" t="s">
        <v>1515</v>
      </c>
      <c r="G205" s="14" t="s">
        <v>1516</v>
      </c>
      <c r="H205" s="15" t="n">
        <v>46112</v>
      </c>
      <c r="I205" s="15" t="s">
        <v>244</v>
      </c>
      <c r="J205" s="14" t="s">
        <v>108</v>
      </c>
      <c r="K205" s="14" t="s">
        <v>462</v>
      </c>
      <c r="L205" s="14" t="s">
        <v>233</v>
      </c>
      <c r="M205" s="14" t="s">
        <v>111</v>
      </c>
      <c r="N205" s="14" t="s">
        <v>112</v>
      </c>
      <c r="O205" s="14" t="s">
        <v>113</v>
      </c>
      <c r="P205" s="14" t="s">
        <v>809</v>
      </c>
      <c r="Q205" s="14" t="s">
        <v>1306</v>
      </c>
      <c r="R205" s="14"/>
      <c r="S205" s="14"/>
      <c r="T205" s="14"/>
      <c r="U205" s="14" t="s">
        <v>24</v>
      </c>
      <c r="V205" s="14"/>
      <c r="W205" s="14"/>
      <c r="X205" s="14"/>
      <c r="Y205" s="14" t="s">
        <v>448</v>
      </c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 t="s">
        <v>1517</v>
      </c>
      <c r="BX205" s="14" t="s">
        <v>450</v>
      </c>
      <c r="BY205" s="14" t="s">
        <v>1115</v>
      </c>
      <c r="BZ205" s="14"/>
      <c r="CA205" s="14"/>
      <c r="CB205" s="14"/>
      <c r="CC205" s="14"/>
      <c r="CD205" s="14"/>
      <c r="CE205" s="14"/>
      <c r="CF205" s="14"/>
      <c r="CG205" s="14"/>
      <c r="CH205" s="14"/>
      <c r="CI205" s="14"/>
      <c r="CJ205" s="14"/>
      <c r="CK205" s="14"/>
      <c r="CL205" s="14"/>
      <c r="CR205" s="1" t="s">
        <v>152</v>
      </c>
      <c r="CS205" s="1" t="s">
        <v>121</v>
      </c>
      <c r="CT205" s="14" t="s">
        <v>122</v>
      </c>
      <c r="CU205" s="1" t="s">
        <v>123</v>
      </c>
      <c r="CV205" s="1" t="s">
        <v>168</v>
      </c>
      <c r="CW205" s="3"/>
      <c r="DG205" s="4"/>
    </row>
    <row r="206" customFormat="false" ht="11.25" hidden="false" customHeight="true" outlineLevel="0" collapsed="false">
      <c r="A206" s="14" t="n">
        <v>205</v>
      </c>
      <c r="B206" s="15" t="n">
        <v>46212.8371910417</v>
      </c>
      <c r="C206" s="15" t="n">
        <v>46212.8424572454</v>
      </c>
      <c r="D206" s="14" t="s">
        <v>1518</v>
      </c>
      <c r="E206" s="14" t="s">
        <v>1519</v>
      </c>
      <c r="F206" s="14" t="s">
        <v>1519</v>
      </c>
      <c r="G206" s="14" t="s">
        <v>1520</v>
      </c>
      <c r="H206" s="15" t="n">
        <v>46199</v>
      </c>
      <c r="I206" s="15" t="s">
        <v>278</v>
      </c>
      <c r="J206" s="14" t="s">
        <v>108</v>
      </c>
      <c r="K206" s="14" t="s">
        <v>462</v>
      </c>
      <c r="L206" s="14" t="s">
        <v>431</v>
      </c>
      <c r="M206" s="14" t="s">
        <v>111</v>
      </c>
      <c r="N206" s="14" t="s">
        <v>112</v>
      </c>
      <c r="O206" s="14" t="s">
        <v>305</v>
      </c>
      <c r="P206" s="14" t="s">
        <v>612</v>
      </c>
      <c r="Q206" s="14" t="s">
        <v>407</v>
      </c>
      <c r="R206" s="14"/>
      <c r="S206" s="14"/>
      <c r="T206" s="14" t="s">
        <v>880</v>
      </c>
      <c r="U206" s="14" t="s">
        <v>24</v>
      </c>
      <c r="V206" s="14"/>
      <c r="W206" s="14"/>
      <c r="X206" s="14"/>
      <c r="Y206" s="14" t="s">
        <v>19</v>
      </c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  <c r="BY206" s="14"/>
      <c r="BZ206" s="14"/>
      <c r="CA206" s="14"/>
      <c r="CB206" s="14"/>
      <c r="CC206" s="14"/>
      <c r="CD206" s="14"/>
      <c r="CE206" s="14"/>
      <c r="CF206" s="14"/>
      <c r="CG206" s="14"/>
      <c r="CH206" s="14"/>
      <c r="CI206" s="14"/>
      <c r="CJ206" s="14"/>
      <c r="CK206" s="14"/>
      <c r="CL206" s="14"/>
      <c r="CR206" s="1" t="s">
        <v>152</v>
      </c>
      <c r="CS206" s="1" t="s">
        <v>121</v>
      </c>
      <c r="CT206" s="14" t="s">
        <v>1032</v>
      </c>
      <c r="CU206" s="1" t="s">
        <v>123</v>
      </c>
      <c r="CV206" s="1" t="s">
        <v>124</v>
      </c>
      <c r="CW206" s="3"/>
      <c r="DG206" s="4"/>
    </row>
    <row r="207" customFormat="false" ht="11.25" hidden="false" customHeight="true" outlineLevel="0" collapsed="false">
      <c r="A207" s="14" t="n">
        <v>206</v>
      </c>
      <c r="B207" s="15" t="n">
        <v>46106.4667114815</v>
      </c>
      <c r="C207" s="15" t="n">
        <v>46106.4771397222</v>
      </c>
      <c r="D207" s="14" t="s">
        <v>1521</v>
      </c>
      <c r="E207" s="14" t="s">
        <v>1522</v>
      </c>
      <c r="F207" s="14" t="s">
        <v>1522</v>
      </c>
      <c r="G207" s="14" t="s">
        <v>1523</v>
      </c>
      <c r="H207" s="15" t="n">
        <v>46105</v>
      </c>
      <c r="I207" s="15" t="s">
        <v>278</v>
      </c>
      <c r="J207" s="14" t="s">
        <v>108</v>
      </c>
      <c r="K207" s="14" t="s">
        <v>196</v>
      </c>
      <c r="L207" s="14" t="s">
        <v>296</v>
      </c>
      <c r="M207" s="14" t="s">
        <v>111</v>
      </c>
      <c r="N207" s="14" t="s">
        <v>145</v>
      </c>
      <c r="O207" s="14" t="s">
        <v>113</v>
      </c>
      <c r="P207" s="14" t="s">
        <v>477</v>
      </c>
      <c r="Q207" s="14" t="s">
        <v>990</v>
      </c>
      <c r="R207" s="14"/>
      <c r="S207" s="14"/>
      <c r="T207" s="14"/>
      <c r="U207" s="14" t="s">
        <v>24</v>
      </c>
      <c r="V207" s="14"/>
      <c r="W207" s="14"/>
      <c r="X207" s="14"/>
      <c r="Y207" s="14" t="s">
        <v>214</v>
      </c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  <c r="BY207" s="14"/>
      <c r="BZ207" s="14"/>
      <c r="CA207" s="14"/>
      <c r="CB207" s="14"/>
      <c r="CC207" s="14" t="s">
        <v>1457</v>
      </c>
      <c r="CD207" s="14" t="s">
        <v>118</v>
      </c>
      <c r="CE207" s="14" t="s">
        <v>252</v>
      </c>
      <c r="CF207" s="14"/>
      <c r="CG207" s="14"/>
      <c r="CH207" s="14"/>
      <c r="CI207" s="14"/>
      <c r="CJ207" s="14"/>
      <c r="CK207" s="14"/>
      <c r="CL207" s="14"/>
      <c r="CR207" s="1" t="s">
        <v>152</v>
      </c>
      <c r="CS207" s="1" t="s">
        <v>121</v>
      </c>
      <c r="CT207" s="14" t="s">
        <v>831</v>
      </c>
      <c r="CU207" s="1" t="s">
        <v>192</v>
      </c>
      <c r="CV207" s="1" t="s">
        <v>124</v>
      </c>
      <c r="CW207" s="3"/>
      <c r="DG207" s="4"/>
    </row>
    <row r="208" customFormat="false" ht="11.25" hidden="false" customHeight="true" outlineLevel="0" collapsed="false">
      <c r="A208" s="14" t="n">
        <v>207</v>
      </c>
      <c r="B208" s="15" t="n">
        <v>46050.5304971991</v>
      </c>
      <c r="C208" s="15" t="n">
        <v>46050.548136088</v>
      </c>
      <c r="D208" s="14" t="s">
        <v>1524</v>
      </c>
      <c r="E208" s="14" t="s">
        <v>1525</v>
      </c>
      <c r="F208" s="14" t="s">
        <v>1525</v>
      </c>
      <c r="G208" s="14" t="s">
        <v>1526</v>
      </c>
      <c r="H208" s="15" t="n">
        <v>46047</v>
      </c>
      <c r="I208" s="15" t="s">
        <v>172</v>
      </c>
      <c r="J208" s="14" t="s">
        <v>295</v>
      </c>
      <c r="K208" s="14" t="s">
        <v>1527</v>
      </c>
      <c r="L208" s="14" t="s">
        <v>346</v>
      </c>
      <c r="M208" s="14" t="s">
        <v>111</v>
      </c>
      <c r="N208" s="14" t="s">
        <v>112</v>
      </c>
      <c r="O208" s="14" t="s">
        <v>113</v>
      </c>
      <c r="P208" s="14" t="s">
        <v>870</v>
      </c>
      <c r="Q208" s="14" t="s">
        <v>1036</v>
      </c>
      <c r="R208" s="14"/>
      <c r="S208" s="14"/>
      <c r="T208" s="14"/>
      <c r="U208" s="14" t="s">
        <v>22</v>
      </c>
      <c r="V208" s="14"/>
      <c r="W208" s="14" t="s">
        <v>298</v>
      </c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 t="s">
        <v>1528</v>
      </c>
      <c r="AW208" s="14" t="s">
        <v>1030</v>
      </c>
      <c r="AX208" s="14" t="s">
        <v>1529</v>
      </c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  <c r="BP208" s="14"/>
      <c r="BQ208" s="14"/>
      <c r="BR208" s="14"/>
      <c r="BS208" s="14"/>
      <c r="BT208" s="14"/>
      <c r="BU208" s="14"/>
      <c r="BV208" s="14"/>
      <c r="BW208" s="14"/>
      <c r="BX208" s="14"/>
      <c r="BY208" s="14"/>
      <c r="BZ208" s="14"/>
      <c r="CA208" s="14"/>
      <c r="CB208" s="14"/>
      <c r="CC208" s="14"/>
      <c r="CD208" s="14"/>
      <c r="CE208" s="14"/>
      <c r="CF208" s="14"/>
      <c r="CG208" s="14"/>
      <c r="CH208" s="14"/>
      <c r="CI208" s="14"/>
      <c r="CJ208" s="14"/>
      <c r="CK208" s="14"/>
      <c r="CL208" s="14"/>
      <c r="CR208" s="1" t="s">
        <v>152</v>
      </c>
      <c r="CS208" s="1" t="s">
        <v>180</v>
      </c>
      <c r="CT208" s="14"/>
      <c r="CU208" s="1" t="s">
        <v>192</v>
      </c>
      <c r="CV208" s="1" t="s">
        <v>168</v>
      </c>
      <c r="CW208" s="3"/>
      <c r="DG208" s="4"/>
    </row>
    <row r="209" customFormat="false" ht="11.25" hidden="false" customHeight="true" outlineLevel="0" collapsed="false">
      <c r="A209" s="14" t="n">
        <v>208</v>
      </c>
      <c r="B209" s="15" t="n">
        <v>46214.2778552778</v>
      </c>
      <c r="C209" s="15" t="n">
        <v>46214.2867325926</v>
      </c>
      <c r="D209" s="14" t="s">
        <v>1530</v>
      </c>
      <c r="E209" s="14" t="s">
        <v>1531</v>
      </c>
      <c r="F209" s="14" t="s">
        <v>1531</v>
      </c>
      <c r="G209" s="14" t="s">
        <v>1532</v>
      </c>
      <c r="H209" s="15" t="n">
        <v>46205</v>
      </c>
      <c r="I209" s="15" t="s">
        <v>107</v>
      </c>
      <c r="J209" s="14" t="s">
        <v>295</v>
      </c>
      <c r="K209" s="14" t="s">
        <v>257</v>
      </c>
      <c r="L209" s="14" t="s">
        <v>431</v>
      </c>
      <c r="M209" s="14" t="s">
        <v>111</v>
      </c>
      <c r="N209" s="14" t="s">
        <v>112</v>
      </c>
      <c r="O209" s="14" t="s">
        <v>113</v>
      </c>
      <c r="P209" s="14" t="s">
        <v>973</v>
      </c>
      <c r="Q209" s="14" t="s">
        <v>701</v>
      </c>
      <c r="R209" s="14"/>
      <c r="S209" s="14"/>
      <c r="T209" s="14"/>
      <c r="U209" s="14" t="s">
        <v>22</v>
      </c>
      <c r="V209" s="14"/>
      <c r="W209" s="14" t="s">
        <v>298</v>
      </c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 t="s">
        <v>1533</v>
      </c>
      <c r="AW209" s="14" t="s">
        <v>1534</v>
      </c>
      <c r="AX209" s="14" t="s">
        <v>1535</v>
      </c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  <c r="BY209" s="14"/>
      <c r="BZ209" s="14"/>
      <c r="CA209" s="14"/>
      <c r="CB209" s="14"/>
      <c r="CC209" s="14"/>
      <c r="CD209" s="14"/>
      <c r="CE209" s="14"/>
      <c r="CF209" s="14"/>
      <c r="CG209" s="14"/>
      <c r="CH209" s="14"/>
      <c r="CI209" s="14"/>
      <c r="CJ209" s="14"/>
      <c r="CK209" s="14"/>
      <c r="CL209" s="14"/>
      <c r="CR209" s="1" t="s">
        <v>120</v>
      </c>
      <c r="CS209" s="1" t="s">
        <v>180</v>
      </c>
      <c r="CT209" s="14" t="s">
        <v>1015</v>
      </c>
      <c r="CU209" s="1" t="s">
        <v>167</v>
      </c>
      <c r="CV209" s="1" t="s">
        <v>124</v>
      </c>
      <c r="CW209" s="3"/>
      <c r="DG209" s="4"/>
    </row>
    <row r="210" customFormat="false" ht="11.25" hidden="false" customHeight="true" outlineLevel="0" collapsed="false">
      <c r="A210" s="14" t="n">
        <v>209</v>
      </c>
      <c r="B210" s="15" t="n">
        <v>46140.8249043056</v>
      </c>
      <c r="C210" s="15" t="n">
        <v>46140.82809875</v>
      </c>
      <c r="D210" s="14" t="s">
        <v>1536</v>
      </c>
      <c r="E210" s="14" t="s">
        <v>1537</v>
      </c>
      <c r="F210" s="14" t="s">
        <v>1537</v>
      </c>
      <c r="G210" s="14" t="s">
        <v>1538</v>
      </c>
      <c r="H210" s="15" t="n">
        <v>46140</v>
      </c>
      <c r="I210" s="15" t="s">
        <v>172</v>
      </c>
      <c r="J210" s="14" t="s">
        <v>108</v>
      </c>
      <c r="K210" s="14" t="s">
        <v>196</v>
      </c>
      <c r="L210" s="14" t="s">
        <v>233</v>
      </c>
      <c r="M210" s="14" t="s">
        <v>111</v>
      </c>
      <c r="N210" s="14" t="s">
        <v>112</v>
      </c>
      <c r="O210" s="14" t="s">
        <v>325</v>
      </c>
      <c r="P210" s="14" t="s">
        <v>1151</v>
      </c>
      <c r="Q210" s="14" t="s">
        <v>1539</v>
      </c>
      <c r="R210" s="14"/>
      <c r="S210" s="14"/>
      <c r="T210" s="14"/>
      <c r="U210" s="14" t="s">
        <v>24</v>
      </c>
      <c r="V210" s="14"/>
      <c r="W210" s="14"/>
      <c r="X210" s="14"/>
      <c r="Y210" s="14" t="s">
        <v>223</v>
      </c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  <c r="BP210" s="14"/>
      <c r="BQ210" s="14"/>
      <c r="BR210" s="14"/>
      <c r="BS210" s="14"/>
      <c r="BT210" s="14"/>
      <c r="BU210" s="14"/>
      <c r="BV210" s="14"/>
      <c r="BW210" s="14"/>
      <c r="BX210" s="14"/>
      <c r="BY210" s="14"/>
      <c r="BZ210" s="14" t="s">
        <v>1540</v>
      </c>
      <c r="CA210" s="14" t="s">
        <v>1541</v>
      </c>
      <c r="CB210" s="14" t="s">
        <v>425</v>
      </c>
      <c r="CC210" s="14"/>
      <c r="CD210" s="14"/>
      <c r="CE210" s="14"/>
      <c r="CF210" s="14"/>
      <c r="CG210" s="14"/>
      <c r="CH210" s="14"/>
      <c r="CI210" s="14"/>
      <c r="CJ210" s="14"/>
      <c r="CK210" s="14"/>
      <c r="CL210" s="14"/>
      <c r="CR210" s="1" t="s">
        <v>152</v>
      </c>
      <c r="CS210" s="1" t="s">
        <v>121</v>
      </c>
      <c r="CT210" s="14" t="s">
        <v>122</v>
      </c>
      <c r="CU210" s="1" t="s">
        <v>192</v>
      </c>
      <c r="CV210" s="1" t="s">
        <v>124</v>
      </c>
      <c r="CW210" s="3"/>
      <c r="DG210" s="4"/>
    </row>
    <row r="211" customFormat="false" ht="11.25" hidden="false" customHeight="true" outlineLevel="0" collapsed="false">
      <c r="A211" s="14" t="n">
        <v>210</v>
      </c>
      <c r="B211" s="15" t="n">
        <v>46177.7415219213</v>
      </c>
      <c r="C211" s="15" t="n">
        <v>46177.7454571065</v>
      </c>
      <c r="D211" s="14" t="s">
        <v>1542</v>
      </c>
      <c r="E211" s="14" t="s">
        <v>1543</v>
      </c>
      <c r="F211" s="14" t="s">
        <v>1543</v>
      </c>
      <c r="G211" s="14" t="s">
        <v>1544</v>
      </c>
      <c r="H211" s="15" t="n">
        <v>46161</v>
      </c>
      <c r="I211" s="15" t="s">
        <v>244</v>
      </c>
      <c r="J211" s="14" t="s">
        <v>108</v>
      </c>
      <c r="K211" s="14" t="s">
        <v>173</v>
      </c>
      <c r="L211" s="14" t="s">
        <v>110</v>
      </c>
      <c r="M211" s="14" t="s">
        <v>111</v>
      </c>
      <c r="N211" s="14" t="s">
        <v>112</v>
      </c>
      <c r="O211" s="14" t="s">
        <v>113</v>
      </c>
      <c r="P211" s="14" t="s">
        <v>566</v>
      </c>
      <c r="Q211" s="14" t="s">
        <v>586</v>
      </c>
      <c r="R211" s="14"/>
      <c r="S211" s="14"/>
      <c r="T211" s="14"/>
      <c r="U211" s="14" t="s">
        <v>22</v>
      </c>
      <c r="V211" s="14"/>
      <c r="W211" s="14" t="s">
        <v>176</v>
      </c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 t="s">
        <v>1545</v>
      </c>
      <c r="AZ211" s="14" t="s">
        <v>1546</v>
      </c>
      <c r="BA211" s="14" t="s">
        <v>1547</v>
      </c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  <c r="BY211" s="14"/>
      <c r="BZ211" s="14"/>
      <c r="CA211" s="14"/>
      <c r="CB211" s="14"/>
      <c r="CC211" s="14"/>
      <c r="CD211" s="14"/>
      <c r="CE211" s="14"/>
      <c r="CF211" s="14"/>
      <c r="CG211" s="14"/>
      <c r="CH211" s="14"/>
      <c r="CI211" s="14"/>
      <c r="CJ211" s="14"/>
      <c r="CK211" s="14"/>
      <c r="CL211" s="14"/>
      <c r="CR211" s="1" t="s">
        <v>227</v>
      </c>
      <c r="CS211" s="1" t="s">
        <v>165</v>
      </c>
      <c r="CT211" s="14"/>
      <c r="CU211" s="1" t="s">
        <v>192</v>
      </c>
      <c r="CV211" s="1" t="s">
        <v>124</v>
      </c>
      <c r="CW211" s="3"/>
      <c r="DG211" s="4"/>
    </row>
    <row r="212" customFormat="false" ht="11.25" hidden="false" customHeight="true" outlineLevel="0" collapsed="false">
      <c r="A212" s="14" t="n">
        <v>211</v>
      </c>
      <c r="B212" s="15" t="n">
        <v>46214.0417474769</v>
      </c>
      <c r="C212" s="15" t="n">
        <v>46214.0568400695</v>
      </c>
      <c r="D212" s="14" t="s">
        <v>1548</v>
      </c>
      <c r="E212" s="14" t="s">
        <v>1549</v>
      </c>
      <c r="F212" s="14" t="s">
        <v>1550</v>
      </c>
      <c r="G212" s="14" t="s">
        <v>1551</v>
      </c>
      <c r="H212" s="15" t="n">
        <v>46208</v>
      </c>
      <c r="I212" s="15" t="s">
        <v>278</v>
      </c>
      <c r="J212" s="14" t="s">
        <v>128</v>
      </c>
      <c r="K212" s="14" t="s">
        <v>1552</v>
      </c>
      <c r="L212" s="14" t="s">
        <v>246</v>
      </c>
      <c r="M212" s="14" t="s">
        <v>390</v>
      </c>
      <c r="N212" s="14" t="s">
        <v>112</v>
      </c>
      <c r="O212" s="14" t="s">
        <v>113</v>
      </c>
      <c r="P212" s="14" t="s">
        <v>809</v>
      </c>
      <c r="Q212" s="14" t="s">
        <v>1553</v>
      </c>
      <c r="R212" s="14"/>
      <c r="S212" s="14"/>
      <c r="T212" s="14"/>
      <c r="U212" s="14" t="s">
        <v>22</v>
      </c>
      <c r="V212" s="14"/>
      <c r="W212" s="14" t="s">
        <v>298</v>
      </c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 t="s">
        <v>1554</v>
      </c>
      <c r="AW212" s="14" t="s">
        <v>1555</v>
      </c>
      <c r="AX212" s="14" t="s">
        <v>1556</v>
      </c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  <c r="BP212" s="14"/>
      <c r="BQ212" s="14"/>
      <c r="BR212" s="14"/>
      <c r="BS212" s="14"/>
      <c r="BT212" s="14"/>
      <c r="BU212" s="14"/>
      <c r="BV212" s="14"/>
      <c r="BW212" s="14"/>
      <c r="BX212" s="14"/>
      <c r="BY212" s="14"/>
      <c r="BZ212" s="14"/>
      <c r="CA212" s="14"/>
      <c r="CB212" s="14"/>
      <c r="CC212" s="14"/>
      <c r="CD212" s="14"/>
      <c r="CE212" s="14"/>
      <c r="CF212" s="14"/>
      <c r="CG212" s="14"/>
      <c r="CH212" s="14"/>
      <c r="CI212" s="14"/>
      <c r="CJ212" s="14"/>
      <c r="CK212" s="14"/>
      <c r="CL212" s="14"/>
      <c r="CR212" s="1" t="s">
        <v>152</v>
      </c>
      <c r="CS212" s="1" t="s">
        <v>121</v>
      </c>
      <c r="CT212" s="14" t="s">
        <v>1557</v>
      </c>
      <c r="CU212" s="1" t="s">
        <v>192</v>
      </c>
      <c r="CV212" s="1" t="s">
        <v>124</v>
      </c>
      <c r="CW212" s="3"/>
      <c r="DG212" s="4"/>
    </row>
    <row r="213" customFormat="false" ht="11.25" hidden="false" customHeight="true" outlineLevel="0" collapsed="false">
      <c r="A213" s="14" t="n">
        <v>212</v>
      </c>
      <c r="B213" s="15" t="n">
        <v>46141.2756992245</v>
      </c>
      <c r="C213" s="15" t="n">
        <v>46141.2941945949</v>
      </c>
      <c r="D213" s="14" t="s">
        <v>1558</v>
      </c>
      <c r="E213" s="14" t="s">
        <v>1559</v>
      </c>
      <c r="F213" s="14" t="s">
        <v>1560</v>
      </c>
      <c r="G213" s="14" t="s">
        <v>1561</v>
      </c>
      <c r="H213" s="15" t="n">
        <v>46126</v>
      </c>
      <c r="I213" s="15" t="s">
        <v>107</v>
      </c>
      <c r="J213" s="14" t="s">
        <v>108</v>
      </c>
      <c r="K213" s="14" t="s">
        <v>232</v>
      </c>
      <c r="L213" s="14" t="s">
        <v>296</v>
      </c>
      <c r="M213" s="14" t="s">
        <v>111</v>
      </c>
      <c r="N213" s="14" t="s">
        <v>112</v>
      </c>
      <c r="O213" s="14" t="s">
        <v>551</v>
      </c>
      <c r="P213" s="14" t="s">
        <v>1074</v>
      </c>
      <c r="Q213" s="14" t="s">
        <v>134</v>
      </c>
      <c r="R213" s="14"/>
      <c r="S213" s="14"/>
      <c r="T213" s="14"/>
      <c r="U213" s="14" t="s">
        <v>24</v>
      </c>
      <c r="V213" s="14"/>
      <c r="W213" s="14"/>
      <c r="X213" s="14"/>
      <c r="Y213" s="14" t="s">
        <v>214</v>
      </c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  <c r="BX213" s="14"/>
      <c r="BY213" s="14"/>
      <c r="BZ213" s="14"/>
      <c r="CA213" s="14"/>
      <c r="CB213" s="14"/>
      <c r="CC213" s="14" t="s">
        <v>1562</v>
      </c>
      <c r="CD213" s="14" t="s">
        <v>1563</v>
      </c>
      <c r="CE213" s="14" t="s">
        <v>1564</v>
      </c>
      <c r="CF213" s="14"/>
      <c r="CG213" s="14"/>
      <c r="CH213" s="14"/>
      <c r="CI213" s="14"/>
      <c r="CJ213" s="14"/>
      <c r="CK213" s="14"/>
      <c r="CL213" s="14"/>
      <c r="CR213" s="1" t="s">
        <v>152</v>
      </c>
      <c r="CS213" s="1" t="s">
        <v>121</v>
      </c>
      <c r="CT213" s="14" t="s">
        <v>291</v>
      </c>
      <c r="CU213" s="1" t="s">
        <v>192</v>
      </c>
      <c r="CV213" s="1" t="s">
        <v>168</v>
      </c>
      <c r="CW213" s="3"/>
      <c r="DG213" s="4"/>
    </row>
    <row r="214" customFormat="false" ht="11.25" hidden="false" customHeight="true" outlineLevel="0" collapsed="false">
      <c r="A214" s="14" t="n">
        <v>213</v>
      </c>
      <c r="B214" s="15" t="n">
        <v>46129.8193942014</v>
      </c>
      <c r="C214" s="15" t="n">
        <v>46129.8255284607</v>
      </c>
      <c r="D214" s="14" t="s">
        <v>1565</v>
      </c>
      <c r="E214" s="14" t="s">
        <v>1566</v>
      </c>
      <c r="F214" s="14" t="s">
        <v>1566</v>
      </c>
      <c r="G214" s="14" t="s">
        <v>1567</v>
      </c>
      <c r="H214" s="15" t="n">
        <v>46117</v>
      </c>
      <c r="I214" s="15" t="s">
        <v>107</v>
      </c>
      <c r="J214" s="14" t="s">
        <v>295</v>
      </c>
      <c r="K214" s="14" t="s">
        <v>232</v>
      </c>
      <c r="L214" s="14" t="s">
        <v>346</v>
      </c>
      <c r="M214" s="14" t="s">
        <v>111</v>
      </c>
      <c r="N214" s="14" t="s">
        <v>145</v>
      </c>
      <c r="O214" s="14" t="s">
        <v>863</v>
      </c>
      <c r="P214" s="14" t="s">
        <v>694</v>
      </c>
      <c r="Q214" s="14" t="s">
        <v>287</v>
      </c>
      <c r="R214" s="14"/>
      <c r="S214" s="14"/>
      <c r="T214" s="14"/>
      <c r="U214" s="14" t="s">
        <v>22</v>
      </c>
      <c r="V214" s="14"/>
      <c r="W214" s="14" t="s">
        <v>339</v>
      </c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 t="s">
        <v>408</v>
      </c>
      <c r="BO214" s="14" t="s">
        <v>1270</v>
      </c>
      <c r="BP214" s="14" t="s">
        <v>753</v>
      </c>
      <c r="BQ214" s="14"/>
      <c r="BR214" s="14"/>
      <c r="BS214" s="14"/>
      <c r="BT214" s="14"/>
      <c r="BU214" s="14"/>
      <c r="BV214" s="14"/>
      <c r="BW214" s="14"/>
      <c r="BX214" s="14"/>
      <c r="BY214" s="14"/>
      <c r="BZ214" s="14"/>
      <c r="CA214" s="14"/>
      <c r="CB214" s="14"/>
      <c r="CC214" s="14"/>
      <c r="CD214" s="14"/>
      <c r="CE214" s="14"/>
      <c r="CF214" s="14"/>
      <c r="CG214" s="14"/>
      <c r="CH214" s="14"/>
      <c r="CI214" s="14"/>
      <c r="CJ214" s="14"/>
      <c r="CK214" s="14"/>
      <c r="CL214" s="14"/>
      <c r="CR214" s="1" t="s">
        <v>152</v>
      </c>
      <c r="CS214" s="1" t="s">
        <v>121</v>
      </c>
      <c r="CT214" s="14" t="s">
        <v>1568</v>
      </c>
      <c r="CU214" s="1" t="s">
        <v>123</v>
      </c>
      <c r="CV214" s="1" t="s">
        <v>124</v>
      </c>
      <c r="CW214" s="3"/>
      <c r="DG214" s="4"/>
    </row>
    <row r="215" customFormat="false" ht="11.25" hidden="false" customHeight="true" outlineLevel="0" collapsed="false">
      <c r="A215" s="14" t="n">
        <v>214</v>
      </c>
      <c r="B215" s="15" t="n">
        <v>46175.8019339005</v>
      </c>
      <c r="C215" s="15" t="n">
        <v>46175.8075589005</v>
      </c>
      <c r="D215" s="14" t="s">
        <v>1569</v>
      </c>
      <c r="E215" s="14" t="s">
        <v>1570</v>
      </c>
      <c r="F215" s="14" t="s">
        <v>1570</v>
      </c>
      <c r="G215" s="14" t="s">
        <v>1571</v>
      </c>
      <c r="H215" s="15" t="n">
        <v>46165</v>
      </c>
      <c r="I215" s="15" t="s">
        <v>107</v>
      </c>
      <c r="J215" s="14" t="s">
        <v>108</v>
      </c>
      <c r="K215" s="14" t="s">
        <v>1572</v>
      </c>
      <c r="L215" s="14" t="s">
        <v>110</v>
      </c>
      <c r="M215" s="14" t="s">
        <v>111</v>
      </c>
      <c r="N215" s="14" t="s">
        <v>112</v>
      </c>
      <c r="O215" s="14" t="s">
        <v>113</v>
      </c>
      <c r="P215" s="14" t="s">
        <v>160</v>
      </c>
      <c r="Q215" s="14" t="s">
        <v>1573</v>
      </c>
      <c r="R215" s="14"/>
      <c r="S215" s="14"/>
      <c r="T215" s="14"/>
      <c r="U215" s="14" t="s">
        <v>22</v>
      </c>
      <c r="V215" s="14"/>
      <c r="W215" s="14" t="s">
        <v>381</v>
      </c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 t="s">
        <v>737</v>
      </c>
      <c r="BR215" s="14" t="s">
        <v>1250</v>
      </c>
      <c r="BS215" s="14" t="s">
        <v>1574</v>
      </c>
      <c r="BT215" s="14"/>
      <c r="BU215" s="14"/>
      <c r="BV215" s="14"/>
      <c r="BW215" s="14"/>
      <c r="BX215" s="14"/>
      <c r="BY215" s="14"/>
      <c r="BZ215" s="14"/>
      <c r="CA215" s="14"/>
      <c r="CB215" s="14"/>
      <c r="CC215" s="14"/>
      <c r="CD215" s="14"/>
      <c r="CE215" s="14"/>
      <c r="CF215" s="14"/>
      <c r="CG215" s="14"/>
      <c r="CH215" s="14"/>
      <c r="CI215" s="14"/>
      <c r="CJ215" s="14"/>
      <c r="CK215" s="14"/>
      <c r="CL215" s="14"/>
      <c r="CR215" s="1" t="s">
        <v>120</v>
      </c>
      <c r="CS215" s="1" t="s">
        <v>121</v>
      </c>
      <c r="CT215" s="14" t="s">
        <v>122</v>
      </c>
      <c r="CU215" s="1" t="s">
        <v>123</v>
      </c>
      <c r="CV215" s="1" t="s">
        <v>124</v>
      </c>
      <c r="CW215" s="3"/>
      <c r="DG215" s="4"/>
    </row>
    <row r="216" customFormat="false" ht="11.25" hidden="false" customHeight="true" outlineLevel="0" collapsed="false">
      <c r="A216" s="14" t="n">
        <v>215</v>
      </c>
      <c r="B216" s="15" t="n">
        <v>46041.7132504282</v>
      </c>
      <c r="C216" s="15" t="n">
        <v>46041.7313754282</v>
      </c>
      <c r="D216" s="14" t="s">
        <v>1575</v>
      </c>
      <c r="E216" s="14" t="s">
        <v>1576</v>
      </c>
      <c r="F216" s="14" t="s">
        <v>1576</v>
      </c>
      <c r="G216" s="14" t="s">
        <v>1577</v>
      </c>
      <c r="H216" s="15" t="n">
        <v>46037</v>
      </c>
      <c r="I216" s="15" t="s">
        <v>172</v>
      </c>
      <c r="J216" s="14" t="s">
        <v>108</v>
      </c>
      <c r="K216" s="14" t="s">
        <v>196</v>
      </c>
      <c r="L216" s="14" t="s">
        <v>389</v>
      </c>
      <c r="M216" s="14" t="s">
        <v>111</v>
      </c>
      <c r="N216" s="14" t="s">
        <v>145</v>
      </c>
      <c r="O216" s="14" t="s">
        <v>113</v>
      </c>
      <c r="P216" s="14" t="s">
        <v>199</v>
      </c>
      <c r="Q216" s="14" t="s">
        <v>213</v>
      </c>
      <c r="R216" s="14"/>
      <c r="S216" s="14"/>
      <c r="T216" s="14"/>
      <c r="U216" s="14" t="s">
        <v>22</v>
      </c>
      <c r="V216" s="14"/>
      <c r="W216" s="14" t="s">
        <v>339</v>
      </c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 t="s">
        <v>1578</v>
      </c>
      <c r="BO216" s="14" t="s">
        <v>1579</v>
      </c>
      <c r="BP216" s="14" t="s">
        <v>675</v>
      </c>
      <c r="BQ216" s="14"/>
      <c r="BR216" s="14"/>
      <c r="BS216" s="14"/>
      <c r="BT216" s="14"/>
      <c r="BU216" s="14"/>
      <c r="BV216" s="14"/>
      <c r="BW216" s="14"/>
      <c r="BX216" s="14"/>
      <c r="BY216" s="14"/>
      <c r="BZ216" s="14"/>
      <c r="CA216" s="14"/>
      <c r="CB216" s="14"/>
      <c r="CC216" s="14"/>
      <c r="CD216" s="14"/>
      <c r="CE216" s="14"/>
      <c r="CF216" s="14"/>
      <c r="CG216" s="14"/>
      <c r="CH216" s="14"/>
      <c r="CI216" s="14"/>
      <c r="CJ216" s="14"/>
      <c r="CK216" s="14"/>
      <c r="CL216" s="14"/>
      <c r="CR216" s="1" t="s">
        <v>120</v>
      </c>
      <c r="CS216" s="1" t="s">
        <v>121</v>
      </c>
      <c r="CT216" s="14" t="s">
        <v>1229</v>
      </c>
      <c r="CU216" s="1" t="s">
        <v>192</v>
      </c>
      <c r="CV216" s="1" t="s">
        <v>124</v>
      </c>
      <c r="CW216" s="3"/>
      <c r="CY216" s="3" t="s">
        <v>205</v>
      </c>
      <c r="DG216" s="4"/>
    </row>
    <row r="217" customFormat="false" ht="11.25" hidden="false" customHeight="true" outlineLevel="0" collapsed="false">
      <c r="A217" s="14" t="n">
        <v>216</v>
      </c>
      <c r="B217" s="15" t="n">
        <v>46044.9001172685</v>
      </c>
      <c r="C217" s="15" t="n">
        <v>46044.9112631019</v>
      </c>
      <c r="D217" s="14" t="s">
        <v>1580</v>
      </c>
      <c r="E217" s="14" t="s">
        <v>1581</v>
      </c>
      <c r="F217" s="14" t="s">
        <v>1582</v>
      </c>
      <c r="G217" s="14" t="s">
        <v>1583</v>
      </c>
      <c r="H217" s="15" t="n">
        <v>46037</v>
      </c>
      <c r="I217" s="15" t="s">
        <v>107</v>
      </c>
      <c r="J217" s="14" t="s">
        <v>295</v>
      </c>
      <c r="K217" s="14" t="s">
        <v>462</v>
      </c>
      <c r="L217" s="14" t="s">
        <v>130</v>
      </c>
      <c r="M217" s="14" t="s">
        <v>111</v>
      </c>
      <c r="N217" s="14" t="s">
        <v>112</v>
      </c>
      <c r="O217" s="14" t="s">
        <v>113</v>
      </c>
      <c r="P217" s="14" t="s">
        <v>146</v>
      </c>
      <c r="Q217" s="14" t="s">
        <v>338</v>
      </c>
      <c r="R217" s="14"/>
      <c r="S217" s="14"/>
      <c r="T217" s="14"/>
      <c r="U217" s="14" t="s">
        <v>22</v>
      </c>
      <c r="V217" s="14"/>
      <c r="W217" s="14" t="s">
        <v>339</v>
      </c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 t="s">
        <v>1584</v>
      </c>
      <c r="BO217" s="14" t="s">
        <v>1585</v>
      </c>
      <c r="BP217" s="14" t="s">
        <v>752</v>
      </c>
      <c r="BQ217" s="14"/>
      <c r="BR217" s="14"/>
      <c r="BS217" s="14"/>
      <c r="BT217" s="14"/>
      <c r="BU217" s="14"/>
      <c r="BV217" s="14"/>
      <c r="BW217" s="14"/>
      <c r="BX217" s="14"/>
      <c r="BY217" s="14"/>
      <c r="BZ217" s="14"/>
      <c r="CA217" s="14"/>
      <c r="CB217" s="14"/>
      <c r="CC217" s="14"/>
      <c r="CD217" s="14"/>
      <c r="CE217" s="14"/>
      <c r="CF217" s="14"/>
      <c r="CG217" s="14"/>
      <c r="CH217" s="14"/>
      <c r="CI217" s="14"/>
      <c r="CJ217" s="14"/>
      <c r="CK217" s="14"/>
      <c r="CL217" s="14"/>
      <c r="CR217" s="1" t="s">
        <v>227</v>
      </c>
      <c r="CS217" s="1" t="s">
        <v>121</v>
      </c>
      <c r="CT217" s="14" t="s">
        <v>122</v>
      </c>
      <c r="CU217" s="1" t="s">
        <v>167</v>
      </c>
      <c r="CV217" s="1" t="s">
        <v>124</v>
      </c>
      <c r="CW217" s="3"/>
      <c r="DG217" s="4"/>
    </row>
    <row r="218" customFormat="false" ht="11.25" hidden="false" customHeight="true" outlineLevel="0" collapsed="false">
      <c r="A218" s="14" t="n">
        <v>217</v>
      </c>
      <c r="B218" s="15" t="n">
        <v>46047.2117893287</v>
      </c>
      <c r="C218" s="15" t="n">
        <v>46047.2313032176</v>
      </c>
      <c r="D218" s="14" t="s">
        <v>1586</v>
      </c>
      <c r="E218" s="14" t="s">
        <v>1587</v>
      </c>
      <c r="F218" s="14" t="s">
        <v>1587</v>
      </c>
      <c r="G218" s="14" t="s">
        <v>1588</v>
      </c>
      <c r="H218" s="15" t="n">
        <v>46028</v>
      </c>
      <c r="I218" s="15" t="s">
        <v>172</v>
      </c>
      <c r="J218" s="14" t="s">
        <v>128</v>
      </c>
      <c r="K218" s="14" t="s">
        <v>1589</v>
      </c>
      <c r="L218" s="14" t="s">
        <v>110</v>
      </c>
      <c r="M218" s="14" t="s">
        <v>131</v>
      </c>
      <c r="N218" s="14" t="s">
        <v>112</v>
      </c>
      <c r="O218" s="14" t="s">
        <v>113</v>
      </c>
      <c r="P218" s="14" t="s">
        <v>686</v>
      </c>
      <c r="Q218" s="14" t="s">
        <v>508</v>
      </c>
      <c r="R218" s="14"/>
      <c r="S218" s="14"/>
      <c r="T218" s="14"/>
      <c r="U218" s="14" t="s">
        <v>25</v>
      </c>
      <c r="V218" s="14"/>
      <c r="W218" s="14"/>
      <c r="X218" s="14"/>
      <c r="Y218" s="14"/>
      <c r="Z218" s="14" t="s">
        <v>687</v>
      </c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  <c r="BY218" s="14"/>
      <c r="BZ218" s="14"/>
      <c r="CA218" s="14"/>
      <c r="CB218" s="14"/>
      <c r="CC218" s="14"/>
      <c r="CD218" s="14"/>
      <c r="CE218" s="14"/>
      <c r="CF218" s="14"/>
      <c r="CG218" s="14"/>
      <c r="CH218" s="14"/>
      <c r="CI218" s="14"/>
      <c r="CJ218" s="14"/>
      <c r="CK218" s="14"/>
      <c r="CL218" s="14" t="s">
        <v>1590</v>
      </c>
      <c r="CM218" s="1" t="s">
        <v>1591</v>
      </c>
      <c r="CN218" s="1" t="s">
        <v>1592</v>
      </c>
      <c r="CR218" s="1" t="s">
        <v>152</v>
      </c>
      <c r="CS218" s="1" t="s">
        <v>121</v>
      </c>
      <c r="CT218" s="14" t="s">
        <v>122</v>
      </c>
      <c r="CU218" s="1" t="s">
        <v>192</v>
      </c>
      <c r="CV218" s="1" t="s">
        <v>124</v>
      </c>
      <c r="CW218" s="3"/>
      <c r="DG218" s="4"/>
    </row>
    <row r="219" customFormat="false" ht="11.25" hidden="false" customHeight="true" outlineLevel="0" collapsed="false">
      <c r="A219" s="14" t="n">
        <v>218</v>
      </c>
      <c r="B219" s="15" t="n">
        <v>46083.994184132</v>
      </c>
      <c r="C219" s="15" t="n">
        <v>46084.0015220949</v>
      </c>
      <c r="D219" s="14" t="s">
        <v>1593</v>
      </c>
      <c r="E219" s="14" t="s">
        <v>1594</v>
      </c>
      <c r="F219" s="14" t="s">
        <v>1594</v>
      </c>
      <c r="G219" s="14" t="s">
        <v>1595</v>
      </c>
      <c r="H219" s="15" t="n">
        <v>46066</v>
      </c>
      <c r="I219" s="15" t="s">
        <v>107</v>
      </c>
      <c r="J219" s="14" t="s">
        <v>108</v>
      </c>
      <c r="K219" s="14" t="s">
        <v>364</v>
      </c>
      <c r="L219" s="14" t="s">
        <v>389</v>
      </c>
      <c r="M219" s="14" t="s">
        <v>111</v>
      </c>
      <c r="N219" s="14" t="s">
        <v>247</v>
      </c>
      <c r="O219" s="14" t="s">
        <v>325</v>
      </c>
      <c r="P219" s="14" t="s">
        <v>160</v>
      </c>
      <c r="Q219" s="14" t="s">
        <v>357</v>
      </c>
      <c r="R219" s="14"/>
      <c r="S219" s="14"/>
      <c r="T219" s="14" t="s">
        <v>880</v>
      </c>
      <c r="U219" s="14" t="s">
        <v>24</v>
      </c>
      <c r="V219" s="14"/>
      <c r="W219" s="14"/>
      <c r="X219" s="14"/>
      <c r="Y219" s="14" t="s">
        <v>19</v>
      </c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R219" s="1" t="s">
        <v>227</v>
      </c>
      <c r="CS219" s="1" t="s">
        <v>352</v>
      </c>
      <c r="CT219" s="14"/>
      <c r="CU219" s="1" t="s">
        <v>192</v>
      </c>
      <c r="CV219" s="1" t="s">
        <v>124</v>
      </c>
      <c r="CW219" s="3"/>
      <c r="DG219" s="4"/>
    </row>
    <row r="220" customFormat="false" ht="11.25" hidden="false" customHeight="true" outlineLevel="0" collapsed="false">
      <c r="A220" s="14" t="n">
        <v>219</v>
      </c>
      <c r="B220" s="15" t="n">
        <v>46087.6230004745</v>
      </c>
      <c r="C220" s="15" t="n">
        <v>46087.6341115857</v>
      </c>
      <c r="D220" s="14" t="s">
        <v>1596</v>
      </c>
      <c r="E220" s="14" t="s">
        <v>1597</v>
      </c>
      <c r="F220" s="14" t="s">
        <v>1597</v>
      </c>
      <c r="G220" s="14" t="s">
        <v>1598</v>
      </c>
      <c r="H220" s="15" t="n">
        <v>46085</v>
      </c>
      <c r="I220" s="15" t="s">
        <v>244</v>
      </c>
      <c r="J220" s="14" t="s">
        <v>295</v>
      </c>
      <c r="K220" s="14" t="s">
        <v>818</v>
      </c>
      <c r="L220" s="14" t="s">
        <v>130</v>
      </c>
      <c r="M220" s="14" t="s">
        <v>111</v>
      </c>
      <c r="N220" s="14" t="s">
        <v>112</v>
      </c>
      <c r="O220" s="14" t="s">
        <v>113</v>
      </c>
      <c r="P220" s="14" t="s">
        <v>199</v>
      </c>
      <c r="Q220" s="14" t="s">
        <v>1243</v>
      </c>
      <c r="R220" s="14"/>
      <c r="S220" s="14"/>
      <c r="T220" s="14"/>
      <c r="U220" s="14" t="s">
        <v>21</v>
      </c>
      <c r="V220" s="14" t="s">
        <v>348</v>
      </c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 t="s">
        <v>349</v>
      </c>
      <c r="BC220" s="14" t="s">
        <v>350</v>
      </c>
      <c r="BD220" s="14" t="s">
        <v>1599</v>
      </c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  <c r="BP220" s="14"/>
      <c r="BQ220" s="14"/>
      <c r="BR220" s="14"/>
      <c r="BS220" s="14"/>
      <c r="BT220" s="14"/>
      <c r="BU220" s="14"/>
      <c r="BV220" s="14"/>
      <c r="BW220" s="14"/>
      <c r="BX220" s="14"/>
      <c r="BY220" s="14"/>
      <c r="BZ220" s="14"/>
      <c r="CA220" s="14"/>
      <c r="CB220" s="14"/>
      <c r="CC220" s="14"/>
      <c r="CD220" s="14"/>
      <c r="CE220" s="14"/>
      <c r="CF220" s="14"/>
      <c r="CG220" s="14"/>
      <c r="CH220" s="14"/>
      <c r="CI220" s="14"/>
      <c r="CJ220" s="14"/>
      <c r="CK220" s="14"/>
      <c r="CL220" s="14"/>
      <c r="CR220" s="1" t="s">
        <v>152</v>
      </c>
      <c r="CS220" s="1" t="s">
        <v>264</v>
      </c>
      <c r="CT220" s="14"/>
      <c r="CU220" s="1" t="s">
        <v>123</v>
      </c>
      <c r="CV220" s="1" t="s">
        <v>168</v>
      </c>
      <c r="CW220" s="3"/>
      <c r="DG220" s="4"/>
    </row>
    <row r="221" customFormat="false" ht="11.25" hidden="false" customHeight="true" outlineLevel="0" collapsed="false">
      <c r="A221" s="14" t="n">
        <v>220</v>
      </c>
      <c r="B221" s="15" t="n">
        <v>46116.2160671528</v>
      </c>
      <c r="C221" s="15" t="n">
        <v>46116.218451412</v>
      </c>
      <c r="D221" s="14" t="s">
        <v>1600</v>
      </c>
      <c r="E221" s="14" t="s">
        <v>1601</v>
      </c>
      <c r="F221" s="14" t="s">
        <v>1601</v>
      </c>
      <c r="G221" s="14" t="s">
        <v>1602</v>
      </c>
      <c r="H221" s="15" t="n">
        <v>46116</v>
      </c>
      <c r="I221" s="15" t="s">
        <v>107</v>
      </c>
      <c r="J221" s="14" t="s">
        <v>128</v>
      </c>
      <c r="K221" s="14" t="s">
        <v>232</v>
      </c>
      <c r="L221" s="14" t="s">
        <v>110</v>
      </c>
      <c r="M221" s="14" t="s">
        <v>211</v>
      </c>
      <c r="N221" s="14" t="s">
        <v>112</v>
      </c>
      <c r="O221" s="14" t="s">
        <v>113</v>
      </c>
      <c r="P221" s="14" t="s">
        <v>234</v>
      </c>
      <c r="Q221" s="14" t="s">
        <v>827</v>
      </c>
      <c r="R221" s="14"/>
      <c r="S221" s="14"/>
      <c r="T221" s="14"/>
      <c r="U221" s="14" t="s">
        <v>22</v>
      </c>
      <c r="V221" s="14"/>
      <c r="W221" s="14" t="s">
        <v>298</v>
      </c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 t="s">
        <v>1603</v>
      </c>
      <c r="AW221" s="14" t="s">
        <v>1534</v>
      </c>
      <c r="AX221" s="14" t="s">
        <v>1604</v>
      </c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14"/>
      <c r="BS221" s="14"/>
      <c r="BT221" s="14"/>
      <c r="BU221" s="14"/>
      <c r="BV221" s="14"/>
      <c r="BW221" s="14"/>
      <c r="BX221" s="14"/>
      <c r="BY221" s="14"/>
      <c r="BZ221" s="14"/>
      <c r="CA221" s="14"/>
      <c r="CB221" s="14"/>
      <c r="CC221" s="14"/>
      <c r="CD221" s="14"/>
      <c r="CE221" s="14"/>
      <c r="CF221" s="14"/>
      <c r="CG221" s="14"/>
      <c r="CH221" s="14"/>
      <c r="CI221" s="14"/>
      <c r="CJ221" s="14"/>
      <c r="CK221" s="14"/>
      <c r="CL221" s="14"/>
      <c r="CR221" s="1" t="s">
        <v>152</v>
      </c>
      <c r="CS221" s="1" t="s">
        <v>121</v>
      </c>
      <c r="CT221" s="14" t="s">
        <v>1605</v>
      </c>
      <c r="CU221" s="1" t="s">
        <v>167</v>
      </c>
      <c r="CV221" s="1" t="s">
        <v>124</v>
      </c>
      <c r="CW221" s="3"/>
      <c r="DG221" s="4"/>
    </row>
    <row r="222" customFormat="false" ht="11.25" hidden="false" customHeight="true" outlineLevel="0" collapsed="false">
      <c r="A222" s="14" t="n">
        <v>221</v>
      </c>
      <c r="B222" s="15" t="n">
        <v>46184.8188207986</v>
      </c>
      <c r="C222" s="15" t="n">
        <v>46184.8253717245</v>
      </c>
      <c r="D222" s="14" t="s">
        <v>1606</v>
      </c>
      <c r="E222" s="14" t="s">
        <v>1607</v>
      </c>
      <c r="F222" s="14" t="s">
        <v>1608</v>
      </c>
      <c r="G222" s="14" t="s">
        <v>1609</v>
      </c>
      <c r="H222" s="15" t="n">
        <v>46178</v>
      </c>
      <c r="I222" s="15" t="s">
        <v>1506</v>
      </c>
      <c r="J222" s="14" t="s">
        <v>108</v>
      </c>
      <c r="K222" s="14" t="s">
        <v>1610</v>
      </c>
      <c r="L222" s="14" t="s">
        <v>197</v>
      </c>
      <c r="M222" s="14" t="s">
        <v>111</v>
      </c>
      <c r="N222" s="14" t="s">
        <v>112</v>
      </c>
      <c r="O222" s="14" t="s">
        <v>336</v>
      </c>
      <c r="P222" s="14" t="s">
        <v>391</v>
      </c>
      <c r="Q222" s="14" t="s">
        <v>249</v>
      </c>
      <c r="R222" s="14"/>
      <c r="S222" s="14"/>
      <c r="T222" s="14"/>
      <c r="U222" s="14" t="s">
        <v>22</v>
      </c>
      <c r="V222" s="14"/>
      <c r="W222" s="14" t="s">
        <v>176</v>
      </c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 t="s">
        <v>1611</v>
      </c>
      <c r="AZ222" s="14" t="s">
        <v>1612</v>
      </c>
      <c r="BA222" s="14" t="s">
        <v>179</v>
      </c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  <c r="BP222" s="14"/>
      <c r="BQ222" s="14"/>
      <c r="BR222" s="14"/>
      <c r="BS222" s="14"/>
      <c r="BT222" s="14"/>
      <c r="BU222" s="14"/>
      <c r="BV222" s="14"/>
      <c r="BW222" s="14"/>
      <c r="BX222" s="14"/>
      <c r="BY222" s="14"/>
      <c r="BZ222" s="14"/>
      <c r="CA222" s="14"/>
      <c r="CB222" s="14"/>
      <c r="CC222" s="14"/>
      <c r="CD222" s="14"/>
      <c r="CE222" s="14"/>
      <c r="CF222" s="14"/>
      <c r="CG222" s="14"/>
      <c r="CH222" s="14"/>
      <c r="CI222" s="14"/>
      <c r="CJ222" s="14"/>
      <c r="CK222" s="14"/>
      <c r="CL222" s="14"/>
      <c r="CR222" s="1" t="s">
        <v>227</v>
      </c>
      <c r="CS222" s="1" t="s">
        <v>180</v>
      </c>
      <c r="CT222" s="14" t="s">
        <v>994</v>
      </c>
      <c r="CU222" s="1" t="s">
        <v>192</v>
      </c>
      <c r="CV222" s="1" t="s">
        <v>124</v>
      </c>
      <c r="CW222" s="3" t="s">
        <v>928</v>
      </c>
      <c r="DG222" s="4"/>
    </row>
    <row r="223" customFormat="false" ht="11.25" hidden="false" customHeight="true" outlineLevel="0" collapsed="false">
      <c r="A223" s="14" t="n">
        <v>222</v>
      </c>
      <c r="B223" s="15" t="n">
        <v>46207.8479702083</v>
      </c>
      <c r="C223" s="15" t="n">
        <v>46207.8566854861</v>
      </c>
      <c r="D223" s="14" t="s">
        <v>1613</v>
      </c>
      <c r="E223" s="14" t="s">
        <v>1614</v>
      </c>
      <c r="F223" s="14" t="s">
        <v>1614</v>
      </c>
      <c r="G223" s="14" t="s">
        <v>1615</v>
      </c>
      <c r="H223" s="15" t="n">
        <v>46196</v>
      </c>
      <c r="I223" s="15" t="s">
        <v>713</v>
      </c>
      <c r="J223" s="14" t="s">
        <v>295</v>
      </c>
      <c r="K223" s="14" t="s">
        <v>143</v>
      </c>
      <c r="L223" s="14" t="s">
        <v>296</v>
      </c>
      <c r="M223" s="14" t="s">
        <v>111</v>
      </c>
      <c r="N223" s="14" t="s">
        <v>145</v>
      </c>
      <c r="O223" s="14" t="s">
        <v>113</v>
      </c>
      <c r="P223" s="14" t="s">
        <v>774</v>
      </c>
      <c r="Q223" s="14" t="s">
        <v>508</v>
      </c>
      <c r="R223" s="14"/>
      <c r="S223" s="14"/>
      <c r="T223" s="14"/>
      <c r="U223" s="14" t="s">
        <v>21</v>
      </c>
      <c r="V223" s="14" t="s">
        <v>307</v>
      </c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 t="s">
        <v>1616</v>
      </c>
      <c r="AT223" s="14" t="s">
        <v>1617</v>
      </c>
      <c r="AU223" s="14" t="s">
        <v>1618</v>
      </c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  <c r="BY223" s="14"/>
      <c r="BZ223" s="14"/>
      <c r="CA223" s="14"/>
      <c r="CB223" s="14"/>
      <c r="CC223" s="14"/>
      <c r="CD223" s="14"/>
      <c r="CE223" s="14"/>
      <c r="CF223" s="14"/>
      <c r="CG223" s="14"/>
      <c r="CH223" s="14"/>
      <c r="CI223" s="14"/>
      <c r="CJ223" s="14"/>
      <c r="CK223" s="14"/>
      <c r="CL223" s="14"/>
      <c r="CR223" s="1" t="s">
        <v>120</v>
      </c>
      <c r="CS223" s="1" t="s">
        <v>121</v>
      </c>
      <c r="CT223" s="14" t="s">
        <v>122</v>
      </c>
      <c r="CU223" s="1" t="s">
        <v>192</v>
      </c>
      <c r="CV223" s="1" t="s">
        <v>124</v>
      </c>
      <c r="CW223" s="3" t="s">
        <v>370</v>
      </c>
      <c r="DG223" s="4"/>
    </row>
    <row r="224" customFormat="false" ht="11.25" hidden="false" customHeight="true" outlineLevel="0" collapsed="false">
      <c r="A224" s="14" t="n">
        <v>223</v>
      </c>
      <c r="B224" s="15" t="n">
        <v>46185.6132689699</v>
      </c>
      <c r="C224" s="15" t="n">
        <v>46185.6340907292</v>
      </c>
      <c r="D224" s="14" t="s">
        <v>1619</v>
      </c>
      <c r="E224" s="14" t="s">
        <v>1620</v>
      </c>
      <c r="F224" s="14" t="s">
        <v>1620</v>
      </c>
      <c r="G224" s="14" t="s">
        <v>1621</v>
      </c>
      <c r="H224" s="15" t="n">
        <v>46177</v>
      </c>
      <c r="I224" s="15" t="s">
        <v>172</v>
      </c>
      <c r="J224" s="14" t="s">
        <v>108</v>
      </c>
      <c r="K224" s="14" t="s">
        <v>257</v>
      </c>
      <c r="L224" s="14" t="s">
        <v>296</v>
      </c>
      <c r="M224" s="14" t="s">
        <v>111</v>
      </c>
      <c r="N224" s="14" t="s">
        <v>145</v>
      </c>
      <c r="O224" s="14" t="s">
        <v>113</v>
      </c>
      <c r="P224" s="14" t="s">
        <v>1388</v>
      </c>
      <c r="Q224" s="14" t="s">
        <v>1622</v>
      </c>
      <c r="R224" s="14"/>
      <c r="S224" s="14"/>
      <c r="T224" s="14"/>
      <c r="U224" s="14" t="s">
        <v>22</v>
      </c>
      <c r="V224" s="14"/>
      <c r="W224" s="14" t="s">
        <v>298</v>
      </c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 t="s">
        <v>1623</v>
      </c>
      <c r="AW224" s="14" t="s">
        <v>300</v>
      </c>
      <c r="AX224" s="14" t="s">
        <v>1624</v>
      </c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  <c r="BN224" s="14"/>
      <c r="BO224" s="14"/>
      <c r="BP224" s="14"/>
      <c r="BQ224" s="14"/>
      <c r="BR224" s="14"/>
      <c r="BS224" s="14"/>
      <c r="BT224" s="14"/>
      <c r="BU224" s="14"/>
      <c r="BV224" s="14"/>
      <c r="BW224" s="14"/>
      <c r="BX224" s="14"/>
      <c r="BY224" s="14"/>
      <c r="BZ224" s="14"/>
      <c r="CA224" s="14"/>
      <c r="CB224" s="14"/>
      <c r="CC224" s="14"/>
      <c r="CD224" s="14"/>
      <c r="CE224" s="14"/>
      <c r="CF224" s="14"/>
      <c r="CG224" s="14"/>
      <c r="CH224" s="14"/>
      <c r="CI224" s="14"/>
      <c r="CJ224" s="14"/>
      <c r="CK224" s="14"/>
      <c r="CL224" s="14"/>
      <c r="CR224" s="1" t="s">
        <v>152</v>
      </c>
      <c r="CS224" s="1" t="s">
        <v>121</v>
      </c>
      <c r="CT224" s="14" t="s">
        <v>122</v>
      </c>
      <c r="CU224" s="1" t="s">
        <v>167</v>
      </c>
      <c r="CV224" s="1" t="s">
        <v>168</v>
      </c>
      <c r="CW224" s="3"/>
      <c r="DG224" s="4"/>
    </row>
    <row r="225" customFormat="false" ht="11.25" hidden="false" customHeight="true" outlineLevel="0" collapsed="false">
      <c r="A225" s="14" t="n">
        <v>224</v>
      </c>
      <c r="B225" s="15" t="n">
        <v>46169.7006425463</v>
      </c>
      <c r="C225" s="15" t="n">
        <v>46169.7096008796</v>
      </c>
      <c r="D225" s="14" t="s">
        <v>1625</v>
      </c>
      <c r="E225" s="14" t="s">
        <v>1626</v>
      </c>
      <c r="F225" s="14" t="s">
        <v>1626</v>
      </c>
      <c r="G225" s="14" t="s">
        <v>1627</v>
      </c>
      <c r="H225" s="15" t="n">
        <v>46165</v>
      </c>
      <c r="I225" s="15" t="s">
        <v>107</v>
      </c>
      <c r="J225" s="14" t="s">
        <v>295</v>
      </c>
      <c r="K225" s="14" t="s">
        <v>232</v>
      </c>
      <c r="L225" s="14" t="s">
        <v>286</v>
      </c>
      <c r="M225" s="14" t="s">
        <v>111</v>
      </c>
      <c r="N225" s="14" t="s">
        <v>112</v>
      </c>
      <c r="O225" s="14" t="s">
        <v>113</v>
      </c>
      <c r="P225" s="14" t="s">
        <v>212</v>
      </c>
      <c r="Q225" s="14" t="s">
        <v>1628</v>
      </c>
      <c r="R225" s="14"/>
      <c r="S225" s="14"/>
      <c r="T225" s="14"/>
      <c r="U225" s="14" t="s">
        <v>22</v>
      </c>
      <c r="V225" s="14"/>
      <c r="W225" s="14" t="s">
        <v>135</v>
      </c>
      <c r="X225" s="14"/>
      <c r="Y225" s="14"/>
      <c r="Z225" s="14"/>
      <c r="AA225" s="14" t="s">
        <v>1629</v>
      </c>
      <c r="AB225" s="14" t="s">
        <v>640</v>
      </c>
      <c r="AC225" s="14" t="s">
        <v>561</v>
      </c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14"/>
      <c r="BS225" s="14"/>
      <c r="BT225" s="14"/>
      <c r="BU225" s="14"/>
      <c r="BV225" s="14"/>
      <c r="BW225" s="14"/>
      <c r="BX225" s="14"/>
      <c r="BY225" s="14"/>
      <c r="BZ225" s="14"/>
      <c r="CA225" s="14"/>
      <c r="CB225" s="14"/>
      <c r="CC225" s="14"/>
      <c r="CD225" s="14"/>
      <c r="CE225" s="14"/>
      <c r="CF225" s="14"/>
      <c r="CG225" s="14"/>
      <c r="CH225" s="14"/>
      <c r="CI225" s="14"/>
      <c r="CJ225" s="14"/>
      <c r="CK225" s="14"/>
      <c r="CL225" s="14"/>
      <c r="CR225" s="1" t="s">
        <v>120</v>
      </c>
      <c r="CS225" s="1" t="s">
        <v>121</v>
      </c>
      <c r="CT225" s="14"/>
      <c r="CU225" s="1" t="s">
        <v>123</v>
      </c>
      <c r="CV225" s="1" t="s">
        <v>124</v>
      </c>
      <c r="CW225" s="3"/>
      <c r="DG225" s="4"/>
    </row>
    <row r="226" customFormat="false" ht="11.25" hidden="false" customHeight="true" outlineLevel="0" collapsed="false">
      <c r="A226" s="14" t="n">
        <v>225</v>
      </c>
      <c r="B226" s="15" t="n">
        <v>46140.839870787</v>
      </c>
      <c r="C226" s="15" t="n">
        <v>46140.8582851389</v>
      </c>
      <c r="D226" s="14" t="s">
        <v>1630</v>
      </c>
      <c r="E226" s="14" t="s">
        <v>1631</v>
      </c>
      <c r="F226" s="14" t="s">
        <v>1631</v>
      </c>
      <c r="G226" s="14" t="s">
        <v>1632</v>
      </c>
      <c r="H226" s="15" t="n">
        <v>46126</v>
      </c>
      <c r="I226" s="15" t="s">
        <v>278</v>
      </c>
      <c r="J226" s="14" t="s">
        <v>108</v>
      </c>
      <c r="K226" s="14" t="s">
        <v>1633</v>
      </c>
      <c r="L226" s="14" t="s">
        <v>286</v>
      </c>
      <c r="M226" s="14" t="s">
        <v>111</v>
      </c>
      <c r="N226" s="14" t="s">
        <v>145</v>
      </c>
      <c r="O226" s="14" t="s">
        <v>325</v>
      </c>
      <c r="P226" s="14" t="s">
        <v>652</v>
      </c>
      <c r="Q226" s="14" t="s">
        <v>1539</v>
      </c>
      <c r="R226" s="14"/>
      <c r="S226" s="14"/>
      <c r="T226" s="14"/>
      <c r="U226" s="14" t="s">
        <v>22</v>
      </c>
      <c r="V226" s="14"/>
      <c r="W226" s="14" t="s">
        <v>298</v>
      </c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 t="s">
        <v>1634</v>
      </c>
      <c r="AW226" s="14" t="s">
        <v>1635</v>
      </c>
      <c r="AX226" s="14" t="s">
        <v>1636</v>
      </c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  <c r="BN226" s="14"/>
      <c r="BO226" s="14"/>
      <c r="BP226" s="14"/>
      <c r="BQ226" s="14"/>
      <c r="BR226" s="14"/>
      <c r="BS226" s="14"/>
      <c r="BT226" s="14"/>
      <c r="BU226" s="14"/>
      <c r="BV226" s="14"/>
      <c r="BW226" s="14"/>
      <c r="BX226" s="14"/>
      <c r="BY226" s="14"/>
      <c r="BZ226" s="14"/>
      <c r="CA226" s="14"/>
      <c r="CB226" s="14"/>
      <c r="CC226" s="14"/>
      <c r="CD226" s="14"/>
      <c r="CE226" s="14"/>
      <c r="CF226" s="14"/>
      <c r="CG226" s="14"/>
      <c r="CH226" s="14"/>
      <c r="CI226" s="14"/>
      <c r="CJ226" s="14"/>
      <c r="CK226" s="14"/>
      <c r="CL226" s="14"/>
      <c r="CR226" s="1" t="s">
        <v>152</v>
      </c>
      <c r="CS226" s="1" t="s">
        <v>352</v>
      </c>
      <c r="CT226" s="14" t="s">
        <v>122</v>
      </c>
      <c r="CU226" s="1" t="s">
        <v>123</v>
      </c>
      <c r="CV226" s="1" t="s">
        <v>124</v>
      </c>
      <c r="CW226" s="3"/>
      <c r="DG226" s="4"/>
    </row>
    <row r="227" customFormat="false" ht="11.25" hidden="false" customHeight="true" outlineLevel="0" collapsed="false">
      <c r="A227" s="14" t="n">
        <v>226</v>
      </c>
      <c r="B227" s="15" t="n">
        <v>46192.2424429051</v>
      </c>
      <c r="C227" s="15" t="n">
        <v>46192.2458572569</v>
      </c>
      <c r="D227" s="14" t="s">
        <v>1637</v>
      </c>
      <c r="E227" s="14" t="s">
        <v>1638</v>
      </c>
      <c r="F227" s="14" t="s">
        <v>1638</v>
      </c>
      <c r="G227" s="14" t="s">
        <v>1639</v>
      </c>
      <c r="H227" s="15" t="n">
        <v>46182</v>
      </c>
      <c r="I227" s="15" t="s">
        <v>1506</v>
      </c>
      <c r="J227" s="14" t="s">
        <v>108</v>
      </c>
      <c r="K227" s="14" t="s">
        <v>1640</v>
      </c>
      <c r="L227" s="14" t="s">
        <v>210</v>
      </c>
      <c r="M227" s="14" t="s">
        <v>111</v>
      </c>
      <c r="N227" s="14" t="s">
        <v>145</v>
      </c>
      <c r="O227" s="14" t="s">
        <v>113</v>
      </c>
      <c r="P227" s="14" t="s">
        <v>1112</v>
      </c>
      <c r="Q227" s="14" t="s">
        <v>347</v>
      </c>
      <c r="R227" s="14"/>
      <c r="S227" s="14"/>
      <c r="T227" s="14"/>
      <c r="U227" s="14" t="s">
        <v>21</v>
      </c>
      <c r="V227" s="14" t="s">
        <v>250</v>
      </c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 t="s">
        <v>886</v>
      </c>
      <c r="BF227" s="14" t="s">
        <v>608</v>
      </c>
      <c r="BG227" s="14" t="s">
        <v>620</v>
      </c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  <c r="BY227" s="14"/>
      <c r="BZ227" s="14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R227" s="1" t="s">
        <v>152</v>
      </c>
      <c r="CS227" s="1" t="s">
        <v>121</v>
      </c>
      <c r="CT227" s="14" t="s">
        <v>1641</v>
      </c>
      <c r="CU227" s="1" t="s">
        <v>123</v>
      </c>
      <c r="CV227" s="1" t="s">
        <v>139</v>
      </c>
      <c r="CW227" s="3"/>
      <c r="DG227" s="4"/>
    </row>
    <row r="228" customFormat="false" ht="11.25" hidden="false" customHeight="true" outlineLevel="0" collapsed="false">
      <c r="A228" s="14" t="n">
        <v>227</v>
      </c>
      <c r="B228" s="15" t="n">
        <v>46139.2799518634</v>
      </c>
      <c r="C228" s="15" t="n">
        <v>46139.2932736227</v>
      </c>
      <c r="D228" s="14" t="s">
        <v>1642</v>
      </c>
      <c r="E228" s="14" t="s">
        <v>1643</v>
      </c>
      <c r="F228" s="14" t="s">
        <v>1643</v>
      </c>
      <c r="G228" s="14" t="s">
        <v>1644</v>
      </c>
      <c r="H228" s="15" t="n">
        <v>46125</v>
      </c>
      <c r="I228" s="15" t="s">
        <v>107</v>
      </c>
      <c r="J228" s="14" t="s">
        <v>108</v>
      </c>
      <c r="K228" s="14" t="s">
        <v>364</v>
      </c>
      <c r="L228" s="14" t="s">
        <v>346</v>
      </c>
      <c r="M228" s="14" t="s">
        <v>111</v>
      </c>
      <c r="N228" s="14" t="s">
        <v>112</v>
      </c>
      <c r="O228" s="14" t="s">
        <v>113</v>
      </c>
      <c r="P228" s="14" t="s">
        <v>406</v>
      </c>
      <c r="Q228" s="14" t="s">
        <v>819</v>
      </c>
      <c r="R228" s="14"/>
      <c r="S228" s="14"/>
      <c r="T228" s="14"/>
      <c r="U228" s="14" t="s">
        <v>23</v>
      </c>
      <c r="V228" s="14"/>
      <c r="W228" s="14"/>
      <c r="X228" s="14" t="s">
        <v>1645</v>
      </c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  <c r="BY228" s="14"/>
      <c r="BZ228" s="1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R228" s="1" t="s">
        <v>152</v>
      </c>
      <c r="CS228" s="1" t="s">
        <v>264</v>
      </c>
      <c r="CT228" s="14" t="s">
        <v>166</v>
      </c>
      <c r="CU228" s="1" t="s">
        <v>192</v>
      </c>
      <c r="CV228" s="1" t="s">
        <v>124</v>
      </c>
      <c r="CW228" s="3"/>
      <c r="DG228" s="4"/>
    </row>
    <row r="229" customFormat="false" ht="11.25" hidden="false" customHeight="true" outlineLevel="0" collapsed="false">
      <c r="A229" s="14" t="n">
        <v>228</v>
      </c>
      <c r="B229" s="15" t="n">
        <v>46074.7274373958</v>
      </c>
      <c r="C229" s="15" t="n">
        <v>46074.7324026736</v>
      </c>
      <c r="D229" s="14" t="s">
        <v>1646</v>
      </c>
      <c r="E229" s="14" t="s">
        <v>1647</v>
      </c>
      <c r="F229" s="14" t="s">
        <v>1647</v>
      </c>
      <c r="G229" s="14" t="s">
        <v>1648</v>
      </c>
      <c r="H229" s="15" t="n">
        <v>46054</v>
      </c>
      <c r="I229" s="15" t="s">
        <v>278</v>
      </c>
      <c r="J229" s="14" t="s">
        <v>108</v>
      </c>
      <c r="K229" s="14" t="s">
        <v>500</v>
      </c>
      <c r="L229" s="14" t="s">
        <v>184</v>
      </c>
      <c r="M229" s="14" t="s">
        <v>111</v>
      </c>
      <c r="N229" s="14" t="s">
        <v>112</v>
      </c>
      <c r="O229" s="14" t="s">
        <v>113</v>
      </c>
      <c r="P229" s="14" t="s">
        <v>160</v>
      </c>
      <c r="Q229" s="14" t="s">
        <v>270</v>
      </c>
      <c r="R229" s="14"/>
      <c r="S229" s="14"/>
      <c r="T229" s="14"/>
      <c r="U229" s="14" t="s">
        <v>21</v>
      </c>
      <c r="V229" s="14" t="s">
        <v>374</v>
      </c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 t="s">
        <v>1649</v>
      </c>
      <c r="AK229" s="14" t="s">
        <v>907</v>
      </c>
      <c r="AL229" s="14" t="s">
        <v>377</v>
      </c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  <c r="BY229" s="14"/>
      <c r="BZ229" s="14"/>
      <c r="CA229" s="14"/>
      <c r="CB229" s="14"/>
      <c r="CC229" s="14"/>
      <c r="CD229" s="14"/>
      <c r="CE229" s="14"/>
      <c r="CF229" s="14"/>
      <c r="CG229" s="14"/>
      <c r="CH229" s="14"/>
      <c r="CI229" s="14"/>
      <c r="CJ229" s="14"/>
      <c r="CK229" s="14"/>
      <c r="CL229" s="14"/>
      <c r="CR229" s="1" t="s">
        <v>120</v>
      </c>
      <c r="CS229" s="1" t="s">
        <v>264</v>
      </c>
      <c r="CT229" s="14"/>
      <c r="CU229" s="1" t="s">
        <v>167</v>
      </c>
      <c r="CV229" s="1" t="s">
        <v>124</v>
      </c>
      <c r="CW229" s="3"/>
      <c r="DG229" s="4"/>
    </row>
    <row r="230" customFormat="false" ht="11.25" hidden="false" customHeight="true" outlineLevel="0" collapsed="false">
      <c r="A230" s="14" t="n">
        <v>229</v>
      </c>
      <c r="B230" s="15" t="n">
        <v>46138.5829966782</v>
      </c>
      <c r="C230" s="15" t="n">
        <v>46138.6001031597</v>
      </c>
      <c r="D230" s="14" t="s">
        <v>1650</v>
      </c>
      <c r="E230" s="14" t="s">
        <v>1651</v>
      </c>
      <c r="F230" s="14" t="s">
        <v>1651</v>
      </c>
      <c r="G230" s="14" t="s">
        <v>1652</v>
      </c>
      <c r="H230" s="15" t="n">
        <v>46138</v>
      </c>
      <c r="I230" s="15" t="s">
        <v>244</v>
      </c>
      <c r="J230" s="14" t="s">
        <v>108</v>
      </c>
      <c r="K230" s="14" t="s">
        <v>462</v>
      </c>
      <c r="L230" s="14" t="s">
        <v>184</v>
      </c>
      <c r="M230" s="14" t="s">
        <v>111</v>
      </c>
      <c r="N230" s="14" t="s">
        <v>112</v>
      </c>
      <c r="O230" s="14" t="s">
        <v>305</v>
      </c>
      <c r="P230" s="14" t="s">
        <v>1151</v>
      </c>
      <c r="Q230" s="14" t="s">
        <v>440</v>
      </c>
      <c r="R230" s="14"/>
      <c r="S230" s="14"/>
      <c r="T230" s="14"/>
      <c r="U230" s="14" t="s">
        <v>22</v>
      </c>
      <c r="V230" s="14"/>
      <c r="W230" s="14" t="s">
        <v>148</v>
      </c>
      <c r="X230" s="14"/>
      <c r="Y230" s="14"/>
      <c r="Z230" s="14"/>
      <c r="AA230" s="14"/>
      <c r="AB230" s="14"/>
      <c r="AC230" s="14"/>
      <c r="AD230" s="14" t="s">
        <v>1653</v>
      </c>
      <c r="AE230" s="14" t="s">
        <v>1654</v>
      </c>
      <c r="AF230" s="14" t="s">
        <v>1219</v>
      </c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4"/>
      <c r="BP230" s="14"/>
      <c r="BQ230" s="14"/>
      <c r="BR230" s="14"/>
      <c r="BS230" s="14"/>
      <c r="BT230" s="14"/>
      <c r="BU230" s="14"/>
      <c r="BV230" s="14"/>
      <c r="BW230" s="14"/>
      <c r="BX230" s="14"/>
      <c r="BY230" s="14"/>
      <c r="BZ230" s="14"/>
      <c r="CA230" s="14"/>
      <c r="CB230" s="14"/>
      <c r="CC230" s="14"/>
      <c r="CD230" s="14"/>
      <c r="CE230" s="14"/>
      <c r="CF230" s="14"/>
      <c r="CG230" s="14"/>
      <c r="CH230" s="14"/>
      <c r="CI230" s="14"/>
      <c r="CJ230" s="14"/>
      <c r="CK230" s="14"/>
      <c r="CL230" s="14"/>
      <c r="CR230" s="1" t="s">
        <v>120</v>
      </c>
      <c r="CS230" s="1" t="s">
        <v>180</v>
      </c>
      <c r="CT230" s="14" t="s">
        <v>122</v>
      </c>
      <c r="CU230" s="1" t="s">
        <v>192</v>
      </c>
      <c r="CV230" s="1" t="s">
        <v>124</v>
      </c>
      <c r="CW230" s="3" t="s">
        <v>928</v>
      </c>
      <c r="DG230" s="4"/>
    </row>
    <row r="231" customFormat="false" ht="11.25" hidden="false" customHeight="true" outlineLevel="0" collapsed="false">
      <c r="A231" s="14" t="n">
        <v>230</v>
      </c>
      <c r="B231" s="15" t="n">
        <v>46039.0827984954</v>
      </c>
      <c r="C231" s="15" t="n">
        <v>46039.1015253472</v>
      </c>
      <c r="D231" s="14" t="s">
        <v>1655</v>
      </c>
      <c r="E231" s="14" t="s">
        <v>1656</v>
      </c>
      <c r="F231" s="14" t="s">
        <v>1656</v>
      </c>
      <c r="G231" s="14" t="s">
        <v>1657</v>
      </c>
      <c r="H231" s="15" t="n">
        <v>46021</v>
      </c>
      <c r="I231" s="15" t="s">
        <v>107</v>
      </c>
      <c r="J231" s="14" t="s">
        <v>128</v>
      </c>
      <c r="K231" s="14" t="s">
        <v>232</v>
      </c>
      <c r="L231" s="14" t="s">
        <v>144</v>
      </c>
      <c r="M231" s="14" t="s">
        <v>131</v>
      </c>
      <c r="N231" s="14" t="s">
        <v>145</v>
      </c>
      <c r="O231" s="14" t="s">
        <v>113</v>
      </c>
      <c r="P231" s="14" t="s">
        <v>269</v>
      </c>
      <c r="Q231" s="14" t="s">
        <v>1323</v>
      </c>
      <c r="R231" s="14"/>
      <c r="S231" s="14"/>
      <c r="T231" s="14"/>
      <c r="U231" s="14" t="s">
        <v>21</v>
      </c>
      <c r="V231" s="14" t="s">
        <v>250</v>
      </c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 t="s">
        <v>679</v>
      </c>
      <c r="BF231" s="14" t="s">
        <v>1658</v>
      </c>
      <c r="BG231" s="14" t="s">
        <v>681</v>
      </c>
      <c r="BH231" s="14"/>
      <c r="BI231" s="14"/>
      <c r="BJ231" s="14"/>
      <c r="BK231" s="14"/>
      <c r="BL231" s="14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  <c r="BY231" s="14"/>
      <c r="BZ231" s="14"/>
      <c r="CA231" s="14"/>
      <c r="CB231" s="14"/>
      <c r="CC231" s="14"/>
      <c r="CD231" s="14"/>
      <c r="CE231" s="14"/>
      <c r="CF231" s="14"/>
      <c r="CG231" s="14"/>
      <c r="CH231" s="14"/>
      <c r="CI231" s="14"/>
      <c r="CJ231" s="14"/>
      <c r="CK231" s="14"/>
      <c r="CL231" s="14"/>
      <c r="CR231" s="1" t="s">
        <v>152</v>
      </c>
      <c r="CS231" s="1" t="s">
        <v>121</v>
      </c>
      <c r="CT231" s="14" t="s">
        <v>321</v>
      </c>
      <c r="CU231" s="1" t="s">
        <v>123</v>
      </c>
      <c r="CV231" s="1" t="s">
        <v>124</v>
      </c>
      <c r="CW231" s="3"/>
      <c r="DG231" s="4"/>
    </row>
    <row r="232" customFormat="false" ht="11.25" hidden="false" customHeight="true" outlineLevel="0" collapsed="false">
      <c r="A232" s="14" t="n">
        <v>231</v>
      </c>
      <c r="B232" s="15" t="n">
        <v>46097.8670586458</v>
      </c>
      <c r="C232" s="15" t="n">
        <v>46097.8846743866</v>
      </c>
      <c r="D232" s="14" t="s">
        <v>1659</v>
      </c>
      <c r="E232" s="14" t="s">
        <v>1660</v>
      </c>
      <c r="F232" s="14" t="s">
        <v>1661</v>
      </c>
      <c r="G232" s="14" t="s">
        <v>1662</v>
      </c>
      <c r="H232" s="15" t="n">
        <v>46094</v>
      </c>
      <c r="I232" s="15" t="s">
        <v>278</v>
      </c>
      <c r="J232" s="14" t="s">
        <v>108</v>
      </c>
      <c r="K232" s="14" t="s">
        <v>245</v>
      </c>
      <c r="L232" s="14" t="s">
        <v>389</v>
      </c>
      <c r="M232" s="14" t="s">
        <v>111</v>
      </c>
      <c r="N232" s="14" t="s">
        <v>112</v>
      </c>
      <c r="O232" s="14" t="s">
        <v>113</v>
      </c>
      <c r="P232" s="14" t="s">
        <v>1074</v>
      </c>
      <c r="Q232" s="14" t="s">
        <v>227</v>
      </c>
      <c r="R232" s="14"/>
      <c r="S232" s="14"/>
      <c r="T232" s="14"/>
      <c r="U232" s="14" t="s">
        <v>22</v>
      </c>
      <c r="V232" s="14"/>
      <c r="W232" s="14" t="s">
        <v>339</v>
      </c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 t="s">
        <v>1663</v>
      </c>
      <c r="BO232" s="14" t="s">
        <v>1664</v>
      </c>
      <c r="BP232" s="14" t="s">
        <v>1665</v>
      </c>
      <c r="BQ232" s="14"/>
      <c r="BR232" s="14"/>
      <c r="BS232" s="14"/>
      <c r="BT232" s="14"/>
      <c r="BU232" s="14"/>
      <c r="BV232" s="14"/>
      <c r="BW232" s="14"/>
      <c r="BX232" s="14"/>
      <c r="BY232" s="14"/>
      <c r="BZ232" s="14"/>
      <c r="CA232" s="14"/>
      <c r="CB232" s="14"/>
      <c r="CC232" s="14"/>
      <c r="CD232" s="14"/>
      <c r="CE232" s="14"/>
      <c r="CF232" s="14"/>
      <c r="CG232" s="14"/>
      <c r="CH232" s="14"/>
      <c r="CI232" s="14"/>
      <c r="CJ232" s="14"/>
      <c r="CK232" s="14"/>
      <c r="CL232" s="14"/>
      <c r="CR232" s="1" t="s">
        <v>152</v>
      </c>
      <c r="CS232" s="1" t="s">
        <v>180</v>
      </c>
      <c r="CT232" s="14"/>
      <c r="CU232" s="1" t="s">
        <v>123</v>
      </c>
      <c r="CV232" s="1" t="s">
        <v>168</v>
      </c>
      <c r="CW232" s="3"/>
      <c r="CX232" s="3" t="s">
        <v>331</v>
      </c>
      <c r="DG232" s="4"/>
    </row>
    <row r="233" customFormat="false" ht="11.25" hidden="false" customHeight="true" outlineLevel="0" collapsed="false">
      <c r="A233" s="14" t="n">
        <v>232</v>
      </c>
      <c r="B233" s="15" t="n">
        <v>46050.5458762037</v>
      </c>
      <c r="C233" s="15" t="n">
        <v>46050.5543831482</v>
      </c>
      <c r="D233" s="14" t="s">
        <v>1666</v>
      </c>
      <c r="E233" s="14" t="s">
        <v>1667</v>
      </c>
      <c r="F233" s="14" t="s">
        <v>1667</v>
      </c>
      <c r="G233" s="14" t="s">
        <v>1668</v>
      </c>
      <c r="H233" s="15" t="n">
        <v>46037</v>
      </c>
      <c r="I233" s="15" t="s">
        <v>172</v>
      </c>
      <c r="J233" s="14" t="s">
        <v>108</v>
      </c>
      <c r="K233" s="14" t="s">
        <v>158</v>
      </c>
      <c r="L233" s="14" t="s">
        <v>197</v>
      </c>
      <c r="M233" s="14" t="s">
        <v>111</v>
      </c>
      <c r="N233" s="14" t="s">
        <v>112</v>
      </c>
      <c r="O233" s="14" t="s">
        <v>113</v>
      </c>
      <c r="P233" s="14" t="s">
        <v>160</v>
      </c>
      <c r="Q233" s="14" t="s">
        <v>775</v>
      </c>
      <c r="R233" s="14"/>
      <c r="S233" s="14"/>
      <c r="T233" s="14"/>
      <c r="U233" s="14" t="s">
        <v>22</v>
      </c>
      <c r="V233" s="14"/>
      <c r="W233" s="14" t="s">
        <v>715</v>
      </c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 t="s">
        <v>1394</v>
      </c>
      <c r="BI233" s="14" t="s">
        <v>1276</v>
      </c>
      <c r="BJ233" s="14" t="s">
        <v>1669</v>
      </c>
      <c r="BK233" s="14"/>
      <c r="BL233" s="14"/>
      <c r="BM233" s="14"/>
      <c r="BN233" s="14"/>
      <c r="BO233" s="14"/>
      <c r="BP233" s="14"/>
      <c r="BQ233" s="14"/>
      <c r="BR233" s="14"/>
      <c r="BS233" s="14"/>
      <c r="BT233" s="14"/>
      <c r="BU233" s="14"/>
      <c r="BV233" s="14"/>
      <c r="BW233" s="14"/>
      <c r="BX233" s="14"/>
      <c r="BY233" s="14"/>
      <c r="BZ233" s="14"/>
      <c r="CA233" s="14"/>
      <c r="CB233" s="14"/>
      <c r="CC233" s="14"/>
      <c r="CD233" s="14"/>
      <c r="CE233" s="14"/>
      <c r="CF233" s="14"/>
      <c r="CG233" s="14"/>
      <c r="CH233" s="14"/>
      <c r="CI233" s="14"/>
      <c r="CJ233" s="14"/>
      <c r="CK233" s="14"/>
      <c r="CL233" s="14"/>
      <c r="CR233" s="1" t="s">
        <v>120</v>
      </c>
      <c r="CS233" s="1" t="s">
        <v>121</v>
      </c>
      <c r="CT233" s="14" t="s">
        <v>122</v>
      </c>
      <c r="CU233" s="1" t="s">
        <v>123</v>
      </c>
      <c r="CV233" s="1" t="s">
        <v>124</v>
      </c>
      <c r="CW233" s="3"/>
      <c r="DG233" s="4"/>
    </row>
    <row r="234" customFormat="false" ht="11.25" hidden="false" customHeight="true" outlineLevel="0" collapsed="false">
      <c r="A234" s="14" t="n">
        <v>233</v>
      </c>
      <c r="B234" s="15" t="n">
        <v>46062.528604919</v>
      </c>
      <c r="C234" s="15" t="n">
        <v>46062.5380840857</v>
      </c>
      <c r="D234" s="14" t="s">
        <v>1670</v>
      </c>
      <c r="E234" s="14" t="s">
        <v>1671</v>
      </c>
      <c r="F234" s="14" t="s">
        <v>1671</v>
      </c>
      <c r="G234" s="14" t="s">
        <v>1672</v>
      </c>
      <c r="H234" s="15" t="n">
        <v>46057</v>
      </c>
      <c r="I234" s="15" t="s">
        <v>107</v>
      </c>
      <c r="J234" s="14" t="s">
        <v>128</v>
      </c>
      <c r="K234" s="14" t="s">
        <v>1673</v>
      </c>
      <c r="L234" s="14" t="s">
        <v>114</v>
      </c>
      <c r="M234" s="14" t="s">
        <v>111</v>
      </c>
      <c r="N234" s="14" t="s">
        <v>112</v>
      </c>
      <c r="O234" s="14" t="s">
        <v>113</v>
      </c>
      <c r="P234" s="14" t="s">
        <v>736</v>
      </c>
      <c r="Q234" s="14" t="s">
        <v>939</v>
      </c>
      <c r="R234" s="14"/>
      <c r="S234" s="14"/>
      <c r="T234" s="14"/>
      <c r="U234" s="14" t="s">
        <v>22</v>
      </c>
      <c r="V234" s="14"/>
      <c r="W234" s="14" t="s">
        <v>381</v>
      </c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s="14"/>
      <c r="BO234" s="14"/>
      <c r="BP234" s="14"/>
      <c r="BQ234" s="14" t="s">
        <v>1674</v>
      </c>
      <c r="BR234" s="14" t="s">
        <v>383</v>
      </c>
      <c r="BS234" s="14" t="s">
        <v>465</v>
      </c>
      <c r="BT234" s="14"/>
      <c r="BU234" s="14"/>
      <c r="BV234" s="14"/>
      <c r="BW234" s="14"/>
      <c r="BX234" s="14"/>
      <c r="BY234" s="14"/>
      <c r="BZ234" s="14"/>
      <c r="CA234" s="14"/>
      <c r="CB234" s="14"/>
      <c r="CC234" s="14"/>
      <c r="CD234" s="14"/>
      <c r="CE234" s="14"/>
      <c r="CF234" s="14"/>
      <c r="CG234" s="14"/>
      <c r="CH234" s="14"/>
      <c r="CI234" s="14"/>
      <c r="CJ234" s="14"/>
      <c r="CK234" s="14"/>
      <c r="CL234" s="14"/>
      <c r="CR234" s="1" t="s">
        <v>152</v>
      </c>
      <c r="CS234" s="1" t="s">
        <v>121</v>
      </c>
      <c r="CT234" s="14"/>
      <c r="CU234" s="1" t="s">
        <v>167</v>
      </c>
      <c r="CV234" s="1" t="s">
        <v>168</v>
      </c>
      <c r="CW234" s="3"/>
      <c r="DG234" s="4"/>
    </row>
    <row r="235" customFormat="false" ht="11.25" hidden="false" customHeight="true" outlineLevel="0" collapsed="false">
      <c r="A235" s="14" t="n">
        <v>234</v>
      </c>
      <c r="B235" s="15" t="n">
        <v>46062.5287183102</v>
      </c>
      <c r="C235" s="15" t="n">
        <v>46062.5404312732</v>
      </c>
      <c r="D235" s="14" t="s">
        <v>1675</v>
      </c>
      <c r="E235" s="14" t="s">
        <v>1676</v>
      </c>
      <c r="F235" s="14" t="s">
        <v>1676</v>
      </c>
      <c r="G235" s="14" t="s">
        <v>1677</v>
      </c>
      <c r="H235" s="15" t="n">
        <v>46045</v>
      </c>
      <c r="I235" s="15" t="s">
        <v>107</v>
      </c>
      <c r="J235" s="14" t="s">
        <v>108</v>
      </c>
      <c r="K235" s="14" t="s">
        <v>196</v>
      </c>
      <c r="L235" s="14" t="s">
        <v>159</v>
      </c>
      <c r="M235" s="14" t="s">
        <v>111</v>
      </c>
      <c r="N235" s="14" t="s">
        <v>112</v>
      </c>
      <c r="O235" s="14" t="s">
        <v>113</v>
      </c>
      <c r="P235" s="14" t="s">
        <v>397</v>
      </c>
      <c r="Q235" s="14" t="s">
        <v>1224</v>
      </c>
      <c r="R235" s="14"/>
      <c r="S235" s="14"/>
      <c r="T235" s="14"/>
      <c r="U235" s="14" t="s">
        <v>25</v>
      </c>
      <c r="V235" s="14"/>
      <c r="W235" s="14"/>
      <c r="X235" s="14"/>
      <c r="Y235" s="14"/>
      <c r="Z235" s="14" t="s">
        <v>687</v>
      </c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/>
      <c r="CA235" s="14"/>
      <c r="CB235" s="14"/>
      <c r="CC235" s="14"/>
      <c r="CD235" s="14"/>
      <c r="CE235" s="14"/>
      <c r="CF235" s="14"/>
      <c r="CG235" s="14"/>
      <c r="CH235" s="14"/>
      <c r="CI235" s="14"/>
      <c r="CJ235" s="14"/>
      <c r="CK235" s="14"/>
      <c r="CL235" s="14" t="s">
        <v>1678</v>
      </c>
      <c r="CM235" s="1" t="s">
        <v>1679</v>
      </c>
      <c r="CN235" s="1" t="s">
        <v>690</v>
      </c>
      <c r="CR235" s="1" t="s">
        <v>152</v>
      </c>
      <c r="CS235" s="1" t="s">
        <v>121</v>
      </c>
      <c r="CT235" s="14" t="s">
        <v>961</v>
      </c>
      <c r="CU235" s="1" t="s">
        <v>167</v>
      </c>
      <c r="CV235" s="1" t="s">
        <v>168</v>
      </c>
      <c r="CW235" s="3"/>
      <c r="DG235" s="4"/>
    </row>
    <row r="236" customFormat="false" ht="11.25" hidden="false" customHeight="true" outlineLevel="0" collapsed="false">
      <c r="A236" s="14" t="n">
        <v>235</v>
      </c>
      <c r="B236" s="15" t="n">
        <v>46114.6752439583</v>
      </c>
      <c r="C236" s="15" t="n">
        <v>46114.6835194213</v>
      </c>
      <c r="D236" s="14" t="s">
        <v>1680</v>
      </c>
      <c r="E236" s="14" t="s">
        <v>1681</v>
      </c>
      <c r="F236" s="14" t="s">
        <v>1681</v>
      </c>
      <c r="G236" s="14" t="s">
        <v>1682</v>
      </c>
      <c r="H236" s="15" t="n">
        <v>46099</v>
      </c>
      <c r="I236" s="15" t="s">
        <v>244</v>
      </c>
      <c r="J236" s="14" t="s">
        <v>295</v>
      </c>
      <c r="K236" s="14" t="s">
        <v>196</v>
      </c>
      <c r="L236" s="14" t="s">
        <v>184</v>
      </c>
      <c r="M236" s="14" t="s">
        <v>111</v>
      </c>
      <c r="N236" s="14" t="s">
        <v>112</v>
      </c>
      <c r="O236" s="14" t="s">
        <v>113</v>
      </c>
      <c r="P236" s="14" t="s">
        <v>391</v>
      </c>
      <c r="Q236" s="14" t="s">
        <v>297</v>
      </c>
      <c r="R236" s="14"/>
      <c r="S236" s="14"/>
      <c r="T236" s="14"/>
      <c r="U236" s="14" t="s">
        <v>21</v>
      </c>
      <c r="V236" s="14" t="s">
        <v>187</v>
      </c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 t="s">
        <v>188</v>
      </c>
      <c r="AQ236" s="14" t="s">
        <v>399</v>
      </c>
      <c r="AR236" s="14" t="s">
        <v>190</v>
      </c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  <c r="BY236" s="14"/>
      <c r="BZ236" s="14"/>
      <c r="CA236" s="14"/>
      <c r="CB236" s="14"/>
      <c r="CC236" s="14"/>
      <c r="CD236" s="14"/>
      <c r="CE236" s="14"/>
      <c r="CF236" s="14"/>
      <c r="CG236" s="14"/>
      <c r="CH236" s="14"/>
      <c r="CI236" s="14"/>
      <c r="CJ236" s="14"/>
      <c r="CK236" s="14"/>
      <c r="CL236" s="14"/>
      <c r="CR236" s="1" t="s">
        <v>120</v>
      </c>
      <c r="CS236" s="1" t="s">
        <v>121</v>
      </c>
      <c r="CT236" s="14"/>
      <c r="CU236" s="1" t="s">
        <v>123</v>
      </c>
      <c r="CV236" s="1" t="s">
        <v>124</v>
      </c>
      <c r="CW236" s="3"/>
      <c r="DG236" s="4"/>
    </row>
    <row r="237" customFormat="false" ht="11.25" hidden="false" customHeight="true" outlineLevel="0" collapsed="false">
      <c r="A237" s="14" t="n">
        <v>236</v>
      </c>
      <c r="B237" s="15" t="n">
        <v>46109.3950797222</v>
      </c>
      <c r="C237" s="15" t="n">
        <v>46109.4107394444</v>
      </c>
      <c r="D237" s="14" t="s">
        <v>1683</v>
      </c>
      <c r="E237" s="14" t="s">
        <v>1684</v>
      </c>
      <c r="F237" s="14" t="s">
        <v>1684</v>
      </c>
      <c r="G237" s="14" t="s">
        <v>1685</v>
      </c>
      <c r="H237" s="15" t="n">
        <v>46095</v>
      </c>
      <c r="I237" s="15" t="s">
        <v>107</v>
      </c>
      <c r="J237" s="14" t="s">
        <v>108</v>
      </c>
      <c r="K237" s="14" t="s">
        <v>245</v>
      </c>
      <c r="L237" s="14" t="s">
        <v>491</v>
      </c>
      <c r="M237" s="14" t="s">
        <v>131</v>
      </c>
      <c r="N237" s="14" t="s">
        <v>145</v>
      </c>
      <c r="O237" s="14" t="s">
        <v>132</v>
      </c>
      <c r="P237" s="14" t="s">
        <v>515</v>
      </c>
      <c r="Q237" s="14" t="s">
        <v>1078</v>
      </c>
      <c r="R237" s="14"/>
      <c r="S237" s="14"/>
      <c r="T237" s="14"/>
      <c r="U237" s="14" t="s">
        <v>22</v>
      </c>
      <c r="V237" s="14"/>
      <c r="W237" s="14" t="s">
        <v>148</v>
      </c>
      <c r="X237" s="14"/>
      <c r="Y237" s="14"/>
      <c r="Z237" s="14"/>
      <c r="AA237" s="14"/>
      <c r="AB237" s="14"/>
      <c r="AC237" s="14"/>
      <c r="AD237" s="14" t="s">
        <v>1686</v>
      </c>
      <c r="AE237" s="14" t="s">
        <v>660</v>
      </c>
      <c r="AF237" s="14" t="s">
        <v>1687</v>
      </c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  <c r="CC237" s="14"/>
      <c r="CD237" s="14"/>
      <c r="CE237" s="14"/>
      <c r="CF237" s="14"/>
      <c r="CG237" s="14"/>
      <c r="CH237" s="14"/>
      <c r="CI237" s="14"/>
      <c r="CJ237" s="14"/>
      <c r="CK237" s="14"/>
      <c r="CL237" s="14"/>
      <c r="CR237" s="1" t="s">
        <v>227</v>
      </c>
      <c r="CS237" s="1" t="s">
        <v>121</v>
      </c>
      <c r="CT237" s="14" t="s">
        <v>122</v>
      </c>
      <c r="CU237" s="1" t="s">
        <v>167</v>
      </c>
      <c r="CV237" s="1" t="s">
        <v>124</v>
      </c>
      <c r="CW237" s="3"/>
      <c r="DG237" s="4"/>
    </row>
    <row r="238" customFormat="false" ht="11.25" hidden="false" customHeight="true" outlineLevel="0" collapsed="false">
      <c r="A238" s="14" t="n">
        <v>237</v>
      </c>
      <c r="B238" s="15" t="n">
        <v>46096.7992134722</v>
      </c>
      <c r="C238" s="15" t="n">
        <v>46096.8125352315</v>
      </c>
      <c r="D238" s="14" t="s">
        <v>1688</v>
      </c>
      <c r="E238" s="14" t="s">
        <v>1689</v>
      </c>
      <c r="F238" s="14" t="s">
        <v>1689</v>
      </c>
      <c r="G238" s="14" t="s">
        <v>1690</v>
      </c>
      <c r="H238" s="15" t="n">
        <v>46086</v>
      </c>
      <c r="I238" s="15" t="s">
        <v>172</v>
      </c>
      <c r="J238" s="14" t="s">
        <v>108</v>
      </c>
      <c r="K238" s="14" t="s">
        <v>848</v>
      </c>
      <c r="L238" s="14" t="s">
        <v>184</v>
      </c>
      <c r="M238" s="14" t="s">
        <v>111</v>
      </c>
      <c r="N238" s="14" t="s">
        <v>198</v>
      </c>
      <c r="O238" s="14" t="s">
        <v>325</v>
      </c>
      <c r="P238" s="14" t="s">
        <v>326</v>
      </c>
      <c r="Q238" s="14" t="s">
        <v>1042</v>
      </c>
      <c r="R238" s="14"/>
      <c r="S238" s="14"/>
      <c r="T238" s="14"/>
      <c r="U238" s="14" t="s">
        <v>23</v>
      </c>
      <c r="V238" s="14"/>
      <c r="W238" s="14"/>
      <c r="X238" s="14" t="s">
        <v>122</v>
      </c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  <c r="BY238" s="14"/>
      <c r="BZ238" s="14"/>
      <c r="CA238" s="14"/>
      <c r="CB238" s="14"/>
      <c r="CC238" s="14"/>
      <c r="CD238" s="14"/>
      <c r="CE238" s="14"/>
      <c r="CF238" s="14"/>
      <c r="CG238" s="14"/>
      <c r="CH238" s="14"/>
      <c r="CI238" s="14"/>
      <c r="CJ238" s="14"/>
      <c r="CK238" s="14"/>
      <c r="CL238" s="14"/>
      <c r="CR238" s="1" t="s">
        <v>120</v>
      </c>
      <c r="CS238" s="1" t="s">
        <v>496</v>
      </c>
      <c r="CT238" s="14" t="s">
        <v>1691</v>
      </c>
      <c r="CU238" s="1" t="s">
        <v>192</v>
      </c>
      <c r="CV238" s="1" t="s">
        <v>124</v>
      </c>
      <c r="CW238" s="3" t="s">
        <v>573</v>
      </c>
      <c r="DG238" s="4"/>
    </row>
    <row r="239" customFormat="false" ht="11.25" hidden="false" customHeight="true" outlineLevel="0" collapsed="false">
      <c r="A239" s="14" t="n">
        <v>238</v>
      </c>
      <c r="B239" s="15" t="n">
        <v>46074.0472887384</v>
      </c>
      <c r="C239" s="15" t="n">
        <v>46074.0665827199</v>
      </c>
      <c r="D239" s="14" t="s">
        <v>1692</v>
      </c>
      <c r="E239" s="14" t="s">
        <v>1693</v>
      </c>
      <c r="F239" s="14" t="s">
        <v>1693</v>
      </c>
      <c r="G239" s="14" t="s">
        <v>1694</v>
      </c>
      <c r="H239" s="15" t="n">
        <v>46055</v>
      </c>
      <c r="I239" s="15" t="s">
        <v>244</v>
      </c>
      <c r="J239" s="14" t="s">
        <v>128</v>
      </c>
      <c r="K239" s="14" t="s">
        <v>413</v>
      </c>
      <c r="L239" s="14" t="s">
        <v>197</v>
      </c>
      <c r="M239" s="14" t="s">
        <v>111</v>
      </c>
      <c r="N239" s="14" t="s">
        <v>112</v>
      </c>
      <c r="O239" s="14" t="s">
        <v>113</v>
      </c>
      <c r="P239" s="14" t="s">
        <v>507</v>
      </c>
      <c r="Q239" s="14" t="s">
        <v>1144</v>
      </c>
      <c r="R239" s="14"/>
      <c r="S239" s="14"/>
      <c r="T239" s="14"/>
      <c r="U239" s="14" t="s">
        <v>22</v>
      </c>
      <c r="V239" s="14"/>
      <c r="W239" s="14" t="s">
        <v>715</v>
      </c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 t="s">
        <v>1695</v>
      </c>
      <c r="BI239" s="14" t="s">
        <v>1374</v>
      </c>
      <c r="BJ239" s="14" t="s">
        <v>1696</v>
      </c>
      <c r="BK239" s="14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14"/>
      <c r="BZ239" s="14"/>
      <c r="CA239" s="14"/>
      <c r="CB239" s="14"/>
      <c r="CC239" s="14"/>
      <c r="CD239" s="14"/>
      <c r="CE239" s="14"/>
      <c r="CF239" s="14"/>
      <c r="CG239" s="14"/>
      <c r="CH239" s="14"/>
      <c r="CI239" s="14"/>
      <c r="CJ239" s="14"/>
      <c r="CK239" s="14"/>
      <c r="CL239" s="14"/>
      <c r="CR239" s="1" t="s">
        <v>152</v>
      </c>
      <c r="CS239" s="1" t="s">
        <v>121</v>
      </c>
      <c r="CT239" s="14" t="s">
        <v>1395</v>
      </c>
      <c r="CU239" s="1" t="s">
        <v>123</v>
      </c>
      <c r="CV239" s="1" t="s">
        <v>168</v>
      </c>
      <c r="CW239" s="3"/>
      <c r="DG239" s="4"/>
    </row>
    <row r="240" customFormat="false" ht="11.25" hidden="false" customHeight="true" outlineLevel="0" collapsed="false">
      <c r="A240" s="14" t="n">
        <v>239</v>
      </c>
      <c r="B240" s="15" t="n">
        <v>46173.8548996181</v>
      </c>
      <c r="C240" s="15" t="n">
        <v>46173.8651079514</v>
      </c>
      <c r="D240" s="14" t="s">
        <v>1697</v>
      </c>
      <c r="E240" s="14" t="s">
        <v>1698</v>
      </c>
      <c r="F240" s="14" t="s">
        <v>1698</v>
      </c>
      <c r="G240" s="14" t="s">
        <v>1699</v>
      </c>
      <c r="H240" s="15" t="n">
        <v>46162</v>
      </c>
      <c r="I240" s="15" t="s">
        <v>244</v>
      </c>
      <c r="J240" s="14" t="s">
        <v>108</v>
      </c>
      <c r="K240" s="14" t="s">
        <v>245</v>
      </c>
      <c r="L240" s="14" t="s">
        <v>184</v>
      </c>
      <c r="M240" s="14" t="s">
        <v>111</v>
      </c>
      <c r="N240" s="14" t="s">
        <v>112</v>
      </c>
      <c r="O240" s="14" t="s">
        <v>305</v>
      </c>
      <c r="P240" s="14" t="s">
        <v>439</v>
      </c>
      <c r="Q240" s="14" t="s">
        <v>338</v>
      </c>
      <c r="R240" s="14"/>
      <c r="S240" s="14"/>
      <c r="T240" s="14" t="s">
        <v>880</v>
      </c>
      <c r="U240" s="14" t="s">
        <v>24</v>
      </c>
      <c r="V240" s="14"/>
      <c r="W240" s="14"/>
      <c r="X240" s="14"/>
      <c r="Y240" s="14" t="s">
        <v>19</v>
      </c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  <c r="BY240" s="14"/>
      <c r="BZ240" s="14"/>
      <c r="CA240" s="14"/>
      <c r="CB240" s="14"/>
      <c r="CC240" s="14"/>
      <c r="CD240" s="14"/>
      <c r="CE240" s="14"/>
      <c r="CF240" s="14"/>
      <c r="CG240" s="14"/>
      <c r="CH240" s="14"/>
      <c r="CI240" s="14"/>
      <c r="CJ240" s="14"/>
      <c r="CK240" s="14"/>
      <c r="CL240" s="14"/>
      <c r="CR240" s="1" t="s">
        <v>227</v>
      </c>
      <c r="CS240" s="1" t="s">
        <v>121</v>
      </c>
      <c r="CT240" s="14" t="s">
        <v>1700</v>
      </c>
      <c r="CU240" s="1" t="s">
        <v>167</v>
      </c>
      <c r="CV240" s="1" t="s">
        <v>124</v>
      </c>
      <c r="CW240" s="3"/>
      <c r="CX240" s="3" t="s">
        <v>331</v>
      </c>
      <c r="DG240" s="4"/>
    </row>
    <row r="241" customFormat="false" ht="11.25" hidden="false" customHeight="true" outlineLevel="0" collapsed="false">
      <c r="A241" s="14" t="n">
        <v>240</v>
      </c>
      <c r="B241" s="15" t="n">
        <v>46055.6978062963</v>
      </c>
      <c r="C241" s="15" t="n">
        <v>46055.7006419444</v>
      </c>
      <c r="D241" s="14" t="s">
        <v>1701</v>
      </c>
      <c r="E241" s="14" t="s">
        <v>1702</v>
      </c>
      <c r="F241" s="14" t="s">
        <v>1702</v>
      </c>
      <c r="G241" s="14" t="s">
        <v>1703</v>
      </c>
      <c r="H241" s="15" t="n">
        <v>46035</v>
      </c>
      <c r="I241" s="15" t="s">
        <v>107</v>
      </c>
      <c r="J241" s="14" t="s">
        <v>108</v>
      </c>
      <c r="K241" s="14" t="s">
        <v>232</v>
      </c>
      <c r="L241" s="14" t="s">
        <v>159</v>
      </c>
      <c r="M241" s="14" t="s">
        <v>111</v>
      </c>
      <c r="N241" s="14" t="s">
        <v>145</v>
      </c>
      <c r="O241" s="14" t="s">
        <v>113</v>
      </c>
      <c r="P241" s="14" t="s">
        <v>477</v>
      </c>
      <c r="Q241" s="14" t="s">
        <v>389</v>
      </c>
      <c r="R241" s="14"/>
      <c r="S241" s="14"/>
      <c r="T241" s="14"/>
      <c r="U241" s="14" t="s">
        <v>23</v>
      </c>
      <c r="V241" s="14"/>
      <c r="W241" s="14"/>
      <c r="X241" s="14" t="s">
        <v>122</v>
      </c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14"/>
      <c r="BZ241" s="14"/>
      <c r="CA241" s="14"/>
      <c r="CB241" s="14"/>
      <c r="CC241" s="14"/>
      <c r="CD241" s="14"/>
      <c r="CE241" s="14"/>
      <c r="CF241" s="14"/>
      <c r="CG241" s="14"/>
      <c r="CH241" s="14"/>
      <c r="CI241" s="14"/>
      <c r="CJ241" s="14"/>
      <c r="CK241" s="14"/>
      <c r="CL241" s="14"/>
      <c r="CR241" s="1" t="s">
        <v>152</v>
      </c>
      <c r="CS241" s="1" t="s">
        <v>121</v>
      </c>
      <c r="CT241" s="14" t="s">
        <v>122</v>
      </c>
      <c r="CU241" s="1" t="s">
        <v>192</v>
      </c>
      <c r="CV241" s="1" t="s">
        <v>124</v>
      </c>
      <c r="CW241" s="3"/>
      <c r="DG241" s="4"/>
    </row>
    <row r="242" customFormat="false" ht="11.25" hidden="false" customHeight="true" outlineLevel="0" collapsed="false">
      <c r="A242" s="14" t="n">
        <v>241</v>
      </c>
      <c r="B242" s="15" t="n">
        <v>46057.3772381713</v>
      </c>
      <c r="C242" s="15" t="n">
        <v>46057.3940784491</v>
      </c>
      <c r="D242" s="14" t="s">
        <v>1704</v>
      </c>
      <c r="E242" s="14" t="s">
        <v>1705</v>
      </c>
      <c r="F242" s="14" t="s">
        <v>1705</v>
      </c>
      <c r="G242" s="14" t="s">
        <v>1706</v>
      </c>
      <c r="H242" s="15" t="n">
        <v>46037</v>
      </c>
      <c r="I242" s="15" t="s">
        <v>172</v>
      </c>
      <c r="J242" s="14" t="s">
        <v>108</v>
      </c>
      <c r="K242" s="14" t="s">
        <v>173</v>
      </c>
      <c r="L242" s="14" t="s">
        <v>144</v>
      </c>
      <c r="M242" s="14" t="s">
        <v>111</v>
      </c>
      <c r="N242" s="14" t="s">
        <v>145</v>
      </c>
      <c r="O242" s="14" t="s">
        <v>305</v>
      </c>
      <c r="P242" s="14" t="s">
        <v>144</v>
      </c>
      <c r="Q242" s="14" t="s">
        <v>249</v>
      </c>
      <c r="R242" s="14"/>
      <c r="S242" s="14"/>
      <c r="T242" s="14"/>
      <c r="U242" s="14" t="s">
        <v>22</v>
      </c>
      <c r="V242" s="14"/>
      <c r="W242" s="14" t="s">
        <v>148</v>
      </c>
      <c r="X242" s="14"/>
      <c r="Y242" s="14"/>
      <c r="Z242" s="14"/>
      <c r="AA242" s="14"/>
      <c r="AB242" s="14"/>
      <c r="AC242" s="14"/>
      <c r="AD242" s="14" t="s">
        <v>1707</v>
      </c>
      <c r="AE242" s="14" t="s">
        <v>1446</v>
      </c>
      <c r="AF242" s="14" t="s">
        <v>696</v>
      </c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  <c r="BY242" s="14"/>
      <c r="BZ242" s="14"/>
      <c r="CA242" s="14"/>
      <c r="CB242" s="14"/>
      <c r="CC242" s="14"/>
      <c r="CD242" s="14"/>
      <c r="CE242" s="14"/>
      <c r="CF242" s="14"/>
      <c r="CG242" s="14"/>
      <c r="CH242" s="14"/>
      <c r="CI242" s="14"/>
      <c r="CJ242" s="14"/>
      <c r="CK242" s="14"/>
      <c r="CL242" s="14"/>
      <c r="CR242" s="1" t="s">
        <v>120</v>
      </c>
      <c r="CS242" s="1" t="s">
        <v>121</v>
      </c>
      <c r="CT242" s="14" t="s">
        <v>122</v>
      </c>
      <c r="CU242" s="1" t="s">
        <v>123</v>
      </c>
      <c r="CV242" s="1" t="s">
        <v>124</v>
      </c>
      <c r="CW242" s="3"/>
      <c r="DG242" s="4"/>
    </row>
    <row r="243" customFormat="false" ht="11.25" hidden="false" customHeight="true" outlineLevel="0" collapsed="false">
      <c r="A243" s="14" t="n">
        <v>242</v>
      </c>
      <c r="B243" s="15" t="n">
        <v>46046.9534835301</v>
      </c>
      <c r="C243" s="15" t="n">
        <v>46046.9610182523</v>
      </c>
      <c r="D243" s="14" t="s">
        <v>1708</v>
      </c>
      <c r="E243" s="14" t="s">
        <v>1709</v>
      </c>
      <c r="F243" s="14" t="s">
        <v>1709</v>
      </c>
      <c r="G243" s="14" t="s">
        <v>1710</v>
      </c>
      <c r="H243" s="15" t="n">
        <v>46043</v>
      </c>
      <c r="I243" s="15" t="s">
        <v>107</v>
      </c>
      <c r="J243" s="14" t="s">
        <v>295</v>
      </c>
      <c r="K243" s="14" t="s">
        <v>1711</v>
      </c>
      <c r="L243" s="14" t="s">
        <v>130</v>
      </c>
      <c r="M243" s="14" t="s">
        <v>111</v>
      </c>
      <c r="N243" s="14" t="s">
        <v>112</v>
      </c>
      <c r="O243" s="14" t="s">
        <v>113</v>
      </c>
      <c r="P243" s="14" t="s">
        <v>286</v>
      </c>
      <c r="Q243" s="14" t="s">
        <v>1539</v>
      </c>
      <c r="R243" s="14"/>
      <c r="S243" s="14"/>
      <c r="T243" s="14"/>
      <c r="U243" s="14" t="s">
        <v>25</v>
      </c>
      <c r="V243" s="14"/>
      <c r="W243" s="14"/>
      <c r="X243" s="14"/>
      <c r="Y243" s="14"/>
      <c r="Z243" s="14" t="s">
        <v>1712</v>
      </c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  <c r="BY243" s="14"/>
      <c r="BZ243" s="14"/>
      <c r="CA243" s="14"/>
      <c r="CB243" s="14"/>
      <c r="CC243" s="14"/>
      <c r="CD243" s="14"/>
      <c r="CE243" s="14"/>
      <c r="CF243" s="14"/>
      <c r="CG243" s="14"/>
      <c r="CH243" s="14"/>
      <c r="CI243" s="14"/>
      <c r="CJ243" s="14"/>
      <c r="CK243" s="14"/>
      <c r="CL243" s="14"/>
      <c r="CO243" s="1" t="s">
        <v>1713</v>
      </c>
      <c r="CP243" s="1" t="s">
        <v>1714</v>
      </c>
      <c r="CQ243" s="1" t="s">
        <v>1715</v>
      </c>
      <c r="CR243" s="1" t="s">
        <v>152</v>
      </c>
      <c r="CS243" s="1" t="s">
        <v>180</v>
      </c>
      <c r="CT243" s="14" t="s">
        <v>770</v>
      </c>
      <c r="CU243" s="1" t="s">
        <v>192</v>
      </c>
      <c r="CV243" s="1" t="s">
        <v>124</v>
      </c>
      <c r="CW243" s="3"/>
      <c r="DG243" s="4"/>
    </row>
    <row r="244" customFormat="false" ht="11.25" hidden="false" customHeight="true" outlineLevel="0" collapsed="false">
      <c r="A244" s="14" t="n">
        <v>243</v>
      </c>
      <c r="B244" s="15" t="n">
        <v>46191.1505835764</v>
      </c>
      <c r="C244" s="15" t="n">
        <v>46191.1620419097</v>
      </c>
      <c r="D244" s="14" t="s">
        <v>1716</v>
      </c>
      <c r="E244" s="14" t="s">
        <v>1717</v>
      </c>
      <c r="F244" s="14" t="s">
        <v>1717</v>
      </c>
      <c r="G244" s="14" t="s">
        <v>1718</v>
      </c>
      <c r="H244" s="15" t="n">
        <v>46177</v>
      </c>
      <c r="I244" s="15" t="s">
        <v>107</v>
      </c>
      <c r="J244" s="14" t="s">
        <v>295</v>
      </c>
      <c r="K244" s="14" t="s">
        <v>245</v>
      </c>
      <c r="L244" s="14" t="s">
        <v>346</v>
      </c>
      <c r="M244" s="14" t="s">
        <v>111</v>
      </c>
      <c r="N244" s="14" t="s">
        <v>112</v>
      </c>
      <c r="O244" s="14" t="s">
        <v>1268</v>
      </c>
      <c r="P244" s="14" t="s">
        <v>397</v>
      </c>
      <c r="Q244" s="14" t="s">
        <v>398</v>
      </c>
      <c r="R244" s="14"/>
      <c r="S244" s="14"/>
      <c r="T244" s="14"/>
      <c r="U244" s="14" t="s">
        <v>23</v>
      </c>
      <c r="V244" s="14"/>
      <c r="W244" s="14"/>
      <c r="X244" s="14" t="s">
        <v>1645</v>
      </c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4"/>
      <c r="BY244" s="14"/>
      <c r="BZ244" s="14"/>
      <c r="CA244" s="14"/>
      <c r="CB244" s="14"/>
      <c r="CC244" s="14"/>
      <c r="CD244" s="14"/>
      <c r="CE244" s="14"/>
      <c r="CF244" s="14"/>
      <c r="CG244" s="14"/>
      <c r="CH244" s="14"/>
      <c r="CI244" s="14"/>
      <c r="CJ244" s="14"/>
      <c r="CK244" s="14"/>
      <c r="CL244" s="14"/>
      <c r="CR244" s="1" t="s">
        <v>120</v>
      </c>
      <c r="CS244" s="1" t="s">
        <v>121</v>
      </c>
      <c r="CT244" s="14" t="s">
        <v>122</v>
      </c>
      <c r="CU244" s="1" t="s">
        <v>123</v>
      </c>
      <c r="CV244" s="1" t="s">
        <v>124</v>
      </c>
      <c r="CW244" s="3"/>
      <c r="DG244" s="4"/>
    </row>
    <row r="245" customFormat="false" ht="11.25" hidden="false" customHeight="true" outlineLevel="0" collapsed="false">
      <c r="A245" s="14" t="n">
        <v>244</v>
      </c>
      <c r="B245" s="15" t="n">
        <v>46086.640579213</v>
      </c>
      <c r="C245" s="15" t="n">
        <v>46086.6531833796</v>
      </c>
      <c r="D245" s="14" t="s">
        <v>1719</v>
      </c>
      <c r="E245" s="14" t="s">
        <v>1720</v>
      </c>
      <c r="F245" s="14" t="s">
        <v>1720</v>
      </c>
      <c r="G245" s="14" t="s">
        <v>1721</v>
      </c>
      <c r="H245" s="15" t="n">
        <v>46069</v>
      </c>
      <c r="I245" s="15" t="s">
        <v>172</v>
      </c>
      <c r="J245" s="14" t="s">
        <v>128</v>
      </c>
      <c r="K245" s="14" t="s">
        <v>245</v>
      </c>
      <c r="L245" s="14" t="s">
        <v>114</v>
      </c>
      <c r="M245" s="14" t="s">
        <v>111</v>
      </c>
      <c r="N245" s="14" t="s">
        <v>112</v>
      </c>
      <c r="O245" s="14" t="s">
        <v>113</v>
      </c>
      <c r="P245" s="14" t="s">
        <v>248</v>
      </c>
      <c r="Q245" s="14" t="s">
        <v>757</v>
      </c>
      <c r="R245" s="14"/>
      <c r="S245" s="14"/>
      <c r="T245" s="14"/>
      <c r="U245" s="14" t="s">
        <v>22</v>
      </c>
      <c r="V245" s="14"/>
      <c r="W245" s="14" t="s">
        <v>271</v>
      </c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 t="s">
        <v>1722</v>
      </c>
      <c r="BL245" s="14" t="s">
        <v>1121</v>
      </c>
      <c r="BM245" s="14" t="s">
        <v>252</v>
      </c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  <c r="BY245" s="14"/>
      <c r="BZ245" s="14"/>
      <c r="CA245" s="14"/>
      <c r="CB245" s="14"/>
      <c r="CC245" s="14"/>
      <c r="CD245" s="14"/>
      <c r="CE245" s="14"/>
      <c r="CF245" s="14"/>
      <c r="CG245" s="14"/>
      <c r="CH245" s="14"/>
      <c r="CI245" s="14"/>
      <c r="CJ245" s="14"/>
      <c r="CK245" s="14"/>
      <c r="CL245" s="14"/>
      <c r="CR245" s="1" t="s">
        <v>152</v>
      </c>
      <c r="CS245" s="1" t="s">
        <v>228</v>
      </c>
      <c r="CT245" s="14"/>
      <c r="CU245" s="1" t="s">
        <v>123</v>
      </c>
      <c r="CV245" s="1" t="s">
        <v>124</v>
      </c>
      <c r="CW245" s="3"/>
      <c r="DG245" s="4"/>
    </row>
    <row r="246" customFormat="false" ht="11.25" hidden="false" customHeight="true" outlineLevel="0" collapsed="false">
      <c r="A246" s="14" t="n">
        <v>245</v>
      </c>
      <c r="B246" s="15" t="n">
        <v>46065.1685568056</v>
      </c>
      <c r="C246" s="15" t="n">
        <v>46065.1709989352</v>
      </c>
      <c r="D246" s="14" t="s">
        <v>1723</v>
      </c>
      <c r="E246" s="14" t="s">
        <v>1724</v>
      </c>
      <c r="F246" s="14" t="s">
        <v>1724</v>
      </c>
      <c r="G246" s="14" t="s">
        <v>1725</v>
      </c>
      <c r="H246" s="15" t="n">
        <v>46056</v>
      </c>
      <c r="I246" s="15" t="s">
        <v>244</v>
      </c>
      <c r="J246" s="14" t="s">
        <v>128</v>
      </c>
      <c r="K246" s="14" t="s">
        <v>196</v>
      </c>
      <c r="L246" s="14" t="s">
        <v>431</v>
      </c>
      <c r="M246" s="14" t="s">
        <v>111</v>
      </c>
      <c r="N246" s="14" t="s">
        <v>112</v>
      </c>
      <c r="O246" s="14" t="s">
        <v>113</v>
      </c>
      <c r="P246" s="14" t="s">
        <v>130</v>
      </c>
      <c r="Q246" s="14" t="s">
        <v>280</v>
      </c>
      <c r="R246" s="14"/>
      <c r="S246" s="14"/>
      <c r="T246" s="14"/>
      <c r="U246" s="14" t="s">
        <v>22</v>
      </c>
      <c r="V246" s="14"/>
      <c r="W246" s="14" t="s">
        <v>271</v>
      </c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4"/>
      <c r="BK246" s="14" t="s">
        <v>1726</v>
      </c>
      <c r="BL246" s="14" t="s">
        <v>1301</v>
      </c>
      <c r="BM246" s="14" t="s">
        <v>1727</v>
      </c>
      <c r="BN246" s="1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  <c r="BY246" s="14"/>
      <c r="BZ246" s="14"/>
      <c r="CA246" s="14"/>
      <c r="CB246" s="14"/>
      <c r="CC246" s="14"/>
      <c r="CD246" s="14"/>
      <c r="CE246" s="14"/>
      <c r="CF246" s="14"/>
      <c r="CG246" s="14"/>
      <c r="CH246" s="14"/>
      <c r="CI246" s="14"/>
      <c r="CJ246" s="14"/>
      <c r="CK246" s="14"/>
      <c r="CL246" s="14"/>
      <c r="CR246" s="1" t="s">
        <v>227</v>
      </c>
      <c r="CS246" s="1" t="s">
        <v>264</v>
      </c>
      <c r="CT246" s="14" t="s">
        <v>1129</v>
      </c>
      <c r="CU246" s="1" t="s">
        <v>123</v>
      </c>
      <c r="CV246" s="1" t="s">
        <v>124</v>
      </c>
      <c r="CW246" s="3"/>
      <c r="DG246" s="4"/>
    </row>
    <row r="247" customFormat="false" ht="11.25" hidden="false" customHeight="true" outlineLevel="0" collapsed="false">
      <c r="A247" s="14" t="n">
        <v>246</v>
      </c>
      <c r="B247" s="15" t="n">
        <v>46113.5068978935</v>
      </c>
      <c r="C247" s="15" t="n">
        <v>46113.5156015972</v>
      </c>
      <c r="D247" s="14" t="s">
        <v>1728</v>
      </c>
      <c r="E247" s="14" t="s">
        <v>1729</v>
      </c>
      <c r="F247" s="14" t="s">
        <v>1729</v>
      </c>
      <c r="G247" s="14" t="s">
        <v>1730</v>
      </c>
      <c r="H247" s="15" t="n">
        <v>46093</v>
      </c>
      <c r="I247" s="15" t="s">
        <v>244</v>
      </c>
      <c r="J247" s="14" t="s">
        <v>108</v>
      </c>
      <c r="K247" s="14" t="s">
        <v>173</v>
      </c>
      <c r="L247" s="14" t="s">
        <v>233</v>
      </c>
      <c r="M247" s="14" t="s">
        <v>111</v>
      </c>
      <c r="N247" s="14" t="s">
        <v>112</v>
      </c>
      <c r="O247" s="14" t="s">
        <v>305</v>
      </c>
      <c r="P247" s="14" t="s">
        <v>566</v>
      </c>
      <c r="Q247" s="14" t="s">
        <v>775</v>
      </c>
      <c r="R247" s="14"/>
      <c r="S247" s="14"/>
      <c r="T247" s="14"/>
      <c r="U247" s="14" t="s">
        <v>24</v>
      </c>
      <c r="V247" s="14"/>
      <c r="W247" s="14"/>
      <c r="X247" s="14"/>
      <c r="Y247" s="14" t="s">
        <v>223</v>
      </c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  <c r="BY247" s="14"/>
      <c r="BZ247" s="14" t="s">
        <v>1731</v>
      </c>
      <c r="CA247" s="14" t="s">
        <v>1400</v>
      </c>
      <c r="CB247" s="14" t="s">
        <v>417</v>
      </c>
      <c r="CC247" s="14"/>
      <c r="CD247" s="14"/>
      <c r="CE247" s="14"/>
      <c r="CF247" s="14"/>
      <c r="CG247" s="14"/>
      <c r="CH247" s="14"/>
      <c r="CI247" s="14"/>
      <c r="CJ247" s="14"/>
      <c r="CK247" s="14"/>
      <c r="CL247" s="14"/>
      <c r="CR247" s="1" t="s">
        <v>152</v>
      </c>
      <c r="CS247" s="1" t="s">
        <v>121</v>
      </c>
      <c r="CT247" s="14" t="s">
        <v>122</v>
      </c>
      <c r="CU247" s="1" t="s">
        <v>123</v>
      </c>
      <c r="CV247" s="1" t="s">
        <v>124</v>
      </c>
      <c r="CW247" s="3"/>
      <c r="DG247" s="4"/>
    </row>
    <row r="248" customFormat="false" ht="11.25" hidden="false" customHeight="true" outlineLevel="0" collapsed="false">
      <c r="A248" s="14" t="n">
        <v>247</v>
      </c>
      <c r="B248" s="15" t="n">
        <v>46141.2790514352</v>
      </c>
      <c r="C248" s="15" t="n">
        <v>46141.286528287</v>
      </c>
      <c r="D248" s="14" t="s">
        <v>1732</v>
      </c>
      <c r="E248" s="14" t="s">
        <v>1733</v>
      </c>
      <c r="F248" s="14" t="s">
        <v>1734</v>
      </c>
      <c r="G248" s="14" t="s">
        <v>1735</v>
      </c>
      <c r="H248" s="15" t="n">
        <v>46138</v>
      </c>
      <c r="I248" s="15" t="s">
        <v>244</v>
      </c>
      <c r="J248" s="14" t="s">
        <v>108</v>
      </c>
      <c r="K248" s="14" t="s">
        <v>1711</v>
      </c>
      <c r="L248" s="14" t="s">
        <v>110</v>
      </c>
      <c r="M248" s="14" t="s">
        <v>111</v>
      </c>
      <c r="N248" s="14" t="s">
        <v>247</v>
      </c>
      <c r="O248" s="14" t="s">
        <v>113</v>
      </c>
      <c r="P248" s="14" t="s">
        <v>686</v>
      </c>
      <c r="Q248" s="14" t="s">
        <v>1094</v>
      </c>
      <c r="R248" s="14"/>
      <c r="S248" s="14"/>
      <c r="T248" s="14"/>
      <c r="U248" s="14" t="s">
        <v>25</v>
      </c>
      <c r="V248" s="14"/>
      <c r="W248" s="14"/>
      <c r="X248" s="14"/>
      <c r="Y248" s="14"/>
      <c r="Z248" s="14" t="s">
        <v>327</v>
      </c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  <c r="BP248" s="14"/>
      <c r="BQ248" s="14"/>
      <c r="BR248" s="14"/>
      <c r="BS248" s="14"/>
      <c r="BT248" s="14"/>
      <c r="BU248" s="14"/>
      <c r="BV248" s="14"/>
      <c r="BW248" s="14"/>
      <c r="BX248" s="14"/>
      <c r="BY248" s="14"/>
      <c r="BZ248" s="14"/>
      <c r="CA248" s="14"/>
      <c r="CB248" s="14"/>
      <c r="CC248" s="14"/>
      <c r="CD248" s="14"/>
      <c r="CE248" s="14"/>
      <c r="CF248" s="14"/>
      <c r="CG248" s="14"/>
      <c r="CH248" s="14"/>
      <c r="CI248" s="14" t="s">
        <v>162</v>
      </c>
      <c r="CJ248" s="14" t="s">
        <v>1736</v>
      </c>
      <c r="CK248" s="14" t="s">
        <v>1737</v>
      </c>
      <c r="CL248" s="14"/>
      <c r="CR248" s="1" t="s">
        <v>120</v>
      </c>
      <c r="CS248" s="1" t="s">
        <v>121</v>
      </c>
      <c r="CT248" s="14" t="s">
        <v>1557</v>
      </c>
      <c r="CU248" s="1" t="s">
        <v>123</v>
      </c>
      <c r="CV248" s="1" t="s">
        <v>124</v>
      </c>
      <c r="CW248" s="3"/>
      <c r="DG248" s="4"/>
    </row>
    <row r="249" customFormat="false" ht="11.25" hidden="false" customHeight="true" outlineLevel="0" collapsed="false">
      <c r="A249" s="14" t="n">
        <v>248</v>
      </c>
      <c r="B249" s="15" t="n">
        <v>46126.9716729861</v>
      </c>
      <c r="C249" s="15" t="n">
        <v>46126.9850178935</v>
      </c>
      <c r="D249" s="14" t="s">
        <v>1738</v>
      </c>
      <c r="E249" s="14" t="s">
        <v>1739</v>
      </c>
      <c r="F249" s="14" t="s">
        <v>1739</v>
      </c>
      <c r="G249" s="14" t="s">
        <v>1740</v>
      </c>
      <c r="H249" s="15" t="n">
        <v>46118</v>
      </c>
      <c r="I249" s="15" t="s">
        <v>107</v>
      </c>
      <c r="J249" s="14" t="s">
        <v>108</v>
      </c>
      <c r="K249" s="14" t="s">
        <v>196</v>
      </c>
      <c r="L249" s="14" t="s">
        <v>246</v>
      </c>
      <c r="M249" s="14" t="s">
        <v>111</v>
      </c>
      <c r="N249" s="14" t="s">
        <v>112</v>
      </c>
      <c r="O249" s="14" t="s">
        <v>305</v>
      </c>
      <c r="P249" s="14" t="s">
        <v>258</v>
      </c>
      <c r="Q249" s="14" t="s">
        <v>297</v>
      </c>
      <c r="R249" s="14"/>
      <c r="S249" s="14"/>
      <c r="T249" s="14"/>
      <c r="U249" s="14" t="s">
        <v>25</v>
      </c>
      <c r="V249" s="14"/>
      <c r="W249" s="14"/>
      <c r="X249" s="14"/>
      <c r="Y249" s="14"/>
      <c r="Z249" s="14" t="s">
        <v>1712</v>
      </c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  <c r="BY249" s="14"/>
      <c r="BZ249" s="14"/>
      <c r="CA249" s="14"/>
      <c r="CB249" s="14"/>
      <c r="CC249" s="14"/>
      <c r="CD249" s="14"/>
      <c r="CE249" s="14"/>
      <c r="CF249" s="14"/>
      <c r="CG249" s="14"/>
      <c r="CH249" s="14"/>
      <c r="CI249" s="14"/>
      <c r="CJ249" s="14"/>
      <c r="CK249" s="14"/>
      <c r="CL249" s="14"/>
      <c r="CO249" s="1" t="s">
        <v>1741</v>
      </c>
      <c r="CP249" s="1" t="s">
        <v>1742</v>
      </c>
      <c r="CQ249" s="1" t="s">
        <v>1743</v>
      </c>
      <c r="CR249" s="1" t="s">
        <v>120</v>
      </c>
      <c r="CS249" s="1" t="s">
        <v>121</v>
      </c>
      <c r="CT249" s="16" t="s">
        <v>641</v>
      </c>
      <c r="CU249" s="1" t="s">
        <v>123</v>
      </c>
      <c r="CV249" s="1" t="s">
        <v>139</v>
      </c>
      <c r="CW249" s="3"/>
      <c r="DG249" s="4"/>
    </row>
    <row r="250" customFormat="false" ht="11.25" hidden="false" customHeight="true" outlineLevel="0" collapsed="false">
      <c r="A250" s="14" t="n">
        <v>249</v>
      </c>
      <c r="B250" s="15" t="n">
        <v>46199.1472808565</v>
      </c>
      <c r="C250" s="15" t="n">
        <v>46199.1618178935</v>
      </c>
      <c r="D250" s="14" t="s">
        <v>1744</v>
      </c>
      <c r="E250" s="14" t="s">
        <v>1745</v>
      </c>
      <c r="F250" s="14" t="s">
        <v>1746</v>
      </c>
      <c r="G250" s="14" t="s">
        <v>1747</v>
      </c>
      <c r="H250" s="15" t="n">
        <v>46185</v>
      </c>
      <c r="I250" s="15" t="s">
        <v>260</v>
      </c>
      <c r="J250" s="14" t="s">
        <v>108</v>
      </c>
      <c r="K250" s="14" t="s">
        <v>364</v>
      </c>
      <c r="L250" s="14" t="s">
        <v>246</v>
      </c>
      <c r="M250" s="14" t="s">
        <v>111</v>
      </c>
      <c r="N250" s="14" t="s">
        <v>247</v>
      </c>
      <c r="O250" s="14" t="s">
        <v>113</v>
      </c>
      <c r="P250" s="14" t="s">
        <v>774</v>
      </c>
      <c r="Q250" s="14" t="s">
        <v>422</v>
      </c>
      <c r="R250" s="14"/>
      <c r="S250" s="14"/>
      <c r="T250" s="14"/>
      <c r="U250" s="14" t="s">
        <v>22</v>
      </c>
      <c r="V250" s="14"/>
      <c r="W250" s="14" t="s">
        <v>271</v>
      </c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  <c r="BJ250" s="14"/>
      <c r="BK250" s="14" t="s">
        <v>1748</v>
      </c>
      <c r="BL250" s="14" t="s">
        <v>1749</v>
      </c>
      <c r="BM250" s="14" t="s">
        <v>920</v>
      </c>
      <c r="BN250" s="14"/>
      <c r="BO250" s="14"/>
      <c r="BP250" s="14"/>
      <c r="BQ250" s="14"/>
      <c r="BR250" s="14"/>
      <c r="BS250" s="14"/>
      <c r="BT250" s="14"/>
      <c r="BU250" s="14"/>
      <c r="BV250" s="14"/>
      <c r="BW250" s="14"/>
      <c r="BX250" s="14"/>
      <c r="BY250" s="14"/>
      <c r="BZ250" s="14"/>
      <c r="CA250" s="14"/>
      <c r="CB250" s="14"/>
      <c r="CC250" s="14"/>
      <c r="CD250" s="14"/>
      <c r="CE250" s="14"/>
      <c r="CF250" s="14"/>
      <c r="CG250" s="14"/>
      <c r="CH250" s="14"/>
      <c r="CI250" s="14"/>
      <c r="CJ250" s="14"/>
      <c r="CK250" s="14"/>
      <c r="CL250" s="14"/>
      <c r="CR250" s="1" t="s">
        <v>152</v>
      </c>
      <c r="CS250" s="1" t="s">
        <v>352</v>
      </c>
      <c r="CT250" s="14" t="s">
        <v>1326</v>
      </c>
      <c r="CU250" s="1" t="s">
        <v>167</v>
      </c>
      <c r="CV250" s="1" t="s">
        <v>168</v>
      </c>
      <c r="CW250" s="3"/>
      <c r="DG250" s="4"/>
    </row>
    <row r="251" customFormat="false" ht="11.25" hidden="false" customHeight="true" outlineLevel="0" collapsed="false">
      <c r="A251" s="14" t="n">
        <v>250</v>
      </c>
      <c r="B251" s="15" t="n">
        <v>46080.5175837732</v>
      </c>
      <c r="C251" s="15" t="n">
        <v>46080.5351300695</v>
      </c>
      <c r="D251" s="14" t="s">
        <v>1750</v>
      </c>
      <c r="E251" s="14" t="s">
        <v>1751</v>
      </c>
      <c r="F251" s="14" t="s">
        <v>1751</v>
      </c>
      <c r="G251" s="14" t="s">
        <v>1752</v>
      </c>
      <c r="H251" s="15" t="n">
        <v>46066</v>
      </c>
      <c r="I251" s="15" t="s">
        <v>107</v>
      </c>
      <c r="J251" s="14" t="s">
        <v>295</v>
      </c>
      <c r="K251" s="14" t="s">
        <v>143</v>
      </c>
      <c r="L251" s="14" t="s">
        <v>296</v>
      </c>
      <c r="M251" s="14" t="s">
        <v>211</v>
      </c>
      <c r="N251" s="14" t="s">
        <v>112</v>
      </c>
      <c r="O251" s="14" t="s">
        <v>305</v>
      </c>
      <c r="P251" s="14" t="s">
        <v>1313</v>
      </c>
      <c r="Q251" s="14" t="s">
        <v>665</v>
      </c>
      <c r="R251" s="14"/>
      <c r="S251" s="14"/>
      <c r="T251" s="14" t="s">
        <v>880</v>
      </c>
      <c r="U251" s="14" t="s">
        <v>24</v>
      </c>
      <c r="V251" s="14"/>
      <c r="W251" s="14"/>
      <c r="X251" s="14"/>
      <c r="Y251" s="14" t="s">
        <v>19</v>
      </c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  <c r="BY251" s="14"/>
      <c r="BZ251" s="14"/>
      <c r="CA251" s="14"/>
      <c r="CB251" s="14"/>
      <c r="CC251" s="14"/>
      <c r="CD251" s="14"/>
      <c r="CE251" s="14"/>
      <c r="CF251" s="14"/>
      <c r="CG251" s="14"/>
      <c r="CH251" s="14"/>
      <c r="CI251" s="14"/>
      <c r="CJ251" s="14"/>
      <c r="CK251" s="14"/>
      <c r="CL251" s="14"/>
      <c r="CR251" s="1" t="s">
        <v>152</v>
      </c>
      <c r="CS251" s="1" t="s">
        <v>121</v>
      </c>
      <c r="CT251" s="14" t="s">
        <v>122</v>
      </c>
      <c r="CU251" s="1" t="s">
        <v>192</v>
      </c>
      <c r="CV251" s="1" t="s">
        <v>124</v>
      </c>
      <c r="CW251" s="3"/>
      <c r="DG251" s="4"/>
    </row>
    <row r="252" customFormat="false" ht="11.25" hidden="false" customHeight="true" outlineLevel="0" collapsed="false">
      <c r="A252" s="14" t="n">
        <v>251</v>
      </c>
      <c r="B252" s="15" t="n">
        <v>46066.1309753472</v>
      </c>
      <c r="C252" s="15" t="n">
        <v>46066.1477924769</v>
      </c>
      <c r="D252" s="14" t="s">
        <v>1753</v>
      </c>
      <c r="E252" s="14" t="s">
        <v>1754</v>
      </c>
      <c r="F252" s="14" t="s">
        <v>1754</v>
      </c>
      <c r="G252" s="14" t="s">
        <v>1755</v>
      </c>
      <c r="H252" s="15" t="n">
        <v>46052</v>
      </c>
      <c r="I252" s="15" t="s">
        <v>244</v>
      </c>
      <c r="J252" s="14" t="s">
        <v>108</v>
      </c>
      <c r="K252" s="14" t="s">
        <v>257</v>
      </c>
      <c r="L252" s="14" t="s">
        <v>210</v>
      </c>
      <c r="M252" s="14" t="s">
        <v>111</v>
      </c>
      <c r="N252" s="14" t="s">
        <v>145</v>
      </c>
      <c r="O252" s="14" t="s">
        <v>113</v>
      </c>
      <c r="P252" s="14" t="s">
        <v>736</v>
      </c>
      <c r="Q252" s="14" t="s">
        <v>757</v>
      </c>
      <c r="R252" s="14"/>
      <c r="S252" s="14"/>
      <c r="T252" s="14"/>
      <c r="U252" s="14" t="s">
        <v>22</v>
      </c>
      <c r="V252" s="14"/>
      <c r="W252" s="14" t="s">
        <v>176</v>
      </c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 t="s">
        <v>1756</v>
      </c>
      <c r="AZ252" s="14" t="s">
        <v>1757</v>
      </c>
      <c r="BA252" s="14" t="s">
        <v>1758</v>
      </c>
      <c r="BB252" s="14"/>
      <c r="BC252" s="14"/>
      <c r="BD252" s="14"/>
      <c r="BE252" s="14"/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  <c r="BP252" s="14"/>
      <c r="BQ252" s="14"/>
      <c r="BR252" s="14"/>
      <c r="BS252" s="14"/>
      <c r="BT252" s="14"/>
      <c r="BU252" s="14"/>
      <c r="BV252" s="14"/>
      <c r="BW252" s="14"/>
      <c r="BX252" s="14"/>
      <c r="BY252" s="14"/>
      <c r="BZ252" s="14"/>
      <c r="CA252" s="14"/>
      <c r="CB252" s="14"/>
      <c r="CC252" s="14"/>
      <c r="CD252" s="14"/>
      <c r="CE252" s="14"/>
      <c r="CF252" s="14"/>
      <c r="CG252" s="14"/>
      <c r="CH252" s="14"/>
      <c r="CI252" s="14"/>
      <c r="CJ252" s="14"/>
      <c r="CK252" s="14"/>
      <c r="CL252" s="14"/>
      <c r="CR252" s="1" t="s">
        <v>120</v>
      </c>
      <c r="CS252" s="1" t="s">
        <v>180</v>
      </c>
      <c r="CT252" s="14" t="s">
        <v>369</v>
      </c>
      <c r="CU252" s="1" t="s">
        <v>123</v>
      </c>
      <c r="CV252" s="1" t="s">
        <v>124</v>
      </c>
      <c r="CW252" s="3"/>
      <c r="DG252" s="4"/>
    </row>
    <row r="253" customFormat="false" ht="11.25" hidden="false" customHeight="true" outlineLevel="0" collapsed="false">
      <c r="A253" s="14" t="n">
        <v>252</v>
      </c>
      <c r="B253" s="15" t="n">
        <v>46158.1187463542</v>
      </c>
      <c r="C253" s="15" t="n">
        <v>46158.1368829282</v>
      </c>
      <c r="D253" s="14" t="s">
        <v>1759</v>
      </c>
      <c r="E253" s="14" t="s">
        <v>1760</v>
      </c>
      <c r="F253" s="14" t="s">
        <v>1760</v>
      </c>
      <c r="G253" s="14" t="s">
        <v>1761</v>
      </c>
      <c r="H253" s="15" t="n">
        <v>46152</v>
      </c>
      <c r="I253" s="15" t="s">
        <v>781</v>
      </c>
      <c r="J253" s="14" t="s">
        <v>295</v>
      </c>
      <c r="K253" s="14" t="s">
        <v>1762</v>
      </c>
      <c r="L253" s="14" t="s">
        <v>346</v>
      </c>
      <c r="M253" s="14" t="s">
        <v>111</v>
      </c>
      <c r="N253" s="14" t="s">
        <v>112</v>
      </c>
      <c r="O253" s="14" t="s">
        <v>113</v>
      </c>
      <c r="P253" s="14" t="s">
        <v>234</v>
      </c>
      <c r="Q253" s="14" t="s">
        <v>893</v>
      </c>
      <c r="R253" s="14"/>
      <c r="S253" s="14"/>
      <c r="T253" s="14"/>
      <c r="U253" s="14" t="s">
        <v>22</v>
      </c>
      <c r="V253" s="14"/>
      <c r="W253" s="14" t="s">
        <v>298</v>
      </c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 t="s">
        <v>1763</v>
      </c>
      <c r="AW253" s="14" t="s">
        <v>1022</v>
      </c>
      <c r="AX253" s="14" t="s">
        <v>1764</v>
      </c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  <c r="BS253" s="14"/>
      <c r="BT253" s="14"/>
      <c r="BU253" s="14"/>
      <c r="BV253" s="14"/>
      <c r="BW253" s="14"/>
      <c r="BX253" s="14"/>
      <c r="BY253" s="14"/>
      <c r="BZ253" s="14"/>
      <c r="CA253" s="14"/>
      <c r="CB253" s="14"/>
      <c r="CC253" s="14"/>
      <c r="CD253" s="14"/>
      <c r="CE253" s="14"/>
      <c r="CF253" s="14"/>
      <c r="CG253" s="14"/>
      <c r="CH253" s="14"/>
      <c r="CI253" s="14"/>
      <c r="CJ253" s="14"/>
      <c r="CK253" s="14"/>
      <c r="CL253" s="14"/>
      <c r="CR253" s="1" t="s">
        <v>120</v>
      </c>
      <c r="CS253" s="1" t="s">
        <v>352</v>
      </c>
      <c r="CT253" s="14" t="s">
        <v>122</v>
      </c>
      <c r="CU253" s="1" t="s">
        <v>123</v>
      </c>
      <c r="CV253" s="1" t="s">
        <v>139</v>
      </c>
      <c r="CW253" s="3"/>
      <c r="DG253" s="4"/>
    </row>
    <row r="254" customFormat="false" ht="11.25" hidden="false" customHeight="true" outlineLevel="0" collapsed="false">
      <c r="A254" s="14" t="n">
        <v>253</v>
      </c>
      <c r="B254" s="15" t="n">
        <v>46119.3857400579</v>
      </c>
      <c r="C254" s="15" t="n">
        <v>46119.3978812616</v>
      </c>
      <c r="D254" s="14" t="s">
        <v>1765</v>
      </c>
      <c r="E254" s="14" t="s">
        <v>1766</v>
      </c>
      <c r="F254" s="14" t="s">
        <v>1766</v>
      </c>
      <c r="G254" s="14" t="s">
        <v>1767</v>
      </c>
      <c r="H254" s="15" t="n">
        <v>46099</v>
      </c>
      <c r="I254" s="15" t="s">
        <v>244</v>
      </c>
      <c r="J254" s="14" t="s">
        <v>295</v>
      </c>
      <c r="K254" s="14" t="s">
        <v>257</v>
      </c>
      <c r="L254" s="14" t="s">
        <v>159</v>
      </c>
      <c r="M254" s="14" t="s">
        <v>131</v>
      </c>
      <c r="N254" s="14" t="s">
        <v>112</v>
      </c>
      <c r="O254" s="14" t="s">
        <v>113</v>
      </c>
      <c r="P254" s="14" t="s">
        <v>144</v>
      </c>
      <c r="Q254" s="14" t="s">
        <v>672</v>
      </c>
      <c r="R254" s="14"/>
      <c r="S254" s="14"/>
      <c r="T254" s="14"/>
      <c r="U254" s="14" t="s">
        <v>22</v>
      </c>
      <c r="V254" s="14"/>
      <c r="W254" s="14" t="s">
        <v>116</v>
      </c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  <c r="BP254" s="14"/>
      <c r="BQ254" s="14"/>
      <c r="BR254" s="14"/>
      <c r="BS254" s="14"/>
      <c r="BT254" s="14" t="s">
        <v>679</v>
      </c>
      <c r="BU254" s="14" t="s">
        <v>602</v>
      </c>
      <c r="BV254" s="14" t="s">
        <v>1168</v>
      </c>
      <c r="BW254" s="14"/>
      <c r="BX254" s="14"/>
      <c r="BY254" s="14"/>
      <c r="BZ254" s="14"/>
      <c r="CA254" s="14"/>
      <c r="CB254" s="14"/>
      <c r="CC254" s="14"/>
      <c r="CD254" s="14"/>
      <c r="CE254" s="14"/>
      <c r="CF254" s="14"/>
      <c r="CG254" s="14"/>
      <c r="CH254" s="14"/>
      <c r="CI254" s="14"/>
      <c r="CJ254" s="14"/>
      <c r="CK254" s="14"/>
      <c r="CL254" s="14"/>
      <c r="CR254" s="1" t="s">
        <v>152</v>
      </c>
      <c r="CS254" s="1" t="s">
        <v>121</v>
      </c>
      <c r="CT254" s="14" t="s">
        <v>122</v>
      </c>
      <c r="CU254" s="1" t="s">
        <v>167</v>
      </c>
      <c r="CV254" s="1" t="s">
        <v>139</v>
      </c>
      <c r="CW254" s="3"/>
      <c r="DG254" s="4"/>
    </row>
    <row r="255" customFormat="false" ht="11.25" hidden="false" customHeight="true" outlineLevel="0" collapsed="false">
      <c r="A255" s="14" t="n">
        <v>254</v>
      </c>
      <c r="B255" s="15" t="n">
        <v>46098.0347583565</v>
      </c>
      <c r="C255" s="15" t="n">
        <v>46098.0420615972</v>
      </c>
      <c r="D255" s="14" t="s">
        <v>1768</v>
      </c>
      <c r="E255" s="14" t="s">
        <v>1769</v>
      </c>
      <c r="F255" s="14" t="s">
        <v>1769</v>
      </c>
      <c r="G255" s="14" t="s">
        <v>1770</v>
      </c>
      <c r="H255" s="15" t="n">
        <v>46089</v>
      </c>
      <c r="I255" s="15" t="s">
        <v>107</v>
      </c>
      <c r="J255" s="14" t="s">
        <v>108</v>
      </c>
      <c r="K255" s="14" t="s">
        <v>1771</v>
      </c>
      <c r="L255" s="14" t="s">
        <v>159</v>
      </c>
      <c r="M255" s="14" t="s">
        <v>131</v>
      </c>
      <c r="N255" s="14" t="s">
        <v>112</v>
      </c>
      <c r="O255" s="14" t="s">
        <v>113</v>
      </c>
      <c r="P255" s="14" t="s">
        <v>612</v>
      </c>
      <c r="Q255" s="14" t="s">
        <v>1028</v>
      </c>
      <c r="R255" s="14"/>
      <c r="S255" s="14"/>
      <c r="T255" s="14"/>
      <c r="U255" s="14" t="s">
        <v>22</v>
      </c>
      <c r="V255" s="14"/>
      <c r="W255" s="14" t="s">
        <v>381</v>
      </c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 t="s">
        <v>463</v>
      </c>
      <c r="BR255" s="14" t="s">
        <v>1772</v>
      </c>
      <c r="BS255" s="14" t="s">
        <v>1197</v>
      </c>
      <c r="BT255" s="14"/>
      <c r="BU255" s="14"/>
      <c r="BV255" s="14"/>
      <c r="BW255" s="14"/>
      <c r="BX255" s="14"/>
      <c r="BY255" s="14"/>
      <c r="BZ255" s="14"/>
      <c r="CA255" s="14"/>
      <c r="CB255" s="14"/>
      <c r="CC255" s="14"/>
      <c r="CD255" s="14"/>
      <c r="CE255" s="14"/>
      <c r="CF255" s="14"/>
      <c r="CG255" s="14"/>
      <c r="CH255" s="14"/>
      <c r="CI255" s="14"/>
      <c r="CJ255" s="14"/>
      <c r="CK255" s="14"/>
      <c r="CL255" s="14"/>
      <c r="CR255" s="1" t="s">
        <v>120</v>
      </c>
      <c r="CS255" s="1" t="s">
        <v>180</v>
      </c>
      <c r="CT255" s="14" t="s">
        <v>1773</v>
      </c>
      <c r="CU255" s="1" t="s">
        <v>123</v>
      </c>
      <c r="CV255" s="1" t="s">
        <v>124</v>
      </c>
      <c r="CW255" s="3" t="s">
        <v>1175</v>
      </c>
      <c r="DG255" s="4"/>
    </row>
    <row r="256" customFormat="false" ht="11.25" hidden="false" customHeight="true" outlineLevel="0" collapsed="false">
      <c r="A256" s="14" t="n">
        <v>255</v>
      </c>
      <c r="B256" s="15" t="n">
        <v>46044.1818359722</v>
      </c>
      <c r="C256" s="15" t="n">
        <v>46044.1996600463</v>
      </c>
      <c r="D256" s="14" t="s">
        <v>1774</v>
      </c>
      <c r="E256" s="14" t="s">
        <v>1775</v>
      </c>
      <c r="F256" s="14" t="s">
        <v>1775</v>
      </c>
      <c r="G256" s="14" t="s">
        <v>1776</v>
      </c>
      <c r="H256" s="15" t="n">
        <v>46043</v>
      </c>
      <c r="I256" s="15" t="s">
        <v>713</v>
      </c>
      <c r="J256" s="14" t="s">
        <v>108</v>
      </c>
      <c r="K256" s="14" t="s">
        <v>245</v>
      </c>
      <c r="L256" s="14" t="s">
        <v>110</v>
      </c>
      <c r="M256" s="14" t="s">
        <v>111</v>
      </c>
      <c r="N256" s="14" t="s">
        <v>112</v>
      </c>
      <c r="O256" s="14" t="s">
        <v>113</v>
      </c>
      <c r="P256" s="14" t="s">
        <v>543</v>
      </c>
      <c r="Q256" s="14" t="s">
        <v>1323</v>
      </c>
      <c r="R256" s="14"/>
      <c r="S256" s="14"/>
      <c r="T256" s="14"/>
      <c r="U256" s="14" t="s">
        <v>22</v>
      </c>
      <c r="V256" s="14"/>
      <c r="W256" s="14" t="s">
        <v>339</v>
      </c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  <c r="BJ256" s="14"/>
      <c r="BK256" s="14"/>
      <c r="BL256" s="14"/>
      <c r="BM256" s="14"/>
      <c r="BN256" s="14" t="s">
        <v>1307</v>
      </c>
      <c r="BO256" s="14" t="s">
        <v>1270</v>
      </c>
      <c r="BP256" s="14" t="s">
        <v>342</v>
      </c>
      <c r="BQ256" s="14"/>
      <c r="BR256" s="14"/>
      <c r="BS256" s="14"/>
      <c r="BT256" s="14"/>
      <c r="BU256" s="14"/>
      <c r="BV256" s="14"/>
      <c r="BW256" s="14"/>
      <c r="BX256" s="14"/>
      <c r="BY256" s="14"/>
      <c r="BZ256" s="14"/>
      <c r="CA256" s="14"/>
      <c r="CB256" s="14"/>
      <c r="CC256" s="14"/>
      <c r="CD256" s="14"/>
      <c r="CE256" s="14"/>
      <c r="CF256" s="14"/>
      <c r="CG256" s="14"/>
      <c r="CH256" s="14"/>
      <c r="CI256" s="14"/>
      <c r="CJ256" s="14"/>
      <c r="CK256" s="14"/>
      <c r="CL256" s="14"/>
      <c r="CR256" s="1" t="s">
        <v>120</v>
      </c>
      <c r="CS256" s="1" t="s">
        <v>180</v>
      </c>
      <c r="CT256" s="14" t="s">
        <v>122</v>
      </c>
      <c r="CU256" s="1" t="s">
        <v>192</v>
      </c>
      <c r="CV256" s="1" t="s">
        <v>124</v>
      </c>
      <c r="CW256" s="3"/>
      <c r="DG256" s="4"/>
    </row>
    <row r="257" customFormat="false" ht="11.25" hidden="false" customHeight="true" outlineLevel="0" collapsed="false">
      <c r="A257" s="14" t="n">
        <v>256</v>
      </c>
      <c r="B257" s="15" t="n">
        <v>46146.0495949421</v>
      </c>
      <c r="C257" s="15" t="n">
        <v>46146.0650810532</v>
      </c>
      <c r="D257" s="14" t="s">
        <v>1777</v>
      </c>
      <c r="E257" s="14" t="s">
        <v>1778</v>
      </c>
      <c r="F257" s="14" t="s">
        <v>1779</v>
      </c>
      <c r="G257" s="14" t="s">
        <v>1780</v>
      </c>
      <c r="H257" s="15" t="n">
        <v>46140</v>
      </c>
      <c r="I257" s="15" t="s">
        <v>713</v>
      </c>
      <c r="J257" s="14" t="s">
        <v>108</v>
      </c>
      <c r="K257" s="14" t="s">
        <v>257</v>
      </c>
      <c r="L257" s="14" t="s">
        <v>159</v>
      </c>
      <c r="M257" s="14" t="s">
        <v>111</v>
      </c>
      <c r="N257" s="14" t="s">
        <v>112</v>
      </c>
      <c r="O257" s="14" t="s">
        <v>113</v>
      </c>
      <c r="P257" s="14" t="s">
        <v>1313</v>
      </c>
      <c r="Q257" s="14" t="s">
        <v>1781</v>
      </c>
      <c r="R257" s="14"/>
      <c r="S257" s="14"/>
      <c r="T257" s="14"/>
      <c r="U257" s="14" t="s">
        <v>21</v>
      </c>
      <c r="V257" s="14" t="s">
        <v>348</v>
      </c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 t="s">
        <v>1782</v>
      </c>
      <c r="BC257" s="14" t="s">
        <v>350</v>
      </c>
      <c r="BD257" s="14" t="s">
        <v>1783</v>
      </c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  <c r="CB257" s="14"/>
      <c r="CC257" s="14"/>
      <c r="CD257" s="14"/>
      <c r="CE257" s="14"/>
      <c r="CF257" s="14"/>
      <c r="CG257" s="14"/>
      <c r="CH257" s="14"/>
      <c r="CI257" s="14"/>
      <c r="CJ257" s="14"/>
      <c r="CK257" s="14"/>
      <c r="CL257" s="14"/>
      <c r="CR257" s="1" t="s">
        <v>152</v>
      </c>
      <c r="CS257" s="1" t="s">
        <v>180</v>
      </c>
      <c r="CT257" s="14" t="s">
        <v>122</v>
      </c>
      <c r="CU257" s="1" t="s">
        <v>192</v>
      </c>
      <c r="CV257" s="1" t="s">
        <v>124</v>
      </c>
      <c r="CW257" s="3"/>
      <c r="DG257" s="4"/>
    </row>
    <row r="258" customFormat="false" ht="11.25" hidden="false" customHeight="true" outlineLevel="0" collapsed="false">
      <c r="A258" s="14" t="n">
        <v>257</v>
      </c>
      <c r="B258" s="15" t="n">
        <v>46144.2239287269</v>
      </c>
      <c r="C258" s="15" t="n">
        <v>46144.2385699306</v>
      </c>
      <c r="D258" s="14" t="s">
        <v>1784</v>
      </c>
      <c r="E258" s="14" t="s">
        <v>1785</v>
      </c>
      <c r="F258" s="14" t="s">
        <v>1785</v>
      </c>
      <c r="G258" s="14" t="s">
        <v>1786</v>
      </c>
      <c r="H258" s="15" t="n">
        <v>46138</v>
      </c>
      <c r="I258" s="15" t="s">
        <v>405</v>
      </c>
      <c r="J258" s="14" t="s">
        <v>295</v>
      </c>
      <c r="K258" s="14" t="s">
        <v>1787</v>
      </c>
      <c r="L258" s="14" t="s">
        <v>110</v>
      </c>
      <c r="M258" s="14" t="s">
        <v>111</v>
      </c>
      <c r="N258" s="14" t="s">
        <v>112</v>
      </c>
      <c r="O258" s="14" t="s">
        <v>113</v>
      </c>
      <c r="P258" s="14" t="s">
        <v>160</v>
      </c>
      <c r="Q258" s="14" t="s">
        <v>469</v>
      </c>
      <c r="R258" s="14"/>
      <c r="S258" s="14"/>
      <c r="T258" s="14"/>
      <c r="U258" s="14" t="s">
        <v>22</v>
      </c>
      <c r="V258" s="14"/>
      <c r="W258" s="14" t="s">
        <v>271</v>
      </c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4"/>
      <c r="BK258" s="14" t="s">
        <v>1788</v>
      </c>
      <c r="BL258" s="14" t="s">
        <v>1180</v>
      </c>
      <c r="BM258" s="14" t="s">
        <v>274</v>
      </c>
      <c r="BN258" s="14"/>
      <c r="BO258" s="14"/>
      <c r="BP258" s="14"/>
      <c r="BQ258" s="14"/>
      <c r="BR258" s="14"/>
      <c r="BS258" s="14"/>
      <c r="BT258" s="14"/>
      <c r="BU258" s="14"/>
      <c r="BV258" s="14"/>
      <c r="BW258" s="14"/>
      <c r="BX258" s="14"/>
      <c r="BY258" s="14"/>
      <c r="BZ258" s="14"/>
      <c r="CA258" s="14"/>
      <c r="CB258" s="14"/>
      <c r="CC258" s="14"/>
      <c r="CD258" s="14"/>
      <c r="CE258" s="14"/>
      <c r="CF258" s="14"/>
      <c r="CG258" s="14"/>
      <c r="CH258" s="14"/>
      <c r="CI258" s="14"/>
      <c r="CJ258" s="14"/>
      <c r="CK258" s="14"/>
      <c r="CL258" s="14"/>
      <c r="CR258" s="1" t="s">
        <v>152</v>
      </c>
      <c r="CS258" s="1" t="s">
        <v>121</v>
      </c>
      <c r="CT258" s="14"/>
      <c r="CU258" s="1" t="s">
        <v>192</v>
      </c>
      <c r="CV258" s="1" t="s">
        <v>124</v>
      </c>
      <c r="CW258" s="3"/>
      <c r="DG258" s="4"/>
    </row>
    <row r="259" customFormat="false" ht="11.25" hidden="false" customHeight="true" outlineLevel="0" collapsed="false">
      <c r="A259" s="14" t="n">
        <v>258</v>
      </c>
      <c r="B259" s="15" t="n">
        <v>46213.1032801505</v>
      </c>
      <c r="C259" s="15" t="n">
        <v>46213.1222037616</v>
      </c>
      <c r="D259" s="14" t="s">
        <v>1789</v>
      </c>
      <c r="E259" s="14" t="s">
        <v>1790</v>
      </c>
      <c r="F259" s="14" t="s">
        <v>1790</v>
      </c>
      <c r="G259" s="14" t="s">
        <v>1791</v>
      </c>
      <c r="H259" s="15" t="n">
        <v>46208</v>
      </c>
      <c r="I259" s="15" t="s">
        <v>278</v>
      </c>
      <c r="J259" s="14" t="s">
        <v>108</v>
      </c>
      <c r="K259" s="14" t="s">
        <v>1792</v>
      </c>
      <c r="L259" s="14" t="s">
        <v>491</v>
      </c>
      <c r="M259" s="14" t="s">
        <v>111</v>
      </c>
      <c r="N259" s="14" t="s">
        <v>112</v>
      </c>
      <c r="O259" s="14" t="s">
        <v>113</v>
      </c>
      <c r="P259" s="14" t="s">
        <v>797</v>
      </c>
      <c r="Q259" s="14" t="s">
        <v>1622</v>
      </c>
      <c r="R259" s="14"/>
      <c r="S259" s="14"/>
      <c r="T259" s="14"/>
      <c r="U259" s="14" t="s">
        <v>22</v>
      </c>
      <c r="V259" s="14"/>
      <c r="W259" s="14" t="s">
        <v>271</v>
      </c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 t="s">
        <v>1179</v>
      </c>
      <c r="BL259" s="14" t="s">
        <v>1121</v>
      </c>
      <c r="BM259" s="14" t="s">
        <v>319</v>
      </c>
      <c r="BN259" s="14"/>
      <c r="BO259" s="14"/>
      <c r="BP259" s="14"/>
      <c r="BQ259" s="14"/>
      <c r="BR259" s="14"/>
      <c r="BS259" s="14"/>
      <c r="BT259" s="14"/>
      <c r="BU259" s="14"/>
      <c r="BV259" s="14"/>
      <c r="BW259" s="14"/>
      <c r="BX259" s="14"/>
      <c r="BY259" s="14"/>
      <c r="BZ259" s="14"/>
      <c r="CA259" s="14"/>
      <c r="CB259" s="14"/>
      <c r="CC259" s="14"/>
      <c r="CD259" s="14"/>
      <c r="CE259" s="14"/>
      <c r="CF259" s="14"/>
      <c r="CG259" s="14"/>
      <c r="CH259" s="14"/>
      <c r="CI259" s="14"/>
      <c r="CJ259" s="14"/>
      <c r="CK259" s="14"/>
      <c r="CL259" s="14"/>
      <c r="CR259" s="1" t="s">
        <v>120</v>
      </c>
      <c r="CS259" s="1" t="s">
        <v>352</v>
      </c>
      <c r="CT259" s="14" t="s">
        <v>122</v>
      </c>
      <c r="CU259" s="1" t="s">
        <v>123</v>
      </c>
      <c r="CV259" s="1" t="s">
        <v>124</v>
      </c>
      <c r="CW259" s="3"/>
      <c r="DG259" s="4"/>
    </row>
    <row r="260" customFormat="false" ht="11.25" hidden="false" customHeight="true" outlineLevel="0" collapsed="false">
      <c r="A260" s="14" t="n">
        <v>259</v>
      </c>
      <c r="B260" s="15" t="n">
        <v>46162.9533773611</v>
      </c>
      <c r="C260" s="15" t="n">
        <v>46162.9708194907</v>
      </c>
      <c r="D260" s="14" t="s">
        <v>1793</v>
      </c>
      <c r="E260" s="14" t="s">
        <v>1794</v>
      </c>
      <c r="F260" s="14" t="s">
        <v>1794</v>
      </c>
      <c r="G260" s="14" t="s">
        <v>1795</v>
      </c>
      <c r="H260" s="15" t="n">
        <v>46159</v>
      </c>
      <c r="I260" s="15" t="s">
        <v>172</v>
      </c>
      <c r="J260" s="14" t="s">
        <v>108</v>
      </c>
      <c r="K260" s="14" t="s">
        <v>257</v>
      </c>
      <c r="L260" s="14" t="s">
        <v>491</v>
      </c>
      <c r="M260" s="14" t="s">
        <v>111</v>
      </c>
      <c r="N260" s="14" t="s">
        <v>247</v>
      </c>
      <c r="O260" s="14" t="s">
        <v>1333</v>
      </c>
      <c r="P260" s="14" t="s">
        <v>515</v>
      </c>
      <c r="Q260" s="14" t="s">
        <v>270</v>
      </c>
      <c r="R260" s="14"/>
      <c r="S260" s="14"/>
      <c r="T260" s="14"/>
      <c r="U260" s="14" t="s">
        <v>24</v>
      </c>
      <c r="V260" s="14"/>
      <c r="W260" s="14"/>
      <c r="X260" s="14"/>
      <c r="Y260" s="14" t="s">
        <v>260</v>
      </c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  <c r="BP260" s="14"/>
      <c r="BQ260" s="14"/>
      <c r="BR260" s="14"/>
      <c r="BS260" s="14"/>
      <c r="BT260" s="14"/>
      <c r="BU260" s="14"/>
      <c r="BV260" s="14"/>
      <c r="BW260" s="14"/>
      <c r="BX260" s="14"/>
      <c r="BY260" s="14"/>
      <c r="BZ260" s="14"/>
      <c r="CA260" s="14"/>
      <c r="CB260" s="14"/>
      <c r="CC260" s="14"/>
      <c r="CD260" s="14"/>
      <c r="CE260" s="14"/>
      <c r="CF260" s="14" t="s">
        <v>1796</v>
      </c>
      <c r="CG260" s="14" t="s">
        <v>262</v>
      </c>
      <c r="CH260" s="14" t="s">
        <v>1134</v>
      </c>
      <c r="CI260" s="14"/>
      <c r="CJ260" s="14"/>
      <c r="CK260" s="14"/>
      <c r="CL260" s="14"/>
      <c r="CR260" s="1" t="s">
        <v>120</v>
      </c>
      <c r="CS260" s="1" t="s">
        <v>121</v>
      </c>
      <c r="CT260" s="14" t="s">
        <v>122</v>
      </c>
      <c r="CU260" s="1" t="s">
        <v>167</v>
      </c>
      <c r="CV260" s="1" t="s">
        <v>168</v>
      </c>
      <c r="CW260" s="3"/>
      <c r="DG260" s="4"/>
    </row>
    <row r="261" customFormat="false" ht="11.25" hidden="false" customHeight="true" outlineLevel="0" collapsed="false">
      <c r="A261" s="14" t="n">
        <v>260</v>
      </c>
      <c r="B261" s="15" t="n">
        <v>46101.851207662</v>
      </c>
      <c r="C261" s="15" t="n">
        <v>46101.8561150694</v>
      </c>
      <c r="D261" s="14" t="s">
        <v>1797</v>
      </c>
      <c r="E261" s="14" t="s">
        <v>1798</v>
      </c>
      <c r="F261" s="14" t="s">
        <v>1798</v>
      </c>
      <c r="G261" s="14" t="s">
        <v>1799</v>
      </c>
      <c r="H261" s="15" t="n">
        <v>46081</v>
      </c>
      <c r="I261" s="15" t="s">
        <v>278</v>
      </c>
      <c r="J261" s="14" t="s">
        <v>128</v>
      </c>
      <c r="K261" s="14" t="s">
        <v>196</v>
      </c>
      <c r="L261" s="14" t="s">
        <v>286</v>
      </c>
      <c r="M261" s="14" t="s">
        <v>111</v>
      </c>
      <c r="N261" s="14" t="s">
        <v>145</v>
      </c>
      <c r="O261" s="14" t="s">
        <v>325</v>
      </c>
      <c r="P261" s="14" t="s">
        <v>515</v>
      </c>
      <c r="Q261" s="14" t="s">
        <v>407</v>
      </c>
      <c r="R261" s="14"/>
      <c r="S261" s="14"/>
      <c r="T261" s="14"/>
      <c r="U261" s="14" t="s">
        <v>22</v>
      </c>
      <c r="V261" s="14"/>
      <c r="W261" s="14" t="s">
        <v>339</v>
      </c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 t="s">
        <v>1800</v>
      </c>
      <c r="BO261" s="14" t="s">
        <v>1173</v>
      </c>
      <c r="BP261" s="14" t="s">
        <v>1801</v>
      </c>
      <c r="BQ261" s="14"/>
      <c r="BR261" s="14"/>
      <c r="BS261" s="14"/>
      <c r="BT261" s="14"/>
      <c r="BU261" s="14"/>
      <c r="BV261" s="14"/>
      <c r="BW261" s="14"/>
      <c r="BX261" s="14"/>
      <c r="BY261" s="14"/>
      <c r="BZ261" s="14"/>
      <c r="CA261" s="14"/>
      <c r="CB261" s="14"/>
      <c r="CC261" s="14"/>
      <c r="CD261" s="14"/>
      <c r="CE261" s="14"/>
      <c r="CF261" s="14"/>
      <c r="CG261" s="14"/>
      <c r="CH261" s="14"/>
      <c r="CI261" s="14"/>
      <c r="CJ261" s="14"/>
      <c r="CK261" s="14"/>
      <c r="CL261" s="14"/>
      <c r="CR261" s="1" t="s">
        <v>120</v>
      </c>
      <c r="CS261" s="1" t="s">
        <v>121</v>
      </c>
      <c r="CT261" s="14"/>
      <c r="CU261" s="1" t="s">
        <v>167</v>
      </c>
      <c r="CV261" s="1" t="s">
        <v>124</v>
      </c>
      <c r="CW261" s="3"/>
      <c r="DG261" s="4"/>
    </row>
    <row r="262" customFormat="false" ht="11.25" hidden="false" customHeight="true" outlineLevel="0" collapsed="false">
      <c r="A262" s="14" t="n">
        <v>261</v>
      </c>
      <c r="B262" s="15" t="n">
        <v>46175.1535770949</v>
      </c>
      <c r="C262" s="15" t="n">
        <v>46175.1605215394</v>
      </c>
      <c r="D262" s="14" t="s">
        <v>1802</v>
      </c>
      <c r="E262" s="14" t="s">
        <v>1803</v>
      </c>
      <c r="F262" s="14" t="s">
        <v>1803</v>
      </c>
      <c r="G262" s="14" t="s">
        <v>1804</v>
      </c>
      <c r="H262" s="15" t="n">
        <v>46162</v>
      </c>
      <c r="I262" s="15" t="s">
        <v>157</v>
      </c>
      <c r="J262" s="14" t="s">
        <v>108</v>
      </c>
      <c r="K262" s="14" t="s">
        <v>257</v>
      </c>
      <c r="L262" s="14" t="s">
        <v>346</v>
      </c>
      <c r="M262" s="14" t="s">
        <v>111</v>
      </c>
      <c r="N262" s="14" t="s">
        <v>112</v>
      </c>
      <c r="O262" s="14" t="s">
        <v>113</v>
      </c>
      <c r="P262" s="14" t="s">
        <v>130</v>
      </c>
      <c r="Q262" s="14" t="s">
        <v>606</v>
      </c>
      <c r="R262" s="14"/>
      <c r="S262" s="14"/>
      <c r="T262" s="14"/>
      <c r="U262" s="14" t="s">
        <v>22</v>
      </c>
      <c r="V262" s="14"/>
      <c r="W262" s="14" t="s">
        <v>135</v>
      </c>
      <c r="X262" s="14"/>
      <c r="Y262" s="14"/>
      <c r="Z262" s="14"/>
      <c r="AA262" s="14" t="s">
        <v>1805</v>
      </c>
      <c r="AB262" s="14" t="s">
        <v>1806</v>
      </c>
      <c r="AC262" s="14" t="s">
        <v>1807</v>
      </c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  <c r="BP262" s="14"/>
      <c r="BQ262" s="14"/>
      <c r="BR262" s="14"/>
      <c r="BS262" s="14"/>
      <c r="BT262" s="14"/>
      <c r="BU262" s="14"/>
      <c r="BV262" s="14"/>
      <c r="BW262" s="14"/>
      <c r="BX262" s="14"/>
      <c r="BY262" s="14"/>
      <c r="BZ262" s="14"/>
      <c r="CA262" s="14"/>
      <c r="CB262" s="14"/>
      <c r="CC262" s="14"/>
      <c r="CD262" s="14"/>
      <c r="CE262" s="14"/>
      <c r="CF262" s="14"/>
      <c r="CG262" s="14"/>
      <c r="CH262" s="14"/>
      <c r="CI262" s="14"/>
      <c r="CJ262" s="14"/>
      <c r="CK262" s="14"/>
      <c r="CL262" s="14"/>
      <c r="CR262" s="1" t="s">
        <v>152</v>
      </c>
      <c r="CS262" s="1" t="s">
        <v>121</v>
      </c>
      <c r="CT262" s="14"/>
      <c r="CU262" s="1" t="s">
        <v>123</v>
      </c>
      <c r="CV262" s="1" t="s">
        <v>124</v>
      </c>
      <c r="CW262" s="3"/>
      <c r="DG262" s="4"/>
    </row>
    <row r="263" customFormat="false" ht="11.25" hidden="false" customHeight="true" outlineLevel="0" collapsed="false">
      <c r="A263" s="14" t="n">
        <v>262</v>
      </c>
      <c r="B263" s="15" t="n">
        <v>46093.9734205093</v>
      </c>
      <c r="C263" s="15" t="n">
        <v>46093.9866959722</v>
      </c>
      <c r="D263" s="14" t="s">
        <v>1808</v>
      </c>
      <c r="E263" s="14" t="s">
        <v>1809</v>
      </c>
      <c r="F263" s="14" t="s">
        <v>1809</v>
      </c>
      <c r="G263" s="14" t="s">
        <v>1810</v>
      </c>
      <c r="H263" s="15" t="n">
        <v>46091</v>
      </c>
      <c r="I263" s="15" t="s">
        <v>278</v>
      </c>
      <c r="J263" s="14" t="s">
        <v>128</v>
      </c>
      <c r="K263" s="14" t="s">
        <v>1811</v>
      </c>
      <c r="L263" s="14" t="s">
        <v>110</v>
      </c>
      <c r="M263" s="14" t="s">
        <v>111</v>
      </c>
      <c r="N263" s="14" t="s">
        <v>112</v>
      </c>
      <c r="O263" s="14" t="s">
        <v>113</v>
      </c>
      <c r="P263" s="14" t="s">
        <v>594</v>
      </c>
      <c r="Q263" s="14" t="s">
        <v>905</v>
      </c>
      <c r="R263" s="14"/>
      <c r="S263" s="14"/>
      <c r="T263" s="14"/>
      <c r="U263" s="14" t="s">
        <v>22</v>
      </c>
      <c r="V263" s="14"/>
      <c r="W263" s="14" t="s">
        <v>715</v>
      </c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 t="s">
        <v>730</v>
      </c>
      <c r="BI263" s="14" t="s">
        <v>992</v>
      </c>
      <c r="BJ263" s="14" t="s">
        <v>1812</v>
      </c>
      <c r="BK263" s="14"/>
      <c r="BL263" s="14"/>
      <c r="BM263" s="14"/>
      <c r="BN263" s="1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14"/>
      <c r="BZ263" s="14"/>
      <c r="CA263" s="14"/>
      <c r="CB263" s="14"/>
      <c r="CC263" s="14"/>
      <c r="CD263" s="14"/>
      <c r="CE263" s="14"/>
      <c r="CF263" s="14"/>
      <c r="CG263" s="14"/>
      <c r="CH263" s="14"/>
      <c r="CI263" s="14"/>
      <c r="CJ263" s="14"/>
      <c r="CK263" s="14"/>
      <c r="CL263" s="14"/>
      <c r="CR263" s="1" t="s">
        <v>152</v>
      </c>
      <c r="CS263" s="1" t="s">
        <v>121</v>
      </c>
      <c r="CT263" s="14" t="s">
        <v>1813</v>
      </c>
      <c r="CU263" s="1" t="s">
        <v>167</v>
      </c>
      <c r="CV263" s="1" t="s">
        <v>168</v>
      </c>
      <c r="CW263" s="3"/>
      <c r="CY263" s="3" t="s">
        <v>205</v>
      </c>
      <c r="DG263" s="4"/>
    </row>
    <row r="264" customFormat="false" ht="11.25" hidden="false" customHeight="true" outlineLevel="0" collapsed="false">
      <c r="A264" s="14" t="n">
        <v>263</v>
      </c>
      <c r="B264" s="15" t="n">
        <v>46048.6740066435</v>
      </c>
      <c r="C264" s="15" t="n">
        <v>46048.678925625</v>
      </c>
      <c r="D264" s="14" t="s">
        <v>1814</v>
      </c>
      <c r="E264" s="14" t="s">
        <v>1815</v>
      </c>
      <c r="F264" s="14" t="s">
        <v>1815</v>
      </c>
      <c r="G264" s="14" t="s">
        <v>1816</v>
      </c>
      <c r="H264" s="15" t="n">
        <v>46042</v>
      </c>
      <c r="I264" s="15" t="s">
        <v>172</v>
      </c>
      <c r="J264" s="14" t="s">
        <v>108</v>
      </c>
      <c r="K264" s="14" t="s">
        <v>196</v>
      </c>
      <c r="L264" s="14" t="s">
        <v>296</v>
      </c>
      <c r="M264" s="14" t="s">
        <v>111</v>
      </c>
      <c r="N264" s="14" t="s">
        <v>112</v>
      </c>
      <c r="O264" s="14" t="s">
        <v>132</v>
      </c>
      <c r="P264" s="14" t="s">
        <v>1074</v>
      </c>
      <c r="Q264" s="14" t="s">
        <v>552</v>
      </c>
      <c r="R264" s="14"/>
      <c r="S264" s="14"/>
      <c r="T264" s="14"/>
      <c r="U264" s="14" t="s">
        <v>24</v>
      </c>
      <c r="V264" s="14"/>
      <c r="W264" s="14"/>
      <c r="X264" s="14"/>
      <c r="Y264" s="14" t="s">
        <v>214</v>
      </c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  <c r="BS264" s="14"/>
      <c r="BT264" s="14"/>
      <c r="BU264" s="14"/>
      <c r="BV264" s="14"/>
      <c r="BW264" s="14"/>
      <c r="BX264" s="14"/>
      <c r="BY264" s="14"/>
      <c r="BZ264" s="14"/>
      <c r="CA264" s="14"/>
      <c r="CB264" s="14"/>
      <c r="CC264" s="14" t="s">
        <v>886</v>
      </c>
      <c r="CD264" s="14" t="s">
        <v>608</v>
      </c>
      <c r="CE264" s="14" t="s">
        <v>1817</v>
      </c>
      <c r="CF264" s="14"/>
      <c r="CG264" s="14"/>
      <c r="CH264" s="14"/>
      <c r="CI264" s="14"/>
      <c r="CJ264" s="14"/>
      <c r="CK264" s="14"/>
      <c r="CL264" s="14"/>
      <c r="CR264" s="1" t="s">
        <v>152</v>
      </c>
      <c r="CS264" s="1" t="s">
        <v>352</v>
      </c>
      <c r="CT264" s="14" t="s">
        <v>122</v>
      </c>
      <c r="CU264" s="1" t="s">
        <v>123</v>
      </c>
      <c r="CV264" s="1" t="s">
        <v>124</v>
      </c>
      <c r="CW264" s="3"/>
      <c r="DG264" s="4"/>
    </row>
    <row r="265" customFormat="false" ht="11.25" hidden="false" customHeight="true" outlineLevel="0" collapsed="false">
      <c r="A265" s="14" t="n">
        <v>264</v>
      </c>
      <c r="B265" s="15" t="n">
        <v>46210.4222304745</v>
      </c>
      <c r="C265" s="15" t="n">
        <v>46210.4399851042</v>
      </c>
      <c r="D265" s="14" t="s">
        <v>1818</v>
      </c>
      <c r="E265" s="14" t="s">
        <v>1819</v>
      </c>
      <c r="F265" s="14" t="s">
        <v>1819</v>
      </c>
      <c r="G265" s="14" t="s">
        <v>1820</v>
      </c>
      <c r="H265" s="15" t="n">
        <v>46192</v>
      </c>
      <c r="I265" s="15" t="s">
        <v>107</v>
      </c>
      <c r="J265" s="14" t="s">
        <v>295</v>
      </c>
      <c r="K265" s="14" t="s">
        <v>364</v>
      </c>
      <c r="L265" s="14" t="s">
        <v>144</v>
      </c>
      <c r="M265" s="14" t="s">
        <v>111</v>
      </c>
      <c r="N265" s="14" t="s">
        <v>145</v>
      </c>
      <c r="O265" s="14" t="s">
        <v>305</v>
      </c>
      <c r="P265" s="14" t="s">
        <v>133</v>
      </c>
      <c r="Q265" s="14" t="s">
        <v>1441</v>
      </c>
      <c r="R265" s="14"/>
      <c r="S265" s="14"/>
      <c r="T265" s="14"/>
      <c r="U265" s="14" t="s">
        <v>25</v>
      </c>
      <c r="V265" s="14"/>
      <c r="W265" s="14"/>
      <c r="X265" s="14"/>
      <c r="Y265" s="14"/>
      <c r="Z265" s="14" t="s">
        <v>327</v>
      </c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14"/>
      <c r="BS265" s="14"/>
      <c r="BT265" s="14"/>
      <c r="BU265" s="14"/>
      <c r="BV265" s="14"/>
      <c r="BW265" s="14"/>
      <c r="BX265" s="14"/>
      <c r="BY265" s="14"/>
      <c r="BZ265" s="14"/>
      <c r="CA265" s="14"/>
      <c r="CB265" s="14"/>
      <c r="CC265" s="14"/>
      <c r="CD265" s="14"/>
      <c r="CE265" s="14"/>
      <c r="CF265" s="14"/>
      <c r="CG265" s="14"/>
      <c r="CH265" s="14"/>
      <c r="CI265" s="14" t="s">
        <v>1513</v>
      </c>
      <c r="CJ265" s="14" t="s">
        <v>434</v>
      </c>
      <c r="CK265" s="14" t="s">
        <v>620</v>
      </c>
      <c r="CL265" s="14"/>
      <c r="CR265" s="1" t="s">
        <v>152</v>
      </c>
      <c r="CS265" s="1" t="s">
        <v>121</v>
      </c>
      <c r="CT265" s="14" t="s">
        <v>1821</v>
      </c>
      <c r="CU265" s="1" t="s">
        <v>123</v>
      </c>
      <c r="CV265" s="1" t="s">
        <v>124</v>
      </c>
      <c r="CW265" s="3"/>
      <c r="DG265" s="4"/>
    </row>
    <row r="266" customFormat="false" ht="11.25" hidden="false" customHeight="true" outlineLevel="0" collapsed="false">
      <c r="A266" s="14" t="n">
        <v>265</v>
      </c>
      <c r="B266" s="15" t="n">
        <v>46090.3031499769</v>
      </c>
      <c r="C266" s="15" t="n">
        <v>46090.3051638657</v>
      </c>
      <c r="D266" s="14" t="s">
        <v>1822</v>
      </c>
      <c r="E266" s="14" t="s">
        <v>1823</v>
      </c>
      <c r="F266" s="14" t="s">
        <v>1823</v>
      </c>
      <c r="G266" s="14" t="s">
        <v>1824</v>
      </c>
      <c r="H266" s="15" t="n">
        <v>46078</v>
      </c>
      <c r="I266" s="15" t="s">
        <v>107</v>
      </c>
      <c r="J266" s="14" t="s">
        <v>108</v>
      </c>
      <c r="K266" s="14" t="s">
        <v>462</v>
      </c>
      <c r="L266" s="14" t="s">
        <v>296</v>
      </c>
      <c r="M266" s="14" t="s">
        <v>111</v>
      </c>
      <c r="N266" s="14" t="s">
        <v>112</v>
      </c>
      <c r="O266" s="14" t="s">
        <v>113</v>
      </c>
      <c r="P266" s="14" t="s">
        <v>406</v>
      </c>
      <c r="Q266" s="14" t="s">
        <v>701</v>
      </c>
      <c r="R266" s="14"/>
      <c r="S266" s="14"/>
      <c r="T266" s="14"/>
      <c r="U266" s="14" t="s">
        <v>22</v>
      </c>
      <c r="V266" s="14"/>
      <c r="W266" s="14" t="s">
        <v>148</v>
      </c>
      <c r="X266" s="14"/>
      <c r="Y266" s="14"/>
      <c r="Z266" s="14"/>
      <c r="AA266" s="14"/>
      <c r="AB266" s="14"/>
      <c r="AC266" s="14"/>
      <c r="AD266" s="14" t="s">
        <v>149</v>
      </c>
      <c r="AE266" s="14" t="s">
        <v>1825</v>
      </c>
      <c r="AF266" s="14" t="s">
        <v>1826</v>
      </c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  <c r="BP266" s="14"/>
      <c r="BQ266" s="14"/>
      <c r="BR266" s="14"/>
      <c r="BS266" s="14"/>
      <c r="BT266" s="14"/>
      <c r="BU266" s="14"/>
      <c r="BV266" s="14"/>
      <c r="BW266" s="14"/>
      <c r="BX266" s="14"/>
      <c r="BY266" s="14"/>
      <c r="BZ266" s="14"/>
      <c r="CA266" s="14"/>
      <c r="CB266" s="14"/>
      <c r="CC266" s="14"/>
      <c r="CD266" s="14"/>
      <c r="CE266" s="14"/>
      <c r="CF266" s="14"/>
      <c r="CG266" s="14"/>
      <c r="CH266" s="14"/>
      <c r="CI266" s="14"/>
      <c r="CJ266" s="14"/>
      <c r="CK266" s="14"/>
      <c r="CL266" s="14"/>
      <c r="CR266" s="1" t="s">
        <v>120</v>
      </c>
      <c r="CS266" s="1" t="s">
        <v>121</v>
      </c>
      <c r="CT266" s="14" t="s">
        <v>1641</v>
      </c>
      <c r="CU266" s="1" t="s">
        <v>192</v>
      </c>
      <c r="CV266" s="1" t="s">
        <v>124</v>
      </c>
      <c r="CW266" s="3" t="s">
        <v>219</v>
      </c>
      <c r="DG266" s="4"/>
    </row>
    <row r="267" customFormat="false" ht="11.25" hidden="false" customHeight="true" outlineLevel="0" collapsed="false">
      <c r="A267" s="14" t="n">
        <v>266</v>
      </c>
      <c r="B267" s="15" t="n">
        <v>46156.107909213</v>
      </c>
      <c r="C267" s="15" t="n">
        <v>46156.1201661574</v>
      </c>
      <c r="D267" s="14" t="s">
        <v>1827</v>
      </c>
      <c r="E267" s="14" t="s">
        <v>1828</v>
      </c>
      <c r="F267" s="14" t="s">
        <v>1828</v>
      </c>
      <c r="G267" s="14" t="s">
        <v>1829</v>
      </c>
      <c r="H267" s="15" t="n">
        <v>46152</v>
      </c>
      <c r="I267" s="15" t="s">
        <v>172</v>
      </c>
      <c r="J267" s="14" t="s">
        <v>295</v>
      </c>
      <c r="K267" s="14" t="s">
        <v>143</v>
      </c>
      <c r="L267" s="14" t="s">
        <v>233</v>
      </c>
      <c r="M267" s="14" t="s">
        <v>111</v>
      </c>
      <c r="N267" s="14" t="s">
        <v>112</v>
      </c>
      <c r="O267" s="14" t="s">
        <v>113</v>
      </c>
      <c r="P267" s="14" t="s">
        <v>160</v>
      </c>
      <c r="Q267" s="14" t="s">
        <v>1628</v>
      </c>
      <c r="R267" s="14"/>
      <c r="S267" s="14"/>
      <c r="T267" s="14"/>
      <c r="U267" s="14" t="s">
        <v>21</v>
      </c>
      <c r="V267" s="14" t="s">
        <v>1830</v>
      </c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 t="s">
        <v>1831</v>
      </c>
      <c r="AH267" s="14" t="s">
        <v>1832</v>
      </c>
      <c r="AI267" s="14" t="s">
        <v>1833</v>
      </c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14"/>
      <c r="BS267" s="14"/>
      <c r="BT267" s="14"/>
      <c r="BU267" s="14"/>
      <c r="BV267" s="14"/>
      <c r="BW267" s="14"/>
      <c r="BX267" s="14"/>
      <c r="BY267" s="14"/>
      <c r="BZ267" s="14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R267" s="1" t="s">
        <v>152</v>
      </c>
      <c r="CS267" s="1" t="s">
        <v>264</v>
      </c>
      <c r="CT267" s="14" t="s">
        <v>1063</v>
      </c>
      <c r="CU267" s="1" t="s">
        <v>123</v>
      </c>
      <c r="CV267" s="1" t="s">
        <v>124</v>
      </c>
      <c r="CW267" s="3"/>
      <c r="DG267" s="4"/>
    </row>
    <row r="268" customFormat="false" ht="11.25" hidden="false" customHeight="true" outlineLevel="0" collapsed="false">
      <c r="A268" s="14" t="n">
        <v>267</v>
      </c>
      <c r="B268" s="15" t="n">
        <v>46099.8391280324</v>
      </c>
      <c r="C268" s="15" t="n">
        <v>46099.8415470139</v>
      </c>
      <c r="D268" s="14" t="s">
        <v>1834</v>
      </c>
      <c r="E268" s="14" t="s">
        <v>1835</v>
      </c>
      <c r="F268" s="14" t="s">
        <v>1835</v>
      </c>
      <c r="G268" s="14" t="s">
        <v>1836</v>
      </c>
      <c r="H268" s="15" t="n">
        <v>46094</v>
      </c>
      <c r="I268" s="15" t="s">
        <v>107</v>
      </c>
      <c r="J268" s="14" t="s">
        <v>108</v>
      </c>
      <c r="K268" s="14" t="s">
        <v>158</v>
      </c>
      <c r="L268" s="14" t="s">
        <v>110</v>
      </c>
      <c r="M268" s="14" t="s">
        <v>111</v>
      </c>
      <c r="N268" s="14" t="s">
        <v>145</v>
      </c>
      <c r="O268" s="14" t="s">
        <v>113</v>
      </c>
      <c r="P268" s="14" t="s">
        <v>973</v>
      </c>
      <c r="Q268" s="14" t="s">
        <v>701</v>
      </c>
      <c r="R268" s="14"/>
      <c r="S268" s="14"/>
      <c r="T268" s="14"/>
      <c r="U268" s="14" t="s">
        <v>25</v>
      </c>
      <c r="V268" s="14"/>
      <c r="W268" s="14"/>
      <c r="X268" s="14"/>
      <c r="Y268" s="14"/>
      <c r="Z268" s="14" t="s">
        <v>1712</v>
      </c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/>
      <c r="BI268" s="14"/>
      <c r="BJ268" s="14"/>
      <c r="BK268" s="14"/>
      <c r="BL268" s="14"/>
      <c r="BM268" s="14"/>
      <c r="BN268" s="14"/>
      <c r="BO268" s="14"/>
      <c r="BP268" s="14"/>
      <c r="BQ268" s="14"/>
      <c r="BR268" s="14"/>
      <c r="BS268" s="14"/>
      <c r="BT268" s="14"/>
      <c r="BU268" s="14"/>
      <c r="BV268" s="14"/>
      <c r="BW268" s="14"/>
      <c r="BX268" s="14"/>
      <c r="BY268" s="14"/>
      <c r="BZ268" s="14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O268" s="1" t="s">
        <v>1837</v>
      </c>
      <c r="CP268" s="1" t="s">
        <v>1838</v>
      </c>
      <c r="CQ268" s="1" t="s">
        <v>1743</v>
      </c>
      <c r="CR268" s="1" t="s">
        <v>152</v>
      </c>
      <c r="CS268" s="1" t="s">
        <v>121</v>
      </c>
      <c r="CT268" s="14"/>
      <c r="CU268" s="1" t="s">
        <v>192</v>
      </c>
      <c r="CV268" s="1" t="s">
        <v>124</v>
      </c>
      <c r="CW268" s="3"/>
      <c r="DG268" s="4"/>
    </row>
    <row r="269" customFormat="false" ht="11.25" hidden="false" customHeight="true" outlineLevel="0" collapsed="false">
      <c r="A269" s="14" t="n">
        <v>268</v>
      </c>
      <c r="B269" s="15" t="n">
        <v>46206.7666760764</v>
      </c>
      <c r="C269" s="15" t="n">
        <v>46206.7726714468</v>
      </c>
      <c r="D269" s="14" t="s">
        <v>1839</v>
      </c>
      <c r="E269" s="14" t="s">
        <v>1840</v>
      </c>
      <c r="F269" s="14" t="s">
        <v>1841</v>
      </c>
      <c r="G269" s="14" t="s">
        <v>1842</v>
      </c>
      <c r="H269" s="15" t="n">
        <v>46198</v>
      </c>
      <c r="I269" s="15" t="s">
        <v>107</v>
      </c>
      <c r="J269" s="14" t="s">
        <v>128</v>
      </c>
      <c r="K269" s="14" t="s">
        <v>196</v>
      </c>
      <c r="L269" s="14" t="s">
        <v>389</v>
      </c>
      <c r="M269" s="14" t="s">
        <v>111</v>
      </c>
      <c r="N269" s="14" t="s">
        <v>112</v>
      </c>
      <c r="O269" s="14" t="s">
        <v>113</v>
      </c>
      <c r="P269" s="14" t="s">
        <v>1380</v>
      </c>
      <c r="Q269" s="14" t="s">
        <v>1224</v>
      </c>
      <c r="R269" s="14"/>
      <c r="S269" s="14"/>
      <c r="T269" s="14"/>
      <c r="U269" s="14" t="s">
        <v>22</v>
      </c>
      <c r="V269" s="14"/>
      <c r="W269" s="14" t="s">
        <v>715</v>
      </c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 t="s">
        <v>1843</v>
      </c>
      <c r="BI269" s="14" t="s">
        <v>992</v>
      </c>
      <c r="BJ269" s="14" t="s">
        <v>1844</v>
      </c>
      <c r="BK269" s="14"/>
      <c r="BL269" s="14"/>
      <c r="BM269" s="14"/>
      <c r="BN269" s="14"/>
      <c r="BO269" s="14"/>
      <c r="BP269" s="14"/>
      <c r="BQ269" s="14"/>
      <c r="BR269" s="14"/>
      <c r="BS269" s="14"/>
      <c r="BT269" s="14"/>
      <c r="BU269" s="14"/>
      <c r="BV269" s="14"/>
      <c r="BW269" s="14"/>
      <c r="BX269" s="14"/>
      <c r="BY269" s="14"/>
      <c r="BZ269" s="14"/>
      <c r="CA269" s="14"/>
      <c r="CB269" s="14"/>
      <c r="CC269" s="14"/>
      <c r="CD269" s="14"/>
      <c r="CE269" s="14"/>
      <c r="CF269" s="14"/>
      <c r="CG269" s="14"/>
      <c r="CH269" s="14"/>
      <c r="CI269" s="14"/>
      <c r="CJ269" s="14"/>
      <c r="CK269" s="14"/>
      <c r="CL269" s="14"/>
      <c r="CR269" s="1" t="s">
        <v>152</v>
      </c>
      <c r="CS269" s="1" t="s">
        <v>121</v>
      </c>
      <c r="CT269" s="14"/>
      <c r="CU269" s="1" t="s">
        <v>192</v>
      </c>
      <c r="CV269" s="1" t="s">
        <v>124</v>
      </c>
      <c r="CW269" s="3"/>
      <c r="DG269" s="4"/>
    </row>
    <row r="270" customFormat="false" ht="11.25" hidden="false" customHeight="true" outlineLevel="0" collapsed="false">
      <c r="A270" s="14" t="n">
        <v>269</v>
      </c>
      <c r="B270" s="15" t="n">
        <v>46087.786238287</v>
      </c>
      <c r="C270" s="15" t="n">
        <v>46087.7884373611</v>
      </c>
      <c r="D270" s="14" t="s">
        <v>1845</v>
      </c>
      <c r="E270" s="14" t="s">
        <v>1846</v>
      </c>
      <c r="F270" s="14" t="s">
        <v>1846</v>
      </c>
      <c r="G270" s="14" t="s">
        <v>1847</v>
      </c>
      <c r="H270" s="15" t="n">
        <v>46073</v>
      </c>
      <c r="I270" s="15" t="s">
        <v>244</v>
      </c>
      <c r="J270" s="14" t="s">
        <v>295</v>
      </c>
      <c r="K270" s="14" t="s">
        <v>462</v>
      </c>
      <c r="L270" s="14" t="s">
        <v>210</v>
      </c>
      <c r="M270" s="14" t="s">
        <v>111</v>
      </c>
      <c r="N270" s="14" t="s">
        <v>112</v>
      </c>
      <c r="O270" s="14" t="s">
        <v>113</v>
      </c>
      <c r="P270" s="14" t="s">
        <v>686</v>
      </c>
      <c r="Q270" s="14" t="s">
        <v>552</v>
      </c>
      <c r="R270" s="14"/>
      <c r="S270" s="14"/>
      <c r="T270" s="14"/>
      <c r="U270" s="14" t="s">
        <v>22</v>
      </c>
      <c r="V270" s="14"/>
      <c r="W270" s="14" t="s">
        <v>176</v>
      </c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 t="s">
        <v>1545</v>
      </c>
      <c r="AZ270" s="14" t="s">
        <v>1848</v>
      </c>
      <c r="BA270" s="14" t="s">
        <v>1849</v>
      </c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  <c r="BP270" s="14"/>
      <c r="BQ270" s="14"/>
      <c r="BR270" s="14"/>
      <c r="BS270" s="14"/>
      <c r="BT270" s="14"/>
      <c r="BU270" s="14"/>
      <c r="BV270" s="14"/>
      <c r="BW270" s="14"/>
      <c r="BX270" s="14"/>
      <c r="BY270" s="14"/>
      <c r="BZ270" s="14"/>
      <c r="CA270" s="14"/>
      <c r="CB270" s="14"/>
      <c r="CC270" s="14"/>
      <c r="CD270" s="14"/>
      <c r="CE270" s="14"/>
      <c r="CF270" s="14"/>
      <c r="CG270" s="14"/>
      <c r="CH270" s="14"/>
      <c r="CI270" s="14"/>
      <c r="CJ270" s="14"/>
      <c r="CK270" s="14"/>
      <c r="CL270" s="14"/>
      <c r="CR270" s="1" t="s">
        <v>152</v>
      </c>
      <c r="CS270" s="1" t="s">
        <v>400</v>
      </c>
      <c r="CT270" s="14"/>
      <c r="CU270" s="1" t="s">
        <v>192</v>
      </c>
      <c r="CV270" s="1" t="s">
        <v>124</v>
      </c>
      <c r="CW270" s="3"/>
      <c r="DG270" s="4"/>
    </row>
    <row r="271" customFormat="false" ht="11.25" hidden="false" customHeight="true" outlineLevel="0" collapsed="false">
      <c r="A271" s="14" t="n">
        <v>270</v>
      </c>
      <c r="B271" s="15" t="n">
        <v>46186.2243346412</v>
      </c>
      <c r="C271" s="15" t="n">
        <v>46186.2296934375</v>
      </c>
      <c r="D271" s="14" t="s">
        <v>1850</v>
      </c>
      <c r="E271" s="14" t="s">
        <v>1851</v>
      </c>
      <c r="F271" s="14" t="s">
        <v>1851</v>
      </c>
      <c r="G271" s="14" t="s">
        <v>1852</v>
      </c>
      <c r="H271" s="15" t="n">
        <v>46173</v>
      </c>
      <c r="I271" s="15" t="s">
        <v>244</v>
      </c>
      <c r="J271" s="14" t="s">
        <v>295</v>
      </c>
      <c r="K271" s="14" t="s">
        <v>143</v>
      </c>
      <c r="L271" s="14" t="s">
        <v>286</v>
      </c>
      <c r="M271" s="14" t="s">
        <v>211</v>
      </c>
      <c r="N271" s="14" t="s">
        <v>112</v>
      </c>
      <c r="O271" s="14" t="s">
        <v>113</v>
      </c>
      <c r="P271" s="14" t="s">
        <v>114</v>
      </c>
      <c r="Q271" s="14" t="s">
        <v>625</v>
      </c>
      <c r="R271" s="14"/>
      <c r="S271" s="14"/>
      <c r="T271" s="14"/>
      <c r="U271" s="14" t="s">
        <v>21</v>
      </c>
      <c r="V271" s="14" t="s">
        <v>250</v>
      </c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 t="s">
        <v>162</v>
      </c>
      <c r="BF271" s="14" t="s">
        <v>163</v>
      </c>
      <c r="BG271" s="14" t="s">
        <v>1737</v>
      </c>
      <c r="BH271" s="14"/>
      <c r="BI271" s="14"/>
      <c r="BJ271" s="14"/>
      <c r="BK271" s="14"/>
      <c r="BL271" s="14"/>
      <c r="BM271" s="14"/>
      <c r="BN271" s="14"/>
      <c r="BO271" s="14"/>
      <c r="BP271" s="14"/>
      <c r="BQ271" s="14"/>
      <c r="BR271" s="14"/>
      <c r="BS271" s="14"/>
      <c r="BT271" s="14"/>
      <c r="BU271" s="14"/>
      <c r="BV271" s="14"/>
      <c r="BW271" s="14"/>
      <c r="BX271" s="14"/>
      <c r="BY271" s="14"/>
      <c r="BZ271" s="14"/>
      <c r="CA271" s="14"/>
      <c r="CB271" s="14"/>
      <c r="CC271" s="14"/>
      <c r="CD271" s="14"/>
      <c r="CE271" s="14"/>
      <c r="CF271" s="14"/>
      <c r="CG271" s="14"/>
      <c r="CH271" s="14"/>
      <c r="CI271" s="14"/>
      <c r="CJ271" s="14"/>
      <c r="CK271" s="14"/>
      <c r="CL271" s="14"/>
      <c r="CR271" s="1" t="s">
        <v>152</v>
      </c>
      <c r="CS271" s="1" t="s">
        <v>180</v>
      </c>
      <c r="CT271" s="14" t="s">
        <v>122</v>
      </c>
      <c r="CU271" s="1" t="s">
        <v>123</v>
      </c>
      <c r="CV271" s="1" t="s">
        <v>168</v>
      </c>
      <c r="CW271" s="3"/>
      <c r="DG271" s="4"/>
    </row>
    <row r="272" customFormat="false" ht="11.25" hidden="false" customHeight="true" outlineLevel="0" collapsed="false">
      <c r="A272" s="14" t="n">
        <v>271</v>
      </c>
      <c r="B272" s="15" t="n">
        <v>46142.8076843171</v>
      </c>
      <c r="C272" s="15" t="n">
        <v>46142.8114806134</v>
      </c>
      <c r="D272" s="14" t="s">
        <v>1853</v>
      </c>
      <c r="E272" s="14" t="s">
        <v>1854</v>
      </c>
      <c r="F272" s="14" t="s">
        <v>1854</v>
      </c>
      <c r="G272" s="14" t="s">
        <v>1855</v>
      </c>
      <c r="H272" s="15" t="n">
        <v>46124</v>
      </c>
      <c r="I272" s="15" t="s">
        <v>107</v>
      </c>
      <c r="J272" s="14" t="s">
        <v>128</v>
      </c>
      <c r="K272" s="14" t="s">
        <v>245</v>
      </c>
      <c r="L272" s="14" t="s">
        <v>431</v>
      </c>
      <c r="M272" s="14" t="s">
        <v>111</v>
      </c>
      <c r="N272" s="14" t="s">
        <v>112</v>
      </c>
      <c r="O272" s="14" t="s">
        <v>305</v>
      </c>
      <c r="P272" s="14" t="s">
        <v>391</v>
      </c>
      <c r="Q272" s="14" t="s">
        <v>280</v>
      </c>
      <c r="R272" s="14"/>
      <c r="S272" s="14"/>
      <c r="T272" s="14"/>
      <c r="U272" s="14" t="s">
        <v>22</v>
      </c>
      <c r="V272" s="14"/>
      <c r="W272" s="14" t="s">
        <v>271</v>
      </c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/>
      <c r="BI272" s="14"/>
      <c r="BJ272" s="14"/>
      <c r="BK272" s="14" t="s">
        <v>1726</v>
      </c>
      <c r="BL272" s="14" t="s">
        <v>1301</v>
      </c>
      <c r="BM272" s="14" t="s">
        <v>724</v>
      </c>
      <c r="BN272" s="14"/>
      <c r="BO272" s="14"/>
      <c r="BP272" s="14"/>
      <c r="BQ272" s="14"/>
      <c r="BR272" s="14"/>
      <c r="BS272" s="14"/>
      <c r="BT272" s="14"/>
      <c r="BU272" s="14"/>
      <c r="BV272" s="14"/>
      <c r="BW272" s="14"/>
      <c r="BX272" s="14"/>
      <c r="BY272" s="14"/>
      <c r="BZ272" s="14"/>
      <c r="CA272" s="14"/>
      <c r="CB272" s="14"/>
      <c r="CC272" s="14"/>
      <c r="CD272" s="14"/>
      <c r="CE272" s="14"/>
      <c r="CF272" s="14"/>
      <c r="CG272" s="14"/>
      <c r="CH272" s="14"/>
      <c r="CI272" s="14"/>
      <c r="CJ272" s="14"/>
      <c r="CK272" s="14"/>
      <c r="CL272" s="14"/>
      <c r="CR272" s="1" t="s">
        <v>152</v>
      </c>
      <c r="CS272" s="1" t="s">
        <v>352</v>
      </c>
      <c r="CT272" s="14"/>
      <c r="CU272" s="1" t="s">
        <v>123</v>
      </c>
      <c r="CV272" s="1" t="s">
        <v>124</v>
      </c>
      <c r="CW272" s="3"/>
      <c r="DG272" s="4"/>
    </row>
    <row r="273" customFormat="false" ht="11.25" hidden="false" customHeight="true" outlineLevel="0" collapsed="false">
      <c r="A273" s="14" t="n">
        <v>272</v>
      </c>
      <c r="B273" s="15" t="n">
        <v>46185.5353636343</v>
      </c>
      <c r="C273" s="15" t="n">
        <v>46185.5415326157</v>
      </c>
      <c r="D273" s="14" t="s">
        <v>1856</v>
      </c>
      <c r="E273" s="14" t="s">
        <v>1857</v>
      </c>
      <c r="F273" s="14" t="s">
        <v>1857</v>
      </c>
      <c r="G273" s="14" t="s">
        <v>1858</v>
      </c>
      <c r="H273" s="15" t="n">
        <v>46165</v>
      </c>
      <c r="I273" s="15" t="s">
        <v>107</v>
      </c>
      <c r="J273" s="14" t="s">
        <v>128</v>
      </c>
      <c r="K273" s="14" t="s">
        <v>196</v>
      </c>
      <c r="L273" s="14" t="s">
        <v>144</v>
      </c>
      <c r="M273" s="14" t="s">
        <v>111</v>
      </c>
      <c r="N273" s="14" t="s">
        <v>112</v>
      </c>
      <c r="O273" s="14" t="s">
        <v>325</v>
      </c>
      <c r="P273" s="14" t="s">
        <v>146</v>
      </c>
      <c r="Q273" s="14" t="s">
        <v>606</v>
      </c>
      <c r="R273" s="14"/>
      <c r="S273" s="14"/>
      <c r="T273" s="14"/>
      <c r="U273" s="14" t="s">
        <v>24</v>
      </c>
      <c r="V273" s="14"/>
      <c r="W273" s="14"/>
      <c r="X273" s="14"/>
      <c r="Y273" s="14" t="s">
        <v>214</v>
      </c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  <c r="BP273" s="14"/>
      <c r="BQ273" s="14"/>
      <c r="BR273" s="14"/>
      <c r="BS273" s="14"/>
      <c r="BT273" s="14"/>
      <c r="BU273" s="14"/>
      <c r="BV273" s="14"/>
      <c r="BW273" s="14"/>
      <c r="BX273" s="14"/>
      <c r="BY273" s="14"/>
      <c r="BZ273" s="14"/>
      <c r="CA273" s="14"/>
      <c r="CB273" s="14"/>
      <c r="CC273" s="14" t="s">
        <v>1859</v>
      </c>
      <c r="CD273" s="14" t="s">
        <v>525</v>
      </c>
      <c r="CE273" s="14" t="s">
        <v>330</v>
      </c>
      <c r="CF273" s="14"/>
      <c r="CG273" s="14"/>
      <c r="CH273" s="14"/>
      <c r="CI273" s="14"/>
      <c r="CJ273" s="14"/>
      <c r="CK273" s="14"/>
      <c r="CL273" s="14"/>
      <c r="CR273" s="1" t="s">
        <v>152</v>
      </c>
      <c r="CS273" s="1" t="s">
        <v>228</v>
      </c>
      <c r="CT273" s="14" t="s">
        <v>369</v>
      </c>
      <c r="CU273" s="1" t="s">
        <v>192</v>
      </c>
      <c r="CV273" s="1" t="s">
        <v>124</v>
      </c>
      <c r="CW273" s="3"/>
      <c r="DG273" s="4"/>
    </row>
    <row r="274" customFormat="false" ht="11.25" hidden="false" customHeight="true" outlineLevel="0" collapsed="false">
      <c r="A274" s="14" t="n">
        <v>273</v>
      </c>
      <c r="B274" s="15" t="n">
        <v>46108.788177662</v>
      </c>
      <c r="C274" s="15" t="n">
        <v>46108.8012100695</v>
      </c>
      <c r="D274" s="14" t="s">
        <v>1860</v>
      </c>
      <c r="E274" s="14" t="s">
        <v>1861</v>
      </c>
      <c r="F274" s="14" t="s">
        <v>1861</v>
      </c>
      <c r="G274" s="14" t="s">
        <v>1862</v>
      </c>
      <c r="H274" s="15" t="n">
        <v>46107</v>
      </c>
      <c r="I274" s="15" t="s">
        <v>244</v>
      </c>
      <c r="J274" s="14" t="s">
        <v>108</v>
      </c>
      <c r="K274" s="14" t="s">
        <v>1863</v>
      </c>
      <c r="L274" s="14" t="s">
        <v>110</v>
      </c>
      <c r="M274" s="14" t="s">
        <v>111</v>
      </c>
      <c r="N274" s="14" t="s">
        <v>112</v>
      </c>
      <c r="O274" s="14" t="s">
        <v>325</v>
      </c>
      <c r="P274" s="14" t="s">
        <v>507</v>
      </c>
      <c r="Q274" s="14" t="s">
        <v>1243</v>
      </c>
      <c r="R274" s="14"/>
      <c r="S274" s="14"/>
      <c r="T274" s="14"/>
      <c r="U274" s="14" t="s">
        <v>22</v>
      </c>
      <c r="V274" s="14"/>
      <c r="W274" s="14" t="s">
        <v>339</v>
      </c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/>
      <c r="BJ274" s="14"/>
      <c r="BK274" s="14"/>
      <c r="BL274" s="14"/>
      <c r="BM274" s="14"/>
      <c r="BN274" s="14" t="s">
        <v>1864</v>
      </c>
      <c r="BO274" s="14" t="s">
        <v>1865</v>
      </c>
      <c r="BP274" s="14" t="s">
        <v>1866</v>
      </c>
      <c r="BQ274" s="14"/>
      <c r="BR274" s="14"/>
      <c r="BS274" s="14"/>
      <c r="BT274" s="14"/>
      <c r="BU274" s="14"/>
      <c r="BV274" s="14"/>
      <c r="BW274" s="14"/>
      <c r="BX274" s="14"/>
      <c r="BY274" s="14"/>
      <c r="BZ274" s="14"/>
      <c r="CA274" s="14"/>
      <c r="CB274" s="14"/>
      <c r="CC274" s="14"/>
      <c r="CD274" s="14"/>
      <c r="CE274" s="14"/>
      <c r="CF274" s="14"/>
      <c r="CG274" s="14"/>
      <c r="CH274" s="14"/>
      <c r="CI274" s="14"/>
      <c r="CJ274" s="14"/>
      <c r="CK274" s="14"/>
      <c r="CL274" s="14"/>
      <c r="CR274" s="1" t="s">
        <v>152</v>
      </c>
      <c r="CS274" s="1" t="s">
        <v>121</v>
      </c>
      <c r="CT274" s="14" t="s">
        <v>122</v>
      </c>
      <c r="CU274" s="1" t="s">
        <v>123</v>
      </c>
      <c r="CV274" s="1" t="s">
        <v>168</v>
      </c>
      <c r="CW274" s="3"/>
      <c r="CX274" s="3" t="s">
        <v>331</v>
      </c>
      <c r="DG274" s="4"/>
    </row>
    <row r="275" customFormat="false" ht="11.25" hidden="false" customHeight="true" outlineLevel="0" collapsed="false">
      <c r="A275" s="14" t="n">
        <v>274</v>
      </c>
      <c r="B275" s="15" t="n">
        <v>46131.2659789352</v>
      </c>
      <c r="C275" s="15" t="n">
        <v>46131.2713377315</v>
      </c>
      <c r="D275" s="14" t="s">
        <v>1867</v>
      </c>
      <c r="E275" s="14" t="s">
        <v>1868</v>
      </c>
      <c r="F275" s="14" t="s">
        <v>1868</v>
      </c>
      <c r="G275" s="14" t="s">
        <v>1869</v>
      </c>
      <c r="H275" s="15" t="n">
        <v>46115</v>
      </c>
      <c r="I275" s="15" t="s">
        <v>244</v>
      </c>
      <c r="J275" s="14" t="s">
        <v>108</v>
      </c>
      <c r="K275" s="14" t="s">
        <v>1870</v>
      </c>
      <c r="L275" s="14" t="s">
        <v>389</v>
      </c>
      <c r="M275" s="14" t="s">
        <v>111</v>
      </c>
      <c r="N275" s="14" t="s">
        <v>112</v>
      </c>
      <c r="O275" s="14" t="s">
        <v>132</v>
      </c>
      <c r="P275" s="14" t="s">
        <v>905</v>
      </c>
      <c r="Q275" s="14" t="s">
        <v>508</v>
      </c>
      <c r="R275" s="14"/>
      <c r="S275" s="14"/>
      <c r="T275" s="14"/>
      <c r="U275" s="14" t="s">
        <v>22</v>
      </c>
      <c r="V275" s="14"/>
      <c r="W275" s="14" t="s">
        <v>298</v>
      </c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 t="s">
        <v>1871</v>
      </c>
      <c r="AW275" s="14" t="s">
        <v>1872</v>
      </c>
      <c r="AX275" s="14" t="s">
        <v>1873</v>
      </c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  <c r="BP275" s="14"/>
      <c r="BQ275" s="14"/>
      <c r="BR275" s="14"/>
      <c r="BS275" s="14"/>
      <c r="BT275" s="14"/>
      <c r="BU275" s="14"/>
      <c r="BV275" s="14"/>
      <c r="BW275" s="14"/>
      <c r="BX275" s="14"/>
      <c r="BY275" s="14"/>
      <c r="BZ275" s="14"/>
      <c r="CA275" s="14"/>
      <c r="CB275" s="14"/>
      <c r="CC275" s="14"/>
      <c r="CD275" s="14"/>
      <c r="CE275" s="14"/>
      <c r="CF275" s="14"/>
      <c r="CG275" s="14"/>
      <c r="CH275" s="14"/>
      <c r="CI275" s="14"/>
      <c r="CJ275" s="14"/>
      <c r="CK275" s="14"/>
      <c r="CL275" s="14"/>
      <c r="CR275" s="1" t="s">
        <v>152</v>
      </c>
      <c r="CS275" s="1" t="s">
        <v>121</v>
      </c>
      <c r="CT275" s="14"/>
      <c r="CU275" s="1" t="s">
        <v>123</v>
      </c>
      <c r="CV275" s="1" t="s">
        <v>124</v>
      </c>
      <c r="CW275" s="3"/>
      <c r="DG275" s="4"/>
    </row>
    <row r="276" customFormat="false" ht="11.25" hidden="false" customHeight="true" outlineLevel="0" collapsed="false">
      <c r="A276" s="14" t="n">
        <v>275</v>
      </c>
      <c r="B276" s="15" t="n">
        <v>46213.478215</v>
      </c>
      <c r="C276" s="15" t="n">
        <v>46213.4912474074</v>
      </c>
      <c r="D276" s="14" t="s">
        <v>1874</v>
      </c>
      <c r="E276" s="14" t="s">
        <v>1875</v>
      </c>
      <c r="F276" s="14" t="s">
        <v>1875</v>
      </c>
      <c r="G276" s="14" t="s">
        <v>1876</v>
      </c>
      <c r="H276" s="15" t="n">
        <v>46201</v>
      </c>
      <c r="I276" s="15" t="s">
        <v>1506</v>
      </c>
      <c r="J276" s="14" t="s">
        <v>108</v>
      </c>
      <c r="K276" s="14" t="s">
        <v>462</v>
      </c>
      <c r="L276" s="14" t="s">
        <v>159</v>
      </c>
      <c r="M276" s="14" t="s">
        <v>131</v>
      </c>
      <c r="N276" s="14" t="s">
        <v>198</v>
      </c>
      <c r="O276" s="14" t="s">
        <v>113</v>
      </c>
      <c r="P276" s="14" t="s">
        <v>133</v>
      </c>
      <c r="Q276" s="14" t="s">
        <v>259</v>
      </c>
      <c r="R276" s="14"/>
      <c r="S276" s="14"/>
      <c r="T276" s="14"/>
      <c r="U276" s="14" t="s">
        <v>22</v>
      </c>
      <c r="V276" s="14"/>
      <c r="W276" s="14" t="s">
        <v>339</v>
      </c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4"/>
      <c r="BK276" s="14"/>
      <c r="BL276" s="14"/>
      <c r="BM276" s="14"/>
      <c r="BN276" s="14" t="s">
        <v>1877</v>
      </c>
      <c r="BO276" s="14" t="s">
        <v>1878</v>
      </c>
      <c r="BP276" s="14" t="s">
        <v>1879</v>
      </c>
      <c r="BQ276" s="14"/>
      <c r="BR276" s="14"/>
      <c r="BS276" s="14"/>
      <c r="BT276" s="14"/>
      <c r="BU276" s="14"/>
      <c r="BV276" s="14"/>
      <c r="BW276" s="14"/>
      <c r="BX276" s="14"/>
      <c r="BY276" s="14"/>
      <c r="BZ276" s="14"/>
      <c r="CA276" s="14"/>
      <c r="CB276" s="14"/>
      <c r="CC276" s="14"/>
      <c r="CD276" s="14"/>
      <c r="CE276" s="14"/>
      <c r="CF276" s="14"/>
      <c r="CG276" s="14"/>
      <c r="CH276" s="14"/>
      <c r="CI276" s="14"/>
      <c r="CJ276" s="14"/>
      <c r="CK276" s="14"/>
      <c r="CL276" s="14"/>
      <c r="CR276" s="1" t="s">
        <v>152</v>
      </c>
      <c r="CS276" s="1" t="s">
        <v>121</v>
      </c>
      <c r="CT276" s="14"/>
      <c r="CU276" s="1" t="s">
        <v>167</v>
      </c>
      <c r="CV276" s="1" t="s">
        <v>124</v>
      </c>
      <c r="CW276" s="3"/>
      <c r="DG276" s="4"/>
    </row>
    <row r="277" customFormat="false" ht="11.25" hidden="false" customHeight="true" outlineLevel="0" collapsed="false">
      <c r="A277" s="14" t="n">
        <v>276</v>
      </c>
      <c r="B277" s="15" t="n">
        <v>46125.5887932176</v>
      </c>
      <c r="C277" s="15" t="n">
        <v>46125.5936774769</v>
      </c>
      <c r="D277" s="14" t="s">
        <v>1880</v>
      </c>
      <c r="E277" s="14" t="s">
        <v>1881</v>
      </c>
      <c r="F277" s="14" t="s">
        <v>1881</v>
      </c>
      <c r="G277" s="14" t="s">
        <v>1882</v>
      </c>
      <c r="H277" s="15" t="n">
        <v>46121</v>
      </c>
      <c r="I277" s="15" t="s">
        <v>107</v>
      </c>
      <c r="J277" s="14" t="s">
        <v>108</v>
      </c>
      <c r="K277" s="14" t="s">
        <v>364</v>
      </c>
      <c r="L277" s="14" t="s">
        <v>246</v>
      </c>
      <c r="M277" s="14" t="s">
        <v>111</v>
      </c>
      <c r="N277" s="14" t="s">
        <v>112</v>
      </c>
      <c r="O277" s="14" t="s">
        <v>325</v>
      </c>
      <c r="P277" s="14" t="s">
        <v>212</v>
      </c>
      <c r="Q277" s="14" t="s">
        <v>1441</v>
      </c>
      <c r="R277" s="14"/>
      <c r="S277" s="14"/>
      <c r="T277" s="14"/>
      <c r="U277" s="14" t="s">
        <v>22</v>
      </c>
      <c r="V277" s="14"/>
      <c r="W277" s="14" t="s">
        <v>148</v>
      </c>
      <c r="X277" s="14"/>
      <c r="Y277" s="14"/>
      <c r="Z277" s="14"/>
      <c r="AA277" s="14"/>
      <c r="AB277" s="14"/>
      <c r="AC277" s="14"/>
      <c r="AD277" s="14" t="s">
        <v>1883</v>
      </c>
      <c r="AE277" s="14" t="s">
        <v>1146</v>
      </c>
      <c r="AF277" s="14" t="s">
        <v>1884</v>
      </c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  <c r="BP277" s="14"/>
      <c r="BQ277" s="14"/>
      <c r="BR277" s="14"/>
      <c r="BS277" s="14"/>
      <c r="BT277" s="14"/>
      <c r="BU277" s="14"/>
      <c r="BV277" s="14"/>
      <c r="BW277" s="14"/>
      <c r="BX277" s="14"/>
      <c r="BY277" s="14"/>
      <c r="BZ277" s="14"/>
      <c r="CA277" s="14"/>
      <c r="CB277" s="14"/>
      <c r="CC277" s="14"/>
      <c r="CD277" s="14"/>
      <c r="CE277" s="14"/>
      <c r="CF277" s="14"/>
      <c r="CG277" s="14"/>
      <c r="CH277" s="14"/>
      <c r="CI277" s="14"/>
      <c r="CJ277" s="14"/>
      <c r="CK277" s="14"/>
      <c r="CL277" s="14"/>
      <c r="CR277" s="1" t="s">
        <v>120</v>
      </c>
      <c r="CS277" s="1" t="s">
        <v>352</v>
      </c>
      <c r="CT277" s="14" t="s">
        <v>1821</v>
      </c>
      <c r="CU277" s="1" t="s">
        <v>123</v>
      </c>
      <c r="CV277" s="1" t="s">
        <v>124</v>
      </c>
      <c r="CW277" s="3"/>
      <c r="DG277" s="4"/>
    </row>
    <row r="278" customFormat="false" ht="11.25" hidden="false" customHeight="true" outlineLevel="0" collapsed="false">
      <c r="A278" s="14" t="n">
        <v>277</v>
      </c>
      <c r="B278" s="15" t="n">
        <v>46180.0440974769</v>
      </c>
      <c r="C278" s="15" t="n">
        <v>46180.0504516435</v>
      </c>
      <c r="D278" s="14" t="s">
        <v>1885</v>
      </c>
      <c r="E278" s="14" t="s">
        <v>1886</v>
      </c>
      <c r="F278" s="14" t="s">
        <v>1886</v>
      </c>
      <c r="G278" s="14" t="s">
        <v>1887</v>
      </c>
      <c r="H278" s="15" t="n">
        <v>46171</v>
      </c>
      <c r="I278" s="15" t="s">
        <v>107</v>
      </c>
      <c r="J278" s="14" t="s">
        <v>108</v>
      </c>
      <c r="K278" s="14" t="s">
        <v>462</v>
      </c>
      <c r="L278" s="14" t="s">
        <v>110</v>
      </c>
      <c r="M278" s="14" t="s">
        <v>111</v>
      </c>
      <c r="N278" s="14" t="s">
        <v>112</v>
      </c>
      <c r="O278" s="14" t="s">
        <v>113</v>
      </c>
      <c r="P278" s="14" t="s">
        <v>652</v>
      </c>
      <c r="Q278" s="14" t="s">
        <v>200</v>
      </c>
      <c r="R278" s="14"/>
      <c r="S278" s="14"/>
      <c r="T278" s="14"/>
      <c r="U278" s="14" t="s">
        <v>22</v>
      </c>
      <c r="V278" s="14"/>
      <c r="W278" s="14" t="s">
        <v>298</v>
      </c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 t="s">
        <v>1888</v>
      </c>
      <c r="AW278" s="14" t="s">
        <v>1000</v>
      </c>
      <c r="AX278" s="14" t="s">
        <v>1556</v>
      </c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  <c r="BP278" s="14"/>
      <c r="BQ278" s="14"/>
      <c r="BR278" s="14"/>
      <c r="BS278" s="14"/>
      <c r="BT278" s="14"/>
      <c r="BU278" s="14"/>
      <c r="BV278" s="14"/>
      <c r="BW278" s="14"/>
      <c r="BX278" s="14"/>
      <c r="BY278" s="14"/>
      <c r="BZ278" s="14"/>
      <c r="CA278" s="14"/>
      <c r="CB278" s="14"/>
      <c r="CC278" s="14"/>
      <c r="CD278" s="14"/>
      <c r="CE278" s="14"/>
      <c r="CF278" s="14"/>
      <c r="CG278" s="14"/>
      <c r="CH278" s="14"/>
      <c r="CI278" s="14"/>
      <c r="CJ278" s="14"/>
      <c r="CK278" s="14"/>
      <c r="CL278" s="14"/>
      <c r="CR278" s="1" t="s">
        <v>227</v>
      </c>
      <c r="CS278" s="1" t="s">
        <v>121</v>
      </c>
      <c r="CT278" s="14" t="s">
        <v>1002</v>
      </c>
      <c r="CU278" s="1" t="s">
        <v>123</v>
      </c>
      <c r="CV278" s="1" t="s">
        <v>124</v>
      </c>
      <c r="CW278" s="3"/>
      <c r="CY278" s="3" t="s">
        <v>205</v>
      </c>
      <c r="DG278" s="4"/>
    </row>
    <row r="279" customFormat="false" ht="11.25" hidden="false" customHeight="true" outlineLevel="0" collapsed="false">
      <c r="A279" s="14" t="n">
        <v>278</v>
      </c>
      <c r="B279" s="15" t="n">
        <v>46150.8262615741</v>
      </c>
      <c r="C279" s="15" t="n">
        <v>46150.837337963</v>
      </c>
      <c r="D279" s="14" t="s">
        <v>1889</v>
      </c>
      <c r="E279" s="14" t="s">
        <v>1890</v>
      </c>
      <c r="F279" s="14" t="s">
        <v>1890</v>
      </c>
      <c r="G279" s="14" t="s">
        <v>1891</v>
      </c>
      <c r="H279" s="15" t="n">
        <v>46131</v>
      </c>
      <c r="I279" s="15" t="s">
        <v>107</v>
      </c>
      <c r="J279" s="14" t="s">
        <v>295</v>
      </c>
      <c r="K279" s="14" t="s">
        <v>1892</v>
      </c>
      <c r="L279" s="14" t="s">
        <v>110</v>
      </c>
      <c r="M279" s="14" t="s">
        <v>111</v>
      </c>
      <c r="N279" s="14" t="s">
        <v>112</v>
      </c>
      <c r="O279" s="14" t="s">
        <v>113</v>
      </c>
      <c r="P279" s="14" t="s">
        <v>185</v>
      </c>
      <c r="Q279" s="14" t="s">
        <v>1243</v>
      </c>
      <c r="R279" s="14"/>
      <c r="S279" s="14"/>
      <c r="T279" s="14"/>
      <c r="U279" s="14" t="s">
        <v>22</v>
      </c>
      <c r="V279" s="14"/>
      <c r="W279" s="14" t="s">
        <v>148</v>
      </c>
      <c r="X279" s="14"/>
      <c r="Y279" s="14"/>
      <c r="Z279" s="14"/>
      <c r="AA279" s="14"/>
      <c r="AB279" s="14"/>
      <c r="AC279" s="14"/>
      <c r="AD279" s="14" t="s">
        <v>1217</v>
      </c>
      <c r="AE279" s="14" t="s">
        <v>1893</v>
      </c>
      <c r="AF279" s="14" t="s">
        <v>696</v>
      </c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  <c r="BP279" s="14"/>
      <c r="BQ279" s="14"/>
      <c r="BR279" s="14"/>
      <c r="BS279" s="14"/>
      <c r="BT279" s="14"/>
      <c r="BU279" s="14"/>
      <c r="BV279" s="14"/>
      <c r="BW279" s="14"/>
      <c r="BX279" s="14"/>
      <c r="BY279" s="14"/>
      <c r="BZ279" s="14"/>
      <c r="CA279" s="14"/>
      <c r="CB279" s="14"/>
      <c r="CC279" s="14"/>
      <c r="CD279" s="14"/>
      <c r="CE279" s="14"/>
      <c r="CF279" s="14"/>
      <c r="CG279" s="14"/>
      <c r="CH279" s="14"/>
      <c r="CI279" s="14"/>
      <c r="CJ279" s="14"/>
      <c r="CK279" s="14"/>
      <c r="CL279" s="14"/>
      <c r="CR279" s="1" t="s">
        <v>152</v>
      </c>
      <c r="CS279" s="1" t="s">
        <v>352</v>
      </c>
      <c r="CT279" s="14" t="s">
        <v>122</v>
      </c>
      <c r="CU279" s="1" t="s">
        <v>167</v>
      </c>
      <c r="CV279" s="1" t="s">
        <v>124</v>
      </c>
      <c r="CW279" s="3"/>
      <c r="DG279" s="4"/>
    </row>
    <row r="280" customFormat="false" ht="11.25" hidden="false" customHeight="true" outlineLevel="0" collapsed="false">
      <c r="A280" s="14" t="n">
        <v>279</v>
      </c>
      <c r="B280" s="15" t="n">
        <v>46049.1071517708</v>
      </c>
      <c r="C280" s="15" t="n">
        <v>46049.1165151968</v>
      </c>
      <c r="D280" s="14" t="s">
        <v>1894</v>
      </c>
      <c r="E280" s="14" t="s">
        <v>1895</v>
      </c>
      <c r="F280" s="14" t="s">
        <v>1895</v>
      </c>
      <c r="G280" s="14" t="s">
        <v>1896</v>
      </c>
      <c r="H280" s="15" t="n">
        <v>46039</v>
      </c>
      <c r="I280" s="15" t="s">
        <v>1897</v>
      </c>
      <c r="J280" s="14" t="s">
        <v>295</v>
      </c>
      <c r="K280" s="14" t="s">
        <v>245</v>
      </c>
      <c r="L280" s="14" t="s">
        <v>210</v>
      </c>
      <c r="M280" s="14" t="s">
        <v>111</v>
      </c>
      <c r="N280" s="14" t="s">
        <v>247</v>
      </c>
      <c r="O280" s="14" t="s">
        <v>305</v>
      </c>
      <c r="P280" s="14" t="s">
        <v>864</v>
      </c>
      <c r="Q280" s="14" t="s">
        <v>849</v>
      </c>
      <c r="R280" s="14"/>
      <c r="S280" s="14"/>
      <c r="T280" s="14"/>
      <c r="U280" s="14" t="s">
        <v>21</v>
      </c>
      <c r="V280" s="14" t="s">
        <v>307</v>
      </c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 t="s">
        <v>1898</v>
      </c>
      <c r="AT280" s="14" t="s">
        <v>546</v>
      </c>
      <c r="AU280" s="14" t="s">
        <v>310</v>
      </c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/>
      <c r="BJ280" s="14"/>
      <c r="BK280" s="14"/>
      <c r="BL280" s="14"/>
      <c r="BM280" s="14"/>
      <c r="BN280" s="14"/>
      <c r="BO280" s="14"/>
      <c r="BP280" s="14"/>
      <c r="BQ280" s="14"/>
      <c r="BR280" s="14"/>
      <c r="BS280" s="14"/>
      <c r="BT280" s="14"/>
      <c r="BU280" s="14"/>
      <c r="BV280" s="14"/>
      <c r="BW280" s="14"/>
      <c r="BX280" s="14"/>
      <c r="BY280" s="14"/>
      <c r="BZ280" s="14"/>
      <c r="CA280" s="14"/>
      <c r="CB280" s="14"/>
      <c r="CC280" s="14"/>
      <c r="CD280" s="14"/>
      <c r="CE280" s="14"/>
      <c r="CF280" s="14"/>
      <c r="CG280" s="14"/>
      <c r="CH280" s="14"/>
      <c r="CI280" s="14"/>
      <c r="CJ280" s="14"/>
      <c r="CK280" s="14"/>
      <c r="CL280" s="14"/>
      <c r="CR280" s="1" t="s">
        <v>152</v>
      </c>
      <c r="CS280" s="1" t="s">
        <v>180</v>
      </c>
      <c r="CT280" s="14" t="s">
        <v>1489</v>
      </c>
      <c r="CU280" s="1" t="s">
        <v>123</v>
      </c>
      <c r="CV280" s="1" t="s">
        <v>124</v>
      </c>
      <c r="CW280" s="3" t="s">
        <v>370</v>
      </c>
      <c r="DG280" s="4"/>
    </row>
    <row r="281" customFormat="false" ht="11.25" hidden="false" customHeight="true" outlineLevel="0" collapsed="false">
      <c r="A281" s="14" t="n">
        <v>280</v>
      </c>
      <c r="B281" s="15" t="n">
        <v>46199.0347531482</v>
      </c>
      <c r="C281" s="15" t="n">
        <v>46199.0372184259</v>
      </c>
      <c r="D281" s="14" t="s">
        <v>1899</v>
      </c>
      <c r="E281" s="14" t="s">
        <v>1900</v>
      </c>
      <c r="F281" s="14" t="s">
        <v>1900</v>
      </c>
      <c r="G281" s="14" t="s">
        <v>1901</v>
      </c>
      <c r="H281" s="15" t="n">
        <v>46185</v>
      </c>
      <c r="I281" s="15" t="s">
        <v>107</v>
      </c>
      <c r="J281" s="14" t="s">
        <v>108</v>
      </c>
      <c r="K281" s="14" t="s">
        <v>462</v>
      </c>
      <c r="L281" s="14" t="s">
        <v>491</v>
      </c>
      <c r="M281" s="14" t="s">
        <v>111</v>
      </c>
      <c r="N281" s="14" t="s">
        <v>247</v>
      </c>
      <c r="O281" s="14" t="s">
        <v>863</v>
      </c>
      <c r="P281" s="14" t="s">
        <v>234</v>
      </c>
      <c r="Q281" s="14" t="s">
        <v>306</v>
      </c>
      <c r="R281" s="14"/>
      <c r="S281" s="14"/>
      <c r="T281" s="14"/>
      <c r="U281" s="14" t="s">
        <v>24</v>
      </c>
      <c r="V281" s="14"/>
      <c r="W281" s="14"/>
      <c r="X281" s="14"/>
      <c r="Y281" s="14" t="s">
        <v>214</v>
      </c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14"/>
      <c r="BQ281" s="14"/>
      <c r="BR281" s="14"/>
      <c r="BS281" s="14"/>
      <c r="BT281" s="14"/>
      <c r="BU281" s="14"/>
      <c r="BV281" s="14"/>
      <c r="BW281" s="14"/>
      <c r="BX281" s="14"/>
      <c r="BY281" s="14"/>
      <c r="BZ281" s="14"/>
      <c r="CA281" s="14"/>
      <c r="CB281" s="14"/>
      <c r="CC281" s="14" t="s">
        <v>433</v>
      </c>
      <c r="CD281" s="14" t="s">
        <v>745</v>
      </c>
      <c r="CE281" s="14" t="s">
        <v>681</v>
      </c>
      <c r="CF281" s="14"/>
      <c r="CG281" s="14"/>
      <c r="CH281" s="14"/>
      <c r="CI281" s="14"/>
      <c r="CJ281" s="14"/>
      <c r="CK281" s="14"/>
      <c r="CL281" s="14"/>
      <c r="CR281" s="1" t="s">
        <v>152</v>
      </c>
      <c r="CS281" s="1" t="s">
        <v>121</v>
      </c>
      <c r="CT281" s="14" t="s">
        <v>1902</v>
      </c>
      <c r="CU281" s="1" t="s">
        <v>167</v>
      </c>
      <c r="CV281" s="1" t="s">
        <v>124</v>
      </c>
      <c r="CW281" s="3"/>
      <c r="DG281" s="4"/>
    </row>
    <row r="282" customFormat="false" ht="11.25" hidden="false" customHeight="true" outlineLevel="0" collapsed="false">
      <c r="A282" s="14" t="n">
        <v>281</v>
      </c>
      <c r="B282" s="15" t="n">
        <v>46206.5376126505</v>
      </c>
      <c r="C282" s="15" t="n">
        <v>46206.5518140394</v>
      </c>
      <c r="D282" s="14" t="s">
        <v>1903</v>
      </c>
      <c r="E282" s="14" t="s">
        <v>1904</v>
      </c>
      <c r="F282" s="14" t="s">
        <v>1904</v>
      </c>
      <c r="G282" s="14" t="s">
        <v>1905</v>
      </c>
      <c r="H282" s="15" t="n">
        <v>46201</v>
      </c>
      <c r="I282" s="15" t="s">
        <v>278</v>
      </c>
      <c r="J282" s="14" t="s">
        <v>295</v>
      </c>
      <c r="K282" s="14" t="s">
        <v>1906</v>
      </c>
      <c r="L282" s="14" t="s">
        <v>159</v>
      </c>
      <c r="M282" s="14" t="s">
        <v>390</v>
      </c>
      <c r="N282" s="14" t="s">
        <v>112</v>
      </c>
      <c r="O282" s="14" t="s">
        <v>863</v>
      </c>
      <c r="P282" s="14" t="s">
        <v>391</v>
      </c>
      <c r="Q282" s="14" t="s">
        <v>743</v>
      </c>
      <c r="R282" s="14"/>
      <c r="S282" s="14" t="s">
        <v>441</v>
      </c>
      <c r="T282" s="14"/>
      <c r="U282" s="14" t="s">
        <v>23</v>
      </c>
      <c r="V282" s="14"/>
      <c r="W282" s="14"/>
      <c r="X282" s="14" t="s">
        <v>442</v>
      </c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  <c r="BI282" s="14"/>
      <c r="BJ282" s="14"/>
      <c r="BK282" s="14"/>
      <c r="BL282" s="14"/>
      <c r="BM282" s="14"/>
      <c r="BN282" s="14"/>
      <c r="BO282" s="14"/>
      <c r="BP282" s="14"/>
      <c r="BQ282" s="14"/>
      <c r="BR282" s="14"/>
      <c r="BS282" s="14"/>
      <c r="BT282" s="14"/>
      <c r="BU282" s="14"/>
      <c r="BV282" s="14"/>
      <c r="BW282" s="14"/>
      <c r="BX282" s="14"/>
      <c r="BY282" s="14"/>
      <c r="BZ282" s="14"/>
      <c r="CA282" s="14"/>
      <c r="CB282" s="14"/>
      <c r="CC282" s="14"/>
      <c r="CD282" s="14"/>
      <c r="CE282" s="14"/>
      <c r="CF282" s="14"/>
      <c r="CG282" s="14"/>
      <c r="CH282" s="14"/>
      <c r="CI282" s="14"/>
      <c r="CJ282" s="14"/>
      <c r="CK282" s="14"/>
      <c r="CL282" s="14"/>
      <c r="CR282" s="1" t="s">
        <v>120</v>
      </c>
      <c r="CS282" s="1" t="s">
        <v>165</v>
      </c>
      <c r="CT282" s="14" t="s">
        <v>1641</v>
      </c>
      <c r="CU282" s="1" t="s">
        <v>123</v>
      </c>
      <c r="CV282" s="1" t="s">
        <v>124</v>
      </c>
      <c r="CW282" s="3"/>
      <c r="DG282" s="4"/>
    </row>
    <row r="283" customFormat="false" ht="11.25" hidden="false" customHeight="true" outlineLevel="0" collapsed="false">
      <c r="A283" s="14" t="n">
        <v>282</v>
      </c>
      <c r="B283" s="15" t="n">
        <v>46043.5187109375</v>
      </c>
      <c r="C283" s="15" t="n">
        <v>46043.5254007523</v>
      </c>
      <c r="D283" s="14" t="s">
        <v>1907</v>
      </c>
      <c r="E283" s="14" t="s">
        <v>1908</v>
      </c>
      <c r="F283" s="14" t="s">
        <v>1908</v>
      </c>
      <c r="G283" s="14" t="s">
        <v>1909</v>
      </c>
      <c r="H283" s="15" t="n">
        <v>46024</v>
      </c>
      <c r="I283" s="15" t="s">
        <v>107</v>
      </c>
      <c r="J283" s="14" t="s">
        <v>108</v>
      </c>
      <c r="K283" s="14" t="s">
        <v>245</v>
      </c>
      <c r="L283" s="14" t="s">
        <v>159</v>
      </c>
      <c r="M283" s="14" t="s">
        <v>131</v>
      </c>
      <c r="N283" s="14" t="s">
        <v>112</v>
      </c>
      <c r="O283" s="14" t="s">
        <v>113</v>
      </c>
      <c r="P283" s="14" t="s">
        <v>1120</v>
      </c>
      <c r="Q283" s="14" t="s">
        <v>810</v>
      </c>
      <c r="R283" s="14"/>
      <c r="S283" s="14"/>
      <c r="T283" s="14"/>
      <c r="U283" s="14" t="s">
        <v>21</v>
      </c>
      <c r="V283" s="14" t="s">
        <v>187</v>
      </c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 t="s">
        <v>188</v>
      </c>
      <c r="AQ283" s="14" t="s">
        <v>399</v>
      </c>
      <c r="AR283" s="14" t="s">
        <v>190</v>
      </c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  <c r="CC283" s="14"/>
      <c r="CD283" s="14"/>
      <c r="CE283" s="14"/>
      <c r="CF283" s="14"/>
      <c r="CG283" s="14"/>
      <c r="CH283" s="14"/>
      <c r="CI283" s="14"/>
      <c r="CJ283" s="14"/>
      <c r="CK283" s="14"/>
      <c r="CL283" s="14"/>
      <c r="CR283" s="1" t="s">
        <v>227</v>
      </c>
      <c r="CS283" s="1" t="s">
        <v>180</v>
      </c>
      <c r="CT283" s="14"/>
      <c r="CU283" s="1" t="s">
        <v>192</v>
      </c>
      <c r="CV283" s="1" t="s">
        <v>168</v>
      </c>
      <c r="CW283" s="3" t="s">
        <v>370</v>
      </c>
      <c r="DG283" s="4"/>
    </row>
    <row r="284" customFormat="false" ht="11.25" hidden="false" customHeight="true" outlineLevel="0" collapsed="false">
      <c r="A284" s="14" t="n">
        <v>283</v>
      </c>
      <c r="B284" s="15" t="n">
        <v>46215.3190309954</v>
      </c>
      <c r="C284" s="15" t="n">
        <v>46215.3392971991</v>
      </c>
      <c r="D284" s="14" t="s">
        <v>1910</v>
      </c>
      <c r="E284" s="14" t="s">
        <v>1911</v>
      </c>
      <c r="F284" s="14" t="s">
        <v>1911</v>
      </c>
      <c r="G284" s="14" t="s">
        <v>1912</v>
      </c>
      <c r="H284" s="15" t="n">
        <v>46196</v>
      </c>
      <c r="I284" s="15" t="s">
        <v>244</v>
      </c>
      <c r="J284" s="14" t="s">
        <v>108</v>
      </c>
      <c r="K284" s="14" t="s">
        <v>1913</v>
      </c>
      <c r="L284" s="14" t="s">
        <v>296</v>
      </c>
      <c r="M284" s="14" t="s">
        <v>111</v>
      </c>
      <c r="N284" s="14" t="s">
        <v>145</v>
      </c>
      <c r="O284" s="14" t="s">
        <v>113</v>
      </c>
      <c r="P284" s="14" t="s">
        <v>114</v>
      </c>
      <c r="Q284" s="14" t="s">
        <v>567</v>
      </c>
      <c r="R284" s="14"/>
      <c r="S284" s="14"/>
      <c r="T284" s="14"/>
      <c r="U284" s="14" t="s">
        <v>22</v>
      </c>
      <c r="V284" s="14"/>
      <c r="W284" s="14" t="s">
        <v>298</v>
      </c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 t="s">
        <v>1914</v>
      </c>
      <c r="AW284" s="14" t="s">
        <v>537</v>
      </c>
      <c r="AX284" s="14" t="s">
        <v>1915</v>
      </c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  <c r="BP284" s="14"/>
      <c r="BQ284" s="14"/>
      <c r="BR284" s="14"/>
      <c r="BS284" s="14"/>
      <c r="BT284" s="14"/>
      <c r="BU284" s="14"/>
      <c r="BV284" s="14"/>
      <c r="BW284" s="14"/>
      <c r="BX284" s="14"/>
      <c r="BY284" s="14"/>
      <c r="BZ284" s="14"/>
      <c r="CA284" s="14"/>
      <c r="CB284" s="14"/>
      <c r="CC284" s="14"/>
      <c r="CD284" s="14"/>
      <c r="CE284" s="14"/>
      <c r="CF284" s="14"/>
      <c r="CG284" s="14"/>
      <c r="CH284" s="14"/>
      <c r="CI284" s="14"/>
      <c r="CJ284" s="14"/>
      <c r="CK284" s="14"/>
      <c r="CL284" s="14"/>
      <c r="CR284" s="1" t="s">
        <v>320</v>
      </c>
      <c r="CS284" s="1" t="s">
        <v>121</v>
      </c>
      <c r="CT284" s="14" t="s">
        <v>1376</v>
      </c>
      <c r="CU284" s="1" t="s">
        <v>192</v>
      </c>
      <c r="CV284" s="1" t="s">
        <v>168</v>
      </c>
      <c r="CW284" s="3"/>
      <c r="DG284" s="4"/>
    </row>
    <row r="285" customFormat="false" ht="11.25" hidden="false" customHeight="true" outlineLevel="0" collapsed="false">
      <c r="A285" s="14" t="n">
        <v>284</v>
      </c>
      <c r="B285" s="15" t="n">
        <v>46186.9647199074</v>
      </c>
      <c r="C285" s="15" t="n">
        <v>46186.9853101852</v>
      </c>
      <c r="D285" s="14" t="s">
        <v>1916</v>
      </c>
      <c r="E285" s="14" t="s">
        <v>1917</v>
      </c>
      <c r="F285" s="14" t="s">
        <v>1917</v>
      </c>
      <c r="G285" s="14" t="s">
        <v>1918</v>
      </c>
      <c r="H285" s="15" t="n">
        <v>46180</v>
      </c>
      <c r="I285" s="15" t="s">
        <v>157</v>
      </c>
      <c r="J285" s="14" t="s">
        <v>128</v>
      </c>
      <c r="K285" s="14" t="s">
        <v>1919</v>
      </c>
      <c r="L285" s="14" t="s">
        <v>197</v>
      </c>
      <c r="M285" s="14" t="s">
        <v>211</v>
      </c>
      <c r="N285" s="14" t="s">
        <v>145</v>
      </c>
      <c r="O285" s="14" t="s">
        <v>132</v>
      </c>
      <c r="P285" s="14" t="s">
        <v>885</v>
      </c>
      <c r="Q285" s="14" t="s">
        <v>1441</v>
      </c>
      <c r="R285" s="14"/>
      <c r="S285" s="14"/>
      <c r="T285" s="14"/>
      <c r="U285" s="14" t="s">
        <v>22</v>
      </c>
      <c r="V285" s="14"/>
      <c r="W285" s="14" t="s">
        <v>298</v>
      </c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 t="s">
        <v>1507</v>
      </c>
      <c r="AW285" s="14" t="s">
        <v>1920</v>
      </c>
      <c r="AX285" s="14" t="s">
        <v>1921</v>
      </c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4"/>
      <c r="BY285" s="14"/>
      <c r="BZ285" s="14"/>
      <c r="CA285" s="14"/>
      <c r="CB285" s="14"/>
      <c r="CC285" s="14"/>
      <c r="CD285" s="14"/>
      <c r="CE285" s="14"/>
      <c r="CF285" s="14"/>
      <c r="CG285" s="14"/>
      <c r="CH285" s="14"/>
      <c r="CI285" s="14"/>
      <c r="CJ285" s="14"/>
      <c r="CK285" s="14"/>
      <c r="CL285" s="14"/>
      <c r="CR285" s="1" t="s">
        <v>152</v>
      </c>
      <c r="CS285" s="1" t="s">
        <v>121</v>
      </c>
      <c r="CT285" s="14" t="s">
        <v>122</v>
      </c>
      <c r="CU285" s="1" t="s">
        <v>123</v>
      </c>
      <c r="CV285" s="1" t="s">
        <v>168</v>
      </c>
      <c r="CW285" s="3"/>
      <c r="DG285" s="4"/>
    </row>
    <row r="286" customFormat="false" ht="11.25" hidden="false" customHeight="true" outlineLevel="0" collapsed="false">
      <c r="A286" s="14" t="n">
        <v>285</v>
      </c>
      <c r="B286" s="15" t="n">
        <v>46201.2414131366</v>
      </c>
      <c r="C286" s="15" t="n">
        <v>46201.2565520255</v>
      </c>
      <c r="D286" s="14" t="s">
        <v>1922</v>
      </c>
      <c r="E286" s="14" t="s">
        <v>1923</v>
      </c>
      <c r="F286" s="14" t="s">
        <v>1924</v>
      </c>
      <c r="G286" s="14" t="s">
        <v>1925</v>
      </c>
      <c r="H286" s="15" t="n">
        <v>46192</v>
      </c>
      <c r="I286" s="15" t="s">
        <v>172</v>
      </c>
      <c r="J286" s="14" t="s">
        <v>108</v>
      </c>
      <c r="K286" s="14" t="s">
        <v>1926</v>
      </c>
      <c r="L286" s="14" t="s">
        <v>389</v>
      </c>
      <c r="M286" s="14" t="s">
        <v>111</v>
      </c>
      <c r="N286" s="14" t="s">
        <v>112</v>
      </c>
      <c r="O286" s="14" t="s">
        <v>113</v>
      </c>
      <c r="P286" s="14" t="s">
        <v>357</v>
      </c>
      <c r="Q286" s="14" t="s">
        <v>1573</v>
      </c>
      <c r="R286" s="14" t="s">
        <v>871</v>
      </c>
      <c r="S286" s="14"/>
      <c r="T286" s="14"/>
      <c r="U286" s="14" t="s">
        <v>23</v>
      </c>
      <c r="V286" s="14"/>
      <c r="W286" s="14"/>
      <c r="X286" s="14" t="s">
        <v>503</v>
      </c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  <c r="BP286" s="14"/>
      <c r="BQ286" s="14"/>
      <c r="BR286" s="14"/>
      <c r="BS286" s="14"/>
      <c r="BT286" s="14"/>
      <c r="BU286" s="14"/>
      <c r="BV286" s="14"/>
      <c r="BW286" s="14"/>
      <c r="BX286" s="14"/>
      <c r="BY286" s="14"/>
      <c r="BZ286" s="14"/>
      <c r="CA286" s="14"/>
      <c r="CB286" s="14"/>
      <c r="CC286" s="14"/>
      <c r="CD286" s="14"/>
      <c r="CE286" s="14"/>
      <c r="CF286" s="14"/>
      <c r="CG286" s="14"/>
      <c r="CH286" s="14"/>
      <c r="CI286" s="14"/>
      <c r="CJ286" s="14"/>
      <c r="CK286" s="14"/>
      <c r="CL286" s="14"/>
      <c r="CR286" s="1" t="s">
        <v>120</v>
      </c>
      <c r="CS286" s="1" t="s">
        <v>180</v>
      </c>
      <c r="CT286" s="16" t="s">
        <v>641</v>
      </c>
      <c r="CU286" s="1" t="s">
        <v>123</v>
      </c>
      <c r="CV286" s="1" t="s">
        <v>139</v>
      </c>
      <c r="CW286" s="3"/>
      <c r="DG286" s="4"/>
    </row>
    <row r="287" customFormat="false" ht="11.25" hidden="false" customHeight="true" outlineLevel="0" collapsed="false">
      <c r="A287" s="14" t="n">
        <v>286</v>
      </c>
      <c r="B287" s="15" t="n">
        <v>46073.1595678472</v>
      </c>
      <c r="C287" s="15" t="n">
        <v>46073.169382662</v>
      </c>
      <c r="D287" s="14" t="s">
        <v>1927</v>
      </c>
      <c r="E287" s="14" t="s">
        <v>1928</v>
      </c>
      <c r="F287" s="14" t="s">
        <v>1928</v>
      </c>
      <c r="G287" s="14" t="s">
        <v>1929</v>
      </c>
      <c r="H287" s="15" t="n">
        <v>46072</v>
      </c>
      <c r="I287" s="15" t="s">
        <v>107</v>
      </c>
      <c r="J287" s="14" t="s">
        <v>108</v>
      </c>
      <c r="K287" s="14" t="s">
        <v>245</v>
      </c>
      <c r="L287" s="14" t="s">
        <v>431</v>
      </c>
      <c r="M287" s="14" t="s">
        <v>111</v>
      </c>
      <c r="N287" s="14" t="s">
        <v>112</v>
      </c>
      <c r="O287" s="14" t="s">
        <v>113</v>
      </c>
      <c r="P287" s="14" t="s">
        <v>286</v>
      </c>
      <c r="Q287" s="14" t="s">
        <v>1441</v>
      </c>
      <c r="R287" s="14"/>
      <c r="S287" s="14"/>
      <c r="T287" s="14"/>
      <c r="U287" s="14" t="s">
        <v>22</v>
      </c>
      <c r="V287" s="14"/>
      <c r="W287" s="14" t="s">
        <v>298</v>
      </c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 t="s">
        <v>1930</v>
      </c>
      <c r="AW287" s="14" t="s">
        <v>1931</v>
      </c>
      <c r="AX287" s="14" t="s">
        <v>1932</v>
      </c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/>
      <c r="CA287" s="14"/>
      <c r="CB287" s="14"/>
      <c r="CC287" s="14"/>
      <c r="CD287" s="14"/>
      <c r="CE287" s="14"/>
      <c r="CF287" s="14"/>
      <c r="CG287" s="14"/>
      <c r="CH287" s="14"/>
      <c r="CI287" s="14"/>
      <c r="CJ287" s="14"/>
      <c r="CK287" s="14"/>
      <c r="CL287" s="14"/>
      <c r="CR287" s="1" t="s">
        <v>152</v>
      </c>
      <c r="CS287" s="1" t="s">
        <v>121</v>
      </c>
      <c r="CT287" s="14"/>
      <c r="CU287" s="1" t="s">
        <v>192</v>
      </c>
      <c r="CV287" s="1" t="s">
        <v>168</v>
      </c>
      <c r="CW287" s="3"/>
      <c r="CY287" s="3" t="s">
        <v>205</v>
      </c>
      <c r="DG287" s="4"/>
    </row>
    <row r="288" customFormat="false" ht="11.25" hidden="false" customHeight="true" outlineLevel="0" collapsed="false">
      <c r="A288" s="14" t="n">
        <v>287</v>
      </c>
      <c r="B288" s="15" t="n">
        <v>46175.4652928009</v>
      </c>
      <c r="C288" s="15" t="n">
        <v>46175.4780474306</v>
      </c>
      <c r="D288" s="14" t="s">
        <v>1933</v>
      </c>
      <c r="E288" s="14" t="s">
        <v>1018</v>
      </c>
      <c r="F288" s="14" t="s">
        <v>1018</v>
      </c>
      <c r="G288" s="14" t="s">
        <v>1934</v>
      </c>
      <c r="H288" s="15" t="n">
        <v>46172</v>
      </c>
      <c r="I288" s="15" t="s">
        <v>278</v>
      </c>
      <c r="J288" s="14" t="s">
        <v>108</v>
      </c>
      <c r="K288" s="14" t="s">
        <v>245</v>
      </c>
      <c r="L288" s="14" t="s">
        <v>130</v>
      </c>
      <c r="M288" s="14" t="s">
        <v>111</v>
      </c>
      <c r="N288" s="14" t="s">
        <v>112</v>
      </c>
      <c r="O288" s="14" t="s">
        <v>113</v>
      </c>
      <c r="P288" s="14" t="s">
        <v>406</v>
      </c>
      <c r="Q288" s="14" t="s">
        <v>414</v>
      </c>
      <c r="R288" s="14"/>
      <c r="S288" s="14"/>
      <c r="T288" s="14"/>
      <c r="U288" s="14" t="s">
        <v>22</v>
      </c>
      <c r="V288" s="14"/>
      <c r="W288" s="14" t="s">
        <v>339</v>
      </c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 t="s">
        <v>1935</v>
      </c>
      <c r="BO288" s="14" t="s">
        <v>554</v>
      </c>
      <c r="BP288" s="14" t="s">
        <v>675</v>
      </c>
      <c r="BQ288" s="14"/>
      <c r="BR288" s="14"/>
      <c r="BS288" s="14"/>
      <c r="BT288" s="14"/>
      <c r="BU288" s="14"/>
      <c r="BV288" s="14"/>
      <c r="BW288" s="14"/>
      <c r="BX288" s="14"/>
      <c r="BY288" s="14"/>
      <c r="BZ288" s="14"/>
      <c r="CA288" s="14"/>
      <c r="CB288" s="14"/>
      <c r="CC288" s="14"/>
      <c r="CD288" s="14"/>
      <c r="CE288" s="14"/>
      <c r="CF288" s="14"/>
      <c r="CG288" s="14"/>
      <c r="CH288" s="14"/>
      <c r="CI288" s="14"/>
      <c r="CJ288" s="14"/>
      <c r="CK288" s="14"/>
      <c r="CL288" s="14"/>
      <c r="CR288" s="1" t="s">
        <v>227</v>
      </c>
      <c r="CS288" s="1" t="s">
        <v>264</v>
      </c>
      <c r="CT288" s="14" t="s">
        <v>122</v>
      </c>
      <c r="CU288" s="1" t="s">
        <v>123</v>
      </c>
      <c r="CV288" s="1" t="s">
        <v>124</v>
      </c>
      <c r="CW288" s="3"/>
      <c r="DG288" s="4"/>
    </row>
    <row r="289" customFormat="false" ht="11.25" hidden="false" customHeight="true" outlineLevel="0" collapsed="false">
      <c r="A289" s="14" t="n">
        <v>288</v>
      </c>
      <c r="B289" s="15" t="n">
        <v>46042.513492882</v>
      </c>
      <c r="C289" s="15" t="n">
        <v>46042.5197660301</v>
      </c>
      <c r="D289" s="14" t="s">
        <v>1936</v>
      </c>
      <c r="E289" s="14" t="s">
        <v>1937</v>
      </c>
      <c r="F289" s="14" t="s">
        <v>1937</v>
      </c>
      <c r="G289" s="14" t="s">
        <v>1938</v>
      </c>
      <c r="H289" s="15" t="n">
        <v>46025</v>
      </c>
      <c r="I289" s="15" t="s">
        <v>107</v>
      </c>
      <c r="J289" s="14" t="s">
        <v>295</v>
      </c>
      <c r="K289" s="14" t="s">
        <v>1939</v>
      </c>
      <c r="L289" s="14" t="s">
        <v>114</v>
      </c>
      <c r="M289" s="14" t="s">
        <v>111</v>
      </c>
      <c r="N289" s="14" t="s">
        <v>112</v>
      </c>
      <c r="O289" s="14" t="s">
        <v>113</v>
      </c>
      <c r="P289" s="14" t="s">
        <v>1074</v>
      </c>
      <c r="Q289" s="14" t="s">
        <v>775</v>
      </c>
      <c r="R289" s="14"/>
      <c r="S289" s="14"/>
      <c r="T289" s="14"/>
      <c r="U289" s="14" t="s">
        <v>21</v>
      </c>
      <c r="V289" s="14" t="s">
        <v>250</v>
      </c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 t="s">
        <v>117</v>
      </c>
      <c r="BF289" s="14" t="s">
        <v>680</v>
      </c>
      <c r="BG289" s="14" t="s">
        <v>330</v>
      </c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14"/>
      <c r="BS289" s="14"/>
      <c r="BT289" s="14"/>
      <c r="BU289" s="14"/>
      <c r="BV289" s="14"/>
      <c r="BW289" s="14"/>
      <c r="BX289" s="14"/>
      <c r="BY289" s="14"/>
      <c r="BZ289" s="14"/>
      <c r="CA289" s="14"/>
      <c r="CB289" s="14"/>
      <c r="CC289" s="14"/>
      <c r="CD289" s="14"/>
      <c r="CE289" s="14"/>
      <c r="CF289" s="14"/>
      <c r="CG289" s="14"/>
      <c r="CH289" s="14"/>
      <c r="CI289" s="14"/>
      <c r="CJ289" s="14"/>
      <c r="CK289" s="14"/>
      <c r="CL289" s="14"/>
      <c r="CR289" s="1" t="s">
        <v>152</v>
      </c>
      <c r="CS289" s="1" t="s">
        <v>121</v>
      </c>
      <c r="CT289" s="14" t="s">
        <v>1940</v>
      </c>
      <c r="CU289" s="1" t="s">
        <v>192</v>
      </c>
      <c r="CV289" s="1" t="s">
        <v>124</v>
      </c>
      <c r="CW289" s="3"/>
      <c r="DG289" s="4"/>
    </row>
    <row r="290" customFormat="false" ht="11.25" hidden="false" customHeight="true" outlineLevel="0" collapsed="false">
      <c r="A290" s="14" t="n">
        <v>289</v>
      </c>
      <c r="B290" s="15" t="n">
        <v>46142.7150739815</v>
      </c>
      <c r="C290" s="15" t="n">
        <v>46142.7173309259</v>
      </c>
      <c r="D290" s="14" t="s">
        <v>1941</v>
      </c>
      <c r="E290" s="14" t="s">
        <v>1942</v>
      </c>
      <c r="F290" s="14" t="s">
        <v>1943</v>
      </c>
      <c r="G290" s="14" t="s">
        <v>1944</v>
      </c>
      <c r="H290" s="15" t="n">
        <v>46136</v>
      </c>
      <c r="I290" s="15" t="s">
        <v>260</v>
      </c>
      <c r="J290" s="14" t="s">
        <v>108</v>
      </c>
      <c r="K290" s="14" t="s">
        <v>1572</v>
      </c>
      <c r="L290" s="14" t="s">
        <v>491</v>
      </c>
      <c r="M290" s="14" t="s">
        <v>111</v>
      </c>
      <c r="N290" s="14" t="s">
        <v>145</v>
      </c>
      <c r="O290" s="14" t="s">
        <v>113</v>
      </c>
      <c r="P290" s="14" t="s">
        <v>757</v>
      </c>
      <c r="Q290" s="14" t="s">
        <v>1028</v>
      </c>
      <c r="R290" s="14"/>
      <c r="S290" s="14"/>
      <c r="T290" s="14"/>
      <c r="U290" s="14" t="s">
        <v>22</v>
      </c>
      <c r="V290" s="14"/>
      <c r="W290" s="14" t="s">
        <v>298</v>
      </c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 t="s">
        <v>1945</v>
      </c>
      <c r="AW290" s="14" t="s">
        <v>1931</v>
      </c>
      <c r="AX290" s="14" t="s">
        <v>1556</v>
      </c>
      <c r="AY290" s="14"/>
      <c r="AZ290" s="14"/>
      <c r="BA290" s="14"/>
      <c r="BB290" s="14"/>
      <c r="BC290" s="14"/>
      <c r="BD290" s="14"/>
      <c r="BE290" s="14"/>
      <c r="BF290" s="14"/>
      <c r="BG290" s="14"/>
      <c r="BH290" s="14"/>
      <c r="BI290" s="14"/>
      <c r="BJ290" s="14"/>
      <c r="BK290" s="14"/>
      <c r="BL290" s="14"/>
      <c r="BM290" s="14"/>
      <c r="BN290" s="14"/>
      <c r="BO290" s="14"/>
      <c r="BP290" s="14"/>
      <c r="BQ290" s="14"/>
      <c r="BR290" s="14"/>
      <c r="BS290" s="14"/>
      <c r="BT290" s="14"/>
      <c r="BU290" s="14"/>
      <c r="BV290" s="14"/>
      <c r="BW290" s="14"/>
      <c r="BX290" s="14"/>
      <c r="BY290" s="14"/>
      <c r="BZ290" s="14"/>
      <c r="CA290" s="14"/>
      <c r="CB290" s="14"/>
      <c r="CC290" s="14"/>
      <c r="CD290" s="14"/>
      <c r="CE290" s="14"/>
      <c r="CF290" s="14"/>
      <c r="CG290" s="14"/>
      <c r="CH290" s="14"/>
      <c r="CI290" s="14"/>
      <c r="CJ290" s="14"/>
      <c r="CK290" s="14"/>
      <c r="CL290" s="14"/>
      <c r="CR290" s="1" t="s">
        <v>152</v>
      </c>
      <c r="CS290" s="1" t="s">
        <v>180</v>
      </c>
      <c r="CT290" s="14" t="s">
        <v>122</v>
      </c>
      <c r="CU290" s="1" t="s">
        <v>192</v>
      </c>
      <c r="CV290" s="1" t="s">
        <v>124</v>
      </c>
      <c r="CW290" s="3"/>
      <c r="DG290" s="4"/>
    </row>
    <row r="291" customFormat="false" ht="11.25" hidden="false" customHeight="true" outlineLevel="0" collapsed="false">
      <c r="A291" s="14" t="n">
        <v>290</v>
      </c>
      <c r="B291" s="15" t="n">
        <v>46098.1942474421</v>
      </c>
      <c r="C291" s="15" t="n">
        <v>46098.1995136458</v>
      </c>
      <c r="D291" s="14" t="s">
        <v>1946</v>
      </c>
      <c r="E291" s="14" t="s">
        <v>1947</v>
      </c>
      <c r="F291" s="14" t="s">
        <v>1947</v>
      </c>
      <c r="G291" s="14" t="s">
        <v>1948</v>
      </c>
      <c r="H291" s="15" t="n">
        <v>46088</v>
      </c>
      <c r="I291" s="15" t="s">
        <v>1949</v>
      </c>
      <c r="J291" s="14" t="s">
        <v>108</v>
      </c>
      <c r="K291" s="14" t="s">
        <v>1762</v>
      </c>
      <c r="L291" s="14" t="s">
        <v>184</v>
      </c>
      <c r="M291" s="14" t="s">
        <v>111</v>
      </c>
      <c r="N291" s="14" t="s">
        <v>112</v>
      </c>
      <c r="O291" s="14" t="s">
        <v>113</v>
      </c>
      <c r="P291" s="14" t="s">
        <v>757</v>
      </c>
      <c r="Q291" s="14" t="s">
        <v>701</v>
      </c>
      <c r="R291" s="14"/>
      <c r="S291" s="14"/>
      <c r="T291" s="14"/>
      <c r="U291" s="14" t="s">
        <v>21</v>
      </c>
      <c r="V291" s="14" t="s">
        <v>187</v>
      </c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 t="s">
        <v>188</v>
      </c>
      <c r="AQ291" s="14" t="s">
        <v>708</v>
      </c>
      <c r="AR291" s="14" t="s">
        <v>190</v>
      </c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  <c r="BS291" s="14"/>
      <c r="BT291" s="14"/>
      <c r="BU291" s="14"/>
      <c r="BV291" s="14"/>
      <c r="BW291" s="14"/>
      <c r="BX291" s="14"/>
      <c r="BY291" s="14"/>
      <c r="BZ291" s="14"/>
      <c r="CA291" s="14"/>
      <c r="CB291" s="14"/>
      <c r="CC291" s="14"/>
      <c r="CD291" s="14"/>
      <c r="CE291" s="14"/>
      <c r="CF291" s="14"/>
      <c r="CG291" s="14"/>
      <c r="CH291" s="14"/>
      <c r="CI291" s="14"/>
      <c r="CJ291" s="14"/>
      <c r="CK291" s="14"/>
      <c r="CL291" s="14"/>
      <c r="CR291" s="1" t="s">
        <v>152</v>
      </c>
      <c r="CS291" s="1" t="s">
        <v>121</v>
      </c>
      <c r="CT291" s="14" t="s">
        <v>1950</v>
      </c>
      <c r="CU291" s="1" t="s">
        <v>167</v>
      </c>
      <c r="CV291" s="1" t="s">
        <v>168</v>
      </c>
      <c r="CW291" s="3"/>
      <c r="DG291" s="4"/>
    </row>
    <row r="292" customFormat="false" ht="11.25" hidden="false" customHeight="true" outlineLevel="0" collapsed="false">
      <c r="A292" s="14" t="n">
        <v>291</v>
      </c>
      <c r="B292" s="15" t="n">
        <v>46207.8135031945</v>
      </c>
      <c r="C292" s="15" t="n">
        <v>46207.8288388426</v>
      </c>
      <c r="D292" s="14" t="s">
        <v>1951</v>
      </c>
      <c r="E292" s="14" t="s">
        <v>1952</v>
      </c>
      <c r="F292" s="14" t="s">
        <v>1952</v>
      </c>
      <c r="G292" s="14" t="s">
        <v>1953</v>
      </c>
      <c r="H292" s="15" t="n">
        <v>46204</v>
      </c>
      <c r="I292" s="15" t="s">
        <v>244</v>
      </c>
      <c r="J292" s="14" t="s">
        <v>295</v>
      </c>
      <c r="K292" s="14" t="s">
        <v>232</v>
      </c>
      <c r="L292" s="14" t="s">
        <v>114</v>
      </c>
      <c r="M292" s="14" t="s">
        <v>131</v>
      </c>
      <c r="N292" s="14" t="s">
        <v>112</v>
      </c>
      <c r="O292" s="14" t="s">
        <v>336</v>
      </c>
      <c r="P292" s="14" t="s">
        <v>212</v>
      </c>
      <c r="Q292" s="14" t="s">
        <v>1255</v>
      </c>
      <c r="R292" s="14"/>
      <c r="S292" s="14"/>
      <c r="T292" s="14"/>
      <c r="U292" s="14" t="s">
        <v>22</v>
      </c>
      <c r="V292" s="14"/>
      <c r="W292" s="14" t="s">
        <v>116</v>
      </c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14"/>
      <c r="BI292" s="14"/>
      <c r="BJ292" s="14"/>
      <c r="BK292" s="14"/>
      <c r="BL292" s="14"/>
      <c r="BM292" s="14"/>
      <c r="BN292" s="14"/>
      <c r="BO292" s="14"/>
      <c r="BP292" s="14"/>
      <c r="BQ292" s="14"/>
      <c r="BR292" s="14"/>
      <c r="BS292" s="14"/>
      <c r="BT292" s="14" t="s">
        <v>1954</v>
      </c>
      <c r="BU292" s="14" t="s">
        <v>602</v>
      </c>
      <c r="BV292" s="14" t="s">
        <v>330</v>
      </c>
      <c r="BW292" s="14"/>
      <c r="BX292" s="14"/>
      <c r="BY292" s="14"/>
      <c r="BZ292" s="14"/>
      <c r="CA292" s="14"/>
      <c r="CB292" s="14"/>
      <c r="CC292" s="14"/>
      <c r="CD292" s="14"/>
      <c r="CE292" s="14"/>
      <c r="CF292" s="14"/>
      <c r="CG292" s="14"/>
      <c r="CH292" s="14"/>
      <c r="CI292" s="14"/>
      <c r="CJ292" s="14"/>
      <c r="CK292" s="14"/>
      <c r="CL292" s="14"/>
      <c r="CR292" s="1" t="s">
        <v>120</v>
      </c>
      <c r="CS292" s="1" t="s">
        <v>180</v>
      </c>
      <c r="CT292" s="14" t="s">
        <v>122</v>
      </c>
      <c r="CU292" s="1" t="s">
        <v>123</v>
      </c>
      <c r="CV292" s="1" t="s">
        <v>139</v>
      </c>
      <c r="CW292" s="3"/>
      <c r="DG292" s="4"/>
    </row>
    <row r="293" customFormat="false" ht="11.25" hidden="false" customHeight="true" outlineLevel="0" collapsed="false">
      <c r="A293" s="14" t="n">
        <v>292</v>
      </c>
      <c r="B293" s="15" t="n">
        <v>46041.7441671759</v>
      </c>
      <c r="C293" s="15" t="n">
        <v>46041.7616208796</v>
      </c>
      <c r="D293" s="14" t="s">
        <v>1955</v>
      </c>
      <c r="E293" s="14" t="s">
        <v>1956</v>
      </c>
      <c r="F293" s="14" t="s">
        <v>1956</v>
      </c>
      <c r="G293" s="14" t="s">
        <v>1957</v>
      </c>
      <c r="H293" s="15" t="n">
        <v>46027</v>
      </c>
      <c r="I293" s="15" t="s">
        <v>107</v>
      </c>
      <c r="J293" s="14" t="s">
        <v>128</v>
      </c>
      <c r="K293" s="14" t="s">
        <v>232</v>
      </c>
      <c r="L293" s="14" t="s">
        <v>346</v>
      </c>
      <c r="M293" s="14" t="s">
        <v>211</v>
      </c>
      <c r="N293" s="14" t="s">
        <v>112</v>
      </c>
      <c r="O293" s="14" t="s">
        <v>325</v>
      </c>
      <c r="P293" s="14" t="s">
        <v>484</v>
      </c>
      <c r="Q293" s="14" t="s">
        <v>1958</v>
      </c>
      <c r="R293" s="14"/>
      <c r="S293" s="14"/>
      <c r="T293" s="14"/>
      <c r="U293" s="14" t="s">
        <v>22</v>
      </c>
      <c r="V293" s="14"/>
      <c r="W293" s="14" t="s">
        <v>148</v>
      </c>
      <c r="X293" s="14"/>
      <c r="Y293" s="14"/>
      <c r="Z293" s="14"/>
      <c r="AA293" s="14"/>
      <c r="AB293" s="14"/>
      <c r="AC293" s="14"/>
      <c r="AD293" s="14" t="s">
        <v>485</v>
      </c>
      <c r="AE293" s="14" t="s">
        <v>252</v>
      </c>
      <c r="AF293" s="14" t="s">
        <v>696</v>
      </c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14"/>
      <c r="BS293" s="14"/>
      <c r="BT293" s="14"/>
      <c r="BU293" s="14"/>
      <c r="BV293" s="14"/>
      <c r="BW293" s="14"/>
      <c r="BX293" s="14"/>
      <c r="BY293" s="14"/>
      <c r="BZ293" s="14"/>
      <c r="CA293" s="14"/>
      <c r="CB293" s="14"/>
      <c r="CC293" s="14"/>
      <c r="CD293" s="14"/>
      <c r="CE293" s="14"/>
      <c r="CF293" s="14"/>
      <c r="CG293" s="14"/>
      <c r="CH293" s="14"/>
      <c r="CI293" s="14"/>
      <c r="CJ293" s="14"/>
      <c r="CK293" s="14"/>
      <c r="CL293" s="14"/>
      <c r="CR293" s="1" t="s">
        <v>120</v>
      </c>
      <c r="CS293" s="1" t="s">
        <v>228</v>
      </c>
      <c r="CT293" s="14"/>
      <c r="CU293" s="1" t="s">
        <v>192</v>
      </c>
      <c r="CV293" s="1" t="s">
        <v>124</v>
      </c>
      <c r="CW293" s="3"/>
      <c r="DG293" s="4"/>
    </row>
    <row r="294" customFormat="false" ht="11.25" hidden="false" customHeight="true" outlineLevel="0" collapsed="false">
      <c r="A294" s="14" t="n">
        <v>293</v>
      </c>
      <c r="B294" s="15" t="n">
        <v>46170.1984881829</v>
      </c>
      <c r="C294" s="15" t="n">
        <v>46170.2099233681</v>
      </c>
      <c r="D294" s="14" t="s">
        <v>1959</v>
      </c>
      <c r="E294" s="14" t="s">
        <v>1960</v>
      </c>
      <c r="F294" s="14" t="s">
        <v>1960</v>
      </c>
      <c r="G294" s="14" t="s">
        <v>1961</v>
      </c>
      <c r="H294" s="15" t="n">
        <v>46166</v>
      </c>
      <c r="I294" s="15" t="s">
        <v>172</v>
      </c>
      <c r="J294" s="14" t="s">
        <v>108</v>
      </c>
      <c r="K294" s="14" t="s">
        <v>462</v>
      </c>
      <c r="L294" s="14" t="s">
        <v>210</v>
      </c>
      <c r="M294" s="14" t="s">
        <v>111</v>
      </c>
      <c r="N294" s="14" t="s">
        <v>112</v>
      </c>
      <c r="O294" s="14" t="s">
        <v>132</v>
      </c>
      <c r="P294" s="14" t="s">
        <v>736</v>
      </c>
      <c r="Q294" s="14" t="s">
        <v>653</v>
      </c>
      <c r="R294" s="14"/>
      <c r="S294" s="14"/>
      <c r="T294" s="14"/>
      <c r="U294" s="14" t="s">
        <v>22</v>
      </c>
      <c r="V294" s="14"/>
      <c r="W294" s="14" t="s">
        <v>116</v>
      </c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  <c r="BP294" s="14"/>
      <c r="BQ294" s="14"/>
      <c r="BR294" s="14"/>
      <c r="BS294" s="14"/>
      <c r="BT294" s="14" t="s">
        <v>1962</v>
      </c>
      <c r="BU294" s="14" t="s">
        <v>745</v>
      </c>
      <c r="BV294" s="14" t="s">
        <v>1817</v>
      </c>
      <c r="BW294" s="14"/>
      <c r="BX294" s="14"/>
      <c r="BY294" s="14"/>
      <c r="BZ294" s="14"/>
      <c r="CA294" s="14"/>
      <c r="CB294" s="14"/>
      <c r="CC294" s="14"/>
      <c r="CD294" s="14"/>
      <c r="CE294" s="14"/>
      <c r="CF294" s="14"/>
      <c r="CG294" s="14"/>
      <c r="CH294" s="14"/>
      <c r="CI294" s="14"/>
      <c r="CJ294" s="14"/>
      <c r="CK294" s="14"/>
      <c r="CL294" s="14"/>
      <c r="CR294" s="1" t="s">
        <v>152</v>
      </c>
      <c r="CS294" s="1" t="s">
        <v>121</v>
      </c>
      <c r="CT294" s="14"/>
      <c r="CU294" s="1" t="s">
        <v>123</v>
      </c>
      <c r="CV294" s="1" t="s">
        <v>124</v>
      </c>
      <c r="CW294" s="3"/>
      <c r="DG294" s="4"/>
    </row>
    <row r="295" customFormat="false" ht="11.25" hidden="false" customHeight="true" outlineLevel="0" collapsed="false">
      <c r="A295" s="14" t="n">
        <v>294</v>
      </c>
      <c r="B295" s="15" t="n">
        <v>46077.8085676042</v>
      </c>
      <c r="C295" s="15" t="n">
        <v>46077.826044456</v>
      </c>
      <c r="D295" s="14" t="s">
        <v>1963</v>
      </c>
      <c r="E295" s="14" t="s">
        <v>1964</v>
      </c>
      <c r="F295" s="14" t="s">
        <v>1964</v>
      </c>
      <c r="G295" s="14" t="s">
        <v>1965</v>
      </c>
      <c r="H295" s="15" t="n">
        <v>46074</v>
      </c>
      <c r="I295" s="15" t="s">
        <v>172</v>
      </c>
      <c r="J295" s="14" t="s">
        <v>108</v>
      </c>
      <c r="K295" s="14" t="s">
        <v>1966</v>
      </c>
      <c r="L295" s="14" t="s">
        <v>246</v>
      </c>
      <c r="M295" s="14" t="s">
        <v>111</v>
      </c>
      <c r="N295" s="14" t="s">
        <v>112</v>
      </c>
      <c r="O295" s="14" t="s">
        <v>113</v>
      </c>
      <c r="P295" s="14" t="s">
        <v>477</v>
      </c>
      <c r="Q295" s="14" t="s">
        <v>665</v>
      </c>
      <c r="R295" s="14"/>
      <c r="S295" s="14"/>
      <c r="T295" s="14"/>
      <c r="U295" s="14" t="s">
        <v>22</v>
      </c>
      <c r="V295" s="14"/>
      <c r="W295" s="14" t="s">
        <v>135</v>
      </c>
      <c r="X295" s="14"/>
      <c r="Y295" s="14"/>
      <c r="Z295" s="14"/>
      <c r="AA295" s="14" t="s">
        <v>1967</v>
      </c>
      <c r="AB295" s="14" t="s">
        <v>1968</v>
      </c>
      <c r="AC295" s="14" t="s">
        <v>368</v>
      </c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14"/>
      <c r="BS295" s="14"/>
      <c r="BT295" s="14"/>
      <c r="BU295" s="14"/>
      <c r="BV295" s="14"/>
      <c r="BW295" s="14"/>
      <c r="BX295" s="14"/>
      <c r="BY295" s="14"/>
      <c r="BZ295" s="14"/>
      <c r="CA295" s="14"/>
      <c r="CB295" s="14"/>
      <c r="CC295" s="14"/>
      <c r="CD295" s="14"/>
      <c r="CE295" s="14"/>
      <c r="CF295" s="14"/>
      <c r="CG295" s="14"/>
      <c r="CH295" s="14"/>
      <c r="CI295" s="14"/>
      <c r="CJ295" s="14"/>
      <c r="CK295" s="14"/>
      <c r="CL295" s="14"/>
      <c r="CR295" s="1" t="s">
        <v>152</v>
      </c>
      <c r="CS295" s="1" t="s">
        <v>121</v>
      </c>
      <c r="CT295" s="14"/>
      <c r="CU295" s="1" t="s">
        <v>192</v>
      </c>
      <c r="CV295" s="1" t="s">
        <v>124</v>
      </c>
      <c r="CW295" s="3"/>
      <c r="DG295" s="4"/>
    </row>
    <row r="296" customFormat="false" ht="11.25" hidden="false" customHeight="true" outlineLevel="0" collapsed="false">
      <c r="A296" s="14" t="n">
        <v>295</v>
      </c>
      <c r="B296" s="15" t="n">
        <v>46133.456692662</v>
      </c>
      <c r="C296" s="15" t="n">
        <v>46133.4706162732</v>
      </c>
      <c r="D296" s="14" t="s">
        <v>1969</v>
      </c>
      <c r="E296" s="14" t="s">
        <v>1970</v>
      </c>
      <c r="F296" s="14" t="s">
        <v>1970</v>
      </c>
      <c r="G296" s="14" t="s">
        <v>1971</v>
      </c>
      <c r="H296" s="15" t="n">
        <v>46120</v>
      </c>
      <c r="I296" s="15" t="s">
        <v>107</v>
      </c>
      <c r="J296" s="14" t="s">
        <v>108</v>
      </c>
      <c r="K296" s="14" t="s">
        <v>1972</v>
      </c>
      <c r="L296" s="14" t="s">
        <v>346</v>
      </c>
      <c r="M296" s="14" t="s">
        <v>111</v>
      </c>
      <c r="N296" s="14" t="s">
        <v>112</v>
      </c>
      <c r="O296" s="14" t="s">
        <v>113</v>
      </c>
      <c r="P296" s="14" t="s">
        <v>1074</v>
      </c>
      <c r="Q296" s="14" t="s">
        <v>1255</v>
      </c>
      <c r="R296" s="14"/>
      <c r="S296" s="14"/>
      <c r="T296" s="14"/>
      <c r="U296" s="14" t="s">
        <v>22</v>
      </c>
      <c r="V296" s="14"/>
      <c r="W296" s="14" t="s">
        <v>715</v>
      </c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 t="s">
        <v>1973</v>
      </c>
      <c r="BI296" s="14" t="s">
        <v>1974</v>
      </c>
      <c r="BJ296" s="14" t="s">
        <v>1975</v>
      </c>
      <c r="BK296" s="14"/>
      <c r="BL296" s="14"/>
      <c r="BM296" s="14"/>
      <c r="BN296" s="14"/>
      <c r="BO296" s="14"/>
      <c r="BP296" s="14"/>
      <c r="BQ296" s="14"/>
      <c r="BR296" s="14"/>
      <c r="BS296" s="14"/>
      <c r="BT296" s="14"/>
      <c r="BU296" s="14"/>
      <c r="BV296" s="14"/>
      <c r="BW296" s="14"/>
      <c r="BX296" s="14"/>
      <c r="BY296" s="14"/>
      <c r="BZ296" s="14"/>
      <c r="CA296" s="14"/>
      <c r="CB296" s="14"/>
      <c r="CC296" s="14"/>
      <c r="CD296" s="14"/>
      <c r="CE296" s="14"/>
      <c r="CF296" s="14"/>
      <c r="CG296" s="14"/>
      <c r="CH296" s="14"/>
      <c r="CI296" s="14"/>
      <c r="CJ296" s="14"/>
      <c r="CK296" s="14"/>
      <c r="CL296" s="14"/>
      <c r="CR296" s="1" t="s">
        <v>152</v>
      </c>
      <c r="CS296" s="1" t="s">
        <v>264</v>
      </c>
      <c r="CT296" s="14" t="s">
        <v>785</v>
      </c>
      <c r="CU296" s="1" t="s">
        <v>123</v>
      </c>
      <c r="CV296" s="1" t="s">
        <v>124</v>
      </c>
      <c r="CW296" s="3"/>
      <c r="DG296" s="4"/>
    </row>
    <row r="297" customFormat="false" ht="11.25" hidden="false" customHeight="true" outlineLevel="0" collapsed="false">
      <c r="A297" s="14" t="n">
        <v>296</v>
      </c>
      <c r="B297" s="15" t="n">
        <v>46045.315373912</v>
      </c>
      <c r="C297" s="15" t="n">
        <v>46045.3205590972</v>
      </c>
      <c r="D297" s="14" t="s">
        <v>1976</v>
      </c>
      <c r="E297" s="14" t="s">
        <v>1977</v>
      </c>
      <c r="F297" s="14" t="s">
        <v>1977</v>
      </c>
      <c r="G297" s="14" t="s">
        <v>1978</v>
      </c>
      <c r="H297" s="15" t="n">
        <v>46030</v>
      </c>
      <c r="I297" s="15" t="s">
        <v>260</v>
      </c>
      <c r="J297" s="14" t="s">
        <v>128</v>
      </c>
      <c r="K297" s="14" t="s">
        <v>1979</v>
      </c>
      <c r="L297" s="14" t="s">
        <v>389</v>
      </c>
      <c r="M297" s="14" t="s">
        <v>111</v>
      </c>
      <c r="N297" s="14" t="s">
        <v>145</v>
      </c>
      <c r="O297" s="14" t="s">
        <v>325</v>
      </c>
      <c r="P297" s="14" t="s">
        <v>391</v>
      </c>
      <c r="Q297" s="14" t="s">
        <v>1140</v>
      </c>
      <c r="R297" s="14"/>
      <c r="S297" s="14"/>
      <c r="T297" s="14"/>
      <c r="U297" s="14" t="s">
        <v>23</v>
      </c>
      <c r="V297" s="14"/>
      <c r="W297" s="14"/>
      <c r="X297" s="14" t="s">
        <v>1645</v>
      </c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4"/>
      <c r="BS297" s="14"/>
      <c r="BT297" s="14"/>
      <c r="BU297" s="14"/>
      <c r="BV297" s="14"/>
      <c r="BW297" s="14"/>
      <c r="BX297" s="14"/>
      <c r="BY297" s="14"/>
      <c r="BZ297" s="14"/>
      <c r="CA297" s="14"/>
      <c r="CB297" s="14"/>
      <c r="CC297" s="14"/>
      <c r="CD297" s="14"/>
      <c r="CE297" s="14"/>
      <c r="CF297" s="14"/>
      <c r="CG297" s="14"/>
      <c r="CH297" s="14"/>
      <c r="CI297" s="14"/>
      <c r="CJ297" s="14"/>
      <c r="CK297" s="14"/>
      <c r="CL297" s="14"/>
      <c r="CR297" s="1" t="s">
        <v>152</v>
      </c>
      <c r="CS297" s="1" t="s">
        <v>228</v>
      </c>
      <c r="CT297" s="14" t="s">
        <v>1980</v>
      </c>
      <c r="CU297" s="1" t="s">
        <v>123</v>
      </c>
      <c r="CV297" s="1" t="s">
        <v>139</v>
      </c>
      <c r="CW297" s="3"/>
      <c r="DG297" s="4"/>
    </row>
    <row r="298" customFormat="false" ht="11.25" hidden="false" customHeight="true" outlineLevel="0" collapsed="false">
      <c r="A298" s="14" t="n">
        <v>297</v>
      </c>
      <c r="B298" s="15" t="n">
        <v>46178.1915174884</v>
      </c>
      <c r="C298" s="15" t="n">
        <v>46178.1932188773</v>
      </c>
      <c r="D298" s="14" t="s">
        <v>1981</v>
      </c>
      <c r="E298" s="14" t="s">
        <v>1982</v>
      </c>
      <c r="F298" s="14" t="s">
        <v>1982</v>
      </c>
      <c r="G298" s="14" t="s">
        <v>1983</v>
      </c>
      <c r="H298" s="15" t="n">
        <v>46177</v>
      </c>
      <c r="I298" s="15" t="s">
        <v>244</v>
      </c>
      <c r="J298" s="14" t="s">
        <v>108</v>
      </c>
      <c r="K298" s="14" t="s">
        <v>173</v>
      </c>
      <c r="L298" s="14" t="s">
        <v>159</v>
      </c>
      <c r="M298" s="14" t="s">
        <v>111</v>
      </c>
      <c r="N298" s="14" t="s">
        <v>112</v>
      </c>
      <c r="O298" s="14" t="s">
        <v>113</v>
      </c>
      <c r="P298" s="14" t="s">
        <v>1074</v>
      </c>
      <c r="Q298" s="14" t="s">
        <v>758</v>
      </c>
      <c r="R298" s="14"/>
      <c r="S298" s="14"/>
      <c r="T298" s="14"/>
      <c r="U298" s="14" t="s">
        <v>22</v>
      </c>
      <c r="V298" s="14"/>
      <c r="W298" s="14" t="s">
        <v>116</v>
      </c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  <c r="BP298" s="14"/>
      <c r="BQ298" s="14"/>
      <c r="BR298" s="14"/>
      <c r="BS298" s="14"/>
      <c r="BT298" s="14" t="s">
        <v>679</v>
      </c>
      <c r="BU298" s="14" t="s">
        <v>1984</v>
      </c>
      <c r="BV298" s="14" t="s">
        <v>901</v>
      </c>
      <c r="BW298" s="14"/>
      <c r="BX298" s="14"/>
      <c r="BY298" s="14"/>
      <c r="BZ298" s="14"/>
      <c r="CA298" s="14"/>
      <c r="CB298" s="14"/>
      <c r="CC298" s="14"/>
      <c r="CD298" s="14"/>
      <c r="CE298" s="14"/>
      <c r="CF298" s="14"/>
      <c r="CG298" s="14"/>
      <c r="CH298" s="14"/>
      <c r="CI298" s="14"/>
      <c r="CJ298" s="14"/>
      <c r="CK298" s="14"/>
      <c r="CL298" s="14"/>
      <c r="CR298" s="1" t="s">
        <v>152</v>
      </c>
      <c r="CS298" s="1" t="s">
        <v>352</v>
      </c>
      <c r="CT298" s="14" t="s">
        <v>239</v>
      </c>
      <c r="CU298" s="1" t="s">
        <v>192</v>
      </c>
      <c r="CV298" s="1" t="s">
        <v>124</v>
      </c>
      <c r="CW298" s="3"/>
      <c r="DG298" s="4"/>
    </row>
    <row r="299" customFormat="false" ht="11.25" hidden="false" customHeight="true" outlineLevel="0" collapsed="false">
      <c r="A299" s="14" t="n">
        <v>298</v>
      </c>
      <c r="B299" s="15" t="n">
        <v>46127.8660765972</v>
      </c>
      <c r="C299" s="15" t="n">
        <v>46127.8703127083</v>
      </c>
      <c r="D299" s="14" t="s">
        <v>1985</v>
      </c>
      <c r="E299" s="14" t="s">
        <v>1986</v>
      </c>
      <c r="F299" s="14" t="s">
        <v>1986</v>
      </c>
      <c r="G299" s="14" t="s">
        <v>1987</v>
      </c>
      <c r="H299" s="15" t="n">
        <v>46119</v>
      </c>
      <c r="I299" s="15" t="s">
        <v>1949</v>
      </c>
      <c r="J299" s="14" t="s">
        <v>128</v>
      </c>
      <c r="K299" s="14" t="s">
        <v>143</v>
      </c>
      <c r="L299" s="14" t="s">
        <v>110</v>
      </c>
      <c r="M299" s="14" t="s">
        <v>131</v>
      </c>
      <c r="N299" s="14" t="s">
        <v>112</v>
      </c>
      <c r="O299" s="14" t="s">
        <v>113</v>
      </c>
      <c r="P299" s="14" t="s">
        <v>397</v>
      </c>
      <c r="Q299" s="14" t="s">
        <v>990</v>
      </c>
      <c r="R299" s="14"/>
      <c r="S299" s="14"/>
      <c r="T299" s="14"/>
      <c r="U299" s="14" t="s">
        <v>25</v>
      </c>
      <c r="V299" s="14"/>
      <c r="W299" s="14"/>
      <c r="X299" s="14"/>
      <c r="Y299" s="14"/>
      <c r="Z299" s="14" t="s">
        <v>327</v>
      </c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14"/>
      <c r="BS299" s="14"/>
      <c r="BT299" s="14"/>
      <c r="BU299" s="14"/>
      <c r="BV299" s="14"/>
      <c r="BW299" s="14"/>
      <c r="BX299" s="14"/>
      <c r="BY299" s="14"/>
      <c r="BZ299" s="14"/>
      <c r="CA299" s="14"/>
      <c r="CB299" s="14"/>
      <c r="CC299" s="14"/>
      <c r="CD299" s="14"/>
      <c r="CE299" s="14"/>
      <c r="CF299" s="14"/>
      <c r="CG299" s="14"/>
      <c r="CH299" s="14"/>
      <c r="CI299" s="14" t="s">
        <v>215</v>
      </c>
      <c r="CJ299" s="14" t="s">
        <v>745</v>
      </c>
      <c r="CK299" s="14" t="s">
        <v>955</v>
      </c>
      <c r="CL299" s="14"/>
      <c r="CR299" s="1" t="s">
        <v>152</v>
      </c>
      <c r="CS299" s="1" t="s">
        <v>121</v>
      </c>
      <c r="CT299" s="14" t="s">
        <v>1032</v>
      </c>
      <c r="CU299" s="1" t="s">
        <v>123</v>
      </c>
      <c r="CV299" s="1" t="s">
        <v>168</v>
      </c>
      <c r="CW299" s="3"/>
      <c r="DG299" s="4"/>
    </row>
    <row r="300" customFormat="false" ht="11.25" hidden="false" customHeight="true" outlineLevel="0" collapsed="false">
      <c r="A300" s="14" t="n">
        <v>299</v>
      </c>
      <c r="B300" s="15" t="n">
        <v>46171.2889223958</v>
      </c>
      <c r="C300" s="15" t="n">
        <v>46171.2979270255</v>
      </c>
      <c r="D300" s="14" t="s">
        <v>1988</v>
      </c>
      <c r="E300" s="14" t="s">
        <v>1989</v>
      </c>
      <c r="F300" s="14" t="s">
        <v>1989</v>
      </c>
      <c r="G300" s="14" t="s">
        <v>1990</v>
      </c>
      <c r="H300" s="15" t="n">
        <v>46163</v>
      </c>
      <c r="I300" s="15" t="s">
        <v>713</v>
      </c>
      <c r="J300" s="14" t="s">
        <v>108</v>
      </c>
      <c r="K300" s="14" t="s">
        <v>446</v>
      </c>
      <c r="L300" s="14" t="s">
        <v>389</v>
      </c>
      <c r="M300" s="14" t="s">
        <v>111</v>
      </c>
      <c r="N300" s="14" t="s">
        <v>112</v>
      </c>
      <c r="O300" s="14" t="s">
        <v>113</v>
      </c>
      <c r="P300" s="14" t="s">
        <v>736</v>
      </c>
      <c r="Q300" s="14" t="s">
        <v>422</v>
      </c>
      <c r="R300" s="14"/>
      <c r="S300" s="14"/>
      <c r="T300" s="14"/>
      <c r="U300" s="14" t="s">
        <v>22</v>
      </c>
      <c r="V300" s="14"/>
      <c r="W300" s="14" t="s">
        <v>298</v>
      </c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 t="s">
        <v>1191</v>
      </c>
      <c r="AW300" s="14" t="s">
        <v>1991</v>
      </c>
      <c r="AX300" s="14" t="s">
        <v>1992</v>
      </c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  <c r="BP300" s="14"/>
      <c r="BQ300" s="14"/>
      <c r="BR300" s="14"/>
      <c r="BS300" s="14"/>
      <c r="BT300" s="14"/>
      <c r="BU300" s="14"/>
      <c r="BV300" s="14"/>
      <c r="BW300" s="14"/>
      <c r="BX300" s="14"/>
      <c r="BY300" s="14"/>
      <c r="BZ300" s="14"/>
      <c r="CA300" s="14"/>
      <c r="CB300" s="14"/>
      <c r="CC300" s="14"/>
      <c r="CD300" s="14"/>
      <c r="CE300" s="14"/>
      <c r="CF300" s="14"/>
      <c r="CG300" s="14"/>
      <c r="CH300" s="14"/>
      <c r="CI300" s="14"/>
      <c r="CJ300" s="14"/>
      <c r="CK300" s="14"/>
      <c r="CL300" s="14"/>
      <c r="CR300" s="1" t="s">
        <v>152</v>
      </c>
      <c r="CS300" s="1" t="s">
        <v>264</v>
      </c>
      <c r="CT300" s="14" t="s">
        <v>122</v>
      </c>
      <c r="CU300" s="1" t="s">
        <v>123</v>
      </c>
      <c r="CV300" s="1" t="s">
        <v>124</v>
      </c>
      <c r="CW300" s="3" t="s">
        <v>928</v>
      </c>
      <c r="DG300" s="4"/>
    </row>
    <row r="301" customFormat="false" ht="11.25" hidden="false" customHeight="true" outlineLevel="0" collapsed="false">
      <c r="A301" s="14" t="n">
        <v>300</v>
      </c>
      <c r="B301" s="15" t="n">
        <v>46083.665758831</v>
      </c>
      <c r="C301" s="15" t="n">
        <v>46083.6777032755</v>
      </c>
      <c r="D301" s="14" t="s">
        <v>1993</v>
      </c>
      <c r="E301" s="14" t="s">
        <v>1994</v>
      </c>
      <c r="F301" s="14" t="s">
        <v>1995</v>
      </c>
      <c r="G301" s="14" t="s">
        <v>1996</v>
      </c>
      <c r="H301" s="15" t="n">
        <v>46066</v>
      </c>
      <c r="I301" s="15" t="s">
        <v>244</v>
      </c>
      <c r="J301" s="14" t="s">
        <v>108</v>
      </c>
      <c r="K301" s="14" t="s">
        <v>143</v>
      </c>
      <c r="L301" s="14" t="s">
        <v>431</v>
      </c>
      <c r="M301" s="14" t="s">
        <v>111</v>
      </c>
      <c r="N301" s="14" t="s">
        <v>112</v>
      </c>
      <c r="O301" s="14" t="s">
        <v>113</v>
      </c>
      <c r="P301" s="14" t="s">
        <v>774</v>
      </c>
      <c r="Q301" s="14" t="s">
        <v>1381</v>
      </c>
      <c r="R301" s="14"/>
      <c r="S301" s="14"/>
      <c r="T301" s="14" t="s">
        <v>880</v>
      </c>
      <c r="U301" s="14" t="s">
        <v>24</v>
      </c>
      <c r="V301" s="14"/>
      <c r="W301" s="14"/>
      <c r="X301" s="14"/>
      <c r="Y301" s="14" t="s">
        <v>19</v>
      </c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4"/>
      <c r="BT301" s="14"/>
      <c r="BU301" s="14"/>
      <c r="BV301" s="14"/>
      <c r="BW301" s="14"/>
      <c r="BX301" s="14"/>
      <c r="BY301" s="14"/>
      <c r="BZ301" s="14"/>
      <c r="CA301" s="14"/>
      <c r="CB301" s="14"/>
      <c r="CC301" s="14"/>
      <c r="CD301" s="14"/>
      <c r="CE301" s="14"/>
      <c r="CF301" s="14"/>
      <c r="CG301" s="14"/>
      <c r="CH301" s="14"/>
      <c r="CI301" s="14"/>
      <c r="CJ301" s="14"/>
      <c r="CK301" s="14"/>
      <c r="CL301" s="14"/>
      <c r="CR301" s="1" t="s">
        <v>120</v>
      </c>
      <c r="CS301" s="1" t="s">
        <v>121</v>
      </c>
      <c r="CT301" s="14" t="s">
        <v>961</v>
      </c>
      <c r="CU301" s="1" t="s">
        <v>123</v>
      </c>
      <c r="CV301" s="1" t="s">
        <v>124</v>
      </c>
      <c r="CW301" s="3" t="s">
        <v>219</v>
      </c>
      <c r="DG301" s="4"/>
    </row>
    <row r="302" customFormat="false" ht="11.25" hidden="false" customHeight="true" outlineLevel="0" collapsed="false">
      <c r="A302" s="14"/>
      <c r="B302" s="15"/>
      <c r="C302" s="15"/>
      <c r="D302" s="14"/>
      <c r="E302" s="14"/>
      <c r="F302" s="14"/>
      <c r="G302" s="14"/>
      <c r="H302" s="15"/>
      <c r="I302" s="15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  <c r="BP302" s="14"/>
      <c r="BQ302" s="14"/>
      <c r="BR302" s="14"/>
      <c r="BS302" s="14"/>
      <c r="BT302" s="14"/>
      <c r="BU302" s="14"/>
      <c r="BV302" s="14"/>
      <c r="BW302" s="14"/>
      <c r="BX302" s="14"/>
      <c r="BY302" s="14"/>
      <c r="BZ302" s="14"/>
      <c r="CA302" s="14"/>
      <c r="CB302" s="14"/>
      <c r="CC302" s="14"/>
      <c r="CD302" s="14"/>
      <c r="CE302" s="14"/>
      <c r="CF302" s="14"/>
      <c r="CG302" s="14"/>
      <c r="CH302" s="14"/>
      <c r="CI302" s="14"/>
      <c r="CJ302" s="14"/>
      <c r="CK302" s="14"/>
      <c r="CL302" s="14"/>
      <c r="CT302" s="14"/>
      <c r="CW302" s="3"/>
      <c r="DG302" s="4"/>
    </row>
    <row r="303" customFormat="false" ht="11.25" hidden="false" customHeight="true" outlineLevel="0" collapsed="false">
      <c r="A303" s="14"/>
      <c r="B303" s="15"/>
      <c r="C303" s="15"/>
      <c r="D303" s="14"/>
      <c r="E303" s="14"/>
      <c r="F303" s="14"/>
      <c r="G303" s="14"/>
      <c r="H303" s="15"/>
      <c r="I303" s="15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14"/>
      <c r="BS303" s="14"/>
      <c r="BT303" s="14"/>
      <c r="BU303" s="14"/>
      <c r="BV303" s="14"/>
      <c r="BW303" s="14"/>
      <c r="BX303" s="14"/>
      <c r="BY303" s="14"/>
      <c r="BZ303" s="14"/>
      <c r="CA303" s="14"/>
      <c r="CB303" s="14"/>
      <c r="CC303" s="14"/>
      <c r="CD303" s="14"/>
      <c r="CE303" s="14"/>
      <c r="CF303" s="14"/>
      <c r="CG303" s="14"/>
      <c r="CH303" s="14"/>
      <c r="CI303" s="14"/>
      <c r="CJ303" s="14"/>
      <c r="CK303" s="14"/>
      <c r="CL303" s="14"/>
      <c r="CT303" s="14"/>
      <c r="CW303" s="3"/>
      <c r="DG303" s="4"/>
    </row>
    <row r="304" customFormat="false" ht="11.25" hidden="false" customHeight="true" outlineLevel="0" collapsed="false">
      <c r="A304" s="14"/>
      <c r="B304" s="15"/>
      <c r="C304" s="15"/>
      <c r="D304" s="14"/>
      <c r="E304" s="14"/>
      <c r="F304" s="14"/>
      <c r="G304" s="14"/>
      <c r="H304" s="15"/>
      <c r="I304" s="15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  <c r="BP304" s="14"/>
      <c r="BQ304" s="14"/>
      <c r="BR304" s="14"/>
      <c r="BS304" s="14"/>
      <c r="BT304" s="14"/>
      <c r="BU304" s="14"/>
      <c r="BV304" s="14"/>
      <c r="BW304" s="14"/>
      <c r="BX304" s="14"/>
      <c r="BY304" s="14"/>
      <c r="BZ304" s="14"/>
      <c r="CA304" s="14"/>
      <c r="CB304" s="14"/>
      <c r="CC304" s="14"/>
      <c r="CD304" s="14"/>
      <c r="CE304" s="14"/>
      <c r="CF304" s="14"/>
      <c r="CG304" s="14"/>
      <c r="CH304" s="14"/>
      <c r="CI304" s="14"/>
      <c r="CJ304" s="14"/>
      <c r="CK304" s="14"/>
      <c r="CL304" s="14"/>
      <c r="CT304" s="14"/>
      <c r="CW304" s="3"/>
      <c r="DG304" s="4"/>
    </row>
    <row r="305" customFormat="false" ht="11.25" hidden="false" customHeight="true" outlineLevel="0" collapsed="false">
      <c r="A305" s="14"/>
      <c r="B305" s="15"/>
      <c r="C305" s="15"/>
      <c r="D305" s="14"/>
      <c r="E305" s="14"/>
      <c r="F305" s="14"/>
      <c r="G305" s="14"/>
      <c r="H305" s="15"/>
      <c r="I305" s="15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14"/>
      <c r="BS305" s="14"/>
      <c r="BT305" s="14"/>
      <c r="BU305" s="14"/>
      <c r="BV305" s="14"/>
      <c r="BW305" s="14"/>
      <c r="BX305" s="14"/>
      <c r="BY305" s="14"/>
      <c r="BZ305" s="14"/>
      <c r="CA305" s="14"/>
      <c r="CB305" s="14"/>
      <c r="CC305" s="14"/>
      <c r="CD305" s="14"/>
      <c r="CE305" s="14"/>
      <c r="CF305" s="14"/>
      <c r="CG305" s="14"/>
      <c r="CH305" s="14"/>
      <c r="CI305" s="14"/>
      <c r="CJ305" s="14"/>
      <c r="CK305" s="14"/>
      <c r="CL305" s="14"/>
      <c r="CT305" s="14"/>
      <c r="CW305" s="3"/>
      <c r="DG305" s="4"/>
    </row>
    <row r="306" customFormat="false" ht="11.25" hidden="false" customHeight="true" outlineLevel="0" collapsed="false">
      <c r="A306" s="14"/>
      <c r="B306" s="15"/>
      <c r="C306" s="15"/>
      <c r="D306" s="14"/>
      <c r="E306" s="14"/>
      <c r="F306" s="14"/>
      <c r="G306" s="14"/>
      <c r="H306" s="15"/>
      <c r="I306" s="15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  <c r="BP306" s="14"/>
      <c r="BQ306" s="14"/>
      <c r="BR306" s="14"/>
      <c r="BS306" s="14"/>
      <c r="BT306" s="14"/>
      <c r="BU306" s="14"/>
      <c r="BV306" s="14"/>
      <c r="BW306" s="14"/>
      <c r="BX306" s="14"/>
      <c r="BY306" s="14"/>
      <c r="BZ306" s="14"/>
      <c r="CA306" s="14"/>
      <c r="CB306" s="14"/>
      <c r="CC306" s="14"/>
      <c r="CD306" s="14"/>
      <c r="CE306" s="14"/>
      <c r="CF306" s="14"/>
      <c r="CG306" s="14"/>
      <c r="CH306" s="14"/>
      <c r="CI306" s="14"/>
      <c r="CJ306" s="14"/>
      <c r="CK306" s="14"/>
      <c r="CL306" s="14"/>
      <c r="CT306" s="14"/>
      <c r="CW306" s="3"/>
      <c r="DG306" s="4"/>
    </row>
    <row r="307" customFormat="false" ht="11.25" hidden="false" customHeight="true" outlineLevel="0" collapsed="false">
      <c r="A307" s="14"/>
      <c r="B307" s="15"/>
      <c r="C307" s="15"/>
      <c r="D307" s="14"/>
      <c r="E307" s="14"/>
      <c r="F307" s="14"/>
      <c r="G307" s="14"/>
      <c r="H307" s="15"/>
      <c r="I307" s="15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4"/>
      <c r="BT307" s="14"/>
      <c r="BU307" s="14"/>
      <c r="BV307" s="14"/>
      <c r="BW307" s="14"/>
      <c r="BX307" s="14"/>
      <c r="BY307" s="14"/>
      <c r="BZ307" s="14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T307" s="14"/>
      <c r="CW307" s="3"/>
      <c r="DG307" s="4"/>
    </row>
    <row r="308" customFormat="false" ht="11.25" hidden="false" customHeight="true" outlineLevel="0" collapsed="false">
      <c r="A308" s="14"/>
      <c r="B308" s="15"/>
      <c r="C308" s="15"/>
      <c r="D308" s="14"/>
      <c r="E308" s="14"/>
      <c r="F308" s="14"/>
      <c r="G308" s="14"/>
      <c r="H308" s="15"/>
      <c r="I308" s="15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  <c r="BP308" s="14"/>
      <c r="BQ308" s="14"/>
      <c r="BR308" s="14"/>
      <c r="BS308" s="14"/>
      <c r="BT308" s="14"/>
      <c r="BU308" s="14"/>
      <c r="BV308" s="14"/>
      <c r="BW308" s="14"/>
      <c r="BX308" s="14"/>
      <c r="BY308" s="14"/>
      <c r="BZ308" s="14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T308" s="14"/>
      <c r="CW308" s="3"/>
      <c r="DG308" s="4"/>
    </row>
    <row r="309" customFormat="false" ht="11.25" hidden="false" customHeight="true" outlineLevel="0" collapsed="false">
      <c r="A309" s="14"/>
      <c r="B309" s="15"/>
      <c r="C309" s="15"/>
      <c r="D309" s="14"/>
      <c r="E309" s="14"/>
      <c r="F309" s="14"/>
      <c r="G309" s="14"/>
      <c r="H309" s="15"/>
      <c r="I309" s="15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4"/>
      <c r="BS309" s="14"/>
      <c r="BT309" s="14"/>
      <c r="BU309" s="14"/>
      <c r="BV309" s="14"/>
      <c r="BW309" s="14"/>
      <c r="BX309" s="14"/>
      <c r="BY309" s="14"/>
      <c r="BZ309" s="14"/>
      <c r="CA309" s="14"/>
      <c r="CB309" s="14"/>
      <c r="CC309" s="14"/>
      <c r="CD309" s="14"/>
      <c r="CE309" s="14"/>
      <c r="CF309" s="14"/>
      <c r="CG309" s="14"/>
      <c r="CH309" s="14"/>
      <c r="CI309" s="14"/>
      <c r="CJ309" s="14"/>
      <c r="CK309" s="14"/>
      <c r="CL309" s="14"/>
      <c r="CT309" s="14"/>
      <c r="CW309" s="3"/>
      <c r="DG309" s="4"/>
    </row>
    <row r="310" customFormat="false" ht="11.25" hidden="false" customHeight="true" outlineLevel="0" collapsed="false">
      <c r="A310" s="14"/>
      <c r="B310" s="15"/>
      <c r="C310" s="15"/>
      <c r="D310" s="14"/>
      <c r="E310" s="14"/>
      <c r="F310" s="14"/>
      <c r="G310" s="14"/>
      <c r="H310" s="15"/>
      <c r="I310" s="15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  <c r="BP310" s="14"/>
      <c r="BQ310" s="14"/>
      <c r="BR310" s="14"/>
      <c r="BS310" s="14"/>
      <c r="BT310" s="14"/>
      <c r="BU310" s="14"/>
      <c r="BV310" s="14"/>
      <c r="BW310" s="14"/>
      <c r="BX310" s="14"/>
      <c r="BY310" s="14"/>
      <c r="BZ310" s="14"/>
      <c r="CA310" s="14"/>
      <c r="CB310" s="14"/>
      <c r="CC310" s="14"/>
      <c r="CD310" s="14"/>
      <c r="CE310" s="14"/>
      <c r="CF310" s="14"/>
      <c r="CG310" s="14"/>
      <c r="CH310" s="14"/>
      <c r="CI310" s="14"/>
      <c r="CJ310" s="14"/>
      <c r="CK310" s="14"/>
      <c r="CL310" s="14"/>
      <c r="CT310" s="14"/>
      <c r="CW310" s="3"/>
      <c r="DG310" s="4"/>
    </row>
    <row r="311" customFormat="false" ht="11.25" hidden="false" customHeight="true" outlineLevel="0" collapsed="false">
      <c r="A311" s="14"/>
      <c r="B311" s="15"/>
      <c r="C311" s="15"/>
      <c r="D311" s="14"/>
      <c r="E311" s="14"/>
      <c r="F311" s="14"/>
      <c r="G311" s="14"/>
      <c r="H311" s="15"/>
      <c r="I311" s="15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  <c r="BP311" s="14"/>
      <c r="BQ311" s="14"/>
      <c r="BR311" s="14"/>
      <c r="BS311" s="14"/>
      <c r="BT311" s="14"/>
      <c r="BU311" s="14"/>
      <c r="BV311" s="14"/>
      <c r="BW311" s="14"/>
      <c r="BX311" s="14"/>
      <c r="BY311" s="14"/>
      <c r="BZ311" s="14"/>
      <c r="CA311" s="14"/>
      <c r="CB311" s="14"/>
      <c r="CC311" s="14"/>
      <c r="CD311" s="14"/>
      <c r="CE311" s="14"/>
      <c r="CF311" s="14"/>
      <c r="CG311" s="14"/>
      <c r="CH311" s="14"/>
      <c r="CI311" s="14"/>
      <c r="CJ311" s="14"/>
      <c r="CK311" s="14"/>
      <c r="CL311" s="14"/>
      <c r="CT311" s="14"/>
      <c r="CW311" s="3"/>
      <c r="DG311" s="4"/>
    </row>
    <row r="312" customFormat="false" ht="11.25" hidden="false" customHeight="true" outlineLevel="0" collapsed="false">
      <c r="A312" s="14"/>
      <c r="B312" s="15"/>
      <c r="C312" s="15"/>
      <c r="D312" s="14"/>
      <c r="E312" s="14"/>
      <c r="F312" s="14"/>
      <c r="G312" s="14"/>
      <c r="H312" s="15"/>
      <c r="I312" s="15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14"/>
      <c r="BI312" s="14"/>
      <c r="BJ312" s="14"/>
      <c r="BK312" s="14"/>
      <c r="BL312" s="14"/>
      <c r="BM312" s="14"/>
      <c r="BN312" s="14"/>
      <c r="BO312" s="14"/>
      <c r="BP312" s="14"/>
      <c r="BQ312" s="14"/>
      <c r="BR312" s="14"/>
      <c r="BS312" s="14"/>
      <c r="BT312" s="14"/>
      <c r="BU312" s="14"/>
      <c r="BV312" s="14"/>
      <c r="BW312" s="14"/>
      <c r="BX312" s="14"/>
      <c r="BY312" s="14"/>
      <c r="BZ312" s="14"/>
      <c r="CA312" s="14"/>
      <c r="CB312" s="14"/>
      <c r="CC312" s="14"/>
      <c r="CD312" s="14"/>
      <c r="CE312" s="14"/>
      <c r="CF312" s="14"/>
      <c r="CG312" s="14"/>
      <c r="CH312" s="14"/>
      <c r="CI312" s="14"/>
      <c r="CJ312" s="14"/>
      <c r="CK312" s="14"/>
      <c r="CL312" s="14"/>
      <c r="CT312" s="14"/>
      <c r="CW312" s="3"/>
      <c r="DG312" s="4"/>
    </row>
    <row r="313" customFormat="false" ht="11.25" hidden="false" customHeight="true" outlineLevel="0" collapsed="false">
      <c r="A313" s="14"/>
      <c r="B313" s="15"/>
      <c r="C313" s="15"/>
      <c r="D313" s="14"/>
      <c r="E313" s="14"/>
      <c r="F313" s="14"/>
      <c r="G313" s="14"/>
      <c r="H313" s="15"/>
      <c r="I313" s="15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  <c r="BP313" s="14"/>
      <c r="BQ313" s="14"/>
      <c r="BR313" s="14"/>
      <c r="BS313" s="14"/>
      <c r="BT313" s="14"/>
      <c r="BU313" s="14"/>
      <c r="BV313" s="14"/>
      <c r="BW313" s="14"/>
      <c r="BX313" s="14"/>
      <c r="BY313" s="14"/>
      <c r="BZ313" s="14"/>
      <c r="CA313" s="14"/>
      <c r="CB313" s="14"/>
      <c r="CC313" s="14"/>
      <c r="CD313" s="14"/>
      <c r="CE313" s="14"/>
      <c r="CF313" s="14"/>
      <c r="CG313" s="14"/>
      <c r="CH313" s="14"/>
      <c r="CI313" s="14"/>
      <c r="CJ313" s="14"/>
      <c r="CK313" s="14"/>
      <c r="CL313" s="14"/>
      <c r="CT313" s="14"/>
      <c r="CW313" s="3"/>
      <c r="DG313" s="4"/>
    </row>
    <row r="314" customFormat="false" ht="11.25" hidden="false" customHeight="true" outlineLevel="0" collapsed="false">
      <c r="A314" s="14"/>
      <c r="B314" s="15"/>
      <c r="C314" s="15"/>
      <c r="D314" s="14"/>
      <c r="E314" s="14"/>
      <c r="F314" s="14"/>
      <c r="G314" s="14"/>
      <c r="H314" s="15"/>
      <c r="I314" s="15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/>
      <c r="BJ314" s="14"/>
      <c r="BK314" s="14"/>
      <c r="BL314" s="14"/>
      <c r="BM314" s="14"/>
      <c r="BN314" s="14"/>
      <c r="BO314" s="14"/>
      <c r="BP314" s="14"/>
      <c r="BQ314" s="14"/>
      <c r="BR314" s="14"/>
      <c r="BS314" s="14"/>
      <c r="BT314" s="14"/>
      <c r="BU314" s="14"/>
      <c r="BV314" s="14"/>
      <c r="BW314" s="14"/>
      <c r="BX314" s="14"/>
      <c r="BY314" s="14"/>
      <c r="BZ314" s="14"/>
      <c r="CA314" s="14"/>
      <c r="CB314" s="14"/>
      <c r="CC314" s="14"/>
      <c r="CD314" s="14"/>
      <c r="CE314" s="14"/>
      <c r="CF314" s="14"/>
      <c r="CG314" s="14"/>
      <c r="CH314" s="14"/>
      <c r="CI314" s="14"/>
      <c r="CJ314" s="14"/>
      <c r="CK314" s="14"/>
      <c r="CL314" s="14"/>
      <c r="CT314" s="14"/>
      <c r="CW314" s="3"/>
      <c r="DG314" s="4"/>
    </row>
    <row r="315" customFormat="false" ht="11.25" hidden="false" customHeight="true" outlineLevel="0" collapsed="false">
      <c r="A315" s="14"/>
      <c r="B315" s="15"/>
      <c r="C315" s="15"/>
      <c r="D315" s="14"/>
      <c r="E315" s="14"/>
      <c r="F315" s="14"/>
      <c r="G315" s="14"/>
      <c r="H315" s="15"/>
      <c r="I315" s="15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14"/>
      <c r="BQ315" s="14"/>
      <c r="BR315" s="14"/>
      <c r="BS315" s="14"/>
      <c r="BT315" s="14"/>
      <c r="BU315" s="14"/>
      <c r="BV315" s="14"/>
      <c r="BW315" s="14"/>
      <c r="BX315" s="14"/>
      <c r="BY315" s="14"/>
      <c r="BZ315" s="14"/>
      <c r="CA315" s="14"/>
      <c r="CB315" s="14"/>
      <c r="CC315" s="14"/>
      <c r="CD315" s="14"/>
      <c r="CE315" s="14"/>
      <c r="CF315" s="14"/>
      <c r="CG315" s="14"/>
      <c r="CH315" s="14"/>
      <c r="CI315" s="14"/>
      <c r="CJ315" s="14"/>
      <c r="CK315" s="14"/>
      <c r="CL315" s="14"/>
      <c r="CT315" s="14"/>
      <c r="CW315" s="3"/>
      <c r="DG315" s="4"/>
    </row>
    <row r="316" customFormat="false" ht="11.25" hidden="false" customHeight="true" outlineLevel="0" collapsed="false">
      <c r="A316" s="14"/>
      <c r="B316" s="15"/>
      <c r="C316" s="15"/>
      <c r="D316" s="14"/>
      <c r="E316" s="14"/>
      <c r="F316" s="14"/>
      <c r="G316" s="14"/>
      <c r="H316" s="15"/>
      <c r="I316" s="15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/>
      <c r="BJ316" s="14"/>
      <c r="BK316" s="14"/>
      <c r="BL316" s="14"/>
      <c r="BM316" s="14"/>
      <c r="BN316" s="14"/>
      <c r="BO316" s="14"/>
      <c r="BP316" s="14"/>
      <c r="BQ316" s="14"/>
      <c r="BR316" s="14"/>
      <c r="BS316" s="14"/>
      <c r="BT316" s="14"/>
      <c r="BU316" s="14"/>
      <c r="BV316" s="14"/>
      <c r="BW316" s="14"/>
      <c r="BX316" s="14"/>
      <c r="BY316" s="14"/>
      <c r="BZ316" s="14"/>
      <c r="CA316" s="14"/>
      <c r="CB316" s="14"/>
      <c r="CC316" s="14"/>
      <c r="CD316" s="14"/>
      <c r="CE316" s="14"/>
      <c r="CF316" s="14"/>
      <c r="CG316" s="14"/>
      <c r="CH316" s="14"/>
      <c r="CI316" s="14"/>
      <c r="CJ316" s="14"/>
      <c r="CK316" s="14"/>
      <c r="CL316" s="14"/>
      <c r="CT316" s="14"/>
      <c r="CW316" s="3"/>
      <c r="DG316" s="4"/>
    </row>
    <row r="317" customFormat="false" ht="11.25" hidden="false" customHeight="true" outlineLevel="0" collapsed="false">
      <c r="A317" s="14"/>
      <c r="B317" s="15"/>
      <c r="C317" s="15"/>
      <c r="D317" s="14"/>
      <c r="E317" s="14"/>
      <c r="F317" s="14"/>
      <c r="G317" s="14"/>
      <c r="H317" s="15"/>
      <c r="I317" s="15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4"/>
      <c r="BP317" s="14"/>
      <c r="BQ317" s="14"/>
      <c r="BR317" s="14"/>
      <c r="BS317" s="14"/>
      <c r="BT317" s="14"/>
      <c r="BU317" s="14"/>
      <c r="BV317" s="14"/>
      <c r="BW317" s="14"/>
      <c r="BX317" s="14"/>
      <c r="BY317" s="14"/>
      <c r="BZ317" s="14"/>
      <c r="CA317" s="14"/>
      <c r="CB317" s="14"/>
      <c r="CC317" s="14"/>
      <c r="CD317" s="14"/>
      <c r="CE317" s="14"/>
      <c r="CF317" s="14"/>
      <c r="CG317" s="14"/>
      <c r="CH317" s="14"/>
      <c r="CI317" s="14"/>
      <c r="CJ317" s="14"/>
      <c r="CK317" s="14"/>
      <c r="CL317" s="14"/>
      <c r="CT317" s="14"/>
      <c r="CW317" s="3"/>
      <c r="DG317" s="4"/>
    </row>
    <row r="318" customFormat="false" ht="11.25" hidden="false" customHeight="true" outlineLevel="0" collapsed="false">
      <c r="A318" s="14"/>
      <c r="B318" s="15"/>
      <c r="C318" s="15"/>
      <c r="D318" s="14"/>
      <c r="E318" s="14"/>
      <c r="F318" s="14"/>
      <c r="G318" s="14"/>
      <c r="H318" s="15"/>
      <c r="I318" s="15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  <c r="BN318" s="14"/>
      <c r="BO318" s="14"/>
      <c r="BP318" s="14"/>
      <c r="BQ318" s="14"/>
      <c r="BR318" s="14"/>
      <c r="BS318" s="14"/>
      <c r="BT318" s="14"/>
      <c r="BU318" s="14"/>
      <c r="BV318" s="14"/>
      <c r="BW318" s="14"/>
      <c r="BX318" s="14"/>
      <c r="BY318" s="14"/>
      <c r="BZ318" s="14"/>
      <c r="CA318" s="14"/>
      <c r="CB318" s="14"/>
      <c r="CC318" s="14"/>
      <c r="CD318" s="14"/>
      <c r="CE318" s="14"/>
      <c r="CF318" s="14"/>
      <c r="CG318" s="14"/>
      <c r="CH318" s="14"/>
      <c r="CI318" s="14"/>
      <c r="CJ318" s="14"/>
      <c r="CK318" s="14"/>
      <c r="CL318" s="14"/>
      <c r="CT318" s="14"/>
      <c r="CW318" s="3"/>
      <c r="DG318" s="4"/>
    </row>
    <row r="319" customFormat="false" ht="11.25" hidden="false" customHeight="true" outlineLevel="0" collapsed="false">
      <c r="A319" s="14"/>
      <c r="B319" s="15"/>
      <c r="C319" s="15"/>
      <c r="D319" s="14"/>
      <c r="E319" s="14"/>
      <c r="F319" s="14"/>
      <c r="G319" s="14"/>
      <c r="H319" s="15"/>
      <c r="I319" s="15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  <c r="BP319" s="14"/>
      <c r="BQ319" s="14"/>
      <c r="BR319" s="14"/>
      <c r="BS319" s="14"/>
      <c r="BT319" s="14"/>
      <c r="BU319" s="14"/>
      <c r="BV319" s="14"/>
      <c r="BW319" s="14"/>
      <c r="BX319" s="14"/>
      <c r="BY319" s="14"/>
      <c r="BZ319" s="14"/>
      <c r="CA319" s="14"/>
      <c r="CB319" s="14"/>
      <c r="CC319" s="14"/>
      <c r="CD319" s="14"/>
      <c r="CE319" s="14"/>
      <c r="CF319" s="14"/>
      <c r="CG319" s="14"/>
      <c r="CH319" s="14"/>
      <c r="CI319" s="14"/>
      <c r="CJ319" s="14"/>
      <c r="CK319" s="14"/>
      <c r="CL319" s="14"/>
      <c r="CT319" s="14"/>
      <c r="CW319" s="3"/>
      <c r="DG319" s="4"/>
    </row>
    <row r="320" customFormat="false" ht="11.25" hidden="false" customHeight="true" outlineLevel="0" collapsed="false">
      <c r="A320" s="14"/>
      <c r="B320" s="15"/>
      <c r="C320" s="15"/>
      <c r="D320" s="14"/>
      <c r="E320" s="14"/>
      <c r="F320" s="14"/>
      <c r="G320" s="14"/>
      <c r="H320" s="15"/>
      <c r="I320" s="15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4"/>
      <c r="BS320" s="14"/>
      <c r="BT320" s="14"/>
      <c r="BU320" s="14"/>
      <c r="BV320" s="14"/>
      <c r="BW320" s="14"/>
      <c r="BX320" s="14"/>
      <c r="BY320" s="14"/>
      <c r="BZ320" s="14"/>
      <c r="CA320" s="14"/>
      <c r="CB320" s="14"/>
      <c r="CC320" s="14"/>
      <c r="CD320" s="14"/>
      <c r="CE320" s="14"/>
      <c r="CF320" s="14"/>
      <c r="CG320" s="14"/>
      <c r="CH320" s="14"/>
      <c r="CI320" s="14"/>
      <c r="CJ320" s="14"/>
      <c r="CK320" s="14"/>
      <c r="CL320" s="14"/>
      <c r="CT320" s="14"/>
      <c r="CW320" s="3"/>
      <c r="DG320" s="4"/>
    </row>
    <row r="321" customFormat="false" ht="11.25" hidden="false" customHeight="true" outlineLevel="0" collapsed="false">
      <c r="A321" s="14"/>
      <c r="B321" s="15"/>
      <c r="C321" s="15"/>
      <c r="D321" s="14"/>
      <c r="E321" s="14"/>
      <c r="F321" s="14"/>
      <c r="G321" s="14"/>
      <c r="H321" s="15"/>
      <c r="I321" s="15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  <c r="BP321" s="14"/>
      <c r="BQ321" s="14"/>
      <c r="BR321" s="14"/>
      <c r="BS321" s="14"/>
      <c r="BT321" s="14"/>
      <c r="BU321" s="14"/>
      <c r="BV321" s="14"/>
      <c r="BW321" s="14"/>
      <c r="BX321" s="14"/>
      <c r="BY321" s="14"/>
      <c r="BZ321" s="14"/>
      <c r="CA321" s="14"/>
      <c r="CB321" s="14"/>
      <c r="CC321" s="14"/>
      <c r="CD321" s="14"/>
      <c r="CE321" s="14"/>
      <c r="CF321" s="14"/>
      <c r="CG321" s="14"/>
      <c r="CH321" s="14"/>
      <c r="CI321" s="14"/>
      <c r="CJ321" s="14"/>
      <c r="CK321" s="14"/>
      <c r="CL321" s="14"/>
      <c r="CT321" s="14"/>
      <c r="CW321" s="3"/>
      <c r="DG321" s="4"/>
    </row>
    <row r="322" customFormat="false" ht="11.25" hidden="false" customHeight="true" outlineLevel="0" collapsed="false">
      <c r="A322" s="14"/>
      <c r="B322" s="15"/>
      <c r="C322" s="15"/>
      <c r="D322" s="14"/>
      <c r="E322" s="14"/>
      <c r="F322" s="14"/>
      <c r="G322" s="14"/>
      <c r="H322" s="15"/>
      <c r="I322" s="15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  <c r="BN322" s="14"/>
      <c r="BO322" s="14"/>
      <c r="BP322" s="14"/>
      <c r="BQ322" s="14"/>
      <c r="BR322" s="14"/>
      <c r="BS322" s="14"/>
      <c r="BT322" s="14"/>
      <c r="BU322" s="14"/>
      <c r="BV322" s="14"/>
      <c r="BW322" s="14"/>
      <c r="BX322" s="14"/>
      <c r="BY322" s="14"/>
      <c r="BZ322" s="14"/>
      <c r="CA322" s="14"/>
      <c r="CB322" s="14"/>
      <c r="CC322" s="14"/>
      <c r="CD322" s="14"/>
      <c r="CE322" s="14"/>
      <c r="CF322" s="14"/>
      <c r="CG322" s="14"/>
      <c r="CH322" s="14"/>
      <c r="CI322" s="14"/>
      <c r="CJ322" s="14"/>
      <c r="CK322" s="14"/>
      <c r="CL322" s="14"/>
      <c r="CT322" s="14"/>
      <c r="CW322" s="3"/>
      <c r="DG322" s="4"/>
    </row>
    <row r="323" customFormat="false" ht="11.25" hidden="false" customHeight="true" outlineLevel="0" collapsed="false">
      <c r="A323" s="14"/>
      <c r="B323" s="15"/>
      <c r="C323" s="15"/>
      <c r="D323" s="14"/>
      <c r="E323" s="14"/>
      <c r="F323" s="14"/>
      <c r="G323" s="14"/>
      <c r="H323" s="15"/>
      <c r="I323" s="15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14"/>
      <c r="BQ323" s="14"/>
      <c r="BR323" s="14"/>
      <c r="BS323" s="14"/>
      <c r="BT323" s="14"/>
      <c r="BU323" s="14"/>
      <c r="BV323" s="14"/>
      <c r="BW323" s="14"/>
      <c r="BX323" s="14"/>
      <c r="BY323" s="14"/>
      <c r="BZ323" s="14"/>
      <c r="CA323" s="14"/>
      <c r="CB323" s="14"/>
      <c r="CC323" s="14"/>
      <c r="CD323" s="14"/>
      <c r="CE323" s="14"/>
      <c r="CF323" s="14"/>
      <c r="CG323" s="14"/>
      <c r="CH323" s="14"/>
      <c r="CI323" s="14"/>
      <c r="CJ323" s="14"/>
      <c r="CK323" s="14"/>
      <c r="CL323" s="14"/>
      <c r="CT323" s="14"/>
      <c r="CW323" s="3"/>
      <c r="DG323" s="4"/>
    </row>
    <row r="324" customFormat="false" ht="11.25" hidden="false" customHeight="true" outlineLevel="0" collapsed="false">
      <c r="A324" s="14"/>
      <c r="B324" s="15"/>
      <c r="C324" s="15"/>
      <c r="D324" s="14"/>
      <c r="E324" s="14"/>
      <c r="F324" s="14"/>
      <c r="G324" s="14"/>
      <c r="H324" s="15"/>
      <c r="I324" s="15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  <c r="BJ324" s="14"/>
      <c r="BK324" s="14"/>
      <c r="BL324" s="14"/>
      <c r="BM324" s="14"/>
      <c r="BN324" s="14"/>
      <c r="BO324" s="14"/>
      <c r="BP324" s="14"/>
      <c r="BQ324" s="14"/>
      <c r="BR324" s="14"/>
      <c r="BS324" s="14"/>
      <c r="BT324" s="14"/>
      <c r="BU324" s="14"/>
      <c r="BV324" s="14"/>
      <c r="BW324" s="14"/>
      <c r="BX324" s="14"/>
      <c r="BY324" s="14"/>
      <c r="BZ324" s="14"/>
      <c r="CA324" s="14"/>
      <c r="CB324" s="14"/>
      <c r="CC324" s="14"/>
      <c r="CD324" s="14"/>
      <c r="CE324" s="14"/>
      <c r="CF324" s="14"/>
      <c r="CG324" s="14"/>
      <c r="CH324" s="14"/>
      <c r="CI324" s="14"/>
      <c r="CJ324" s="14"/>
      <c r="CK324" s="14"/>
      <c r="CL324" s="14"/>
      <c r="CT324" s="14"/>
      <c r="CW324" s="3"/>
      <c r="DG324" s="4"/>
    </row>
    <row r="325" customFormat="false" ht="11.25" hidden="false" customHeight="true" outlineLevel="0" collapsed="false">
      <c r="A325" s="14"/>
      <c r="B325" s="15"/>
      <c r="C325" s="15"/>
      <c r="D325" s="14"/>
      <c r="E325" s="14"/>
      <c r="F325" s="14"/>
      <c r="G325" s="14"/>
      <c r="H325" s="15"/>
      <c r="I325" s="15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  <c r="BP325" s="14"/>
      <c r="BQ325" s="14"/>
      <c r="BR325" s="14"/>
      <c r="BS325" s="14"/>
      <c r="BT325" s="14"/>
      <c r="BU325" s="14"/>
      <c r="BV325" s="14"/>
      <c r="BW325" s="14"/>
      <c r="BX325" s="14"/>
      <c r="BY325" s="14"/>
      <c r="BZ325" s="14"/>
      <c r="CA325" s="14"/>
      <c r="CB325" s="14"/>
      <c r="CC325" s="14"/>
      <c r="CD325" s="14"/>
      <c r="CE325" s="14"/>
      <c r="CF325" s="14"/>
      <c r="CG325" s="14"/>
      <c r="CH325" s="14"/>
      <c r="CI325" s="14"/>
      <c r="CJ325" s="14"/>
      <c r="CK325" s="14"/>
      <c r="CL325" s="14"/>
      <c r="CT325" s="14"/>
      <c r="CW325" s="3"/>
      <c r="DG325" s="4"/>
    </row>
    <row r="326" customFormat="false" ht="11.25" hidden="false" customHeight="true" outlineLevel="0" collapsed="false">
      <c r="A326" s="14"/>
      <c r="B326" s="15"/>
      <c r="C326" s="15"/>
      <c r="D326" s="14"/>
      <c r="E326" s="14"/>
      <c r="F326" s="14"/>
      <c r="G326" s="14"/>
      <c r="H326" s="15"/>
      <c r="I326" s="15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4"/>
      <c r="BK326" s="14"/>
      <c r="BL326" s="14"/>
      <c r="BM326" s="14"/>
      <c r="BN326" s="14"/>
      <c r="BO326" s="14"/>
      <c r="BP326" s="14"/>
      <c r="BQ326" s="14"/>
      <c r="BR326" s="14"/>
      <c r="BS326" s="14"/>
      <c r="BT326" s="14"/>
      <c r="BU326" s="14"/>
      <c r="BV326" s="14"/>
      <c r="BW326" s="14"/>
      <c r="BX326" s="14"/>
      <c r="BY326" s="14"/>
      <c r="BZ326" s="14"/>
      <c r="CA326" s="14"/>
      <c r="CB326" s="14"/>
      <c r="CC326" s="14"/>
      <c r="CD326" s="14"/>
      <c r="CE326" s="14"/>
      <c r="CF326" s="14"/>
      <c r="CG326" s="14"/>
      <c r="CH326" s="14"/>
      <c r="CI326" s="14"/>
      <c r="CJ326" s="14"/>
      <c r="CK326" s="14"/>
      <c r="CL326" s="14"/>
      <c r="CT326" s="14"/>
      <c r="CW326" s="3"/>
      <c r="DG326" s="4"/>
    </row>
    <row r="327" customFormat="false" ht="11.25" hidden="false" customHeight="true" outlineLevel="0" collapsed="false">
      <c r="A327" s="14"/>
      <c r="B327" s="15"/>
      <c r="C327" s="15"/>
      <c r="D327" s="14"/>
      <c r="E327" s="14"/>
      <c r="F327" s="14"/>
      <c r="G327" s="14"/>
      <c r="H327" s="15"/>
      <c r="I327" s="15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4"/>
      <c r="BP327" s="14"/>
      <c r="BQ327" s="14"/>
      <c r="BR327" s="14"/>
      <c r="BS327" s="14"/>
      <c r="BT327" s="14"/>
      <c r="BU327" s="14"/>
      <c r="BV327" s="14"/>
      <c r="BW327" s="14"/>
      <c r="BX327" s="14"/>
      <c r="BY327" s="14"/>
      <c r="BZ327" s="14"/>
      <c r="CA327" s="14"/>
      <c r="CB327" s="14"/>
      <c r="CC327" s="14"/>
      <c r="CD327" s="14"/>
      <c r="CE327" s="14"/>
      <c r="CF327" s="14"/>
      <c r="CG327" s="14"/>
      <c r="CH327" s="14"/>
      <c r="CI327" s="14"/>
      <c r="CJ327" s="14"/>
      <c r="CK327" s="14"/>
      <c r="CL327" s="14"/>
      <c r="CT327" s="14"/>
      <c r="CW327" s="3"/>
      <c r="DG327" s="4"/>
    </row>
    <row r="328" customFormat="false" ht="11.25" hidden="false" customHeight="true" outlineLevel="0" collapsed="false">
      <c r="A328" s="14"/>
      <c r="B328" s="15"/>
      <c r="C328" s="15"/>
      <c r="D328" s="14"/>
      <c r="E328" s="14"/>
      <c r="F328" s="14"/>
      <c r="G328" s="14"/>
      <c r="H328" s="15"/>
      <c r="I328" s="15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14"/>
      <c r="BI328" s="14"/>
      <c r="BJ328" s="14"/>
      <c r="BK328" s="14"/>
      <c r="BL328" s="14"/>
      <c r="BM328" s="14"/>
      <c r="BN328" s="14"/>
      <c r="BO328" s="14"/>
      <c r="BP328" s="14"/>
      <c r="BQ328" s="14"/>
      <c r="BR328" s="14"/>
      <c r="BS328" s="14"/>
      <c r="BT328" s="14"/>
      <c r="BU328" s="14"/>
      <c r="BV328" s="14"/>
      <c r="BW328" s="14"/>
      <c r="BX328" s="14"/>
      <c r="BY328" s="14"/>
      <c r="BZ328" s="14"/>
      <c r="CA328" s="14"/>
      <c r="CB328" s="14"/>
      <c r="CC328" s="14"/>
      <c r="CD328" s="14"/>
      <c r="CE328" s="14"/>
      <c r="CF328" s="14"/>
      <c r="CG328" s="14"/>
      <c r="CH328" s="14"/>
      <c r="CI328" s="14"/>
      <c r="CJ328" s="14"/>
      <c r="CK328" s="14"/>
      <c r="CL328" s="14"/>
      <c r="CT328" s="14"/>
      <c r="CW328" s="3"/>
      <c r="DG328" s="4"/>
    </row>
    <row r="329" customFormat="false" ht="11.25" hidden="false" customHeight="true" outlineLevel="0" collapsed="false">
      <c r="A329" s="14"/>
      <c r="B329" s="15"/>
      <c r="C329" s="15"/>
      <c r="D329" s="14"/>
      <c r="E329" s="14"/>
      <c r="F329" s="14"/>
      <c r="G329" s="14"/>
      <c r="H329" s="15"/>
      <c r="I329" s="15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4"/>
      <c r="BP329" s="14"/>
      <c r="BQ329" s="14"/>
      <c r="BR329" s="14"/>
      <c r="BS329" s="14"/>
      <c r="BT329" s="14"/>
      <c r="BU329" s="14"/>
      <c r="BV329" s="14"/>
      <c r="BW329" s="14"/>
      <c r="BX329" s="14"/>
      <c r="BY329" s="14"/>
      <c r="BZ329" s="14"/>
      <c r="CA329" s="14"/>
      <c r="CB329" s="14"/>
      <c r="CC329" s="14"/>
      <c r="CD329" s="14"/>
      <c r="CE329" s="14"/>
      <c r="CF329" s="14"/>
      <c r="CG329" s="14"/>
      <c r="CH329" s="14"/>
      <c r="CI329" s="14"/>
      <c r="CJ329" s="14"/>
      <c r="CK329" s="14"/>
      <c r="CL329" s="14"/>
      <c r="CT329" s="14"/>
      <c r="CW329" s="3"/>
      <c r="DG329" s="4"/>
    </row>
    <row r="330" customFormat="false" ht="11.25" hidden="false" customHeight="true" outlineLevel="0" collapsed="false">
      <c r="A330" s="14"/>
      <c r="B330" s="15"/>
      <c r="C330" s="15"/>
      <c r="D330" s="14"/>
      <c r="E330" s="14"/>
      <c r="F330" s="14"/>
      <c r="G330" s="14"/>
      <c r="H330" s="15"/>
      <c r="I330" s="15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  <c r="BJ330" s="14"/>
      <c r="BK330" s="14"/>
      <c r="BL330" s="14"/>
      <c r="BM330" s="14"/>
      <c r="BN330" s="14"/>
      <c r="BO330" s="14"/>
      <c r="BP330" s="14"/>
      <c r="BQ330" s="14"/>
      <c r="BR330" s="14"/>
      <c r="BS330" s="14"/>
      <c r="BT330" s="14"/>
      <c r="BU330" s="14"/>
      <c r="BV330" s="14"/>
      <c r="BW330" s="14"/>
      <c r="BX330" s="14"/>
      <c r="BY330" s="14"/>
      <c r="BZ330" s="14"/>
      <c r="CA330" s="14"/>
      <c r="CB330" s="14"/>
      <c r="CC330" s="14"/>
      <c r="CD330" s="14"/>
      <c r="CE330" s="14"/>
      <c r="CF330" s="14"/>
      <c r="CG330" s="14"/>
      <c r="CH330" s="14"/>
      <c r="CI330" s="14"/>
      <c r="CJ330" s="14"/>
      <c r="CK330" s="14"/>
      <c r="CL330" s="14"/>
      <c r="CT330" s="14"/>
      <c r="CW330" s="3"/>
      <c r="DG330" s="4"/>
    </row>
    <row r="331" customFormat="false" ht="11.25" hidden="false" customHeight="true" outlineLevel="0" collapsed="false">
      <c r="A331" s="14"/>
      <c r="B331" s="15"/>
      <c r="C331" s="15"/>
      <c r="D331" s="14"/>
      <c r="E331" s="14"/>
      <c r="F331" s="14"/>
      <c r="G331" s="14"/>
      <c r="H331" s="15"/>
      <c r="I331" s="15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/>
      <c r="BO331" s="14"/>
      <c r="BP331" s="14"/>
      <c r="BQ331" s="14"/>
      <c r="BR331" s="14"/>
      <c r="BS331" s="14"/>
      <c r="BT331" s="14"/>
      <c r="BU331" s="14"/>
      <c r="BV331" s="14"/>
      <c r="BW331" s="14"/>
      <c r="BX331" s="14"/>
      <c r="BY331" s="14"/>
      <c r="BZ331" s="14"/>
      <c r="CA331" s="14"/>
      <c r="CB331" s="14"/>
      <c r="CC331" s="14"/>
      <c r="CD331" s="14"/>
      <c r="CE331" s="14"/>
      <c r="CF331" s="14"/>
      <c r="CG331" s="14"/>
      <c r="CH331" s="14"/>
      <c r="CI331" s="14"/>
      <c r="CJ331" s="14"/>
      <c r="CK331" s="14"/>
      <c r="CL331" s="14"/>
      <c r="CT331" s="14"/>
      <c r="CW331" s="3"/>
      <c r="DG331" s="4"/>
    </row>
    <row r="332" customFormat="false" ht="11.25" hidden="false" customHeight="true" outlineLevel="0" collapsed="false">
      <c r="A332" s="14"/>
      <c r="B332" s="15"/>
      <c r="C332" s="15"/>
      <c r="D332" s="14"/>
      <c r="E332" s="14"/>
      <c r="F332" s="14"/>
      <c r="G332" s="14"/>
      <c r="H332" s="15"/>
      <c r="I332" s="15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  <c r="BJ332" s="14"/>
      <c r="BK332" s="14"/>
      <c r="BL332" s="14"/>
      <c r="BM332" s="14"/>
      <c r="BN332" s="14"/>
      <c r="BO332" s="14"/>
      <c r="BP332" s="14"/>
      <c r="BQ332" s="14"/>
      <c r="BR332" s="14"/>
      <c r="BS332" s="14"/>
      <c r="BT332" s="14"/>
      <c r="BU332" s="14"/>
      <c r="BV332" s="14"/>
      <c r="BW332" s="14"/>
      <c r="BX332" s="14"/>
      <c r="BY332" s="14"/>
      <c r="BZ332" s="14"/>
      <c r="CA332" s="14"/>
      <c r="CB332" s="14"/>
      <c r="CC332" s="14"/>
      <c r="CD332" s="14"/>
      <c r="CE332" s="14"/>
      <c r="CF332" s="14"/>
      <c r="CG332" s="14"/>
      <c r="CH332" s="14"/>
      <c r="CI332" s="14"/>
      <c r="CJ332" s="14"/>
      <c r="CK332" s="14"/>
      <c r="CL332" s="14"/>
      <c r="CT332" s="14"/>
      <c r="CW332" s="3"/>
      <c r="DG332" s="4"/>
    </row>
    <row r="333" customFormat="false" ht="11.25" hidden="false" customHeight="true" outlineLevel="0" collapsed="false">
      <c r="A333" s="14"/>
      <c r="B333" s="15"/>
      <c r="C333" s="15"/>
      <c r="D333" s="14"/>
      <c r="E333" s="14"/>
      <c r="F333" s="14"/>
      <c r="G333" s="14"/>
      <c r="H333" s="15"/>
      <c r="I333" s="15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4"/>
      <c r="BP333" s="14"/>
      <c r="BQ333" s="14"/>
      <c r="BR333" s="14"/>
      <c r="BS333" s="14"/>
      <c r="BT333" s="14"/>
      <c r="BU333" s="14"/>
      <c r="BV333" s="14"/>
      <c r="BW333" s="14"/>
      <c r="BX333" s="14"/>
      <c r="BY333" s="14"/>
      <c r="BZ333" s="14"/>
      <c r="CA333" s="14"/>
      <c r="CB333" s="14"/>
      <c r="CC333" s="14"/>
      <c r="CD333" s="14"/>
      <c r="CE333" s="14"/>
      <c r="CF333" s="14"/>
      <c r="CG333" s="14"/>
      <c r="CH333" s="14"/>
      <c r="CI333" s="14"/>
      <c r="CJ333" s="14"/>
      <c r="CK333" s="14"/>
      <c r="CL333" s="14"/>
      <c r="CT333" s="14"/>
      <c r="CW333" s="3"/>
      <c r="DG333" s="4"/>
    </row>
    <row r="334" customFormat="false" ht="11.25" hidden="false" customHeight="true" outlineLevel="0" collapsed="false">
      <c r="A334" s="14"/>
      <c r="B334" s="15"/>
      <c r="C334" s="15"/>
      <c r="D334" s="14"/>
      <c r="E334" s="14"/>
      <c r="F334" s="14"/>
      <c r="G334" s="14"/>
      <c r="H334" s="15"/>
      <c r="I334" s="15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  <c r="BJ334" s="14"/>
      <c r="BK334" s="14"/>
      <c r="BL334" s="14"/>
      <c r="BM334" s="14"/>
      <c r="BN334" s="14"/>
      <c r="BO334" s="14"/>
      <c r="BP334" s="14"/>
      <c r="BQ334" s="14"/>
      <c r="BR334" s="14"/>
      <c r="BS334" s="14"/>
      <c r="BT334" s="14"/>
      <c r="BU334" s="14"/>
      <c r="BV334" s="14"/>
      <c r="BW334" s="14"/>
      <c r="BX334" s="14"/>
      <c r="BY334" s="14"/>
      <c r="BZ334" s="14"/>
      <c r="CA334" s="14"/>
      <c r="CB334" s="14"/>
      <c r="CC334" s="14"/>
      <c r="CD334" s="14"/>
      <c r="CE334" s="14"/>
      <c r="CF334" s="14"/>
      <c r="CG334" s="14"/>
      <c r="CH334" s="14"/>
      <c r="CI334" s="14"/>
      <c r="CJ334" s="14"/>
      <c r="CK334" s="14"/>
      <c r="CL334" s="14"/>
      <c r="CT334" s="14"/>
      <c r="CW334" s="3"/>
      <c r="DG334" s="4"/>
    </row>
    <row r="335" customFormat="false" ht="11.25" hidden="false" customHeight="true" outlineLevel="0" collapsed="false">
      <c r="A335" s="14"/>
      <c r="B335" s="15"/>
      <c r="C335" s="15"/>
      <c r="D335" s="14"/>
      <c r="E335" s="14"/>
      <c r="F335" s="14"/>
      <c r="G335" s="14"/>
      <c r="H335" s="15"/>
      <c r="I335" s="15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  <c r="BO335" s="14"/>
      <c r="BP335" s="14"/>
      <c r="BQ335" s="14"/>
      <c r="BR335" s="14"/>
      <c r="BS335" s="14"/>
      <c r="BT335" s="14"/>
      <c r="BU335" s="14"/>
      <c r="BV335" s="14"/>
      <c r="BW335" s="14"/>
      <c r="BX335" s="14"/>
      <c r="BY335" s="14"/>
      <c r="BZ335" s="14"/>
      <c r="CA335" s="14"/>
      <c r="CB335" s="14"/>
      <c r="CC335" s="14"/>
      <c r="CD335" s="14"/>
      <c r="CE335" s="14"/>
      <c r="CF335" s="14"/>
      <c r="CG335" s="14"/>
      <c r="CH335" s="14"/>
      <c r="CI335" s="14"/>
      <c r="CJ335" s="14"/>
      <c r="CK335" s="14"/>
      <c r="CL335" s="14"/>
      <c r="CT335" s="14"/>
      <c r="CW335" s="3"/>
      <c r="DG335" s="4"/>
    </row>
    <row r="336" customFormat="false" ht="11.25" hidden="false" customHeight="true" outlineLevel="0" collapsed="false">
      <c r="A336" s="14"/>
      <c r="B336" s="15"/>
      <c r="C336" s="15"/>
      <c r="D336" s="14"/>
      <c r="E336" s="14"/>
      <c r="F336" s="14"/>
      <c r="G336" s="14"/>
      <c r="H336" s="15"/>
      <c r="I336" s="15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4"/>
      <c r="BK336" s="14"/>
      <c r="BL336" s="14"/>
      <c r="BM336" s="14"/>
      <c r="BN336" s="14"/>
      <c r="BO336" s="14"/>
      <c r="BP336" s="14"/>
      <c r="BQ336" s="14"/>
      <c r="BR336" s="14"/>
      <c r="BS336" s="14"/>
      <c r="BT336" s="14"/>
      <c r="BU336" s="14"/>
      <c r="BV336" s="14"/>
      <c r="BW336" s="14"/>
      <c r="BX336" s="14"/>
      <c r="BY336" s="14"/>
      <c r="BZ336" s="14"/>
      <c r="CA336" s="14"/>
      <c r="CB336" s="14"/>
      <c r="CC336" s="14"/>
      <c r="CD336" s="14"/>
      <c r="CE336" s="14"/>
      <c r="CF336" s="14"/>
      <c r="CG336" s="14"/>
      <c r="CH336" s="14"/>
      <c r="CI336" s="14"/>
      <c r="CJ336" s="14"/>
      <c r="CK336" s="14"/>
      <c r="CL336" s="14"/>
      <c r="CT336" s="14"/>
      <c r="CW336" s="3"/>
      <c r="DG336" s="4"/>
    </row>
    <row r="337" customFormat="false" ht="11.25" hidden="false" customHeight="true" outlineLevel="0" collapsed="false">
      <c r="A337" s="14"/>
      <c r="B337" s="15"/>
      <c r="C337" s="15"/>
      <c r="D337" s="14"/>
      <c r="E337" s="14"/>
      <c r="F337" s="14"/>
      <c r="G337" s="14"/>
      <c r="H337" s="15"/>
      <c r="I337" s="15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4"/>
      <c r="BP337" s="14"/>
      <c r="BQ337" s="14"/>
      <c r="BR337" s="14"/>
      <c r="BS337" s="14"/>
      <c r="BT337" s="14"/>
      <c r="BU337" s="14"/>
      <c r="BV337" s="14"/>
      <c r="BW337" s="14"/>
      <c r="BX337" s="14"/>
      <c r="BY337" s="14"/>
      <c r="BZ337" s="14"/>
      <c r="CA337" s="14"/>
      <c r="CB337" s="14"/>
      <c r="CC337" s="14"/>
      <c r="CD337" s="14"/>
      <c r="CE337" s="14"/>
      <c r="CF337" s="14"/>
      <c r="CG337" s="14"/>
      <c r="CH337" s="14"/>
      <c r="CI337" s="14"/>
      <c r="CJ337" s="14"/>
      <c r="CK337" s="14"/>
      <c r="CL337" s="14"/>
      <c r="CT337" s="14"/>
      <c r="CW337" s="3"/>
      <c r="DG337" s="4"/>
    </row>
    <row r="338" customFormat="false" ht="11.25" hidden="false" customHeight="true" outlineLevel="0" collapsed="false">
      <c r="A338" s="14"/>
      <c r="B338" s="15"/>
      <c r="C338" s="15"/>
      <c r="D338" s="14"/>
      <c r="E338" s="14"/>
      <c r="F338" s="14"/>
      <c r="G338" s="14"/>
      <c r="H338" s="15"/>
      <c r="I338" s="15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4"/>
      <c r="BL338" s="14"/>
      <c r="BM338" s="14"/>
      <c r="BN338" s="14"/>
      <c r="BO338" s="14"/>
      <c r="BP338" s="14"/>
      <c r="BQ338" s="14"/>
      <c r="BR338" s="14"/>
      <c r="BS338" s="14"/>
      <c r="BT338" s="14"/>
      <c r="BU338" s="14"/>
      <c r="BV338" s="14"/>
      <c r="BW338" s="14"/>
      <c r="BX338" s="14"/>
      <c r="BY338" s="14"/>
      <c r="BZ338" s="14"/>
      <c r="CA338" s="14"/>
      <c r="CB338" s="14"/>
      <c r="CC338" s="14"/>
      <c r="CD338" s="14"/>
      <c r="CE338" s="14"/>
      <c r="CF338" s="14"/>
      <c r="CG338" s="14"/>
      <c r="CH338" s="14"/>
      <c r="CI338" s="14"/>
      <c r="CJ338" s="14"/>
      <c r="CK338" s="14"/>
      <c r="CL338" s="14"/>
      <c r="CT338" s="14"/>
      <c r="CW338" s="3"/>
      <c r="DG338" s="4"/>
    </row>
    <row r="339" customFormat="false" ht="11.25" hidden="false" customHeight="true" outlineLevel="0" collapsed="false">
      <c r="A339" s="14"/>
      <c r="B339" s="15"/>
      <c r="C339" s="15"/>
      <c r="D339" s="14"/>
      <c r="E339" s="14"/>
      <c r="F339" s="14"/>
      <c r="G339" s="14"/>
      <c r="H339" s="15"/>
      <c r="I339" s="15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  <c r="BO339" s="14"/>
      <c r="BP339" s="14"/>
      <c r="BQ339" s="14"/>
      <c r="BR339" s="14"/>
      <c r="BS339" s="14"/>
      <c r="BT339" s="14"/>
      <c r="BU339" s="14"/>
      <c r="BV339" s="14"/>
      <c r="BW339" s="14"/>
      <c r="BX339" s="14"/>
      <c r="BY339" s="14"/>
      <c r="BZ339" s="14"/>
      <c r="CA339" s="14"/>
      <c r="CB339" s="14"/>
      <c r="CC339" s="14"/>
      <c r="CD339" s="14"/>
      <c r="CE339" s="14"/>
      <c r="CF339" s="14"/>
      <c r="CG339" s="14"/>
      <c r="CH339" s="14"/>
      <c r="CI339" s="14"/>
      <c r="CJ339" s="14"/>
      <c r="CK339" s="14"/>
      <c r="CL339" s="14"/>
      <c r="CT339" s="14"/>
      <c r="CW339" s="3"/>
      <c r="DG339" s="4"/>
    </row>
    <row r="340" customFormat="false" ht="11.25" hidden="false" customHeight="true" outlineLevel="0" collapsed="false">
      <c r="A340" s="14"/>
      <c r="B340" s="15"/>
      <c r="C340" s="15"/>
      <c r="D340" s="14"/>
      <c r="E340" s="14"/>
      <c r="F340" s="14"/>
      <c r="G340" s="14"/>
      <c r="H340" s="15"/>
      <c r="I340" s="15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/>
      <c r="BJ340" s="14"/>
      <c r="BK340" s="14"/>
      <c r="BL340" s="14"/>
      <c r="BM340" s="14"/>
      <c r="BN340" s="14"/>
      <c r="BO340" s="14"/>
      <c r="BP340" s="14"/>
      <c r="BQ340" s="14"/>
      <c r="BR340" s="14"/>
      <c r="BS340" s="14"/>
      <c r="BT340" s="14"/>
      <c r="BU340" s="14"/>
      <c r="BV340" s="14"/>
      <c r="BW340" s="14"/>
      <c r="BX340" s="14"/>
      <c r="BY340" s="14"/>
      <c r="BZ340" s="14"/>
      <c r="CA340" s="14"/>
      <c r="CB340" s="14"/>
      <c r="CC340" s="14"/>
      <c r="CD340" s="14"/>
      <c r="CE340" s="14"/>
      <c r="CF340" s="14"/>
      <c r="CG340" s="14"/>
      <c r="CH340" s="14"/>
      <c r="CI340" s="14"/>
      <c r="CJ340" s="14"/>
      <c r="CK340" s="14"/>
      <c r="CL340" s="14"/>
      <c r="CT340" s="14"/>
      <c r="CW340" s="3"/>
      <c r="DG340" s="4"/>
    </row>
    <row r="341" customFormat="false" ht="11.25" hidden="false" customHeight="true" outlineLevel="0" collapsed="false">
      <c r="A341" s="14"/>
      <c r="B341" s="15"/>
      <c r="C341" s="15"/>
      <c r="D341" s="14"/>
      <c r="E341" s="14"/>
      <c r="F341" s="14"/>
      <c r="G341" s="14"/>
      <c r="H341" s="15"/>
      <c r="I341" s="15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  <c r="BP341" s="14"/>
      <c r="BQ341" s="14"/>
      <c r="BR341" s="14"/>
      <c r="BS341" s="14"/>
      <c r="BT341" s="14"/>
      <c r="BU341" s="14"/>
      <c r="BV341" s="14"/>
      <c r="BW341" s="14"/>
      <c r="BX341" s="14"/>
      <c r="BY341" s="14"/>
      <c r="BZ341" s="14"/>
      <c r="CA341" s="14"/>
      <c r="CB341" s="14"/>
      <c r="CC341" s="14"/>
      <c r="CD341" s="14"/>
      <c r="CE341" s="14"/>
      <c r="CF341" s="14"/>
      <c r="CG341" s="14"/>
      <c r="CH341" s="14"/>
      <c r="CI341" s="14"/>
      <c r="CJ341" s="14"/>
      <c r="CK341" s="14"/>
      <c r="CL341" s="14"/>
      <c r="CT341" s="14"/>
      <c r="CW341" s="3"/>
      <c r="DG341" s="4"/>
    </row>
    <row r="342" customFormat="false" ht="11.25" hidden="false" customHeight="true" outlineLevel="0" collapsed="false">
      <c r="A342" s="14"/>
      <c r="B342" s="15"/>
      <c r="C342" s="15"/>
      <c r="D342" s="14"/>
      <c r="E342" s="14"/>
      <c r="F342" s="14"/>
      <c r="G342" s="14"/>
      <c r="H342" s="15"/>
      <c r="I342" s="15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/>
      <c r="BL342" s="14"/>
      <c r="BM342" s="14"/>
      <c r="BN342" s="14"/>
      <c r="BO342" s="14"/>
      <c r="BP342" s="14"/>
      <c r="BQ342" s="14"/>
      <c r="BR342" s="14"/>
      <c r="BS342" s="14"/>
      <c r="BT342" s="14"/>
      <c r="BU342" s="14"/>
      <c r="BV342" s="14"/>
      <c r="BW342" s="14"/>
      <c r="BX342" s="14"/>
      <c r="BY342" s="14"/>
      <c r="BZ342" s="14"/>
      <c r="CA342" s="14"/>
      <c r="CB342" s="14"/>
      <c r="CC342" s="14"/>
      <c r="CD342" s="14"/>
      <c r="CE342" s="14"/>
      <c r="CF342" s="14"/>
      <c r="CG342" s="14"/>
      <c r="CH342" s="14"/>
      <c r="CI342" s="14"/>
      <c r="CJ342" s="14"/>
      <c r="CK342" s="14"/>
      <c r="CL342" s="14"/>
      <c r="CT342" s="14"/>
      <c r="CW342" s="3"/>
      <c r="DG342" s="4"/>
    </row>
    <row r="343" customFormat="false" ht="11.25" hidden="false" customHeight="true" outlineLevel="0" collapsed="false">
      <c r="A343" s="14"/>
      <c r="B343" s="15"/>
      <c r="C343" s="15"/>
      <c r="D343" s="14"/>
      <c r="E343" s="14"/>
      <c r="F343" s="14"/>
      <c r="G343" s="14"/>
      <c r="H343" s="15"/>
      <c r="I343" s="15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  <c r="BO343" s="14"/>
      <c r="BP343" s="14"/>
      <c r="BQ343" s="14"/>
      <c r="BR343" s="14"/>
      <c r="BS343" s="14"/>
      <c r="BT343" s="14"/>
      <c r="BU343" s="14"/>
      <c r="BV343" s="14"/>
      <c r="BW343" s="14"/>
      <c r="BX343" s="14"/>
      <c r="BY343" s="14"/>
      <c r="BZ343" s="14"/>
      <c r="CA343" s="14"/>
      <c r="CB343" s="14"/>
      <c r="CC343" s="14"/>
      <c r="CD343" s="14"/>
      <c r="CE343" s="14"/>
      <c r="CF343" s="14"/>
      <c r="CG343" s="14"/>
      <c r="CH343" s="14"/>
      <c r="CI343" s="14"/>
      <c r="CJ343" s="14"/>
      <c r="CK343" s="14"/>
      <c r="CL343" s="14"/>
      <c r="CT343" s="14"/>
      <c r="CW343" s="3"/>
      <c r="DG343" s="4"/>
    </row>
    <row r="344" customFormat="false" ht="11.25" hidden="false" customHeight="true" outlineLevel="0" collapsed="false">
      <c r="A344" s="14"/>
      <c r="B344" s="15"/>
      <c r="C344" s="15"/>
      <c r="D344" s="14"/>
      <c r="E344" s="14"/>
      <c r="F344" s="14"/>
      <c r="G344" s="14"/>
      <c r="H344" s="15"/>
      <c r="I344" s="15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14"/>
      <c r="BI344" s="14"/>
      <c r="BJ344" s="14"/>
      <c r="BK344" s="14"/>
      <c r="BL344" s="14"/>
      <c r="BM344" s="14"/>
      <c r="BN344" s="14"/>
      <c r="BO344" s="14"/>
      <c r="BP344" s="14"/>
      <c r="BQ344" s="14"/>
      <c r="BR344" s="14"/>
      <c r="BS344" s="14"/>
      <c r="BT344" s="14"/>
      <c r="BU344" s="14"/>
      <c r="BV344" s="14"/>
      <c r="BW344" s="14"/>
      <c r="BX344" s="14"/>
      <c r="BY344" s="14"/>
      <c r="BZ344" s="14"/>
      <c r="CA344" s="14"/>
      <c r="CB344" s="14"/>
      <c r="CC344" s="14"/>
      <c r="CD344" s="14"/>
      <c r="CE344" s="14"/>
      <c r="CF344" s="14"/>
      <c r="CG344" s="14"/>
      <c r="CH344" s="14"/>
      <c r="CI344" s="14"/>
      <c r="CJ344" s="14"/>
      <c r="CK344" s="14"/>
      <c r="CL344" s="14"/>
      <c r="CT344" s="14"/>
      <c r="CW344" s="3"/>
      <c r="DG344" s="4"/>
    </row>
    <row r="345" customFormat="false" ht="11.25" hidden="false" customHeight="true" outlineLevel="0" collapsed="false">
      <c r="A345" s="14"/>
      <c r="B345" s="15"/>
      <c r="C345" s="15"/>
      <c r="D345" s="14"/>
      <c r="E345" s="14"/>
      <c r="F345" s="14"/>
      <c r="G345" s="14"/>
      <c r="H345" s="15"/>
      <c r="I345" s="15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4"/>
      <c r="BP345" s="14"/>
      <c r="BQ345" s="14"/>
      <c r="BR345" s="14"/>
      <c r="BS345" s="14"/>
      <c r="BT345" s="14"/>
      <c r="BU345" s="14"/>
      <c r="BV345" s="14"/>
      <c r="BW345" s="14"/>
      <c r="BX345" s="14"/>
      <c r="BY345" s="14"/>
      <c r="BZ345" s="14"/>
      <c r="CA345" s="14"/>
      <c r="CB345" s="14"/>
      <c r="CC345" s="14"/>
      <c r="CD345" s="14"/>
      <c r="CE345" s="14"/>
      <c r="CF345" s="14"/>
      <c r="CG345" s="14"/>
      <c r="CH345" s="14"/>
      <c r="CI345" s="14"/>
      <c r="CJ345" s="14"/>
      <c r="CK345" s="14"/>
      <c r="CL345" s="14"/>
      <c r="CT345" s="14"/>
      <c r="CW345" s="3"/>
      <c r="DG345" s="4"/>
    </row>
    <row r="346" customFormat="false" ht="11.25" hidden="false" customHeight="true" outlineLevel="0" collapsed="false">
      <c r="A346" s="14"/>
      <c r="B346" s="15"/>
      <c r="C346" s="15"/>
      <c r="D346" s="14"/>
      <c r="E346" s="14"/>
      <c r="F346" s="14"/>
      <c r="G346" s="14"/>
      <c r="H346" s="15"/>
      <c r="I346" s="15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  <c r="BJ346" s="14"/>
      <c r="BK346" s="14"/>
      <c r="BL346" s="14"/>
      <c r="BM346" s="14"/>
      <c r="BN346" s="14"/>
      <c r="BO346" s="14"/>
      <c r="BP346" s="14"/>
      <c r="BQ346" s="14"/>
      <c r="BR346" s="14"/>
      <c r="BS346" s="14"/>
      <c r="BT346" s="14"/>
      <c r="BU346" s="14"/>
      <c r="BV346" s="14"/>
      <c r="BW346" s="14"/>
      <c r="BX346" s="14"/>
      <c r="BY346" s="14"/>
      <c r="BZ346" s="14"/>
      <c r="CA346" s="14"/>
      <c r="CB346" s="14"/>
      <c r="CC346" s="14"/>
      <c r="CD346" s="14"/>
      <c r="CE346" s="14"/>
      <c r="CF346" s="14"/>
      <c r="CG346" s="14"/>
      <c r="CH346" s="14"/>
      <c r="CI346" s="14"/>
      <c r="CJ346" s="14"/>
      <c r="CK346" s="14"/>
      <c r="CL346" s="14"/>
      <c r="CT346" s="14"/>
      <c r="CW346" s="3"/>
      <c r="DG346" s="4"/>
    </row>
    <row r="347" customFormat="false" ht="11.25" hidden="false" customHeight="true" outlineLevel="0" collapsed="false">
      <c r="A347" s="14"/>
      <c r="B347" s="15"/>
      <c r="C347" s="15"/>
      <c r="D347" s="14"/>
      <c r="E347" s="14"/>
      <c r="F347" s="14"/>
      <c r="G347" s="14"/>
      <c r="H347" s="15"/>
      <c r="I347" s="15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4"/>
      <c r="BP347" s="14"/>
      <c r="BQ347" s="14"/>
      <c r="BR347" s="14"/>
      <c r="BS347" s="14"/>
      <c r="BT347" s="14"/>
      <c r="BU347" s="14"/>
      <c r="BV347" s="14"/>
      <c r="BW347" s="14"/>
      <c r="BX347" s="14"/>
      <c r="BY347" s="14"/>
      <c r="BZ347" s="14"/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T347" s="14"/>
      <c r="CW347" s="3"/>
      <c r="DG347" s="4"/>
    </row>
    <row r="348" customFormat="false" ht="11.25" hidden="false" customHeight="true" outlineLevel="0" collapsed="false">
      <c r="A348" s="14"/>
      <c r="B348" s="15"/>
      <c r="C348" s="15"/>
      <c r="D348" s="14"/>
      <c r="E348" s="14"/>
      <c r="F348" s="14"/>
      <c r="G348" s="14"/>
      <c r="H348" s="15"/>
      <c r="I348" s="15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14"/>
      <c r="BI348" s="14"/>
      <c r="BJ348" s="14"/>
      <c r="BK348" s="14"/>
      <c r="BL348" s="14"/>
      <c r="BM348" s="14"/>
      <c r="BN348" s="14"/>
      <c r="BO348" s="14"/>
      <c r="BP348" s="14"/>
      <c r="BQ348" s="14"/>
      <c r="BR348" s="14"/>
      <c r="BS348" s="14"/>
      <c r="BT348" s="14"/>
      <c r="BU348" s="14"/>
      <c r="BV348" s="14"/>
      <c r="BW348" s="14"/>
      <c r="BX348" s="14"/>
      <c r="BY348" s="14"/>
      <c r="BZ348" s="14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T348" s="14"/>
      <c r="CW348" s="3"/>
      <c r="DG348" s="4"/>
    </row>
    <row r="349" customFormat="false" ht="11.25" hidden="false" customHeight="true" outlineLevel="0" collapsed="false">
      <c r="A349" s="14"/>
      <c r="B349" s="15"/>
      <c r="C349" s="15"/>
      <c r="D349" s="14"/>
      <c r="E349" s="14"/>
      <c r="F349" s="14"/>
      <c r="G349" s="14"/>
      <c r="H349" s="15"/>
      <c r="I349" s="15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  <c r="BO349" s="14"/>
      <c r="BP349" s="14"/>
      <c r="BQ349" s="14"/>
      <c r="BR349" s="14"/>
      <c r="BS349" s="14"/>
      <c r="BT349" s="14"/>
      <c r="BU349" s="14"/>
      <c r="BV349" s="14"/>
      <c r="BW349" s="14"/>
      <c r="BX349" s="14"/>
      <c r="BY349" s="14"/>
      <c r="BZ349" s="14"/>
      <c r="CA349" s="14"/>
      <c r="CB349" s="14"/>
      <c r="CC349" s="14"/>
      <c r="CD349" s="14"/>
      <c r="CE349" s="14"/>
      <c r="CF349" s="14"/>
      <c r="CG349" s="14"/>
      <c r="CH349" s="14"/>
      <c r="CI349" s="14"/>
      <c r="CJ349" s="14"/>
      <c r="CK349" s="14"/>
      <c r="CL349" s="14"/>
      <c r="CT349" s="14"/>
      <c r="CW349" s="3"/>
      <c r="DG349" s="4"/>
    </row>
    <row r="350" customFormat="false" ht="11.25" hidden="false" customHeight="true" outlineLevel="0" collapsed="false">
      <c r="A350" s="14"/>
      <c r="B350" s="15"/>
      <c r="C350" s="15"/>
      <c r="D350" s="14"/>
      <c r="E350" s="14"/>
      <c r="F350" s="14"/>
      <c r="G350" s="14"/>
      <c r="H350" s="15"/>
      <c r="I350" s="15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/>
      <c r="BJ350" s="14"/>
      <c r="BK350" s="14"/>
      <c r="BL350" s="14"/>
      <c r="BM350" s="14"/>
      <c r="BN350" s="14"/>
      <c r="BO350" s="14"/>
      <c r="BP350" s="14"/>
      <c r="BQ350" s="14"/>
      <c r="BR350" s="14"/>
      <c r="BS350" s="14"/>
      <c r="BT350" s="14"/>
      <c r="BU350" s="14"/>
      <c r="BV350" s="14"/>
      <c r="BW350" s="14"/>
      <c r="BX350" s="14"/>
      <c r="BY350" s="14"/>
      <c r="BZ350" s="14"/>
      <c r="CA350" s="14"/>
      <c r="CB350" s="14"/>
      <c r="CC350" s="14"/>
      <c r="CD350" s="14"/>
      <c r="CE350" s="14"/>
      <c r="CF350" s="14"/>
      <c r="CG350" s="14"/>
      <c r="CH350" s="14"/>
      <c r="CI350" s="14"/>
      <c r="CJ350" s="14"/>
      <c r="CK350" s="14"/>
      <c r="CL350" s="14"/>
      <c r="CT350" s="14"/>
      <c r="CW350" s="3"/>
      <c r="DG350" s="4"/>
    </row>
    <row r="351" customFormat="false" ht="11.25" hidden="false" customHeight="true" outlineLevel="0" collapsed="false">
      <c r="A351" s="14"/>
      <c r="B351" s="15"/>
      <c r="C351" s="15"/>
      <c r="D351" s="14"/>
      <c r="E351" s="14"/>
      <c r="F351" s="14"/>
      <c r="G351" s="14"/>
      <c r="H351" s="15"/>
      <c r="I351" s="15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  <c r="BO351" s="14"/>
      <c r="BP351" s="14"/>
      <c r="BQ351" s="14"/>
      <c r="BR351" s="14"/>
      <c r="BS351" s="14"/>
      <c r="BT351" s="14"/>
      <c r="BU351" s="14"/>
      <c r="BV351" s="14"/>
      <c r="BW351" s="14"/>
      <c r="BX351" s="14"/>
      <c r="BY351" s="14"/>
      <c r="BZ351" s="14"/>
      <c r="CA351" s="14"/>
      <c r="CB351" s="14"/>
      <c r="CC351" s="14"/>
      <c r="CD351" s="14"/>
      <c r="CE351" s="14"/>
      <c r="CF351" s="14"/>
      <c r="CG351" s="14"/>
      <c r="CH351" s="14"/>
      <c r="CI351" s="14"/>
      <c r="CJ351" s="14"/>
      <c r="CK351" s="14"/>
      <c r="CL351" s="14"/>
      <c r="CT351" s="14"/>
      <c r="CW351" s="3"/>
      <c r="DG351" s="4"/>
    </row>
    <row r="352" customFormat="false" ht="11.25" hidden="false" customHeight="true" outlineLevel="0" collapsed="false">
      <c r="A352" s="14"/>
      <c r="B352" s="15"/>
      <c r="C352" s="15"/>
      <c r="D352" s="14"/>
      <c r="E352" s="14"/>
      <c r="F352" s="14"/>
      <c r="G352" s="14"/>
      <c r="H352" s="15"/>
      <c r="I352" s="15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14"/>
      <c r="BI352" s="14"/>
      <c r="BJ352" s="14"/>
      <c r="BK352" s="14"/>
      <c r="BL352" s="14"/>
      <c r="BM352" s="14"/>
      <c r="BN352" s="14"/>
      <c r="BO352" s="14"/>
      <c r="BP352" s="14"/>
      <c r="BQ352" s="14"/>
      <c r="BR352" s="14"/>
      <c r="BS352" s="14"/>
      <c r="BT352" s="14"/>
      <c r="BU352" s="14"/>
      <c r="BV352" s="14"/>
      <c r="BW352" s="14"/>
      <c r="BX352" s="14"/>
      <c r="BY352" s="14"/>
      <c r="BZ352" s="14"/>
      <c r="CA352" s="14"/>
      <c r="CB352" s="14"/>
      <c r="CC352" s="14"/>
      <c r="CD352" s="14"/>
      <c r="CE352" s="14"/>
      <c r="CF352" s="14"/>
      <c r="CG352" s="14"/>
      <c r="CH352" s="14"/>
      <c r="CI352" s="14"/>
      <c r="CJ352" s="14"/>
      <c r="CK352" s="14"/>
      <c r="CL352" s="14"/>
      <c r="CT352" s="14"/>
      <c r="CW352" s="3"/>
      <c r="DG352" s="4"/>
    </row>
    <row r="353" customFormat="false" ht="11.25" hidden="false" customHeight="true" outlineLevel="0" collapsed="false">
      <c r="A353" s="14"/>
      <c r="B353" s="15"/>
      <c r="C353" s="15"/>
      <c r="D353" s="14"/>
      <c r="E353" s="14"/>
      <c r="F353" s="14"/>
      <c r="G353" s="14"/>
      <c r="H353" s="15"/>
      <c r="I353" s="15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14"/>
      <c r="BS353" s="14"/>
      <c r="BT353" s="14"/>
      <c r="BU353" s="14"/>
      <c r="BV353" s="14"/>
      <c r="BW353" s="14"/>
      <c r="BX353" s="14"/>
      <c r="BY353" s="14"/>
      <c r="BZ353" s="14"/>
      <c r="CA353" s="14"/>
      <c r="CB353" s="14"/>
      <c r="CC353" s="14"/>
      <c r="CD353" s="14"/>
      <c r="CE353" s="14"/>
      <c r="CF353" s="14"/>
      <c r="CG353" s="14"/>
      <c r="CH353" s="14"/>
      <c r="CI353" s="14"/>
      <c r="CJ353" s="14"/>
      <c r="CK353" s="14"/>
      <c r="CL353" s="14"/>
      <c r="CT353" s="14"/>
      <c r="CW353" s="3"/>
      <c r="DG353" s="4"/>
    </row>
    <row r="354" customFormat="false" ht="11.25" hidden="false" customHeight="true" outlineLevel="0" collapsed="false">
      <c r="A354" s="14"/>
      <c r="B354" s="15"/>
      <c r="C354" s="15"/>
      <c r="D354" s="14"/>
      <c r="E354" s="14"/>
      <c r="F354" s="14"/>
      <c r="G354" s="14"/>
      <c r="H354" s="15"/>
      <c r="I354" s="15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  <c r="BH354" s="14"/>
      <c r="BI354" s="14"/>
      <c r="BJ354" s="14"/>
      <c r="BK354" s="14"/>
      <c r="BL354" s="14"/>
      <c r="BM354" s="14"/>
      <c r="BN354" s="14"/>
      <c r="BO354" s="14"/>
      <c r="BP354" s="14"/>
      <c r="BQ354" s="14"/>
      <c r="BR354" s="14"/>
      <c r="BS354" s="14"/>
      <c r="BT354" s="14"/>
      <c r="BU354" s="14"/>
      <c r="BV354" s="14"/>
      <c r="BW354" s="14"/>
      <c r="BX354" s="14"/>
      <c r="BY354" s="14"/>
      <c r="BZ354" s="14"/>
      <c r="CA354" s="14"/>
      <c r="CB354" s="14"/>
      <c r="CC354" s="14"/>
      <c r="CD354" s="14"/>
      <c r="CE354" s="14"/>
      <c r="CF354" s="14"/>
      <c r="CG354" s="14"/>
      <c r="CH354" s="14"/>
      <c r="CI354" s="14"/>
      <c r="CJ354" s="14"/>
      <c r="CK354" s="14"/>
      <c r="CL354" s="14"/>
      <c r="CT354" s="14"/>
      <c r="CW354" s="3"/>
      <c r="DG354" s="4"/>
    </row>
    <row r="355" customFormat="false" ht="11.25" hidden="false" customHeight="true" outlineLevel="0" collapsed="false">
      <c r="A355" s="14"/>
      <c r="B355" s="15"/>
      <c r="C355" s="15"/>
      <c r="D355" s="14"/>
      <c r="E355" s="14"/>
      <c r="F355" s="14"/>
      <c r="G355" s="14"/>
      <c r="H355" s="15"/>
      <c r="I355" s="15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  <c r="BO355" s="14"/>
      <c r="BP355" s="14"/>
      <c r="BQ355" s="14"/>
      <c r="BR355" s="14"/>
      <c r="BS355" s="14"/>
      <c r="BT355" s="14"/>
      <c r="BU355" s="14"/>
      <c r="BV355" s="14"/>
      <c r="BW355" s="14"/>
      <c r="BX355" s="14"/>
      <c r="BY355" s="14"/>
      <c r="BZ355" s="14"/>
      <c r="CA355" s="14"/>
      <c r="CB355" s="14"/>
      <c r="CC355" s="14"/>
      <c r="CD355" s="14"/>
      <c r="CE355" s="14"/>
      <c r="CF355" s="14"/>
      <c r="CG355" s="14"/>
      <c r="CH355" s="14"/>
      <c r="CI355" s="14"/>
      <c r="CJ355" s="14"/>
      <c r="CK355" s="14"/>
      <c r="CL355" s="14"/>
      <c r="CT355" s="14"/>
      <c r="CW355" s="3"/>
      <c r="DG355" s="4"/>
    </row>
    <row r="356" customFormat="false" ht="11.25" hidden="false" customHeight="true" outlineLevel="0" collapsed="false">
      <c r="A356" s="14"/>
      <c r="B356" s="15"/>
      <c r="C356" s="15"/>
      <c r="D356" s="14"/>
      <c r="E356" s="14"/>
      <c r="F356" s="14"/>
      <c r="G356" s="14"/>
      <c r="H356" s="15"/>
      <c r="I356" s="15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14"/>
      <c r="BI356" s="14"/>
      <c r="BJ356" s="14"/>
      <c r="BK356" s="14"/>
      <c r="BL356" s="14"/>
      <c r="BM356" s="14"/>
      <c r="BN356" s="14"/>
      <c r="BO356" s="14"/>
      <c r="BP356" s="14"/>
      <c r="BQ356" s="14"/>
      <c r="BR356" s="14"/>
      <c r="BS356" s="14"/>
      <c r="BT356" s="14"/>
      <c r="BU356" s="14"/>
      <c r="BV356" s="14"/>
      <c r="BW356" s="14"/>
      <c r="BX356" s="14"/>
      <c r="BY356" s="14"/>
      <c r="BZ356" s="14"/>
      <c r="CA356" s="14"/>
      <c r="CB356" s="14"/>
      <c r="CC356" s="14"/>
      <c r="CD356" s="14"/>
      <c r="CE356" s="14"/>
      <c r="CF356" s="14"/>
      <c r="CG356" s="14"/>
      <c r="CH356" s="14"/>
      <c r="CI356" s="14"/>
      <c r="CJ356" s="14"/>
      <c r="CK356" s="14"/>
      <c r="CL356" s="14"/>
      <c r="CT356" s="14"/>
      <c r="CW356" s="3"/>
      <c r="DG356" s="4"/>
    </row>
    <row r="357" customFormat="false" ht="11.25" hidden="false" customHeight="true" outlineLevel="0" collapsed="false">
      <c r="A357" s="14"/>
      <c r="B357" s="15"/>
      <c r="C357" s="15"/>
      <c r="D357" s="14"/>
      <c r="E357" s="14"/>
      <c r="F357" s="14"/>
      <c r="G357" s="14"/>
      <c r="H357" s="15"/>
      <c r="I357" s="15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  <c r="BO357" s="14"/>
      <c r="BP357" s="14"/>
      <c r="BQ357" s="14"/>
      <c r="BR357" s="14"/>
      <c r="BS357" s="14"/>
      <c r="BT357" s="14"/>
      <c r="BU357" s="14"/>
      <c r="BV357" s="14"/>
      <c r="BW357" s="14"/>
      <c r="BX357" s="14"/>
      <c r="BY357" s="14"/>
      <c r="BZ357" s="14"/>
      <c r="CA357" s="14"/>
      <c r="CB357" s="14"/>
      <c r="CC357" s="14"/>
      <c r="CD357" s="14"/>
      <c r="CE357" s="14"/>
      <c r="CF357" s="14"/>
      <c r="CG357" s="14"/>
      <c r="CH357" s="14"/>
      <c r="CI357" s="14"/>
      <c r="CJ357" s="14"/>
      <c r="CK357" s="14"/>
      <c r="CL357" s="14"/>
      <c r="CT357" s="14"/>
      <c r="CW357" s="3"/>
      <c r="DG357" s="4"/>
    </row>
    <row r="358" customFormat="false" ht="11.25" hidden="false" customHeight="true" outlineLevel="0" collapsed="false">
      <c r="A358" s="14"/>
      <c r="B358" s="15"/>
      <c r="C358" s="15"/>
      <c r="D358" s="14"/>
      <c r="E358" s="14"/>
      <c r="F358" s="14"/>
      <c r="G358" s="14"/>
      <c r="H358" s="15"/>
      <c r="I358" s="15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  <c r="BJ358" s="14"/>
      <c r="BK358" s="14"/>
      <c r="BL358" s="14"/>
      <c r="BM358" s="14"/>
      <c r="BN358" s="14"/>
      <c r="BO358" s="14"/>
      <c r="BP358" s="14"/>
      <c r="BQ358" s="14"/>
      <c r="BR358" s="14"/>
      <c r="BS358" s="14"/>
      <c r="BT358" s="14"/>
      <c r="BU358" s="14"/>
      <c r="BV358" s="14"/>
      <c r="BW358" s="14"/>
      <c r="BX358" s="14"/>
      <c r="BY358" s="14"/>
      <c r="BZ358" s="14"/>
      <c r="CA358" s="14"/>
      <c r="CB358" s="14"/>
      <c r="CC358" s="14"/>
      <c r="CD358" s="14"/>
      <c r="CE358" s="14"/>
      <c r="CF358" s="14"/>
      <c r="CG358" s="14"/>
      <c r="CH358" s="14"/>
      <c r="CI358" s="14"/>
      <c r="CJ358" s="14"/>
      <c r="CK358" s="14"/>
      <c r="CL358" s="14"/>
      <c r="CT358" s="14"/>
      <c r="CW358" s="3"/>
      <c r="DG358" s="4"/>
    </row>
    <row r="359" customFormat="false" ht="11.25" hidden="false" customHeight="true" outlineLevel="0" collapsed="false">
      <c r="A359" s="14"/>
      <c r="B359" s="15"/>
      <c r="C359" s="15"/>
      <c r="D359" s="14"/>
      <c r="E359" s="14"/>
      <c r="F359" s="14"/>
      <c r="G359" s="14"/>
      <c r="H359" s="15"/>
      <c r="I359" s="15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  <c r="BN359" s="14"/>
      <c r="BO359" s="14"/>
      <c r="BP359" s="14"/>
      <c r="BQ359" s="14"/>
      <c r="BR359" s="14"/>
      <c r="BS359" s="14"/>
      <c r="BT359" s="14"/>
      <c r="BU359" s="14"/>
      <c r="BV359" s="14"/>
      <c r="BW359" s="14"/>
      <c r="BX359" s="14"/>
      <c r="BY359" s="14"/>
      <c r="BZ359" s="14"/>
      <c r="CA359" s="14"/>
      <c r="CB359" s="14"/>
      <c r="CC359" s="14"/>
      <c r="CD359" s="14"/>
      <c r="CE359" s="14"/>
      <c r="CF359" s="14"/>
      <c r="CG359" s="14"/>
      <c r="CH359" s="14"/>
      <c r="CI359" s="14"/>
      <c r="CJ359" s="14"/>
      <c r="CK359" s="14"/>
      <c r="CL359" s="14"/>
      <c r="CT359" s="14"/>
      <c r="CW359" s="3"/>
      <c r="DG359" s="4"/>
    </row>
    <row r="360" customFormat="false" ht="11.25" hidden="false" customHeight="true" outlineLevel="0" collapsed="false">
      <c r="A360" s="14"/>
      <c r="B360" s="15"/>
      <c r="C360" s="15"/>
      <c r="D360" s="14"/>
      <c r="E360" s="14"/>
      <c r="F360" s="14"/>
      <c r="G360" s="14"/>
      <c r="H360" s="15"/>
      <c r="I360" s="15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14"/>
      <c r="BI360" s="14"/>
      <c r="BJ360" s="14"/>
      <c r="BK360" s="14"/>
      <c r="BL360" s="14"/>
      <c r="BM360" s="14"/>
      <c r="BN360" s="14"/>
      <c r="BO360" s="14"/>
      <c r="BP360" s="14"/>
      <c r="BQ360" s="14"/>
      <c r="BR360" s="14"/>
      <c r="BS360" s="14"/>
      <c r="BT360" s="14"/>
      <c r="BU360" s="14"/>
      <c r="BV360" s="14"/>
      <c r="BW360" s="14"/>
      <c r="BX360" s="14"/>
      <c r="BY360" s="14"/>
      <c r="BZ360" s="14"/>
      <c r="CA360" s="14"/>
      <c r="CB360" s="14"/>
      <c r="CC360" s="14"/>
      <c r="CD360" s="14"/>
      <c r="CE360" s="14"/>
      <c r="CF360" s="14"/>
      <c r="CG360" s="14"/>
      <c r="CH360" s="14"/>
      <c r="CI360" s="14"/>
      <c r="CJ360" s="14"/>
      <c r="CK360" s="14"/>
      <c r="CL360" s="14"/>
      <c r="CT360" s="14"/>
      <c r="CW360" s="3"/>
      <c r="DG360" s="4"/>
    </row>
    <row r="361" customFormat="false" ht="11.25" hidden="false" customHeight="true" outlineLevel="0" collapsed="false">
      <c r="A361" s="14"/>
      <c r="B361" s="15"/>
      <c r="C361" s="15"/>
      <c r="D361" s="14"/>
      <c r="E361" s="14"/>
      <c r="F361" s="14"/>
      <c r="G361" s="14"/>
      <c r="H361" s="15"/>
      <c r="I361" s="15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s="14"/>
      <c r="BO361" s="14"/>
      <c r="BP361" s="14"/>
      <c r="BQ361" s="14"/>
      <c r="BR361" s="14"/>
      <c r="BS361" s="14"/>
      <c r="BT361" s="14"/>
      <c r="BU361" s="14"/>
      <c r="BV361" s="14"/>
      <c r="BW361" s="14"/>
      <c r="BX361" s="14"/>
      <c r="BY361" s="14"/>
      <c r="BZ361" s="14"/>
      <c r="CA361" s="14"/>
      <c r="CB361" s="14"/>
      <c r="CC361" s="14"/>
      <c r="CD361" s="14"/>
      <c r="CE361" s="14"/>
      <c r="CF361" s="14"/>
      <c r="CG361" s="14"/>
      <c r="CH361" s="14"/>
      <c r="CI361" s="14"/>
      <c r="CJ361" s="14"/>
      <c r="CK361" s="14"/>
      <c r="CL361" s="14"/>
      <c r="CT361" s="14"/>
      <c r="CW361" s="3"/>
      <c r="DG361" s="4"/>
    </row>
    <row r="362" customFormat="false" ht="11.25" hidden="false" customHeight="true" outlineLevel="0" collapsed="false">
      <c r="A362" s="14"/>
      <c r="B362" s="15"/>
      <c r="C362" s="15"/>
      <c r="D362" s="14"/>
      <c r="E362" s="14"/>
      <c r="F362" s="14"/>
      <c r="G362" s="14"/>
      <c r="H362" s="15"/>
      <c r="I362" s="15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14"/>
      <c r="BI362" s="14"/>
      <c r="BJ362" s="14"/>
      <c r="BK362" s="14"/>
      <c r="BL362" s="14"/>
      <c r="BM362" s="14"/>
      <c r="BN362" s="14"/>
      <c r="BO362" s="14"/>
      <c r="BP362" s="14"/>
      <c r="BQ362" s="14"/>
      <c r="BR362" s="14"/>
      <c r="BS362" s="14"/>
      <c r="BT362" s="14"/>
      <c r="BU362" s="14"/>
      <c r="BV362" s="14"/>
      <c r="BW362" s="14"/>
      <c r="BX362" s="14"/>
      <c r="BY362" s="14"/>
      <c r="BZ362" s="14"/>
      <c r="CA362" s="14"/>
      <c r="CB362" s="14"/>
      <c r="CC362" s="14"/>
      <c r="CD362" s="14"/>
      <c r="CE362" s="14"/>
      <c r="CF362" s="14"/>
      <c r="CG362" s="14"/>
      <c r="CH362" s="14"/>
      <c r="CI362" s="14"/>
      <c r="CJ362" s="14"/>
      <c r="CK362" s="14"/>
      <c r="CL362" s="14"/>
      <c r="CT362" s="14"/>
      <c r="CW362" s="3"/>
      <c r="DG362" s="4"/>
    </row>
    <row r="363" customFormat="false" ht="11.25" hidden="false" customHeight="true" outlineLevel="0" collapsed="false">
      <c r="A363" s="14"/>
      <c r="B363" s="15"/>
      <c r="C363" s="15"/>
      <c r="D363" s="14"/>
      <c r="E363" s="14"/>
      <c r="F363" s="14"/>
      <c r="G363" s="14"/>
      <c r="H363" s="15"/>
      <c r="I363" s="15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4"/>
      <c r="BP363" s="14"/>
      <c r="BQ363" s="14"/>
      <c r="BR363" s="14"/>
      <c r="BS363" s="14"/>
      <c r="BT363" s="14"/>
      <c r="BU363" s="14"/>
      <c r="BV363" s="14"/>
      <c r="BW363" s="14"/>
      <c r="BX363" s="14"/>
      <c r="BY363" s="14"/>
      <c r="BZ363" s="14"/>
      <c r="CA363" s="14"/>
      <c r="CB363" s="14"/>
      <c r="CC363" s="14"/>
      <c r="CD363" s="14"/>
      <c r="CE363" s="14"/>
      <c r="CF363" s="14"/>
      <c r="CG363" s="14"/>
      <c r="CH363" s="14"/>
      <c r="CI363" s="14"/>
      <c r="CJ363" s="14"/>
      <c r="CK363" s="14"/>
      <c r="CL363" s="14"/>
      <c r="CT363" s="14"/>
      <c r="CW363" s="3"/>
      <c r="DG363" s="4"/>
    </row>
    <row r="364" customFormat="false" ht="11.25" hidden="false" customHeight="true" outlineLevel="0" collapsed="false">
      <c r="A364" s="14"/>
      <c r="B364" s="15"/>
      <c r="C364" s="15"/>
      <c r="D364" s="14"/>
      <c r="E364" s="14"/>
      <c r="F364" s="14"/>
      <c r="G364" s="14"/>
      <c r="H364" s="15"/>
      <c r="I364" s="15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14"/>
      <c r="BI364" s="14"/>
      <c r="BJ364" s="14"/>
      <c r="BK364" s="14"/>
      <c r="BL364" s="14"/>
      <c r="BM364" s="14"/>
      <c r="BN364" s="14"/>
      <c r="BO364" s="14"/>
      <c r="BP364" s="14"/>
      <c r="BQ364" s="14"/>
      <c r="BR364" s="14"/>
      <c r="BS364" s="14"/>
      <c r="BT364" s="14"/>
      <c r="BU364" s="14"/>
      <c r="BV364" s="14"/>
      <c r="BW364" s="14"/>
      <c r="BX364" s="14"/>
      <c r="BY364" s="14"/>
      <c r="BZ364" s="14"/>
      <c r="CA364" s="14"/>
      <c r="CB364" s="14"/>
      <c r="CC364" s="14"/>
      <c r="CD364" s="14"/>
      <c r="CE364" s="14"/>
      <c r="CF364" s="14"/>
      <c r="CG364" s="14"/>
      <c r="CH364" s="14"/>
      <c r="CI364" s="14"/>
      <c r="CJ364" s="14"/>
      <c r="CK364" s="14"/>
      <c r="CL364" s="14"/>
      <c r="CT364" s="14"/>
      <c r="CW364" s="3"/>
      <c r="DG364" s="4"/>
    </row>
    <row r="365" customFormat="false" ht="11.25" hidden="false" customHeight="true" outlineLevel="0" collapsed="false">
      <c r="A365" s="14"/>
      <c r="B365" s="15"/>
      <c r="C365" s="15"/>
      <c r="D365" s="14"/>
      <c r="E365" s="14"/>
      <c r="F365" s="14"/>
      <c r="G365" s="14"/>
      <c r="H365" s="15"/>
      <c r="I365" s="15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  <c r="BN365" s="14"/>
      <c r="BO365" s="14"/>
      <c r="BP365" s="14"/>
      <c r="BQ365" s="14"/>
      <c r="BR365" s="14"/>
      <c r="BS365" s="14"/>
      <c r="BT365" s="14"/>
      <c r="BU365" s="14"/>
      <c r="BV365" s="14"/>
      <c r="BW365" s="14"/>
      <c r="BX365" s="14"/>
      <c r="BY365" s="14"/>
      <c r="BZ365" s="14"/>
      <c r="CA365" s="14"/>
      <c r="CB365" s="14"/>
      <c r="CC365" s="14"/>
      <c r="CD365" s="14"/>
      <c r="CE365" s="14"/>
      <c r="CF365" s="14"/>
      <c r="CG365" s="14"/>
      <c r="CH365" s="14"/>
      <c r="CI365" s="14"/>
      <c r="CJ365" s="14"/>
      <c r="CK365" s="14"/>
      <c r="CL365" s="14"/>
      <c r="CT365" s="14"/>
      <c r="CW365" s="3"/>
      <c r="DG365" s="4"/>
    </row>
    <row r="366" customFormat="false" ht="11.25" hidden="false" customHeight="true" outlineLevel="0" collapsed="false">
      <c r="A366" s="14"/>
      <c r="B366" s="15"/>
      <c r="C366" s="15"/>
      <c r="D366" s="14"/>
      <c r="E366" s="14"/>
      <c r="F366" s="14"/>
      <c r="G366" s="14"/>
      <c r="H366" s="15"/>
      <c r="I366" s="15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/>
      <c r="BG366" s="14"/>
      <c r="BH366" s="14"/>
      <c r="BI366" s="14"/>
      <c r="BJ366" s="14"/>
      <c r="BK366" s="14"/>
      <c r="BL366" s="14"/>
      <c r="BM366" s="14"/>
      <c r="BN366" s="14"/>
      <c r="BO366" s="14"/>
      <c r="BP366" s="14"/>
      <c r="BQ366" s="14"/>
      <c r="BR366" s="14"/>
      <c r="BS366" s="14"/>
      <c r="BT366" s="14"/>
      <c r="BU366" s="14"/>
      <c r="BV366" s="14"/>
      <c r="BW366" s="14"/>
      <c r="BX366" s="14"/>
      <c r="BY366" s="14"/>
      <c r="BZ366" s="14"/>
      <c r="CA366" s="14"/>
      <c r="CB366" s="14"/>
      <c r="CC366" s="14"/>
      <c r="CD366" s="14"/>
      <c r="CE366" s="14"/>
      <c r="CF366" s="14"/>
      <c r="CG366" s="14"/>
      <c r="CH366" s="14"/>
      <c r="CI366" s="14"/>
      <c r="CJ366" s="14"/>
      <c r="CK366" s="14"/>
      <c r="CL366" s="14"/>
      <c r="CT366" s="14"/>
      <c r="CW366" s="3"/>
      <c r="DG366" s="4"/>
    </row>
    <row r="367" customFormat="false" ht="11.25" hidden="false" customHeight="true" outlineLevel="0" collapsed="false">
      <c r="A367" s="14"/>
      <c r="B367" s="15"/>
      <c r="C367" s="15"/>
      <c r="D367" s="14"/>
      <c r="E367" s="14"/>
      <c r="F367" s="14"/>
      <c r="G367" s="14"/>
      <c r="H367" s="15"/>
      <c r="I367" s="15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4"/>
      <c r="BK367" s="14"/>
      <c r="BL367" s="14"/>
      <c r="BM367" s="14"/>
      <c r="BN367" s="14"/>
      <c r="BO367" s="14"/>
      <c r="BP367" s="14"/>
      <c r="BQ367" s="14"/>
      <c r="BR367" s="14"/>
      <c r="BS367" s="14"/>
      <c r="BT367" s="14"/>
      <c r="BU367" s="14"/>
      <c r="BV367" s="14"/>
      <c r="BW367" s="14"/>
      <c r="BX367" s="14"/>
      <c r="BY367" s="14"/>
      <c r="BZ367" s="14"/>
      <c r="CA367" s="14"/>
      <c r="CB367" s="14"/>
      <c r="CC367" s="14"/>
      <c r="CD367" s="14"/>
      <c r="CE367" s="14"/>
      <c r="CF367" s="14"/>
      <c r="CG367" s="14"/>
      <c r="CH367" s="14"/>
      <c r="CI367" s="14"/>
      <c r="CJ367" s="14"/>
      <c r="CK367" s="14"/>
      <c r="CL367" s="14"/>
      <c r="CT367" s="14"/>
      <c r="CW367" s="3"/>
      <c r="DG367" s="4"/>
    </row>
    <row r="368" customFormat="false" ht="11.25" hidden="false" customHeight="true" outlineLevel="0" collapsed="false">
      <c r="A368" s="14"/>
      <c r="B368" s="15"/>
      <c r="C368" s="15"/>
      <c r="D368" s="14"/>
      <c r="E368" s="14"/>
      <c r="F368" s="14"/>
      <c r="G368" s="14"/>
      <c r="H368" s="15"/>
      <c r="I368" s="15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/>
      <c r="BG368" s="14"/>
      <c r="BH368" s="14"/>
      <c r="BI368" s="14"/>
      <c r="BJ368" s="14"/>
      <c r="BK368" s="14"/>
      <c r="BL368" s="14"/>
      <c r="BM368" s="14"/>
      <c r="BN368" s="14"/>
      <c r="BO368" s="14"/>
      <c r="BP368" s="14"/>
      <c r="BQ368" s="14"/>
      <c r="BR368" s="14"/>
      <c r="BS368" s="14"/>
      <c r="BT368" s="14"/>
      <c r="BU368" s="14"/>
      <c r="BV368" s="14"/>
      <c r="BW368" s="14"/>
      <c r="BX368" s="14"/>
      <c r="BY368" s="14"/>
      <c r="BZ368" s="14"/>
      <c r="CA368" s="14"/>
      <c r="CB368" s="14"/>
      <c r="CC368" s="14"/>
      <c r="CD368" s="14"/>
      <c r="CE368" s="14"/>
      <c r="CF368" s="14"/>
      <c r="CG368" s="14"/>
      <c r="CH368" s="14"/>
      <c r="CI368" s="14"/>
      <c r="CJ368" s="14"/>
      <c r="CK368" s="14"/>
      <c r="CL368" s="14"/>
      <c r="CT368" s="14"/>
      <c r="CW368" s="3"/>
      <c r="DG368" s="4"/>
    </row>
    <row r="369" customFormat="false" ht="11.25" hidden="false" customHeight="true" outlineLevel="0" collapsed="false">
      <c r="A369" s="14"/>
      <c r="B369" s="15"/>
      <c r="C369" s="15"/>
      <c r="D369" s="14"/>
      <c r="E369" s="14"/>
      <c r="F369" s="14"/>
      <c r="G369" s="14"/>
      <c r="H369" s="15"/>
      <c r="I369" s="15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4"/>
      <c r="BP369" s="14"/>
      <c r="BQ369" s="14"/>
      <c r="BR369" s="14"/>
      <c r="BS369" s="14"/>
      <c r="BT369" s="14"/>
      <c r="BU369" s="14"/>
      <c r="BV369" s="14"/>
      <c r="BW369" s="14"/>
      <c r="BX369" s="14"/>
      <c r="BY369" s="14"/>
      <c r="BZ369" s="14"/>
      <c r="CA369" s="14"/>
      <c r="CB369" s="14"/>
      <c r="CC369" s="14"/>
      <c r="CD369" s="14"/>
      <c r="CE369" s="14"/>
      <c r="CF369" s="14"/>
      <c r="CG369" s="14"/>
      <c r="CH369" s="14"/>
      <c r="CI369" s="14"/>
      <c r="CJ369" s="14"/>
      <c r="CK369" s="14"/>
      <c r="CL369" s="14"/>
      <c r="CT369" s="14"/>
      <c r="CW369" s="3"/>
      <c r="DG369" s="4"/>
    </row>
    <row r="370" customFormat="false" ht="11.25" hidden="false" customHeight="true" outlineLevel="0" collapsed="false">
      <c r="A370" s="14"/>
      <c r="B370" s="15"/>
      <c r="C370" s="15"/>
      <c r="D370" s="14"/>
      <c r="E370" s="14"/>
      <c r="F370" s="14"/>
      <c r="G370" s="14"/>
      <c r="H370" s="15"/>
      <c r="I370" s="15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/>
      <c r="BG370" s="14"/>
      <c r="BH370" s="14"/>
      <c r="BI370" s="14"/>
      <c r="BJ370" s="14"/>
      <c r="BK370" s="14"/>
      <c r="BL370" s="14"/>
      <c r="BM370" s="14"/>
      <c r="BN370" s="14"/>
      <c r="BO370" s="14"/>
      <c r="BP370" s="14"/>
      <c r="BQ370" s="14"/>
      <c r="BR370" s="14"/>
      <c r="BS370" s="14"/>
      <c r="BT370" s="14"/>
      <c r="BU370" s="14"/>
      <c r="BV370" s="14"/>
      <c r="BW370" s="14"/>
      <c r="BX370" s="14"/>
      <c r="BY370" s="14"/>
      <c r="BZ370" s="14"/>
      <c r="CA370" s="14"/>
      <c r="CB370" s="14"/>
      <c r="CC370" s="14"/>
      <c r="CD370" s="14"/>
      <c r="CE370" s="14"/>
      <c r="CF370" s="14"/>
      <c r="CG370" s="14"/>
      <c r="CH370" s="14"/>
      <c r="CI370" s="14"/>
      <c r="CJ370" s="14"/>
      <c r="CK370" s="14"/>
      <c r="CL370" s="14"/>
      <c r="CT370" s="14"/>
      <c r="CW370" s="3"/>
      <c r="DG370" s="4"/>
    </row>
    <row r="371" customFormat="false" ht="11.25" hidden="false" customHeight="true" outlineLevel="0" collapsed="false">
      <c r="A371" s="14"/>
      <c r="B371" s="15"/>
      <c r="C371" s="15"/>
      <c r="D371" s="14"/>
      <c r="E371" s="14"/>
      <c r="F371" s="14"/>
      <c r="G371" s="14"/>
      <c r="H371" s="15"/>
      <c r="I371" s="15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4"/>
      <c r="BP371" s="14"/>
      <c r="BQ371" s="14"/>
      <c r="BR371" s="14"/>
      <c r="BS371" s="14"/>
      <c r="BT371" s="14"/>
      <c r="BU371" s="14"/>
      <c r="BV371" s="14"/>
      <c r="BW371" s="14"/>
      <c r="BX371" s="14"/>
      <c r="BY371" s="14"/>
      <c r="BZ371" s="14"/>
      <c r="CA371" s="14"/>
      <c r="CB371" s="14"/>
      <c r="CC371" s="14"/>
      <c r="CD371" s="14"/>
      <c r="CE371" s="14"/>
      <c r="CF371" s="14"/>
      <c r="CG371" s="14"/>
      <c r="CH371" s="14"/>
      <c r="CI371" s="14"/>
      <c r="CJ371" s="14"/>
      <c r="CK371" s="14"/>
      <c r="CL371" s="14"/>
      <c r="CT371" s="14"/>
      <c r="CW371" s="3"/>
      <c r="DG371" s="4"/>
    </row>
    <row r="372" customFormat="false" ht="11.25" hidden="false" customHeight="true" outlineLevel="0" collapsed="false">
      <c r="A372" s="14"/>
      <c r="B372" s="15"/>
      <c r="C372" s="15"/>
      <c r="D372" s="14"/>
      <c r="E372" s="14"/>
      <c r="F372" s="14"/>
      <c r="G372" s="14"/>
      <c r="H372" s="15"/>
      <c r="I372" s="15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14"/>
      <c r="BI372" s="14"/>
      <c r="BJ372" s="14"/>
      <c r="BK372" s="14"/>
      <c r="BL372" s="14"/>
      <c r="BM372" s="14"/>
      <c r="BN372" s="14"/>
      <c r="BO372" s="14"/>
      <c r="BP372" s="14"/>
      <c r="BQ372" s="14"/>
      <c r="BR372" s="14"/>
      <c r="BS372" s="14"/>
      <c r="BT372" s="14"/>
      <c r="BU372" s="14"/>
      <c r="BV372" s="14"/>
      <c r="BW372" s="14"/>
      <c r="BX372" s="14"/>
      <c r="BY372" s="14"/>
      <c r="BZ372" s="14"/>
      <c r="CA372" s="14"/>
      <c r="CB372" s="14"/>
      <c r="CC372" s="14"/>
      <c r="CD372" s="14"/>
      <c r="CE372" s="14"/>
      <c r="CF372" s="14"/>
      <c r="CG372" s="14"/>
      <c r="CH372" s="14"/>
      <c r="CI372" s="14"/>
      <c r="CJ372" s="14"/>
      <c r="CK372" s="14"/>
      <c r="CL372" s="14"/>
      <c r="CT372" s="14"/>
      <c r="CW372" s="3"/>
      <c r="DG372" s="4"/>
    </row>
    <row r="373" customFormat="false" ht="11.25" hidden="false" customHeight="true" outlineLevel="0" collapsed="false">
      <c r="A373" s="14"/>
      <c r="B373" s="15"/>
      <c r="C373" s="15"/>
      <c r="D373" s="14"/>
      <c r="E373" s="14"/>
      <c r="F373" s="14"/>
      <c r="G373" s="14"/>
      <c r="H373" s="15"/>
      <c r="I373" s="15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4"/>
      <c r="BP373" s="14"/>
      <c r="BQ373" s="14"/>
      <c r="BR373" s="14"/>
      <c r="BS373" s="14"/>
      <c r="BT373" s="14"/>
      <c r="BU373" s="14"/>
      <c r="BV373" s="14"/>
      <c r="BW373" s="14"/>
      <c r="BX373" s="14"/>
      <c r="BY373" s="14"/>
      <c r="BZ373" s="14"/>
      <c r="CA373" s="14"/>
      <c r="CB373" s="14"/>
      <c r="CC373" s="14"/>
      <c r="CD373" s="14"/>
      <c r="CE373" s="14"/>
      <c r="CF373" s="14"/>
      <c r="CG373" s="14"/>
      <c r="CH373" s="14"/>
      <c r="CI373" s="14"/>
      <c r="CJ373" s="14"/>
      <c r="CK373" s="14"/>
      <c r="CL373" s="14"/>
      <c r="CT373" s="14"/>
      <c r="CW373" s="3"/>
      <c r="DG373" s="4"/>
    </row>
    <row r="374" customFormat="false" ht="11.25" hidden="false" customHeight="true" outlineLevel="0" collapsed="false">
      <c r="A374" s="14"/>
      <c r="B374" s="15"/>
      <c r="C374" s="15"/>
      <c r="D374" s="14"/>
      <c r="E374" s="14"/>
      <c r="F374" s="14"/>
      <c r="G374" s="14"/>
      <c r="H374" s="15"/>
      <c r="I374" s="15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/>
      <c r="BG374" s="14"/>
      <c r="BH374" s="14"/>
      <c r="BI374" s="14"/>
      <c r="BJ374" s="14"/>
      <c r="BK374" s="14"/>
      <c r="BL374" s="14"/>
      <c r="BM374" s="14"/>
      <c r="BN374" s="14"/>
      <c r="BO374" s="14"/>
      <c r="BP374" s="14"/>
      <c r="BQ374" s="14"/>
      <c r="BR374" s="14"/>
      <c r="BS374" s="14"/>
      <c r="BT374" s="14"/>
      <c r="BU374" s="14"/>
      <c r="BV374" s="14"/>
      <c r="BW374" s="14"/>
      <c r="BX374" s="14"/>
      <c r="BY374" s="14"/>
      <c r="BZ374" s="14"/>
      <c r="CA374" s="14"/>
      <c r="CB374" s="14"/>
      <c r="CC374" s="14"/>
      <c r="CD374" s="14"/>
      <c r="CE374" s="14"/>
      <c r="CF374" s="14"/>
      <c r="CG374" s="14"/>
      <c r="CH374" s="14"/>
      <c r="CI374" s="14"/>
      <c r="CJ374" s="14"/>
      <c r="CK374" s="14"/>
      <c r="CL374" s="14"/>
      <c r="CT374" s="14"/>
      <c r="CW374" s="3"/>
      <c r="DG374" s="4"/>
    </row>
    <row r="375" customFormat="false" ht="11.25" hidden="false" customHeight="true" outlineLevel="0" collapsed="false">
      <c r="A375" s="14"/>
      <c r="B375" s="15"/>
      <c r="C375" s="15"/>
      <c r="D375" s="14"/>
      <c r="E375" s="14"/>
      <c r="F375" s="14"/>
      <c r="G375" s="14"/>
      <c r="H375" s="15"/>
      <c r="I375" s="15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  <c r="BP375" s="14"/>
      <c r="BQ375" s="14"/>
      <c r="BR375" s="14"/>
      <c r="BS375" s="14"/>
      <c r="BT375" s="14"/>
      <c r="BU375" s="14"/>
      <c r="BV375" s="14"/>
      <c r="BW375" s="14"/>
      <c r="BX375" s="14"/>
      <c r="BY375" s="14"/>
      <c r="BZ375" s="14"/>
      <c r="CA375" s="14"/>
      <c r="CB375" s="14"/>
      <c r="CC375" s="14"/>
      <c r="CD375" s="14"/>
      <c r="CE375" s="14"/>
      <c r="CF375" s="14"/>
      <c r="CG375" s="14"/>
      <c r="CH375" s="14"/>
      <c r="CI375" s="14"/>
      <c r="CJ375" s="14"/>
      <c r="CK375" s="14"/>
      <c r="CL375" s="14"/>
      <c r="CT375" s="14"/>
      <c r="CW375" s="3"/>
      <c r="DG375" s="4"/>
    </row>
    <row r="376" customFormat="false" ht="11.25" hidden="false" customHeight="true" outlineLevel="0" collapsed="false">
      <c r="A376" s="14"/>
      <c r="B376" s="15"/>
      <c r="C376" s="15"/>
      <c r="D376" s="14"/>
      <c r="E376" s="14"/>
      <c r="F376" s="14"/>
      <c r="G376" s="14"/>
      <c r="H376" s="15"/>
      <c r="I376" s="15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4"/>
      <c r="BP376" s="14"/>
      <c r="BQ376" s="14"/>
      <c r="BR376" s="14"/>
      <c r="BS376" s="14"/>
      <c r="BT376" s="14"/>
      <c r="BU376" s="14"/>
      <c r="BV376" s="14"/>
      <c r="BW376" s="14"/>
      <c r="BX376" s="14"/>
      <c r="BY376" s="14"/>
      <c r="BZ376" s="14"/>
      <c r="CA376" s="14"/>
      <c r="CB376" s="14"/>
      <c r="CC376" s="14"/>
      <c r="CD376" s="14"/>
      <c r="CE376" s="14"/>
      <c r="CF376" s="14"/>
      <c r="CG376" s="14"/>
      <c r="CH376" s="14"/>
      <c r="CI376" s="14"/>
      <c r="CJ376" s="14"/>
      <c r="CK376" s="14"/>
      <c r="CL376" s="14"/>
      <c r="CT376" s="14"/>
      <c r="CW376" s="3"/>
      <c r="DG376" s="4"/>
    </row>
    <row r="377" customFormat="false" ht="11.25" hidden="false" customHeight="true" outlineLevel="0" collapsed="false">
      <c r="A377" s="14"/>
      <c r="B377" s="15"/>
      <c r="C377" s="15"/>
      <c r="D377" s="14"/>
      <c r="E377" s="14"/>
      <c r="F377" s="14"/>
      <c r="G377" s="14"/>
      <c r="H377" s="15"/>
      <c r="I377" s="15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  <c r="BP377" s="14"/>
      <c r="BQ377" s="14"/>
      <c r="BR377" s="14"/>
      <c r="BS377" s="14"/>
      <c r="BT377" s="14"/>
      <c r="BU377" s="14"/>
      <c r="BV377" s="14"/>
      <c r="BW377" s="14"/>
      <c r="BX377" s="14"/>
      <c r="BY377" s="14"/>
      <c r="BZ377" s="14"/>
      <c r="CA377" s="14"/>
      <c r="CB377" s="14"/>
      <c r="CC377" s="14"/>
      <c r="CD377" s="14"/>
      <c r="CE377" s="14"/>
      <c r="CF377" s="14"/>
      <c r="CG377" s="14"/>
      <c r="CH377" s="14"/>
      <c r="CI377" s="14"/>
      <c r="CJ377" s="14"/>
      <c r="CK377" s="14"/>
      <c r="CL377" s="14"/>
      <c r="CT377" s="14"/>
      <c r="CW377" s="3"/>
      <c r="DG377" s="4"/>
    </row>
    <row r="378" customFormat="false" ht="11.25" hidden="false" customHeight="true" outlineLevel="0" collapsed="false">
      <c r="A378" s="14"/>
      <c r="B378" s="15"/>
      <c r="C378" s="15"/>
      <c r="D378" s="14"/>
      <c r="E378" s="14"/>
      <c r="F378" s="14"/>
      <c r="G378" s="14"/>
      <c r="H378" s="15"/>
      <c r="I378" s="15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  <c r="BH378" s="14"/>
      <c r="BI378" s="14"/>
      <c r="BJ378" s="14"/>
      <c r="BK378" s="14"/>
      <c r="BL378" s="14"/>
      <c r="BM378" s="14"/>
      <c r="BN378" s="14"/>
      <c r="BO378" s="14"/>
      <c r="BP378" s="14"/>
      <c r="BQ378" s="14"/>
      <c r="BR378" s="14"/>
      <c r="BS378" s="14"/>
      <c r="BT378" s="14"/>
      <c r="BU378" s="14"/>
      <c r="BV378" s="14"/>
      <c r="BW378" s="14"/>
      <c r="BX378" s="14"/>
      <c r="BY378" s="14"/>
      <c r="BZ378" s="14"/>
      <c r="CA378" s="14"/>
      <c r="CB378" s="14"/>
      <c r="CC378" s="14"/>
      <c r="CD378" s="14"/>
      <c r="CE378" s="14"/>
      <c r="CF378" s="14"/>
      <c r="CG378" s="14"/>
      <c r="CH378" s="14"/>
      <c r="CI378" s="14"/>
      <c r="CJ378" s="14"/>
      <c r="CK378" s="14"/>
      <c r="CL378" s="14"/>
      <c r="CT378" s="14"/>
      <c r="CW378" s="3"/>
      <c r="DG378" s="4"/>
    </row>
    <row r="379" customFormat="false" ht="11.25" hidden="false" customHeight="true" outlineLevel="0" collapsed="false">
      <c r="A379" s="14"/>
      <c r="B379" s="15"/>
      <c r="C379" s="15"/>
      <c r="D379" s="14"/>
      <c r="E379" s="14"/>
      <c r="F379" s="14"/>
      <c r="G379" s="14"/>
      <c r="H379" s="15"/>
      <c r="I379" s="15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  <c r="BP379" s="14"/>
      <c r="BQ379" s="14"/>
      <c r="BR379" s="14"/>
      <c r="BS379" s="14"/>
      <c r="BT379" s="14"/>
      <c r="BU379" s="14"/>
      <c r="BV379" s="14"/>
      <c r="BW379" s="14"/>
      <c r="BX379" s="14"/>
      <c r="BY379" s="14"/>
      <c r="BZ379" s="14"/>
      <c r="CA379" s="14"/>
      <c r="CB379" s="14"/>
      <c r="CC379" s="14"/>
      <c r="CD379" s="14"/>
      <c r="CE379" s="14"/>
      <c r="CF379" s="14"/>
      <c r="CG379" s="14"/>
      <c r="CH379" s="14"/>
      <c r="CI379" s="14"/>
      <c r="CJ379" s="14"/>
      <c r="CK379" s="14"/>
      <c r="CL379" s="14"/>
      <c r="CT379" s="14"/>
      <c r="CW379" s="3"/>
      <c r="DG379" s="4"/>
    </row>
    <row r="380" customFormat="false" ht="11.25" hidden="false" customHeight="true" outlineLevel="0" collapsed="false">
      <c r="A380" s="14"/>
      <c r="B380" s="15"/>
      <c r="C380" s="15"/>
      <c r="D380" s="14"/>
      <c r="E380" s="14"/>
      <c r="F380" s="14"/>
      <c r="G380" s="14"/>
      <c r="H380" s="15"/>
      <c r="I380" s="15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/>
      <c r="BG380" s="14"/>
      <c r="BH380" s="14"/>
      <c r="BI380" s="14"/>
      <c r="BJ380" s="14"/>
      <c r="BK380" s="14"/>
      <c r="BL380" s="14"/>
      <c r="BM380" s="14"/>
      <c r="BN380" s="14"/>
      <c r="BO380" s="14"/>
      <c r="BP380" s="14"/>
      <c r="BQ380" s="14"/>
      <c r="BR380" s="14"/>
      <c r="BS380" s="14"/>
      <c r="BT380" s="14"/>
      <c r="BU380" s="14"/>
      <c r="BV380" s="14"/>
      <c r="BW380" s="14"/>
      <c r="BX380" s="14"/>
      <c r="BY380" s="14"/>
      <c r="BZ380" s="14"/>
      <c r="CA380" s="14"/>
      <c r="CB380" s="14"/>
      <c r="CC380" s="14"/>
      <c r="CD380" s="14"/>
      <c r="CE380" s="14"/>
      <c r="CF380" s="14"/>
      <c r="CG380" s="14"/>
      <c r="CH380" s="14"/>
      <c r="CI380" s="14"/>
      <c r="CJ380" s="14"/>
      <c r="CK380" s="14"/>
      <c r="CL380" s="14"/>
      <c r="CT380" s="14"/>
      <c r="CW380" s="3"/>
      <c r="DG380" s="4"/>
    </row>
    <row r="381" customFormat="false" ht="11.25" hidden="false" customHeight="true" outlineLevel="0" collapsed="false">
      <c r="A381" s="14"/>
      <c r="B381" s="15"/>
      <c r="C381" s="15"/>
      <c r="D381" s="14"/>
      <c r="E381" s="14"/>
      <c r="F381" s="14"/>
      <c r="G381" s="14"/>
      <c r="H381" s="15"/>
      <c r="I381" s="15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  <c r="BP381" s="14"/>
      <c r="BQ381" s="14"/>
      <c r="BR381" s="14"/>
      <c r="BS381" s="14"/>
      <c r="BT381" s="14"/>
      <c r="BU381" s="14"/>
      <c r="BV381" s="14"/>
      <c r="BW381" s="14"/>
      <c r="BX381" s="14"/>
      <c r="BY381" s="14"/>
      <c r="BZ381" s="14"/>
      <c r="CA381" s="14"/>
      <c r="CB381" s="14"/>
      <c r="CC381" s="14"/>
      <c r="CD381" s="14"/>
      <c r="CE381" s="14"/>
      <c r="CF381" s="14"/>
      <c r="CG381" s="14"/>
      <c r="CH381" s="14"/>
      <c r="CI381" s="14"/>
      <c r="CJ381" s="14"/>
      <c r="CK381" s="14"/>
      <c r="CL381" s="14"/>
      <c r="CT381" s="14"/>
      <c r="CW381" s="3"/>
      <c r="DG381" s="4"/>
    </row>
    <row r="382" customFormat="false" ht="11.25" hidden="false" customHeight="true" outlineLevel="0" collapsed="false">
      <c r="A382" s="14"/>
      <c r="B382" s="15"/>
      <c r="C382" s="15"/>
      <c r="D382" s="14"/>
      <c r="E382" s="14"/>
      <c r="F382" s="14"/>
      <c r="G382" s="14"/>
      <c r="H382" s="15"/>
      <c r="I382" s="15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14"/>
      <c r="BI382" s="14"/>
      <c r="BJ382" s="14"/>
      <c r="BK382" s="14"/>
      <c r="BL382" s="14"/>
      <c r="BM382" s="14"/>
      <c r="BN382" s="14"/>
      <c r="BO382" s="14"/>
      <c r="BP382" s="14"/>
      <c r="BQ382" s="14"/>
      <c r="BR382" s="14"/>
      <c r="BS382" s="14"/>
      <c r="BT382" s="14"/>
      <c r="BU382" s="14"/>
      <c r="BV382" s="14"/>
      <c r="BW382" s="14"/>
      <c r="BX382" s="14"/>
      <c r="BY382" s="14"/>
      <c r="BZ382" s="14"/>
      <c r="CA382" s="14"/>
      <c r="CB382" s="14"/>
      <c r="CC382" s="14"/>
      <c r="CD382" s="14"/>
      <c r="CE382" s="14"/>
      <c r="CF382" s="14"/>
      <c r="CG382" s="14"/>
      <c r="CH382" s="14"/>
      <c r="CI382" s="14"/>
      <c r="CJ382" s="14"/>
      <c r="CK382" s="14"/>
      <c r="CL382" s="14"/>
      <c r="CT382" s="14"/>
      <c r="CW382" s="3"/>
      <c r="DG382" s="4"/>
    </row>
    <row r="383" customFormat="false" ht="11.25" hidden="false" customHeight="true" outlineLevel="0" collapsed="false">
      <c r="A383" s="14"/>
      <c r="B383" s="15"/>
      <c r="C383" s="15"/>
      <c r="D383" s="14"/>
      <c r="E383" s="14"/>
      <c r="F383" s="14"/>
      <c r="G383" s="14"/>
      <c r="H383" s="15"/>
      <c r="I383" s="15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  <c r="BP383" s="14"/>
      <c r="BQ383" s="14"/>
      <c r="BR383" s="14"/>
      <c r="BS383" s="14"/>
      <c r="BT383" s="14"/>
      <c r="BU383" s="14"/>
      <c r="BV383" s="14"/>
      <c r="BW383" s="14"/>
      <c r="BX383" s="14"/>
      <c r="BY383" s="14"/>
      <c r="BZ383" s="14"/>
      <c r="CA383" s="14"/>
      <c r="CB383" s="14"/>
      <c r="CC383" s="14"/>
      <c r="CD383" s="14"/>
      <c r="CE383" s="14"/>
      <c r="CF383" s="14"/>
      <c r="CG383" s="14"/>
      <c r="CH383" s="14"/>
      <c r="CI383" s="14"/>
      <c r="CJ383" s="14"/>
      <c r="CK383" s="14"/>
      <c r="CL383" s="14"/>
      <c r="CT383" s="14"/>
      <c r="CW383" s="3"/>
      <c r="DG383" s="4"/>
    </row>
    <row r="384" customFormat="false" ht="11.25" hidden="false" customHeight="true" outlineLevel="0" collapsed="false">
      <c r="A384" s="14"/>
      <c r="B384" s="15"/>
      <c r="C384" s="15"/>
      <c r="D384" s="14"/>
      <c r="E384" s="14"/>
      <c r="F384" s="14"/>
      <c r="G384" s="14"/>
      <c r="H384" s="15"/>
      <c r="I384" s="15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/>
      <c r="BJ384" s="14"/>
      <c r="BK384" s="14"/>
      <c r="BL384" s="14"/>
      <c r="BM384" s="14"/>
      <c r="BN384" s="14"/>
      <c r="BO384" s="14"/>
      <c r="BP384" s="14"/>
      <c r="BQ384" s="14"/>
      <c r="BR384" s="14"/>
      <c r="BS384" s="14"/>
      <c r="BT384" s="14"/>
      <c r="BU384" s="14"/>
      <c r="BV384" s="14"/>
      <c r="BW384" s="14"/>
      <c r="BX384" s="14"/>
      <c r="BY384" s="14"/>
      <c r="BZ384" s="14"/>
      <c r="CA384" s="14"/>
      <c r="CB384" s="14"/>
      <c r="CC384" s="14"/>
      <c r="CD384" s="14"/>
      <c r="CE384" s="14"/>
      <c r="CF384" s="14"/>
      <c r="CG384" s="14"/>
      <c r="CH384" s="14"/>
      <c r="CI384" s="14"/>
      <c r="CJ384" s="14"/>
      <c r="CK384" s="14"/>
      <c r="CL384" s="14"/>
      <c r="CT384" s="14"/>
      <c r="CW384" s="3"/>
      <c r="DG384" s="4"/>
    </row>
    <row r="385" customFormat="false" ht="11.25" hidden="false" customHeight="true" outlineLevel="0" collapsed="false">
      <c r="A385" s="14"/>
      <c r="B385" s="15"/>
      <c r="C385" s="15"/>
      <c r="D385" s="14"/>
      <c r="E385" s="14"/>
      <c r="F385" s="14"/>
      <c r="G385" s="14"/>
      <c r="H385" s="15"/>
      <c r="I385" s="15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  <c r="BP385" s="14"/>
      <c r="BQ385" s="14"/>
      <c r="BR385" s="14"/>
      <c r="BS385" s="14"/>
      <c r="BT385" s="14"/>
      <c r="BU385" s="14"/>
      <c r="BV385" s="14"/>
      <c r="BW385" s="14"/>
      <c r="BX385" s="14"/>
      <c r="BY385" s="14"/>
      <c r="BZ385" s="14"/>
      <c r="CA385" s="14"/>
      <c r="CB385" s="14"/>
      <c r="CC385" s="14"/>
      <c r="CD385" s="14"/>
      <c r="CE385" s="14"/>
      <c r="CF385" s="14"/>
      <c r="CG385" s="14"/>
      <c r="CH385" s="14"/>
      <c r="CI385" s="14"/>
      <c r="CJ385" s="14"/>
      <c r="CK385" s="14"/>
      <c r="CL385" s="14"/>
      <c r="CT385" s="14"/>
      <c r="CW385" s="3"/>
      <c r="DG385" s="4"/>
    </row>
    <row r="386" customFormat="false" ht="11.25" hidden="false" customHeight="true" outlineLevel="0" collapsed="false">
      <c r="A386" s="14"/>
      <c r="B386" s="15"/>
      <c r="C386" s="15"/>
      <c r="D386" s="14"/>
      <c r="E386" s="14"/>
      <c r="F386" s="14"/>
      <c r="G386" s="14"/>
      <c r="H386" s="15"/>
      <c r="I386" s="15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  <c r="BP386" s="14"/>
      <c r="BQ386" s="14"/>
      <c r="BR386" s="14"/>
      <c r="BS386" s="14"/>
      <c r="BT386" s="14"/>
      <c r="BU386" s="14"/>
      <c r="BV386" s="14"/>
      <c r="BW386" s="14"/>
      <c r="BX386" s="14"/>
      <c r="BY386" s="14"/>
      <c r="BZ386" s="14"/>
      <c r="CA386" s="14"/>
      <c r="CB386" s="14"/>
      <c r="CC386" s="14"/>
      <c r="CD386" s="14"/>
      <c r="CE386" s="14"/>
      <c r="CF386" s="14"/>
      <c r="CG386" s="14"/>
      <c r="CH386" s="14"/>
      <c r="CI386" s="14"/>
      <c r="CJ386" s="14"/>
      <c r="CK386" s="14"/>
      <c r="CL386" s="14"/>
      <c r="CT386" s="14"/>
      <c r="CW386" s="3"/>
      <c r="DG386" s="4"/>
    </row>
    <row r="387" customFormat="false" ht="11.25" hidden="false" customHeight="true" outlineLevel="0" collapsed="false">
      <c r="A387" s="14"/>
      <c r="B387" s="15"/>
      <c r="C387" s="15"/>
      <c r="D387" s="14"/>
      <c r="E387" s="14"/>
      <c r="F387" s="14"/>
      <c r="G387" s="14"/>
      <c r="H387" s="15"/>
      <c r="I387" s="15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  <c r="BO387" s="14"/>
      <c r="BP387" s="14"/>
      <c r="BQ387" s="14"/>
      <c r="BR387" s="14"/>
      <c r="BS387" s="14"/>
      <c r="BT387" s="14"/>
      <c r="BU387" s="14"/>
      <c r="BV387" s="14"/>
      <c r="BW387" s="14"/>
      <c r="BX387" s="14"/>
      <c r="BY387" s="14"/>
      <c r="BZ387" s="14"/>
      <c r="CA387" s="14"/>
      <c r="CB387" s="14"/>
      <c r="CC387" s="14"/>
      <c r="CD387" s="14"/>
      <c r="CE387" s="14"/>
      <c r="CF387" s="14"/>
      <c r="CG387" s="14"/>
      <c r="CH387" s="14"/>
      <c r="CI387" s="14"/>
      <c r="CJ387" s="14"/>
      <c r="CK387" s="14"/>
      <c r="CL387" s="14"/>
      <c r="CT387" s="14"/>
      <c r="CW387" s="3"/>
      <c r="DG387" s="4"/>
    </row>
    <row r="388" customFormat="false" ht="11.25" hidden="false" customHeight="true" outlineLevel="0" collapsed="false">
      <c r="A388" s="14"/>
      <c r="B388" s="15"/>
      <c r="C388" s="15"/>
      <c r="D388" s="14"/>
      <c r="E388" s="14"/>
      <c r="F388" s="14"/>
      <c r="G388" s="14"/>
      <c r="H388" s="15"/>
      <c r="I388" s="15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  <c r="BH388" s="14"/>
      <c r="BI388" s="14"/>
      <c r="BJ388" s="14"/>
      <c r="BK388" s="14"/>
      <c r="BL388" s="14"/>
      <c r="BM388" s="14"/>
      <c r="BN388" s="14"/>
      <c r="BO388" s="14"/>
      <c r="BP388" s="14"/>
      <c r="BQ388" s="14"/>
      <c r="BR388" s="14"/>
      <c r="BS388" s="14"/>
      <c r="BT388" s="14"/>
      <c r="BU388" s="14"/>
      <c r="BV388" s="14"/>
      <c r="BW388" s="14"/>
      <c r="BX388" s="14"/>
      <c r="BY388" s="14"/>
      <c r="BZ388" s="14"/>
      <c r="CA388" s="14"/>
      <c r="CB388" s="14"/>
      <c r="CC388" s="14"/>
      <c r="CD388" s="14"/>
      <c r="CE388" s="14"/>
      <c r="CF388" s="14"/>
      <c r="CG388" s="14"/>
      <c r="CH388" s="14"/>
      <c r="CI388" s="14"/>
      <c r="CJ388" s="14"/>
      <c r="CK388" s="14"/>
      <c r="CL388" s="14"/>
      <c r="CT388" s="14"/>
      <c r="CW388" s="3"/>
      <c r="DG388" s="4"/>
    </row>
    <row r="389" customFormat="false" ht="11.25" hidden="false" customHeight="true" outlineLevel="0" collapsed="false">
      <c r="A389" s="14"/>
      <c r="B389" s="15"/>
      <c r="C389" s="15"/>
      <c r="D389" s="14"/>
      <c r="E389" s="14"/>
      <c r="F389" s="14"/>
      <c r="G389" s="14"/>
      <c r="H389" s="15"/>
      <c r="I389" s="15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4"/>
      <c r="BP389" s="14"/>
      <c r="BQ389" s="14"/>
      <c r="BR389" s="14"/>
      <c r="BS389" s="14"/>
      <c r="BT389" s="14"/>
      <c r="BU389" s="14"/>
      <c r="BV389" s="14"/>
      <c r="BW389" s="14"/>
      <c r="BX389" s="14"/>
      <c r="BY389" s="14"/>
      <c r="BZ389" s="14"/>
      <c r="CA389" s="14"/>
      <c r="CB389" s="14"/>
      <c r="CC389" s="14"/>
      <c r="CD389" s="14"/>
      <c r="CE389" s="14"/>
      <c r="CF389" s="14"/>
      <c r="CG389" s="14"/>
      <c r="CH389" s="14"/>
      <c r="CI389" s="14"/>
      <c r="CJ389" s="14"/>
      <c r="CK389" s="14"/>
      <c r="CL389" s="14"/>
      <c r="CT389" s="14"/>
      <c r="CW389" s="3"/>
      <c r="DG389" s="4"/>
    </row>
    <row r="390" customFormat="false" ht="11.25" hidden="false" customHeight="true" outlineLevel="0" collapsed="false">
      <c r="A390" s="14"/>
      <c r="B390" s="15"/>
      <c r="C390" s="15"/>
      <c r="D390" s="14"/>
      <c r="E390" s="14"/>
      <c r="F390" s="14"/>
      <c r="G390" s="14"/>
      <c r="H390" s="15"/>
      <c r="I390" s="15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  <c r="BH390" s="14"/>
      <c r="BI390" s="14"/>
      <c r="BJ390" s="14"/>
      <c r="BK390" s="14"/>
      <c r="BL390" s="14"/>
      <c r="BM390" s="14"/>
      <c r="BN390" s="14"/>
      <c r="BO390" s="14"/>
      <c r="BP390" s="14"/>
      <c r="BQ390" s="14"/>
      <c r="BR390" s="14"/>
      <c r="BS390" s="14"/>
      <c r="BT390" s="14"/>
      <c r="BU390" s="14"/>
      <c r="BV390" s="14"/>
      <c r="BW390" s="14"/>
      <c r="BX390" s="14"/>
      <c r="BY390" s="14"/>
      <c r="BZ390" s="14"/>
      <c r="CA390" s="14"/>
      <c r="CB390" s="14"/>
      <c r="CC390" s="14"/>
      <c r="CD390" s="14"/>
      <c r="CE390" s="14"/>
      <c r="CF390" s="14"/>
      <c r="CG390" s="14"/>
      <c r="CH390" s="14"/>
      <c r="CI390" s="14"/>
      <c r="CJ390" s="14"/>
      <c r="CK390" s="14"/>
      <c r="CL390" s="14"/>
      <c r="CT390" s="14"/>
      <c r="CW390" s="3"/>
      <c r="DG390" s="4"/>
    </row>
    <row r="391" customFormat="false" ht="11.25" hidden="false" customHeight="true" outlineLevel="0" collapsed="false">
      <c r="A391" s="14"/>
      <c r="B391" s="15"/>
      <c r="C391" s="15"/>
      <c r="D391" s="14"/>
      <c r="E391" s="14"/>
      <c r="F391" s="14"/>
      <c r="G391" s="14"/>
      <c r="H391" s="15"/>
      <c r="I391" s="15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4"/>
      <c r="BK391" s="14"/>
      <c r="BL391" s="14"/>
      <c r="BM391" s="14"/>
      <c r="BN391" s="14"/>
      <c r="BO391" s="14"/>
      <c r="BP391" s="14"/>
      <c r="BQ391" s="14"/>
      <c r="BR391" s="14"/>
      <c r="BS391" s="14"/>
      <c r="BT391" s="14"/>
      <c r="BU391" s="14"/>
      <c r="BV391" s="14"/>
      <c r="BW391" s="14"/>
      <c r="BX391" s="14"/>
      <c r="BY391" s="14"/>
      <c r="BZ391" s="14"/>
      <c r="CA391" s="14"/>
      <c r="CB391" s="14"/>
      <c r="CC391" s="14"/>
      <c r="CD391" s="14"/>
      <c r="CE391" s="14"/>
      <c r="CF391" s="14"/>
      <c r="CG391" s="14"/>
      <c r="CH391" s="14"/>
      <c r="CI391" s="14"/>
      <c r="CJ391" s="14"/>
      <c r="CK391" s="14"/>
      <c r="CL391" s="14"/>
      <c r="CT391" s="14"/>
      <c r="CW391" s="3"/>
      <c r="DG391" s="4"/>
    </row>
    <row r="392" customFormat="false" ht="11.25" hidden="false" customHeight="true" outlineLevel="0" collapsed="false">
      <c r="A392" s="14"/>
      <c r="B392" s="15"/>
      <c r="C392" s="15"/>
      <c r="D392" s="14"/>
      <c r="E392" s="14"/>
      <c r="F392" s="14"/>
      <c r="G392" s="14"/>
      <c r="H392" s="15"/>
      <c r="I392" s="15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  <c r="BH392" s="14"/>
      <c r="BI392" s="14"/>
      <c r="BJ392" s="14"/>
      <c r="BK392" s="14"/>
      <c r="BL392" s="14"/>
      <c r="BM392" s="14"/>
      <c r="BN392" s="14"/>
      <c r="BO392" s="14"/>
      <c r="BP392" s="14"/>
      <c r="BQ392" s="14"/>
      <c r="BR392" s="14"/>
      <c r="BS392" s="14"/>
      <c r="BT392" s="14"/>
      <c r="BU392" s="14"/>
      <c r="BV392" s="14"/>
      <c r="BW392" s="14"/>
      <c r="BX392" s="14"/>
      <c r="BY392" s="14"/>
      <c r="BZ392" s="14"/>
      <c r="CA392" s="14"/>
      <c r="CB392" s="14"/>
      <c r="CC392" s="14"/>
      <c r="CD392" s="14"/>
      <c r="CE392" s="14"/>
      <c r="CF392" s="14"/>
      <c r="CG392" s="14"/>
      <c r="CH392" s="14"/>
      <c r="CI392" s="14"/>
      <c r="CJ392" s="14"/>
      <c r="CK392" s="14"/>
      <c r="CL392" s="14"/>
      <c r="CT392" s="14"/>
      <c r="CW392" s="3"/>
      <c r="DG392" s="4"/>
    </row>
    <row r="393" customFormat="false" ht="11.25" hidden="false" customHeight="true" outlineLevel="0" collapsed="false">
      <c r="A393" s="14"/>
      <c r="B393" s="15"/>
      <c r="C393" s="15"/>
      <c r="D393" s="14"/>
      <c r="E393" s="14"/>
      <c r="F393" s="14"/>
      <c r="G393" s="14"/>
      <c r="H393" s="15"/>
      <c r="I393" s="15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4"/>
      <c r="BP393" s="14"/>
      <c r="BQ393" s="14"/>
      <c r="BR393" s="14"/>
      <c r="BS393" s="14"/>
      <c r="BT393" s="14"/>
      <c r="BU393" s="14"/>
      <c r="BV393" s="14"/>
      <c r="BW393" s="14"/>
      <c r="BX393" s="14"/>
      <c r="BY393" s="14"/>
      <c r="BZ393" s="14"/>
      <c r="CA393" s="14"/>
      <c r="CB393" s="14"/>
      <c r="CC393" s="14"/>
      <c r="CD393" s="14"/>
      <c r="CE393" s="14"/>
      <c r="CF393" s="14"/>
      <c r="CG393" s="14"/>
      <c r="CH393" s="14"/>
      <c r="CI393" s="14"/>
      <c r="CJ393" s="14"/>
      <c r="CK393" s="14"/>
      <c r="CL393" s="14"/>
      <c r="CT393" s="14"/>
      <c r="CW393" s="3"/>
      <c r="DG393" s="4"/>
    </row>
    <row r="394" customFormat="false" ht="11.25" hidden="false" customHeight="true" outlineLevel="0" collapsed="false">
      <c r="A394" s="14"/>
      <c r="B394" s="15"/>
      <c r="C394" s="15"/>
      <c r="D394" s="14"/>
      <c r="E394" s="14"/>
      <c r="F394" s="14"/>
      <c r="G394" s="14"/>
      <c r="H394" s="15"/>
      <c r="I394" s="15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14"/>
      <c r="BI394" s="14"/>
      <c r="BJ394" s="14"/>
      <c r="BK394" s="14"/>
      <c r="BL394" s="14"/>
      <c r="BM394" s="14"/>
      <c r="BN394" s="14"/>
      <c r="BO394" s="14"/>
      <c r="BP394" s="14"/>
      <c r="BQ394" s="14"/>
      <c r="BR394" s="14"/>
      <c r="BS394" s="14"/>
      <c r="BT394" s="14"/>
      <c r="BU394" s="14"/>
      <c r="BV394" s="14"/>
      <c r="BW394" s="14"/>
      <c r="BX394" s="14"/>
      <c r="BY394" s="14"/>
      <c r="BZ394" s="14"/>
      <c r="CA394" s="14"/>
      <c r="CB394" s="14"/>
      <c r="CC394" s="14"/>
      <c r="CD394" s="14"/>
      <c r="CE394" s="14"/>
      <c r="CF394" s="14"/>
      <c r="CG394" s="14"/>
      <c r="CH394" s="14"/>
      <c r="CI394" s="14"/>
      <c r="CJ394" s="14"/>
      <c r="CK394" s="14"/>
      <c r="CL394" s="14"/>
      <c r="CT394" s="14"/>
      <c r="CW394" s="3"/>
      <c r="DG394" s="4"/>
    </row>
    <row r="395" customFormat="false" ht="11.25" hidden="false" customHeight="true" outlineLevel="0" collapsed="false">
      <c r="A395" s="14"/>
      <c r="B395" s="15"/>
      <c r="C395" s="15"/>
      <c r="D395" s="14"/>
      <c r="E395" s="14"/>
      <c r="F395" s="14"/>
      <c r="G395" s="14"/>
      <c r="H395" s="15"/>
      <c r="I395" s="15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  <c r="BL395" s="14"/>
      <c r="BM395" s="14"/>
      <c r="BN395" s="14"/>
      <c r="BO395" s="14"/>
      <c r="BP395" s="14"/>
      <c r="BQ395" s="14"/>
      <c r="BR395" s="14"/>
      <c r="BS395" s="14"/>
      <c r="BT395" s="14"/>
      <c r="BU395" s="14"/>
      <c r="BV395" s="14"/>
      <c r="BW395" s="14"/>
      <c r="BX395" s="14"/>
      <c r="BY395" s="14"/>
      <c r="BZ395" s="14"/>
      <c r="CA395" s="14"/>
      <c r="CB395" s="14"/>
      <c r="CC395" s="14"/>
      <c r="CD395" s="14"/>
      <c r="CE395" s="14"/>
      <c r="CF395" s="14"/>
      <c r="CG395" s="14"/>
      <c r="CH395" s="14"/>
      <c r="CI395" s="14"/>
      <c r="CJ395" s="14"/>
      <c r="CK395" s="14"/>
      <c r="CL395" s="14"/>
      <c r="CT395" s="14"/>
      <c r="CW395" s="3"/>
      <c r="DG395" s="4"/>
    </row>
    <row r="396" customFormat="false" ht="11.25" hidden="false" customHeight="true" outlineLevel="0" collapsed="false">
      <c r="A396" s="14"/>
      <c r="B396" s="15"/>
      <c r="C396" s="15"/>
      <c r="D396" s="14"/>
      <c r="E396" s="14"/>
      <c r="F396" s="14"/>
      <c r="G396" s="14"/>
      <c r="H396" s="15"/>
      <c r="I396" s="15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  <c r="BH396" s="14"/>
      <c r="BI396" s="14"/>
      <c r="BJ396" s="14"/>
      <c r="BK396" s="14"/>
      <c r="BL396" s="14"/>
      <c r="BM396" s="14"/>
      <c r="BN396" s="14"/>
      <c r="BO396" s="14"/>
      <c r="BP396" s="14"/>
      <c r="BQ396" s="14"/>
      <c r="BR396" s="14"/>
      <c r="BS396" s="14"/>
      <c r="BT396" s="14"/>
      <c r="BU396" s="14"/>
      <c r="BV396" s="14"/>
      <c r="BW396" s="14"/>
      <c r="BX396" s="14"/>
      <c r="BY396" s="14"/>
      <c r="BZ396" s="14"/>
      <c r="CA396" s="14"/>
      <c r="CB396" s="14"/>
      <c r="CC396" s="14"/>
      <c r="CD396" s="14"/>
      <c r="CE396" s="14"/>
      <c r="CF396" s="14"/>
      <c r="CG396" s="14"/>
      <c r="CH396" s="14"/>
      <c r="CI396" s="14"/>
      <c r="CJ396" s="14"/>
      <c r="CK396" s="14"/>
      <c r="CL396" s="14"/>
      <c r="CT396" s="14"/>
      <c r="CW396" s="3"/>
      <c r="DG396" s="4"/>
    </row>
    <row r="397" customFormat="false" ht="11.25" hidden="false" customHeight="true" outlineLevel="0" collapsed="false">
      <c r="A397" s="14"/>
      <c r="B397" s="15"/>
      <c r="C397" s="15"/>
      <c r="D397" s="14"/>
      <c r="E397" s="14"/>
      <c r="F397" s="14"/>
      <c r="G397" s="14"/>
      <c r="H397" s="15"/>
      <c r="I397" s="15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4"/>
      <c r="BP397" s="14"/>
      <c r="BQ397" s="14"/>
      <c r="BR397" s="14"/>
      <c r="BS397" s="14"/>
      <c r="BT397" s="14"/>
      <c r="BU397" s="14"/>
      <c r="BV397" s="14"/>
      <c r="BW397" s="14"/>
      <c r="BX397" s="14"/>
      <c r="BY397" s="14"/>
      <c r="BZ397" s="14"/>
      <c r="CA397" s="14"/>
      <c r="CB397" s="14"/>
      <c r="CC397" s="14"/>
      <c r="CD397" s="14"/>
      <c r="CE397" s="14"/>
      <c r="CF397" s="14"/>
      <c r="CG397" s="14"/>
      <c r="CH397" s="14"/>
      <c r="CI397" s="14"/>
      <c r="CJ397" s="14"/>
      <c r="CK397" s="14"/>
      <c r="CL397" s="14"/>
      <c r="CT397" s="14"/>
      <c r="CW397" s="3"/>
      <c r="DG397" s="4"/>
    </row>
    <row r="398" customFormat="false" ht="11.25" hidden="false" customHeight="true" outlineLevel="0" collapsed="false">
      <c r="A398" s="14"/>
      <c r="B398" s="15"/>
      <c r="C398" s="15"/>
      <c r="D398" s="14"/>
      <c r="E398" s="14"/>
      <c r="F398" s="14"/>
      <c r="G398" s="14"/>
      <c r="H398" s="15"/>
      <c r="I398" s="15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  <c r="BH398" s="14"/>
      <c r="BI398" s="14"/>
      <c r="BJ398" s="14"/>
      <c r="BK398" s="14"/>
      <c r="BL398" s="14"/>
      <c r="BM398" s="14"/>
      <c r="BN398" s="14"/>
      <c r="BO398" s="14"/>
      <c r="BP398" s="14"/>
      <c r="BQ398" s="14"/>
      <c r="BR398" s="14"/>
      <c r="BS398" s="14"/>
      <c r="BT398" s="14"/>
      <c r="BU398" s="14"/>
      <c r="BV398" s="14"/>
      <c r="BW398" s="14"/>
      <c r="BX398" s="14"/>
      <c r="BY398" s="14"/>
      <c r="BZ398" s="14"/>
      <c r="CA398" s="14"/>
      <c r="CB398" s="14"/>
      <c r="CC398" s="14"/>
      <c r="CD398" s="14"/>
      <c r="CE398" s="14"/>
      <c r="CF398" s="14"/>
      <c r="CG398" s="14"/>
      <c r="CH398" s="14"/>
      <c r="CI398" s="14"/>
      <c r="CJ398" s="14"/>
      <c r="CK398" s="14"/>
      <c r="CL398" s="14"/>
      <c r="CT398" s="14"/>
      <c r="CW398" s="3"/>
      <c r="DG398" s="4"/>
    </row>
    <row r="399" customFormat="false" ht="11.25" hidden="false" customHeight="true" outlineLevel="0" collapsed="false">
      <c r="A399" s="14"/>
      <c r="B399" s="15"/>
      <c r="C399" s="15"/>
      <c r="D399" s="14"/>
      <c r="E399" s="14"/>
      <c r="F399" s="14"/>
      <c r="G399" s="14"/>
      <c r="H399" s="15"/>
      <c r="I399" s="15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4"/>
      <c r="BP399" s="14"/>
      <c r="BQ399" s="14"/>
      <c r="BR399" s="14"/>
      <c r="BS399" s="14"/>
      <c r="BT399" s="14"/>
      <c r="BU399" s="14"/>
      <c r="BV399" s="14"/>
      <c r="BW399" s="14"/>
      <c r="BX399" s="14"/>
      <c r="BY399" s="14"/>
      <c r="BZ399" s="14"/>
      <c r="CA399" s="14"/>
      <c r="CB399" s="14"/>
      <c r="CC399" s="14"/>
      <c r="CD399" s="14"/>
      <c r="CE399" s="14"/>
      <c r="CF399" s="14"/>
      <c r="CG399" s="14"/>
      <c r="CH399" s="14"/>
      <c r="CI399" s="14"/>
      <c r="CJ399" s="14"/>
      <c r="CK399" s="14"/>
      <c r="CL399" s="14"/>
      <c r="CT399" s="14"/>
      <c r="CW399" s="3"/>
      <c r="DG399" s="4"/>
    </row>
    <row r="400" customFormat="false" ht="11.25" hidden="false" customHeight="true" outlineLevel="0" collapsed="false">
      <c r="A400" s="14"/>
      <c r="B400" s="15"/>
      <c r="C400" s="15"/>
      <c r="D400" s="14"/>
      <c r="E400" s="14"/>
      <c r="F400" s="14"/>
      <c r="G400" s="14"/>
      <c r="H400" s="15"/>
      <c r="I400" s="15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14"/>
      <c r="BI400" s="14"/>
      <c r="BJ400" s="14"/>
      <c r="BK400" s="14"/>
      <c r="BL400" s="14"/>
      <c r="BM400" s="14"/>
      <c r="BN400" s="14"/>
      <c r="BO400" s="14"/>
      <c r="BP400" s="14"/>
      <c r="BQ400" s="14"/>
      <c r="BR400" s="14"/>
      <c r="BS400" s="14"/>
      <c r="BT400" s="14"/>
      <c r="BU400" s="14"/>
      <c r="BV400" s="14"/>
      <c r="BW400" s="14"/>
      <c r="BX400" s="14"/>
      <c r="BY400" s="14"/>
      <c r="BZ400" s="14"/>
      <c r="CA400" s="14"/>
      <c r="CB400" s="14"/>
      <c r="CC400" s="14"/>
      <c r="CD400" s="14"/>
      <c r="CE400" s="14"/>
      <c r="CF400" s="14"/>
      <c r="CG400" s="14"/>
      <c r="CH400" s="14"/>
      <c r="CI400" s="14"/>
      <c r="CJ400" s="14"/>
      <c r="CK400" s="14"/>
      <c r="CL400" s="14"/>
      <c r="CT400" s="14"/>
      <c r="CW400" s="3"/>
      <c r="DG400" s="4"/>
    </row>
    <row r="401" customFormat="false" ht="11.25" hidden="false" customHeight="true" outlineLevel="0" collapsed="false">
      <c r="A401" s="14"/>
      <c r="B401" s="15"/>
      <c r="C401" s="15"/>
      <c r="D401" s="14"/>
      <c r="E401" s="14"/>
      <c r="F401" s="14"/>
      <c r="G401" s="14"/>
      <c r="H401" s="15"/>
      <c r="I401" s="15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  <c r="BN401" s="14"/>
      <c r="BO401" s="14"/>
      <c r="BP401" s="14"/>
      <c r="BQ401" s="14"/>
      <c r="BR401" s="14"/>
      <c r="BS401" s="14"/>
      <c r="BT401" s="14"/>
      <c r="BU401" s="14"/>
      <c r="BV401" s="14"/>
      <c r="BW401" s="14"/>
      <c r="BX401" s="14"/>
      <c r="BY401" s="14"/>
      <c r="BZ401" s="14"/>
      <c r="CA401" s="14"/>
      <c r="CB401" s="14"/>
      <c r="CC401" s="14"/>
      <c r="CD401" s="14"/>
      <c r="CE401" s="14"/>
      <c r="CF401" s="14"/>
      <c r="CG401" s="14"/>
      <c r="CH401" s="14"/>
      <c r="CI401" s="14"/>
      <c r="CJ401" s="14"/>
      <c r="CK401" s="14"/>
      <c r="CL401" s="14"/>
      <c r="CT401" s="14"/>
      <c r="CW401" s="3"/>
      <c r="DG401" s="4"/>
    </row>
    <row r="402" customFormat="false" ht="11.25" hidden="false" customHeight="true" outlineLevel="0" collapsed="false">
      <c r="A402" s="14"/>
      <c r="B402" s="15"/>
      <c r="C402" s="15"/>
      <c r="D402" s="14"/>
      <c r="E402" s="14"/>
      <c r="F402" s="14"/>
      <c r="G402" s="14"/>
      <c r="H402" s="15"/>
      <c r="I402" s="15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14"/>
      <c r="BI402" s="14"/>
      <c r="BJ402" s="14"/>
      <c r="BK402" s="14"/>
      <c r="BL402" s="14"/>
      <c r="BM402" s="14"/>
      <c r="BN402" s="14"/>
      <c r="BO402" s="14"/>
      <c r="BP402" s="14"/>
      <c r="BQ402" s="14"/>
      <c r="BR402" s="14"/>
      <c r="BS402" s="14"/>
      <c r="BT402" s="14"/>
      <c r="BU402" s="14"/>
      <c r="BV402" s="14"/>
      <c r="BW402" s="14"/>
      <c r="BX402" s="14"/>
      <c r="BY402" s="14"/>
      <c r="BZ402" s="14"/>
      <c r="CA402" s="14"/>
      <c r="CB402" s="14"/>
      <c r="CC402" s="14"/>
      <c r="CD402" s="14"/>
      <c r="CE402" s="14"/>
      <c r="CF402" s="14"/>
      <c r="CG402" s="14"/>
      <c r="CH402" s="14"/>
      <c r="CI402" s="14"/>
      <c r="CJ402" s="14"/>
      <c r="CK402" s="14"/>
      <c r="CL402" s="14"/>
      <c r="CT402" s="14"/>
      <c r="CW402" s="3"/>
      <c r="DG402" s="4"/>
    </row>
    <row r="403" customFormat="false" ht="11.25" hidden="false" customHeight="true" outlineLevel="0" collapsed="false">
      <c r="A403" s="14"/>
      <c r="B403" s="15"/>
      <c r="C403" s="15"/>
      <c r="D403" s="14"/>
      <c r="E403" s="14"/>
      <c r="F403" s="14"/>
      <c r="G403" s="14"/>
      <c r="H403" s="15"/>
      <c r="I403" s="15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4"/>
      <c r="BP403" s="14"/>
      <c r="BQ403" s="14"/>
      <c r="BR403" s="14"/>
      <c r="BS403" s="14"/>
      <c r="BT403" s="14"/>
      <c r="BU403" s="14"/>
      <c r="BV403" s="14"/>
      <c r="BW403" s="14"/>
      <c r="BX403" s="14"/>
      <c r="BY403" s="14"/>
      <c r="BZ403" s="14"/>
      <c r="CA403" s="14"/>
      <c r="CB403" s="14"/>
      <c r="CC403" s="14"/>
      <c r="CD403" s="14"/>
      <c r="CE403" s="14"/>
      <c r="CF403" s="14"/>
      <c r="CG403" s="14"/>
      <c r="CH403" s="14"/>
      <c r="CI403" s="14"/>
      <c r="CJ403" s="14"/>
      <c r="CK403" s="14"/>
      <c r="CL403" s="14"/>
      <c r="CT403" s="14"/>
      <c r="CW403" s="3"/>
      <c r="DG403" s="4"/>
    </row>
    <row r="404" customFormat="false" ht="11.25" hidden="false" customHeight="true" outlineLevel="0" collapsed="false">
      <c r="A404" s="14"/>
      <c r="B404" s="15"/>
      <c r="C404" s="15"/>
      <c r="D404" s="14"/>
      <c r="E404" s="14"/>
      <c r="F404" s="14"/>
      <c r="G404" s="14"/>
      <c r="H404" s="15"/>
      <c r="I404" s="15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14"/>
      <c r="BI404" s="14"/>
      <c r="BJ404" s="14"/>
      <c r="BK404" s="14"/>
      <c r="BL404" s="14"/>
      <c r="BM404" s="14"/>
      <c r="BN404" s="14"/>
      <c r="BO404" s="14"/>
      <c r="BP404" s="14"/>
      <c r="BQ404" s="14"/>
      <c r="BR404" s="14"/>
      <c r="BS404" s="14"/>
      <c r="BT404" s="14"/>
      <c r="BU404" s="14"/>
      <c r="BV404" s="14"/>
      <c r="BW404" s="14"/>
      <c r="BX404" s="14"/>
      <c r="BY404" s="14"/>
      <c r="BZ404" s="14"/>
      <c r="CA404" s="14"/>
      <c r="CB404" s="14"/>
      <c r="CC404" s="14"/>
      <c r="CD404" s="14"/>
      <c r="CE404" s="14"/>
      <c r="CF404" s="14"/>
      <c r="CG404" s="14"/>
      <c r="CH404" s="14"/>
      <c r="CI404" s="14"/>
      <c r="CJ404" s="14"/>
      <c r="CK404" s="14"/>
      <c r="CL404" s="14"/>
      <c r="CT404" s="14"/>
      <c r="CW404" s="3"/>
      <c r="DG404" s="4"/>
    </row>
    <row r="405" customFormat="false" ht="11.25" hidden="false" customHeight="true" outlineLevel="0" collapsed="false">
      <c r="A405" s="14"/>
      <c r="B405" s="15"/>
      <c r="C405" s="15"/>
      <c r="D405" s="14"/>
      <c r="E405" s="14"/>
      <c r="F405" s="14"/>
      <c r="G405" s="14"/>
      <c r="H405" s="15"/>
      <c r="I405" s="15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4"/>
      <c r="BP405" s="14"/>
      <c r="BQ405" s="14"/>
      <c r="BR405" s="14"/>
      <c r="BS405" s="14"/>
      <c r="BT405" s="14"/>
      <c r="BU405" s="14"/>
      <c r="BV405" s="14"/>
      <c r="BW405" s="14"/>
      <c r="BX405" s="14"/>
      <c r="BY405" s="14"/>
      <c r="BZ405" s="14"/>
      <c r="CA405" s="14"/>
      <c r="CB405" s="14"/>
      <c r="CC405" s="14"/>
      <c r="CD405" s="14"/>
      <c r="CE405" s="14"/>
      <c r="CF405" s="14"/>
      <c r="CG405" s="14"/>
      <c r="CH405" s="14"/>
      <c r="CI405" s="14"/>
      <c r="CJ405" s="14"/>
      <c r="CK405" s="14"/>
      <c r="CL405" s="14"/>
      <c r="CT405" s="14"/>
      <c r="CW405" s="3"/>
      <c r="DG405" s="4"/>
    </row>
    <row r="406" customFormat="false" ht="11.25" hidden="false" customHeight="true" outlineLevel="0" collapsed="false">
      <c r="A406" s="14"/>
      <c r="B406" s="15"/>
      <c r="C406" s="15"/>
      <c r="D406" s="14"/>
      <c r="E406" s="14"/>
      <c r="F406" s="14"/>
      <c r="G406" s="14"/>
      <c r="H406" s="15"/>
      <c r="I406" s="15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  <c r="BH406" s="14"/>
      <c r="BI406" s="14"/>
      <c r="BJ406" s="14"/>
      <c r="BK406" s="14"/>
      <c r="BL406" s="14"/>
      <c r="BM406" s="14"/>
      <c r="BN406" s="14"/>
      <c r="BO406" s="14"/>
      <c r="BP406" s="14"/>
      <c r="BQ406" s="14"/>
      <c r="BR406" s="14"/>
      <c r="BS406" s="14"/>
      <c r="BT406" s="14"/>
      <c r="BU406" s="14"/>
      <c r="BV406" s="14"/>
      <c r="BW406" s="14"/>
      <c r="BX406" s="14"/>
      <c r="BY406" s="14"/>
      <c r="BZ406" s="14"/>
      <c r="CA406" s="14"/>
      <c r="CB406" s="14"/>
      <c r="CC406" s="14"/>
      <c r="CD406" s="14"/>
      <c r="CE406" s="14"/>
      <c r="CF406" s="14"/>
      <c r="CG406" s="14"/>
      <c r="CH406" s="14"/>
      <c r="CI406" s="14"/>
      <c r="CJ406" s="14"/>
      <c r="CK406" s="14"/>
      <c r="CL406" s="14"/>
      <c r="CT406" s="14"/>
      <c r="CW406" s="3"/>
      <c r="DG406" s="4"/>
    </row>
    <row r="407" customFormat="false" ht="11.25" hidden="false" customHeight="true" outlineLevel="0" collapsed="false">
      <c r="A407" s="14"/>
      <c r="B407" s="15"/>
      <c r="C407" s="15"/>
      <c r="D407" s="14"/>
      <c r="E407" s="14"/>
      <c r="F407" s="14"/>
      <c r="G407" s="14"/>
      <c r="H407" s="15"/>
      <c r="I407" s="15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4"/>
      <c r="BK407" s="14"/>
      <c r="BL407" s="14"/>
      <c r="BM407" s="14"/>
      <c r="BN407" s="14"/>
      <c r="BO407" s="14"/>
      <c r="BP407" s="14"/>
      <c r="BQ407" s="14"/>
      <c r="BR407" s="14"/>
      <c r="BS407" s="14"/>
      <c r="BT407" s="14"/>
      <c r="BU407" s="14"/>
      <c r="BV407" s="14"/>
      <c r="BW407" s="14"/>
      <c r="BX407" s="14"/>
      <c r="BY407" s="14"/>
      <c r="BZ407" s="14"/>
      <c r="CA407" s="14"/>
      <c r="CB407" s="14"/>
      <c r="CC407" s="14"/>
      <c r="CD407" s="14"/>
      <c r="CE407" s="14"/>
      <c r="CF407" s="14"/>
      <c r="CG407" s="14"/>
      <c r="CH407" s="14"/>
      <c r="CI407" s="14"/>
      <c r="CJ407" s="14"/>
      <c r="CK407" s="14"/>
      <c r="CL407" s="14"/>
      <c r="CT407" s="14"/>
      <c r="CW407" s="3"/>
      <c r="DG407" s="4"/>
    </row>
    <row r="408" customFormat="false" ht="11.25" hidden="false" customHeight="true" outlineLevel="0" collapsed="false">
      <c r="A408" s="14"/>
      <c r="B408" s="15"/>
      <c r="C408" s="15"/>
      <c r="D408" s="14"/>
      <c r="E408" s="14"/>
      <c r="F408" s="14"/>
      <c r="G408" s="14"/>
      <c r="H408" s="15"/>
      <c r="I408" s="15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/>
      <c r="BG408" s="14"/>
      <c r="BH408" s="14"/>
      <c r="BI408" s="14"/>
      <c r="BJ408" s="14"/>
      <c r="BK408" s="14"/>
      <c r="BL408" s="14"/>
      <c r="BM408" s="14"/>
      <c r="BN408" s="14"/>
      <c r="BO408" s="14"/>
      <c r="BP408" s="14"/>
      <c r="BQ408" s="14"/>
      <c r="BR408" s="14"/>
      <c r="BS408" s="14"/>
      <c r="BT408" s="14"/>
      <c r="BU408" s="14"/>
      <c r="BV408" s="14"/>
      <c r="BW408" s="14"/>
      <c r="BX408" s="14"/>
      <c r="BY408" s="14"/>
      <c r="BZ408" s="14"/>
      <c r="CA408" s="14"/>
      <c r="CB408" s="14"/>
      <c r="CC408" s="14"/>
      <c r="CD408" s="14"/>
      <c r="CE408" s="14"/>
      <c r="CF408" s="14"/>
      <c r="CG408" s="14"/>
      <c r="CH408" s="14"/>
      <c r="CI408" s="14"/>
      <c r="CJ408" s="14"/>
      <c r="CK408" s="14"/>
      <c r="CL408" s="14"/>
      <c r="CT408" s="14"/>
      <c r="CW408" s="3"/>
      <c r="DG408" s="4"/>
    </row>
    <row r="409" customFormat="false" ht="11.25" hidden="false" customHeight="true" outlineLevel="0" collapsed="false">
      <c r="A409" s="14"/>
      <c r="B409" s="15"/>
      <c r="C409" s="15"/>
      <c r="D409" s="14"/>
      <c r="E409" s="14"/>
      <c r="F409" s="14"/>
      <c r="G409" s="14"/>
      <c r="H409" s="15"/>
      <c r="I409" s="15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/>
      <c r="BI409" s="14"/>
      <c r="BJ409" s="14"/>
      <c r="BK409" s="14"/>
      <c r="BL409" s="14"/>
      <c r="BM409" s="14"/>
      <c r="BN409" s="14"/>
      <c r="BO409" s="14"/>
      <c r="BP409" s="14"/>
      <c r="BQ409" s="14"/>
      <c r="BR409" s="14"/>
      <c r="BS409" s="14"/>
      <c r="BT409" s="14"/>
      <c r="BU409" s="14"/>
      <c r="BV409" s="14"/>
      <c r="BW409" s="14"/>
      <c r="BX409" s="14"/>
      <c r="BY409" s="14"/>
      <c r="BZ409" s="14"/>
      <c r="CA409" s="14"/>
      <c r="CB409" s="14"/>
      <c r="CC409" s="14"/>
      <c r="CD409" s="14"/>
      <c r="CE409" s="14"/>
      <c r="CF409" s="14"/>
      <c r="CG409" s="14"/>
      <c r="CH409" s="14"/>
      <c r="CI409" s="14"/>
      <c r="CJ409" s="14"/>
      <c r="CK409" s="14"/>
      <c r="CL409" s="14"/>
      <c r="CT409" s="14"/>
      <c r="CW409" s="3"/>
      <c r="DG409" s="4"/>
    </row>
    <row r="410" customFormat="false" ht="11.25" hidden="false" customHeight="true" outlineLevel="0" collapsed="false">
      <c r="A410" s="14"/>
      <c r="B410" s="15"/>
      <c r="C410" s="15"/>
      <c r="D410" s="14"/>
      <c r="E410" s="14"/>
      <c r="F410" s="14"/>
      <c r="G410" s="14"/>
      <c r="H410" s="15"/>
      <c r="I410" s="15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4"/>
      <c r="BG410" s="14"/>
      <c r="BH410" s="14"/>
      <c r="BI410" s="14"/>
      <c r="BJ410" s="14"/>
      <c r="BK410" s="14"/>
      <c r="BL410" s="14"/>
      <c r="BM410" s="14"/>
      <c r="BN410" s="14"/>
      <c r="BO410" s="14"/>
      <c r="BP410" s="14"/>
      <c r="BQ410" s="14"/>
      <c r="BR410" s="14"/>
      <c r="BS410" s="14"/>
      <c r="BT410" s="14"/>
      <c r="BU410" s="14"/>
      <c r="BV410" s="14"/>
      <c r="BW410" s="14"/>
      <c r="BX410" s="14"/>
      <c r="BY410" s="14"/>
      <c r="BZ410" s="14"/>
      <c r="CA410" s="14"/>
      <c r="CB410" s="14"/>
      <c r="CC410" s="14"/>
      <c r="CD410" s="14"/>
      <c r="CE410" s="14"/>
      <c r="CF410" s="14"/>
      <c r="CG410" s="14"/>
      <c r="CH410" s="14"/>
      <c r="CI410" s="14"/>
      <c r="CJ410" s="14"/>
      <c r="CK410" s="14"/>
      <c r="CL410" s="14"/>
      <c r="CT410" s="14"/>
      <c r="CW410" s="3"/>
      <c r="DG410" s="4"/>
    </row>
    <row r="411" customFormat="false" ht="11.25" hidden="false" customHeight="true" outlineLevel="0" collapsed="false">
      <c r="A411" s="14"/>
      <c r="B411" s="15"/>
      <c r="C411" s="15"/>
      <c r="D411" s="14"/>
      <c r="E411" s="14"/>
      <c r="F411" s="14"/>
      <c r="G411" s="14"/>
      <c r="H411" s="15"/>
      <c r="I411" s="15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14"/>
      <c r="BI411" s="14"/>
      <c r="BJ411" s="14"/>
      <c r="BK411" s="14"/>
      <c r="BL411" s="14"/>
      <c r="BM411" s="14"/>
      <c r="BN411" s="14"/>
      <c r="BO411" s="14"/>
      <c r="BP411" s="14"/>
      <c r="BQ411" s="14"/>
      <c r="BR411" s="14"/>
      <c r="BS411" s="14"/>
      <c r="BT411" s="14"/>
      <c r="BU411" s="14"/>
      <c r="BV411" s="14"/>
      <c r="BW411" s="14"/>
      <c r="BX411" s="14"/>
      <c r="BY411" s="14"/>
      <c r="BZ411" s="14"/>
      <c r="CA411" s="14"/>
      <c r="CB411" s="14"/>
      <c r="CC411" s="14"/>
      <c r="CD411" s="14"/>
      <c r="CE411" s="14"/>
      <c r="CF411" s="14"/>
      <c r="CG411" s="14"/>
      <c r="CH411" s="14"/>
      <c r="CI411" s="14"/>
      <c r="CJ411" s="14"/>
      <c r="CK411" s="14"/>
      <c r="CL411" s="14"/>
      <c r="CT411" s="14"/>
      <c r="CW411" s="3"/>
      <c r="DG411" s="4"/>
    </row>
    <row r="412" customFormat="false" ht="11.25" hidden="false" customHeight="true" outlineLevel="0" collapsed="false">
      <c r="A412" s="14"/>
      <c r="B412" s="15"/>
      <c r="C412" s="15"/>
      <c r="D412" s="14"/>
      <c r="E412" s="14"/>
      <c r="F412" s="14"/>
      <c r="G412" s="14"/>
      <c r="H412" s="15"/>
      <c r="I412" s="15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  <c r="BH412" s="14"/>
      <c r="BI412" s="14"/>
      <c r="BJ412" s="14"/>
      <c r="BK412" s="14"/>
      <c r="BL412" s="14"/>
      <c r="BM412" s="14"/>
      <c r="BN412" s="14"/>
      <c r="BO412" s="14"/>
      <c r="BP412" s="14"/>
      <c r="BQ412" s="14"/>
      <c r="BR412" s="14"/>
      <c r="BS412" s="14"/>
      <c r="BT412" s="14"/>
      <c r="BU412" s="14"/>
      <c r="BV412" s="14"/>
      <c r="BW412" s="14"/>
      <c r="BX412" s="14"/>
      <c r="BY412" s="14"/>
      <c r="BZ412" s="14"/>
      <c r="CA412" s="14"/>
      <c r="CB412" s="14"/>
      <c r="CC412" s="14"/>
      <c r="CD412" s="14"/>
      <c r="CE412" s="14"/>
      <c r="CF412" s="14"/>
      <c r="CG412" s="14"/>
      <c r="CH412" s="14"/>
      <c r="CI412" s="14"/>
      <c r="CJ412" s="14"/>
      <c r="CK412" s="14"/>
      <c r="CL412" s="14"/>
      <c r="CT412" s="14"/>
      <c r="CW412" s="3"/>
      <c r="DG412" s="4"/>
    </row>
    <row r="413" customFormat="false" ht="11.25" hidden="false" customHeight="true" outlineLevel="0" collapsed="false">
      <c r="A413" s="14"/>
      <c r="B413" s="15"/>
      <c r="C413" s="15"/>
      <c r="D413" s="14"/>
      <c r="E413" s="14"/>
      <c r="F413" s="14"/>
      <c r="G413" s="14"/>
      <c r="H413" s="15"/>
      <c r="I413" s="15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  <c r="BN413" s="14"/>
      <c r="BO413" s="14"/>
      <c r="BP413" s="14"/>
      <c r="BQ413" s="14"/>
      <c r="BR413" s="14"/>
      <c r="BS413" s="14"/>
      <c r="BT413" s="14"/>
      <c r="BU413" s="14"/>
      <c r="BV413" s="14"/>
      <c r="BW413" s="14"/>
      <c r="BX413" s="14"/>
      <c r="BY413" s="14"/>
      <c r="BZ413" s="14"/>
      <c r="CA413" s="14"/>
      <c r="CB413" s="14"/>
      <c r="CC413" s="14"/>
      <c r="CD413" s="14"/>
      <c r="CE413" s="14"/>
      <c r="CF413" s="14"/>
      <c r="CG413" s="14"/>
      <c r="CH413" s="14"/>
      <c r="CI413" s="14"/>
      <c r="CJ413" s="14"/>
      <c r="CK413" s="14"/>
      <c r="CL413" s="14"/>
      <c r="CT413" s="14"/>
      <c r="CW413" s="3"/>
      <c r="DG413" s="4"/>
    </row>
    <row r="414" customFormat="false" ht="11.25" hidden="false" customHeight="true" outlineLevel="0" collapsed="false">
      <c r="A414" s="14"/>
      <c r="B414" s="15"/>
      <c r="C414" s="15"/>
      <c r="D414" s="14"/>
      <c r="E414" s="14"/>
      <c r="F414" s="14"/>
      <c r="G414" s="14"/>
      <c r="H414" s="15"/>
      <c r="I414" s="15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/>
      <c r="BG414" s="14"/>
      <c r="BH414" s="14"/>
      <c r="BI414" s="14"/>
      <c r="BJ414" s="14"/>
      <c r="BK414" s="14"/>
      <c r="BL414" s="14"/>
      <c r="BM414" s="14"/>
      <c r="BN414" s="14"/>
      <c r="BO414" s="14"/>
      <c r="BP414" s="14"/>
      <c r="BQ414" s="14"/>
      <c r="BR414" s="14"/>
      <c r="BS414" s="14"/>
      <c r="BT414" s="14"/>
      <c r="BU414" s="14"/>
      <c r="BV414" s="14"/>
      <c r="BW414" s="14"/>
      <c r="BX414" s="14"/>
      <c r="BY414" s="14"/>
      <c r="BZ414" s="14"/>
      <c r="CA414" s="14"/>
      <c r="CB414" s="14"/>
      <c r="CC414" s="14"/>
      <c r="CD414" s="14"/>
      <c r="CE414" s="14"/>
      <c r="CF414" s="14"/>
      <c r="CG414" s="14"/>
      <c r="CH414" s="14"/>
      <c r="CI414" s="14"/>
      <c r="CJ414" s="14"/>
      <c r="CK414" s="14"/>
      <c r="CL414" s="14"/>
      <c r="CT414" s="14"/>
      <c r="CW414" s="3"/>
      <c r="DG414" s="4"/>
    </row>
    <row r="415" customFormat="false" ht="11.25" hidden="false" customHeight="true" outlineLevel="0" collapsed="false">
      <c r="A415" s="14"/>
      <c r="B415" s="15"/>
      <c r="C415" s="15"/>
      <c r="D415" s="14"/>
      <c r="E415" s="14"/>
      <c r="F415" s="14"/>
      <c r="G415" s="14"/>
      <c r="H415" s="15"/>
      <c r="I415" s="15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4"/>
      <c r="BK415" s="14"/>
      <c r="BL415" s="14"/>
      <c r="BM415" s="14"/>
      <c r="BN415" s="14"/>
      <c r="BO415" s="14"/>
      <c r="BP415" s="14"/>
      <c r="BQ415" s="14"/>
      <c r="BR415" s="14"/>
      <c r="BS415" s="14"/>
      <c r="BT415" s="14"/>
      <c r="BU415" s="14"/>
      <c r="BV415" s="14"/>
      <c r="BW415" s="14"/>
      <c r="BX415" s="14"/>
      <c r="BY415" s="14"/>
      <c r="BZ415" s="14"/>
      <c r="CA415" s="14"/>
      <c r="CB415" s="14"/>
      <c r="CC415" s="14"/>
      <c r="CD415" s="14"/>
      <c r="CE415" s="14"/>
      <c r="CF415" s="14"/>
      <c r="CG415" s="14"/>
      <c r="CH415" s="14"/>
      <c r="CI415" s="14"/>
      <c r="CJ415" s="14"/>
      <c r="CK415" s="14"/>
      <c r="CL415" s="14"/>
      <c r="CT415" s="14"/>
      <c r="CW415" s="3"/>
      <c r="DG415" s="4"/>
    </row>
    <row r="416" customFormat="false" ht="11.25" hidden="false" customHeight="true" outlineLevel="0" collapsed="false">
      <c r="A416" s="14"/>
      <c r="B416" s="15"/>
      <c r="C416" s="15"/>
      <c r="D416" s="14"/>
      <c r="E416" s="14"/>
      <c r="F416" s="14"/>
      <c r="G416" s="14"/>
      <c r="H416" s="15"/>
      <c r="I416" s="15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14"/>
      <c r="BI416" s="14"/>
      <c r="BJ416" s="14"/>
      <c r="BK416" s="14"/>
      <c r="BL416" s="14"/>
      <c r="BM416" s="14"/>
      <c r="BN416" s="14"/>
      <c r="BO416" s="14"/>
      <c r="BP416" s="14"/>
      <c r="BQ416" s="14"/>
      <c r="BR416" s="14"/>
      <c r="BS416" s="14"/>
      <c r="BT416" s="14"/>
      <c r="BU416" s="14"/>
      <c r="BV416" s="14"/>
      <c r="BW416" s="14"/>
      <c r="BX416" s="14"/>
      <c r="BY416" s="14"/>
      <c r="BZ416" s="14"/>
      <c r="CA416" s="14"/>
      <c r="CB416" s="14"/>
      <c r="CC416" s="14"/>
      <c r="CD416" s="14"/>
      <c r="CE416" s="14"/>
      <c r="CF416" s="14"/>
      <c r="CG416" s="14"/>
      <c r="CH416" s="14"/>
      <c r="CI416" s="14"/>
      <c r="CJ416" s="14"/>
      <c r="CK416" s="14"/>
      <c r="CL416" s="14"/>
      <c r="CT416" s="14"/>
      <c r="CW416" s="3"/>
      <c r="DG416" s="4"/>
    </row>
    <row r="417" customFormat="false" ht="11.25" hidden="false" customHeight="true" outlineLevel="0" collapsed="false">
      <c r="A417" s="14"/>
      <c r="B417" s="15"/>
      <c r="C417" s="15"/>
      <c r="D417" s="14"/>
      <c r="E417" s="14"/>
      <c r="F417" s="14"/>
      <c r="G417" s="14"/>
      <c r="H417" s="15"/>
      <c r="I417" s="15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4"/>
      <c r="BK417" s="14"/>
      <c r="BL417" s="14"/>
      <c r="BM417" s="14"/>
      <c r="BN417" s="14"/>
      <c r="BO417" s="14"/>
      <c r="BP417" s="14"/>
      <c r="BQ417" s="14"/>
      <c r="BR417" s="14"/>
      <c r="BS417" s="14"/>
      <c r="BT417" s="14"/>
      <c r="BU417" s="14"/>
      <c r="BV417" s="14"/>
      <c r="BW417" s="14"/>
      <c r="BX417" s="14"/>
      <c r="BY417" s="14"/>
      <c r="BZ417" s="14"/>
      <c r="CA417" s="14"/>
      <c r="CB417" s="14"/>
      <c r="CC417" s="14"/>
      <c r="CD417" s="14"/>
      <c r="CE417" s="14"/>
      <c r="CF417" s="14"/>
      <c r="CG417" s="14"/>
      <c r="CH417" s="14"/>
      <c r="CI417" s="14"/>
      <c r="CJ417" s="14"/>
      <c r="CK417" s="14"/>
      <c r="CL417" s="14"/>
      <c r="CT417" s="14"/>
      <c r="CW417" s="3"/>
      <c r="DG417" s="4"/>
    </row>
    <row r="418" customFormat="false" ht="11.25" hidden="false" customHeight="true" outlineLevel="0" collapsed="false">
      <c r="A418" s="14"/>
      <c r="B418" s="15"/>
      <c r="C418" s="15"/>
      <c r="D418" s="14"/>
      <c r="E418" s="14"/>
      <c r="F418" s="14"/>
      <c r="G418" s="14"/>
      <c r="H418" s="15"/>
      <c r="I418" s="15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  <c r="BH418" s="14"/>
      <c r="BI418" s="14"/>
      <c r="BJ418" s="14"/>
      <c r="BK418" s="14"/>
      <c r="BL418" s="14"/>
      <c r="BM418" s="14"/>
      <c r="BN418" s="14"/>
      <c r="BO418" s="14"/>
      <c r="BP418" s="14"/>
      <c r="BQ418" s="14"/>
      <c r="BR418" s="14"/>
      <c r="BS418" s="14"/>
      <c r="BT418" s="14"/>
      <c r="BU418" s="14"/>
      <c r="BV418" s="14"/>
      <c r="BW418" s="14"/>
      <c r="BX418" s="14"/>
      <c r="BY418" s="14"/>
      <c r="BZ418" s="14"/>
      <c r="CA418" s="14"/>
      <c r="CB418" s="14"/>
      <c r="CC418" s="14"/>
      <c r="CD418" s="14"/>
      <c r="CE418" s="14"/>
      <c r="CF418" s="14"/>
      <c r="CG418" s="14"/>
      <c r="CH418" s="14"/>
      <c r="CI418" s="14"/>
      <c r="CJ418" s="14"/>
      <c r="CK418" s="14"/>
      <c r="CL418" s="14"/>
      <c r="CT418" s="14"/>
      <c r="CW418" s="3"/>
      <c r="DG418" s="4"/>
    </row>
    <row r="419" customFormat="false" ht="11.25" hidden="false" customHeight="true" outlineLevel="0" collapsed="false">
      <c r="A419" s="14"/>
      <c r="B419" s="15"/>
      <c r="C419" s="15"/>
      <c r="D419" s="14"/>
      <c r="E419" s="14"/>
      <c r="F419" s="14"/>
      <c r="G419" s="14"/>
      <c r="H419" s="15"/>
      <c r="I419" s="15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  <c r="BL419" s="14"/>
      <c r="BM419" s="14"/>
      <c r="BN419" s="14"/>
      <c r="BO419" s="14"/>
      <c r="BP419" s="14"/>
      <c r="BQ419" s="14"/>
      <c r="BR419" s="14"/>
      <c r="BS419" s="14"/>
      <c r="BT419" s="14"/>
      <c r="BU419" s="14"/>
      <c r="BV419" s="14"/>
      <c r="BW419" s="14"/>
      <c r="BX419" s="14"/>
      <c r="BY419" s="14"/>
      <c r="BZ419" s="14"/>
      <c r="CA419" s="14"/>
      <c r="CB419" s="14"/>
      <c r="CC419" s="14"/>
      <c r="CD419" s="14"/>
      <c r="CE419" s="14"/>
      <c r="CF419" s="14"/>
      <c r="CG419" s="14"/>
      <c r="CH419" s="14"/>
      <c r="CI419" s="14"/>
      <c r="CJ419" s="14"/>
      <c r="CK419" s="14"/>
      <c r="CL419" s="14"/>
      <c r="CT419" s="14"/>
      <c r="CW419" s="3"/>
      <c r="DG419" s="4"/>
    </row>
    <row r="420" customFormat="false" ht="11.25" hidden="false" customHeight="true" outlineLevel="0" collapsed="false">
      <c r="A420" s="14"/>
      <c r="B420" s="15"/>
      <c r="C420" s="15"/>
      <c r="D420" s="14"/>
      <c r="E420" s="14"/>
      <c r="F420" s="14"/>
      <c r="G420" s="14"/>
      <c r="H420" s="15"/>
      <c r="I420" s="15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  <c r="BH420" s="14"/>
      <c r="BI420" s="14"/>
      <c r="BJ420" s="14"/>
      <c r="BK420" s="14"/>
      <c r="BL420" s="14"/>
      <c r="BM420" s="14"/>
      <c r="BN420" s="14"/>
      <c r="BO420" s="14"/>
      <c r="BP420" s="14"/>
      <c r="BQ420" s="14"/>
      <c r="BR420" s="14"/>
      <c r="BS420" s="14"/>
      <c r="BT420" s="14"/>
      <c r="BU420" s="14"/>
      <c r="BV420" s="14"/>
      <c r="BW420" s="14"/>
      <c r="BX420" s="14"/>
      <c r="BY420" s="14"/>
      <c r="BZ420" s="14"/>
      <c r="CA420" s="14"/>
      <c r="CB420" s="14"/>
      <c r="CC420" s="14"/>
      <c r="CD420" s="14"/>
      <c r="CE420" s="14"/>
      <c r="CF420" s="14"/>
      <c r="CG420" s="14"/>
      <c r="CH420" s="14"/>
      <c r="CI420" s="14"/>
      <c r="CJ420" s="14"/>
      <c r="CK420" s="14"/>
      <c r="CL420" s="14"/>
      <c r="CT420" s="14"/>
      <c r="CW420" s="3"/>
      <c r="DG420" s="4"/>
    </row>
    <row r="421" customFormat="false" ht="11.25" hidden="false" customHeight="true" outlineLevel="0" collapsed="false">
      <c r="A421" s="14"/>
      <c r="B421" s="15"/>
      <c r="C421" s="15"/>
      <c r="D421" s="14"/>
      <c r="E421" s="14"/>
      <c r="F421" s="14"/>
      <c r="G421" s="14"/>
      <c r="H421" s="15"/>
      <c r="I421" s="15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4"/>
      <c r="BP421" s="14"/>
      <c r="BQ421" s="14"/>
      <c r="BR421" s="14"/>
      <c r="BS421" s="14"/>
      <c r="BT421" s="14"/>
      <c r="BU421" s="14"/>
      <c r="BV421" s="14"/>
      <c r="BW421" s="14"/>
      <c r="BX421" s="14"/>
      <c r="BY421" s="14"/>
      <c r="BZ421" s="14"/>
      <c r="CA421" s="14"/>
      <c r="CB421" s="14"/>
      <c r="CC421" s="14"/>
      <c r="CD421" s="14"/>
      <c r="CE421" s="14"/>
      <c r="CF421" s="14"/>
      <c r="CG421" s="14"/>
      <c r="CH421" s="14"/>
      <c r="CI421" s="14"/>
      <c r="CJ421" s="14"/>
      <c r="CK421" s="14"/>
      <c r="CL421" s="14"/>
      <c r="CT421" s="14"/>
      <c r="CW421" s="3"/>
      <c r="DG421" s="4"/>
    </row>
    <row r="422" customFormat="false" ht="11.25" hidden="false" customHeight="true" outlineLevel="0" collapsed="false">
      <c r="A422" s="14"/>
      <c r="B422" s="15"/>
      <c r="C422" s="15"/>
      <c r="D422" s="14"/>
      <c r="E422" s="14"/>
      <c r="F422" s="14"/>
      <c r="G422" s="14"/>
      <c r="H422" s="15"/>
      <c r="I422" s="15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/>
      <c r="BI422" s="14"/>
      <c r="BJ422" s="14"/>
      <c r="BK422" s="14"/>
      <c r="BL422" s="14"/>
      <c r="BM422" s="14"/>
      <c r="BN422" s="14"/>
      <c r="BO422" s="14"/>
      <c r="BP422" s="14"/>
      <c r="BQ422" s="14"/>
      <c r="BR422" s="14"/>
      <c r="BS422" s="14"/>
      <c r="BT422" s="14"/>
      <c r="BU422" s="14"/>
      <c r="BV422" s="14"/>
      <c r="BW422" s="14"/>
      <c r="BX422" s="14"/>
      <c r="BY422" s="14"/>
      <c r="BZ422" s="14"/>
      <c r="CA422" s="14"/>
      <c r="CB422" s="14"/>
      <c r="CC422" s="14"/>
      <c r="CD422" s="14"/>
      <c r="CE422" s="14"/>
      <c r="CF422" s="14"/>
      <c r="CG422" s="14"/>
      <c r="CH422" s="14"/>
      <c r="CI422" s="14"/>
      <c r="CJ422" s="14"/>
      <c r="CK422" s="14"/>
      <c r="CL422" s="14"/>
      <c r="CT422" s="14"/>
      <c r="CW422" s="3"/>
      <c r="DG422" s="4"/>
    </row>
    <row r="423" customFormat="false" ht="11.25" hidden="false" customHeight="true" outlineLevel="0" collapsed="false">
      <c r="A423" s="14"/>
      <c r="B423" s="15"/>
      <c r="C423" s="15"/>
      <c r="D423" s="14"/>
      <c r="E423" s="14"/>
      <c r="F423" s="14"/>
      <c r="G423" s="14"/>
      <c r="H423" s="15"/>
      <c r="I423" s="15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  <c r="BP423" s="14"/>
      <c r="BQ423" s="14"/>
      <c r="BR423" s="14"/>
      <c r="BS423" s="14"/>
      <c r="BT423" s="14"/>
      <c r="BU423" s="14"/>
      <c r="BV423" s="14"/>
      <c r="BW423" s="14"/>
      <c r="BX423" s="14"/>
      <c r="BY423" s="14"/>
      <c r="BZ423" s="14"/>
      <c r="CA423" s="14"/>
      <c r="CB423" s="14"/>
      <c r="CC423" s="14"/>
      <c r="CD423" s="14"/>
      <c r="CE423" s="14"/>
      <c r="CF423" s="14"/>
      <c r="CG423" s="14"/>
      <c r="CH423" s="14"/>
      <c r="CI423" s="14"/>
      <c r="CJ423" s="14"/>
      <c r="CK423" s="14"/>
      <c r="CL423" s="14"/>
      <c r="CT423" s="14"/>
      <c r="CW423" s="3"/>
      <c r="DG423" s="4"/>
    </row>
    <row r="424" customFormat="false" ht="11.25" hidden="false" customHeight="true" outlineLevel="0" collapsed="false">
      <c r="A424" s="14"/>
      <c r="B424" s="15"/>
      <c r="C424" s="15"/>
      <c r="D424" s="14"/>
      <c r="E424" s="14"/>
      <c r="F424" s="14"/>
      <c r="G424" s="14"/>
      <c r="H424" s="15"/>
      <c r="I424" s="15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14"/>
      <c r="BI424" s="14"/>
      <c r="BJ424" s="14"/>
      <c r="BK424" s="14"/>
      <c r="BL424" s="14"/>
      <c r="BM424" s="14"/>
      <c r="BN424" s="14"/>
      <c r="BO424" s="14"/>
      <c r="BP424" s="14"/>
      <c r="BQ424" s="14"/>
      <c r="BR424" s="14"/>
      <c r="BS424" s="14"/>
      <c r="BT424" s="14"/>
      <c r="BU424" s="14"/>
      <c r="BV424" s="14"/>
      <c r="BW424" s="14"/>
      <c r="BX424" s="14"/>
      <c r="BY424" s="14"/>
      <c r="BZ424" s="14"/>
      <c r="CA424" s="14"/>
      <c r="CB424" s="14"/>
      <c r="CC424" s="14"/>
      <c r="CD424" s="14"/>
      <c r="CE424" s="14"/>
      <c r="CF424" s="14"/>
      <c r="CG424" s="14"/>
      <c r="CH424" s="14"/>
      <c r="CI424" s="14"/>
      <c r="CJ424" s="14"/>
      <c r="CK424" s="14"/>
      <c r="CL424" s="14"/>
      <c r="CT424" s="14"/>
      <c r="CW424" s="3"/>
      <c r="DG424" s="4"/>
    </row>
    <row r="425" customFormat="false" ht="11.25" hidden="false" customHeight="true" outlineLevel="0" collapsed="false">
      <c r="A425" s="14"/>
      <c r="B425" s="15"/>
      <c r="C425" s="15"/>
      <c r="D425" s="14"/>
      <c r="E425" s="14"/>
      <c r="F425" s="14"/>
      <c r="G425" s="14"/>
      <c r="H425" s="15"/>
      <c r="I425" s="15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  <c r="BJ425" s="14"/>
      <c r="BK425" s="14"/>
      <c r="BL425" s="14"/>
      <c r="BM425" s="14"/>
      <c r="BN425" s="14"/>
      <c r="BO425" s="14"/>
      <c r="BP425" s="14"/>
      <c r="BQ425" s="14"/>
      <c r="BR425" s="14"/>
      <c r="BS425" s="14"/>
      <c r="BT425" s="14"/>
      <c r="BU425" s="14"/>
      <c r="BV425" s="14"/>
      <c r="BW425" s="14"/>
      <c r="BX425" s="14"/>
      <c r="BY425" s="14"/>
      <c r="BZ425" s="14"/>
      <c r="CA425" s="14"/>
      <c r="CB425" s="14"/>
      <c r="CC425" s="14"/>
      <c r="CD425" s="14"/>
      <c r="CE425" s="14"/>
      <c r="CF425" s="14"/>
      <c r="CG425" s="14"/>
      <c r="CH425" s="14"/>
      <c r="CI425" s="14"/>
      <c r="CJ425" s="14"/>
      <c r="CK425" s="14"/>
      <c r="CL425" s="14"/>
      <c r="CT425" s="14"/>
      <c r="CW425" s="3"/>
      <c r="DG425" s="4"/>
    </row>
    <row r="426" customFormat="false" ht="11.25" hidden="false" customHeight="true" outlineLevel="0" collapsed="false">
      <c r="A426" s="14"/>
      <c r="B426" s="15"/>
      <c r="C426" s="15"/>
      <c r="D426" s="14"/>
      <c r="E426" s="14"/>
      <c r="F426" s="14"/>
      <c r="G426" s="14"/>
      <c r="H426" s="15"/>
      <c r="I426" s="15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/>
      <c r="BG426" s="14"/>
      <c r="BH426" s="14"/>
      <c r="BI426" s="14"/>
      <c r="BJ426" s="14"/>
      <c r="BK426" s="14"/>
      <c r="BL426" s="14"/>
      <c r="BM426" s="14"/>
      <c r="BN426" s="14"/>
      <c r="BO426" s="14"/>
      <c r="BP426" s="14"/>
      <c r="BQ426" s="14"/>
      <c r="BR426" s="14"/>
      <c r="BS426" s="14"/>
      <c r="BT426" s="14"/>
      <c r="BU426" s="14"/>
      <c r="BV426" s="14"/>
      <c r="BW426" s="14"/>
      <c r="BX426" s="14"/>
      <c r="BY426" s="14"/>
      <c r="BZ426" s="14"/>
      <c r="CA426" s="14"/>
      <c r="CB426" s="14"/>
      <c r="CC426" s="14"/>
      <c r="CD426" s="14"/>
      <c r="CE426" s="14"/>
      <c r="CF426" s="14"/>
      <c r="CG426" s="14"/>
      <c r="CH426" s="14"/>
      <c r="CI426" s="14"/>
      <c r="CJ426" s="14"/>
      <c r="CK426" s="14"/>
      <c r="CL426" s="14"/>
      <c r="CT426" s="14"/>
      <c r="CW426" s="3"/>
      <c r="DG426" s="4"/>
    </row>
    <row r="427" customFormat="false" ht="11.25" hidden="false" customHeight="true" outlineLevel="0" collapsed="false">
      <c r="A427" s="14"/>
      <c r="B427" s="15"/>
      <c r="C427" s="15"/>
      <c r="D427" s="14"/>
      <c r="E427" s="14"/>
      <c r="F427" s="14"/>
      <c r="G427" s="14"/>
      <c r="H427" s="15"/>
      <c r="I427" s="15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  <c r="BJ427" s="14"/>
      <c r="BK427" s="14"/>
      <c r="BL427" s="14"/>
      <c r="BM427" s="14"/>
      <c r="BN427" s="14"/>
      <c r="BO427" s="14"/>
      <c r="BP427" s="14"/>
      <c r="BQ427" s="14"/>
      <c r="BR427" s="14"/>
      <c r="BS427" s="14"/>
      <c r="BT427" s="14"/>
      <c r="BU427" s="14"/>
      <c r="BV427" s="14"/>
      <c r="BW427" s="14"/>
      <c r="BX427" s="14"/>
      <c r="BY427" s="14"/>
      <c r="BZ427" s="14"/>
      <c r="CA427" s="14"/>
      <c r="CB427" s="14"/>
      <c r="CC427" s="14"/>
      <c r="CD427" s="14"/>
      <c r="CE427" s="14"/>
      <c r="CF427" s="14"/>
      <c r="CG427" s="14"/>
      <c r="CH427" s="14"/>
      <c r="CI427" s="14"/>
      <c r="CJ427" s="14"/>
      <c r="CK427" s="14"/>
      <c r="CL427" s="14"/>
      <c r="CT427" s="14"/>
      <c r="CW427" s="3"/>
      <c r="DG427" s="4"/>
    </row>
    <row r="428" customFormat="false" ht="11.25" hidden="false" customHeight="true" outlineLevel="0" collapsed="false">
      <c r="A428" s="14"/>
      <c r="B428" s="15"/>
      <c r="C428" s="15"/>
      <c r="D428" s="14"/>
      <c r="E428" s="14"/>
      <c r="F428" s="14"/>
      <c r="G428" s="14"/>
      <c r="H428" s="15"/>
      <c r="I428" s="15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  <c r="BH428" s="14"/>
      <c r="BI428" s="14"/>
      <c r="BJ428" s="14"/>
      <c r="BK428" s="14"/>
      <c r="BL428" s="14"/>
      <c r="BM428" s="14"/>
      <c r="BN428" s="14"/>
      <c r="BO428" s="14"/>
      <c r="BP428" s="14"/>
      <c r="BQ428" s="14"/>
      <c r="BR428" s="14"/>
      <c r="BS428" s="14"/>
      <c r="BT428" s="14"/>
      <c r="BU428" s="14"/>
      <c r="BV428" s="14"/>
      <c r="BW428" s="14"/>
      <c r="BX428" s="14"/>
      <c r="BY428" s="14"/>
      <c r="BZ428" s="14"/>
      <c r="CA428" s="14"/>
      <c r="CB428" s="14"/>
      <c r="CC428" s="14"/>
      <c r="CD428" s="14"/>
      <c r="CE428" s="14"/>
      <c r="CF428" s="14"/>
      <c r="CG428" s="14"/>
      <c r="CH428" s="14"/>
      <c r="CI428" s="14"/>
      <c r="CJ428" s="14"/>
      <c r="CK428" s="14"/>
      <c r="CL428" s="14"/>
      <c r="CT428" s="14"/>
      <c r="CW428" s="3"/>
      <c r="DG428" s="4"/>
    </row>
    <row r="429" customFormat="false" ht="11.25" hidden="false" customHeight="true" outlineLevel="0" collapsed="false">
      <c r="A429" s="14"/>
      <c r="B429" s="15"/>
      <c r="C429" s="15"/>
      <c r="D429" s="14"/>
      <c r="E429" s="14"/>
      <c r="F429" s="14"/>
      <c r="G429" s="14"/>
      <c r="H429" s="15"/>
      <c r="I429" s="15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/>
      <c r="BI429" s="14"/>
      <c r="BJ429" s="14"/>
      <c r="BK429" s="14"/>
      <c r="BL429" s="14"/>
      <c r="BM429" s="14"/>
      <c r="BN429" s="14"/>
      <c r="BO429" s="14"/>
      <c r="BP429" s="14"/>
      <c r="BQ429" s="14"/>
      <c r="BR429" s="14"/>
      <c r="BS429" s="14"/>
      <c r="BT429" s="14"/>
      <c r="BU429" s="14"/>
      <c r="BV429" s="14"/>
      <c r="BW429" s="14"/>
      <c r="BX429" s="14"/>
      <c r="BY429" s="14"/>
      <c r="BZ429" s="14"/>
      <c r="CA429" s="14"/>
      <c r="CB429" s="14"/>
      <c r="CC429" s="14"/>
      <c r="CD429" s="14"/>
      <c r="CE429" s="14"/>
      <c r="CF429" s="14"/>
      <c r="CG429" s="14"/>
      <c r="CH429" s="14"/>
      <c r="CI429" s="14"/>
      <c r="CJ429" s="14"/>
      <c r="CK429" s="14"/>
      <c r="CL429" s="14"/>
      <c r="CT429" s="14"/>
      <c r="CW429" s="3"/>
      <c r="DG429" s="4"/>
    </row>
    <row r="430" customFormat="false" ht="11.25" hidden="false" customHeight="true" outlineLevel="0" collapsed="false">
      <c r="A430" s="14"/>
      <c r="B430" s="15"/>
      <c r="C430" s="15"/>
      <c r="D430" s="14"/>
      <c r="E430" s="14"/>
      <c r="F430" s="14"/>
      <c r="G430" s="14"/>
      <c r="H430" s="15"/>
      <c r="I430" s="15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/>
      <c r="BG430" s="14"/>
      <c r="BH430" s="14"/>
      <c r="BI430" s="14"/>
      <c r="BJ430" s="14"/>
      <c r="BK430" s="14"/>
      <c r="BL430" s="14"/>
      <c r="BM430" s="14"/>
      <c r="BN430" s="14"/>
      <c r="BO430" s="14"/>
      <c r="BP430" s="14"/>
      <c r="BQ430" s="14"/>
      <c r="BR430" s="14"/>
      <c r="BS430" s="14"/>
      <c r="BT430" s="14"/>
      <c r="BU430" s="14"/>
      <c r="BV430" s="14"/>
      <c r="BW430" s="14"/>
      <c r="BX430" s="14"/>
      <c r="BY430" s="14"/>
      <c r="BZ430" s="14"/>
      <c r="CA430" s="14"/>
      <c r="CB430" s="14"/>
      <c r="CC430" s="14"/>
      <c r="CD430" s="14"/>
      <c r="CE430" s="14"/>
      <c r="CF430" s="14"/>
      <c r="CG430" s="14"/>
      <c r="CH430" s="14"/>
      <c r="CI430" s="14"/>
      <c r="CJ430" s="14"/>
      <c r="CK430" s="14"/>
      <c r="CL430" s="14"/>
      <c r="CT430" s="14"/>
      <c r="CW430" s="3"/>
      <c r="DG430" s="4"/>
    </row>
    <row r="431" customFormat="false" ht="11.25" hidden="false" customHeight="true" outlineLevel="0" collapsed="false">
      <c r="A431" s="14"/>
      <c r="B431" s="15"/>
      <c r="C431" s="15"/>
      <c r="D431" s="14"/>
      <c r="E431" s="14"/>
      <c r="F431" s="14"/>
      <c r="G431" s="14"/>
      <c r="H431" s="15"/>
      <c r="I431" s="15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14"/>
      <c r="BI431" s="14"/>
      <c r="BJ431" s="14"/>
      <c r="BK431" s="14"/>
      <c r="BL431" s="14"/>
      <c r="BM431" s="14"/>
      <c r="BN431" s="14"/>
      <c r="BO431" s="14"/>
      <c r="BP431" s="14"/>
      <c r="BQ431" s="14"/>
      <c r="BR431" s="14"/>
      <c r="BS431" s="14"/>
      <c r="BT431" s="14"/>
      <c r="BU431" s="14"/>
      <c r="BV431" s="14"/>
      <c r="BW431" s="14"/>
      <c r="BX431" s="14"/>
      <c r="BY431" s="14"/>
      <c r="BZ431" s="14"/>
      <c r="CA431" s="14"/>
      <c r="CB431" s="14"/>
      <c r="CC431" s="14"/>
      <c r="CD431" s="14"/>
      <c r="CE431" s="14"/>
      <c r="CF431" s="14"/>
      <c r="CG431" s="14"/>
      <c r="CH431" s="14"/>
      <c r="CI431" s="14"/>
      <c r="CJ431" s="14"/>
      <c r="CK431" s="14"/>
      <c r="CL431" s="14"/>
      <c r="CT431" s="14"/>
      <c r="CW431" s="3"/>
      <c r="DG431" s="4"/>
    </row>
    <row r="432" customFormat="false" ht="11.25" hidden="false" customHeight="true" outlineLevel="0" collapsed="false">
      <c r="A432" s="14"/>
      <c r="B432" s="15"/>
      <c r="C432" s="15"/>
      <c r="D432" s="14"/>
      <c r="E432" s="14"/>
      <c r="F432" s="14"/>
      <c r="G432" s="14"/>
      <c r="H432" s="15"/>
      <c r="I432" s="15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BE432" s="14"/>
      <c r="BF432" s="14"/>
      <c r="BG432" s="14"/>
      <c r="BH432" s="14"/>
      <c r="BI432" s="14"/>
      <c r="BJ432" s="14"/>
      <c r="BK432" s="14"/>
      <c r="BL432" s="14"/>
      <c r="BM432" s="14"/>
      <c r="BN432" s="14"/>
      <c r="BO432" s="14"/>
      <c r="BP432" s="14"/>
      <c r="BQ432" s="14"/>
      <c r="BR432" s="14"/>
      <c r="BS432" s="14"/>
      <c r="BT432" s="14"/>
      <c r="BU432" s="14"/>
      <c r="BV432" s="14"/>
      <c r="BW432" s="14"/>
      <c r="BX432" s="14"/>
      <c r="BY432" s="14"/>
      <c r="BZ432" s="14"/>
      <c r="CA432" s="14"/>
      <c r="CB432" s="14"/>
      <c r="CC432" s="14"/>
      <c r="CD432" s="14"/>
      <c r="CE432" s="14"/>
      <c r="CF432" s="14"/>
      <c r="CG432" s="14"/>
      <c r="CH432" s="14"/>
      <c r="CI432" s="14"/>
      <c r="CJ432" s="14"/>
      <c r="CK432" s="14"/>
      <c r="CL432" s="14"/>
      <c r="CT432" s="14"/>
      <c r="CW432" s="3"/>
      <c r="DG432" s="4"/>
    </row>
    <row r="433" customFormat="false" ht="11.25" hidden="false" customHeight="true" outlineLevel="0" collapsed="false">
      <c r="A433" s="14"/>
      <c r="B433" s="15"/>
      <c r="C433" s="15"/>
      <c r="D433" s="14"/>
      <c r="E433" s="14"/>
      <c r="F433" s="14"/>
      <c r="G433" s="14"/>
      <c r="H433" s="15"/>
      <c r="I433" s="15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14"/>
      <c r="BI433" s="14"/>
      <c r="BJ433" s="14"/>
      <c r="BK433" s="14"/>
      <c r="BL433" s="14"/>
      <c r="BM433" s="14"/>
      <c r="BN433" s="14"/>
      <c r="BO433" s="14"/>
      <c r="BP433" s="14"/>
      <c r="BQ433" s="14"/>
      <c r="BR433" s="14"/>
      <c r="BS433" s="14"/>
      <c r="BT433" s="14"/>
      <c r="BU433" s="14"/>
      <c r="BV433" s="14"/>
      <c r="BW433" s="14"/>
      <c r="BX433" s="14"/>
      <c r="BY433" s="14"/>
      <c r="BZ433" s="14"/>
      <c r="CA433" s="14"/>
      <c r="CB433" s="14"/>
      <c r="CC433" s="14"/>
      <c r="CD433" s="14"/>
      <c r="CE433" s="14"/>
      <c r="CF433" s="14"/>
      <c r="CG433" s="14"/>
      <c r="CH433" s="14"/>
      <c r="CI433" s="14"/>
      <c r="CJ433" s="14"/>
      <c r="CK433" s="14"/>
      <c r="CL433" s="14"/>
      <c r="CT433" s="14"/>
      <c r="CW433" s="3"/>
      <c r="DG433" s="4"/>
    </row>
    <row r="434" customFormat="false" ht="11.25" hidden="false" customHeight="true" outlineLevel="0" collapsed="false">
      <c r="A434" s="14"/>
      <c r="B434" s="15"/>
      <c r="C434" s="15"/>
      <c r="D434" s="14"/>
      <c r="E434" s="14"/>
      <c r="F434" s="14"/>
      <c r="G434" s="14"/>
      <c r="H434" s="15"/>
      <c r="I434" s="15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  <c r="BC434" s="14"/>
      <c r="BD434" s="14"/>
      <c r="BE434" s="14"/>
      <c r="BF434" s="14"/>
      <c r="BG434" s="14"/>
      <c r="BH434" s="14"/>
      <c r="BI434" s="14"/>
      <c r="BJ434" s="14"/>
      <c r="BK434" s="14"/>
      <c r="BL434" s="14"/>
      <c r="BM434" s="14"/>
      <c r="BN434" s="14"/>
      <c r="BO434" s="14"/>
      <c r="BP434" s="14"/>
      <c r="BQ434" s="14"/>
      <c r="BR434" s="14"/>
      <c r="BS434" s="14"/>
      <c r="BT434" s="14"/>
      <c r="BU434" s="14"/>
      <c r="BV434" s="14"/>
      <c r="BW434" s="14"/>
      <c r="BX434" s="14"/>
      <c r="BY434" s="14"/>
      <c r="BZ434" s="14"/>
      <c r="CA434" s="14"/>
      <c r="CB434" s="14"/>
      <c r="CC434" s="14"/>
      <c r="CD434" s="14"/>
      <c r="CE434" s="14"/>
      <c r="CF434" s="14"/>
      <c r="CG434" s="14"/>
      <c r="CH434" s="14"/>
      <c r="CI434" s="14"/>
      <c r="CJ434" s="14"/>
      <c r="CK434" s="14"/>
      <c r="CL434" s="14"/>
      <c r="CT434" s="14"/>
      <c r="CW434" s="3"/>
      <c r="DG434" s="4"/>
    </row>
    <row r="435" customFormat="false" ht="11.25" hidden="false" customHeight="true" outlineLevel="0" collapsed="false">
      <c r="A435" s="14"/>
      <c r="B435" s="15"/>
      <c r="C435" s="15"/>
      <c r="D435" s="14"/>
      <c r="E435" s="14"/>
      <c r="F435" s="14"/>
      <c r="G435" s="14"/>
      <c r="H435" s="15"/>
      <c r="I435" s="15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  <c r="BH435" s="14"/>
      <c r="BI435" s="14"/>
      <c r="BJ435" s="14"/>
      <c r="BK435" s="14"/>
      <c r="BL435" s="14"/>
      <c r="BM435" s="14"/>
      <c r="BN435" s="14"/>
      <c r="BO435" s="14"/>
      <c r="BP435" s="14"/>
      <c r="BQ435" s="14"/>
      <c r="BR435" s="14"/>
      <c r="BS435" s="14"/>
      <c r="BT435" s="14"/>
      <c r="BU435" s="14"/>
      <c r="BV435" s="14"/>
      <c r="BW435" s="14"/>
      <c r="BX435" s="14"/>
      <c r="BY435" s="14"/>
      <c r="BZ435" s="14"/>
      <c r="CA435" s="14"/>
      <c r="CB435" s="14"/>
      <c r="CC435" s="14"/>
      <c r="CD435" s="14"/>
      <c r="CE435" s="14"/>
      <c r="CF435" s="14"/>
      <c r="CG435" s="14"/>
      <c r="CH435" s="14"/>
      <c r="CI435" s="14"/>
      <c r="CJ435" s="14"/>
      <c r="CK435" s="14"/>
      <c r="CL435" s="14"/>
      <c r="CT435" s="14"/>
      <c r="CW435" s="3"/>
      <c r="DG435" s="4"/>
    </row>
    <row r="436" customFormat="false" ht="11.25" hidden="false" customHeight="true" outlineLevel="0" collapsed="false">
      <c r="A436" s="14"/>
      <c r="B436" s="15"/>
      <c r="C436" s="15"/>
      <c r="D436" s="14"/>
      <c r="E436" s="14"/>
      <c r="F436" s="14"/>
      <c r="G436" s="14"/>
      <c r="H436" s="15"/>
      <c r="I436" s="15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  <c r="BC436" s="14"/>
      <c r="BD436" s="14"/>
      <c r="BE436" s="14"/>
      <c r="BF436" s="14"/>
      <c r="BG436" s="14"/>
      <c r="BH436" s="14"/>
      <c r="BI436" s="14"/>
      <c r="BJ436" s="14"/>
      <c r="BK436" s="14"/>
      <c r="BL436" s="14"/>
      <c r="BM436" s="14"/>
      <c r="BN436" s="14"/>
      <c r="BO436" s="14"/>
      <c r="BP436" s="14"/>
      <c r="BQ436" s="14"/>
      <c r="BR436" s="14"/>
      <c r="BS436" s="14"/>
      <c r="BT436" s="14"/>
      <c r="BU436" s="14"/>
      <c r="BV436" s="14"/>
      <c r="BW436" s="14"/>
      <c r="BX436" s="14"/>
      <c r="BY436" s="14"/>
      <c r="BZ436" s="14"/>
      <c r="CA436" s="14"/>
      <c r="CB436" s="14"/>
      <c r="CC436" s="14"/>
      <c r="CD436" s="14"/>
      <c r="CE436" s="14"/>
      <c r="CF436" s="14"/>
      <c r="CG436" s="14"/>
      <c r="CH436" s="14"/>
      <c r="CI436" s="14"/>
      <c r="CJ436" s="14"/>
      <c r="CK436" s="14"/>
      <c r="CL436" s="14"/>
      <c r="CT436" s="14"/>
      <c r="CW436" s="3"/>
      <c r="DG436" s="4"/>
    </row>
    <row r="437" customFormat="false" ht="11.25" hidden="false" customHeight="true" outlineLevel="0" collapsed="false">
      <c r="A437" s="14"/>
      <c r="B437" s="15"/>
      <c r="C437" s="15"/>
      <c r="D437" s="14"/>
      <c r="E437" s="14"/>
      <c r="F437" s="14"/>
      <c r="G437" s="14"/>
      <c r="H437" s="15"/>
      <c r="I437" s="15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  <c r="BH437" s="14"/>
      <c r="BI437" s="14"/>
      <c r="BJ437" s="14"/>
      <c r="BK437" s="14"/>
      <c r="BL437" s="14"/>
      <c r="BM437" s="14"/>
      <c r="BN437" s="14"/>
      <c r="BO437" s="14"/>
      <c r="BP437" s="14"/>
      <c r="BQ437" s="14"/>
      <c r="BR437" s="14"/>
      <c r="BS437" s="14"/>
      <c r="BT437" s="14"/>
      <c r="BU437" s="14"/>
      <c r="BV437" s="14"/>
      <c r="BW437" s="14"/>
      <c r="BX437" s="14"/>
      <c r="BY437" s="14"/>
      <c r="BZ437" s="14"/>
      <c r="CA437" s="14"/>
      <c r="CB437" s="14"/>
      <c r="CC437" s="14"/>
      <c r="CD437" s="14"/>
      <c r="CE437" s="14"/>
      <c r="CF437" s="14"/>
      <c r="CG437" s="14"/>
      <c r="CH437" s="14"/>
      <c r="CI437" s="14"/>
      <c r="CJ437" s="14"/>
      <c r="CK437" s="14"/>
      <c r="CL437" s="14"/>
      <c r="CT437" s="14"/>
      <c r="CW437" s="3"/>
      <c r="DG437" s="4"/>
    </row>
    <row r="438" customFormat="false" ht="11.25" hidden="false" customHeight="true" outlineLevel="0" collapsed="false">
      <c r="A438" s="14"/>
      <c r="B438" s="15"/>
      <c r="C438" s="15"/>
      <c r="D438" s="14"/>
      <c r="E438" s="14"/>
      <c r="F438" s="14"/>
      <c r="G438" s="14"/>
      <c r="H438" s="15"/>
      <c r="I438" s="15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4"/>
      <c r="BD438" s="14"/>
      <c r="BE438" s="14"/>
      <c r="BF438" s="14"/>
      <c r="BG438" s="14"/>
      <c r="BH438" s="14"/>
      <c r="BI438" s="14"/>
      <c r="BJ438" s="14"/>
      <c r="BK438" s="14"/>
      <c r="BL438" s="14"/>
      <c r="BM438" s="14"/>
      <c r="BN438" s="14"/>
      <c r="BO438" s="14"/>
      <c r="BP438" s="14"/>
      <c r="BQ438" s="14"/>
      <c r="BR438" s="14"/>
      <c r="BS438" s="14"/>
      <c r="BT438" s="14"/>
      <c r="BU438" s="14"/>
      <c r="BV438" s="14"/>
      <c r="BW438" s="14"/>
      <c r="BX438" s="14"/>
      <c r="BY438" s="14"/>
      <c r="BZ438" s="14"/>
      <c r="CA438" s="14"/>
      <c r="CB438" s="14"/>
      <c r="CC438" s="14"/>
      <c r="CD438" s="14"/>
      <c r="CE438" s="14"/>
      <c r="CF438" s="14"/>
      <c r="CG438" s="14"/>
      <c r="CH438" s="14"/>
      <c r="CI438" s="14"/>
      <c r="CJ438" s="14"/>
      <c r="CK438" s="14"/>
      <c r="CL438" s="14"/>
      <c r="CT438" s="14"/>
      <c r="CW438" s="3"/>
      <c r="DG438" s="4"/>
    </row>
    <row r="439" customFormat="false" ht="11.25" hidden="false" customHeight="true" outlineLevel="0" collapsed="false">
      <c r="A439" s="14"/>
      <c r="B439" s="15"/>
      <c r="C439" s="15"/>
      <c r="D439" s="14"/>
      <c r="E439" s="14"/>
      <c r="F439" s="14"/>
      <c r="G439" s="14"/>
      <c r="H439" s="15"/>
      <c r="I439" s="15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  <c r="BJ439" s="14"/>
      <c r="BK439" s="14"/>
      <c r="BL439" s="14"/>
      <c r="BM439" s="14"/>
      <c r="BN439" s="14"/>
      <c r="BO439" s="14"/>
      <c r="BP439" s="14"/>
      <c r="BQ439" s="14"/>
      <c r="BR439" s="14"/>
      <c r="BS439" s="14"/>
      <c r="BT439" s="14"/>
      <c r="BU439" s="14"/>
      <c r="BV439" s="14"/>
      <c r="BW439" s="14"/>
      <c r="BX439" s="14"/>
      <c r="BY439" s="14"/>
      <c r="BZ439" s="14"/>
      <c r="CA439" s="14"/>
      <c r="CB439" s="14"/>
      <c r="CC439" s="14"/>
      <c r="CD439" s="14"/>
      <c r="CE439" s="14"/>
      <c r="CF439" s="14"/>
      <c r="CG439" s="14"/>
      <c r="CH439" s="14"/>
      <c r="CI439" s="14"/>
      <c r="CJ439" s="14"/>
      <c r="CK439" s="14"/>
      <c r="CL439" s="14"/>
      <c r="CT439" s="14"/>
      <c r="CW439" s="3"/>
      <c r="DG439" s="4"/>
    </row>
    <row r="440" customFormat="false" ht="11.25" hidden="false" customHeight="true" outlineLevel="0" collapsed="false">
      <c r="A440" s="14"/>
      <c r="B440" s="15"/>
      <c r="C440" s="15"/>
      <c r="D440" s="14"/>
      <c r="E440" s="14"/>
      <c r="F440" s="14"/>
      <c r="G440" s="14"/>
      <c r="H440" s="15"/>
      <c r="I440" s="15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4"/>
      <c r="BD440" s="14"/>
      <c r="BE440" s="14"/>
      <c r="BF440" s="14"/>
      <c r="BG440" s="14"/>
      <c r="BH440" s="14"/>
      <c r="BI440" s="14"/>
      <c r="BJ440" s="14"/>
      <c r="BK440" s="14"/>
      <c r="BL440" s="14"/>
      <c r="BM440" s="14"/>
      <c r="BN440" s="14"/>
      <c r="BO440" s="14"/>
      <c r="BP440" s="14"/>
      <c r="BQ440" s="14"/>
      <c r="BR440" s="14"/>
      <c r="BS440" s="14"/>
      <c r="BT440" s="14"/>
      <c r="BU440" s="14"/>
      <c r="BV440" s="14"/>
      <c r="BW440" s="14"/>
      <c r="BX440" s="14"/>
      <c r="BY440" s="14"/>
      <c r="BZ440" s="14"/>
      <c r="CA440" s="14"/>
      <c r="CB440" s="14"/>
      <c r="CC440" s="14"/>
      <c r="CD440" s="14"/>
      <c r="CE440" s="14"/>
      <c r="CF440" s="14"/>
      <c r="CG440" s="14"/>
      <c r="CH440" s="14"/>
      <c r="CI440" s="14"/>
      <c r="CJ440" s="14"/>
      <c r="CK440" s="14"/>
      <c r="CL440" s="14"/>
      <c r="CT440" s="14"/>
      <c r="CW440" s="3"/>
      <c r="DG440" s="4"/>
    </row>
    <row r="441" customFormat="false" ht="11.25" hidden="false" customHeight="true" outlineLevel="0" collapsed="false">
      <c r="A441" s="14"/>
      <c r="B441" s="15"/>
      <c r="C441" s="15"/>
      <c r="D441" s="14"/>
      <c r="E441" s="14"/>
      <c r="F441" s="14"/>
      <c r="G441" s="14"/>
      <c r="H441" s="15"/>
      <c r="I441" s="15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14"/>
      <c r="BI441" s="14"/>
      <c r="BJ441" s="14"/>
      <c r="BK441" s="14"/>
      <c r="BL441" s="14"/>
      <c r="BM441" s="14"/>
      <c r="BN441" s="14"/>
      <c r="BO441" s="14"/>
      <c r="BP441" s="14"/>
      <c r="BQ441" s="14"/>
      <c r="BR441" s="14"/>
      <c r="BS441" s="14"/>
      <c r="BT441" s="14"/>
      <c r="BU441" s="14"/>
      <c r="BV441" s="14"/>
      <c r="BW441" s="14"/>
      <c r="BX441" s="14"/>
      <c r="BY441" s="14"/>
      <c r="BZ441" s="14"/>
      <c r="CA441" s="14"/>
      <c r="CB441" s="14"/>
      <c r="CC441" s="14"/>
      <c r="CD441" s="14"/>
      <c r="CE441" s="14"/>
      <c r="CF441" s="14"/>
      <c r="CG441" s="14"/>
      <c r="CH441" s="14"/>
      <c r="CI441" s="14"/>
      <c r="CJ441" s="14"/>
      <c r="CK441" s="14"/>
      <c r="CL441" s="14"/>
      <c r="CT441" s="14"/>
      <c r="CW441" s="3"/>
      <c r="DG441" s="4"/>
    </row>
    <row r="442" customFormat="false" ht="11.25" hidden="false" customHeight="true" outlineLevel="0" collapsed="false">
      <c r="A442" s="14"/>
      <c r="B442" s="15"/>
      <c r="C442" s="15"/>
      <c r="D442" s="14"/>
      <c r="E442" s="14"/>
      <c r="F442" s="14"/>
      <c r="G442" s="14"/>
      <c r="H442" s="15"/>
      <c r="I442" s="15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  <c r="BC442" s="14"/>
      <c r="BD442" s="14"/>
      <c r="BE442" s="14"/>
      <c r="BF442" s="14"/>
      <c r="BG442" s="14"/>
      <c r="BH442" s="14"/>
      <c r="BI442" s="14"/>
      <c r="BJ442" s="14"/>
      <c r="BK442" s="14"/>
      <c r="BL442" s="14"/>
      <c r="BM442" s="14"/>
      <c r="BN442" s="14"/>
      <c r="BO442" s="14"/>
      <c r="BP442" s="14"/>
      <c r="BQ442" s="14"/>
      <c r="BR442" s="14"/>
      <c r="BS442" s="14"/>
      <c r="BT442" s="14"/>
      <c r="BU442" s="14"/>
      <c r="BV442" s="14"/>
      <c r="BW442" s="14"/>
      <c r="BX442" s="14"/>
      <c r="BY442" s="14"/>
      <c r="BZ442" s="14"/>
      <c r="CA442" s="14"/>
      <c r="CB442" s="14"/>
      <c r="CC442" s="14"/>
      <c r="CD442" s="14"/>
      <c r="CE442" s="14"/>
      <c r="CF442" s="14"/>
      <c r="CG442" s="14"/>
      <c r="CH442" s="14"/>
      <c r="CI442" s="14"/>
      <c r="CJ442" s="14"/>
      <c r="CK442" s="14"/>
      <c r="CL442" s="14"/>
      <c r="CT442" s="14"/>
      <c r="CW442" s="3"/>
      <c r="DG442" s="4"/>
    </row>
    <row r="443" customFormat="false" ht="11.25" hidden="false" customHeight="true" outlineLevel="0" collapsed="false">
      <c r="A443" s="14"/>
      <c r="B443" s="15"/>
      <c r="C443" s="15"/>
      <c r="D443" s="14"/>
      <c r="E443" s="14"/>
      <c r="F443" s="14"/>
      <c r="G443" s="14"/>
      <c r="H443" s="15"/>
      <c r="I443" s="15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4"/>
      <c r="BK443" s="14"/>
      <c r="BL443" s="14"/>
      <c r="BM443" s="14"/>
      <c r="BN443" s="14"/>
      <c r="BO443" s="14"/>
      <c r="BP443" s="14"/>
      <c r="BQ443" s="14"/>
      <c r="BR443" s="14"/>
      <c r="BS443" s="14"/>
      <c r="BT443" s="14"/>
      <c r="BU443" s="14"/>
      <c r="BV443" s="14"/>
      <c r="BW443" s="14"/>
      <c r="BX443" s="14"/>
      <c r="BY443" s="14"/>
      <c r="BZ443" s="14"/>
      <c r="CA443" s="14"/>
      <c r="CB443" s="14"/>
      <c r="CC443" s="14"/>
      <c r="CD443" s="14"/>
      <c r="CE443" s="14"/>
      <c r="CF443" s="14"/>
      <c r="CG443" s="14"/>
      <c r="CH443" s="14"/>
      <c r="CI443" s="14"/>
      <c r="CJ443" s="14"/>
      <c r="CK443" s="14"/>
      <c r="CL443" s="14"/>
      <c r="CT443" s="14"/>
      <c r="CW443" s="3"/>
      <c r="DG443" s="4"/>
    </row>
    <row r="444" customFormat="false" ht="11.25" hidden="false" customHeight="true" outlineLevel="0" collapsed="false">
      <c r="A444" s="14"/>
      <c r="B444" s="15"/>
      <c r="C444" s="15"/>
      <c r="D444" s="14"/>
      <c r="E444" s="14"/>
      <c r="F444" s="14"/>
      <c r="G444" s="14"/>
      <c r="H444" s="15"/>
      <c r="I444" s="15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  <c r="BA444" s="14"/>
      <c r="BB444" s="14"/>
      <c r="BC444" s="14"/>
      <c r="BD444" s="14"/>
      <c r="BE444" s="14"/>
      <c r="BF444" s="14"/>
      <c r="BG444" s="14"/>
      <c r="BH444" s="14"/>
      <c r="BI444" s="14"/>
      <c r="BJ444" s="14"/>
      <c r="BK444" s="14"/>
      <c r="BL444" s="14"/>
      <c r="BM444" s="14"/>
      <c r="BN444" s="14"/>
      <c r="BO444" s="14"/>
      <c r="BP444" s="14"/>
      <c r="BQ444" s="14"/>
      <c r="BR444" s="14"/>
      <c r="BS444" s="14"/>
      <c r="BT444" s="14"/>
      <c r="BU444" s="14"/>
      <c r="BV444" s="14"/>
      <c r="BW444" s="14"/>
      <c r="BX444" s="14"/>
      <c r="BY444" s="14"/>
      <c r="BZ444" s="14"/>
      <c r="CA444" s="14"/>
      <c r="CB444" s="14"/>
      <c r="CC444" s="14"/>
      <c r="CD444" s="14"/>
      <c r="CE444" s="14"/>
      <c r="CF444" s="14"/>
      <c r="CG444" s="14"/>
      <c r="CH444" s="14"/>
      <c r="CI444" s="14"/>
      <c r="CJ444" s="14"/>
      <c r="CK444" s="14"/>
      <c r="CL444" s="14"/>
      <c r="CT444" s="14"/>
      <c r="CW444" s="3"/>
      <c r="DG444" s="4"/>
    </row>
    <row r="445" customFormat="false" ht="11.25" hidden="false" customHeight="true" outlineLevel="0" collapsed="false">
      <c r="A445" s="14"/>
      <c r="B445" s="15"/>
      <c r="C445" s="15"/>
      <c r="D445" s="14"/>
      <c r="E445" s="14"/>
      <c r="F445" s="14"/>
      <c r="G445" s="14"/>
      <c r="H445" s="15"/>
      <c r="I445" s="15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/>
      <c r="BJ445" s="14"/>
      <c r="BK445" s="14"/>
      <c r="BL445" s="14"/>
      <c r="BM445" s="14"/>
      <c r="BN445" s="14"/>
      <c r="BO445" s="14"/>
      <c r="BP445" s="14"/>
      <c r="BQ445" s="14"/>
      <c r="BR445" s="14"/>
      <c r="BS445" s="14"/>
      <c r="BT445" s="14"/>
      <c r="BU445" s="14"/>
      <c r="BV445" s="14"/>
      <c r="BW445" s="14"/>
      <c r="BX445" s="14"/>
      <c r="BY445" s="14"/>
      <c r="BZ445" s="14"/>
      <c r="CA445" s="14"/>
      <c r="CB445" s="14"/>
      <c r="CC445" s="14"/>
      <c r="CD445" s="14"/>
      <c r="CE445" s="14"/>
      <c r="CF445" s="14"/>
      <c r="CG445" s="14"/>
      <c r="CH445" s="14"/>
      <c r="CI445" s="14"/>
      <c r="CJ445" s="14"/>
      <c r="CK445" s="14"/>
      <c r="CL445" s="14"/>
      <c r="CT445" s="14"/>
      <c r="CW445" s="3"/>
      <c r="DG445" s="4"/>
    </row>
    <row r="446" customFormat="false" ht="11.25" hidden="false" customHeight="true" outlineLevel="0" collapsed="false">
      <c r="A446" s="14"/>
      <c r="B446" s="15"/>
      <c r="C446" s="15"/>
      <c r="D446" s="14"/>
      <c r="E446" s="14"/>
      <c r="F446" s="14"/>
      <c r="G446" s="14"/>
      <c r="H446" s="15"/>
      <c r="I446" s="15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  <c r="BC446" s="14"/>
      <c r="BD446" s="14"/>
      <c r="BE446" s="14"/>
      <c r="BF446" s="14"/>
      <c r="BG446" s="14"/>
      <c r="BH446" s="14"/>
      <c r="BI446" s="14"/>
      <c r="BJ446" s="14"/>
      <c r="BK446" s="14"/>
      <c r="BL446" s="14"/>
      <c r="BM446" s="14"/>
      <c r="BN446" s="14"/>
      <c r="BO446" s="14"/>
      <c r="BP446" s="14"/>
      <c r="BQ446" s="14"/>
      <c r="BR446" s="14"/>
      <c r="BS446" s="14"/>
      <c r="BT446" s="14"/>
      <c r="BU446" s="14"/>
      <c r="BV446" s="14"/>
      <c r="BW446" s="14"/>
      <c r="BX446" s="14"/>
      <c r="BY446" s="14"/>
      <c r="BZ446" s="14"/>
      <c r="CA446" s="14"/>
      <c r="CB446" s="14"/>
      <c r="CC446" s="14"/>
      <c r="CD446" s="14"/>
      <c r="CE446" s="14"/>
      <c r="CF446" s="14"/>
      <c r="CG446" s="14"/>
      <c r="CH446" s="14"/>
      <c r="CI446" s="14"/>
      <c r="CJ446" s="14"/>
      <c r="CK446" s="14"/>
      <c r="CL446" s="14"/>
      <c r="CT446" s="14"/>
      <c r="CW446" s="3"/>
      <c r="DG446" s="4"/>
    </row>
    <row r="447" customFormat="false" ht="11.25" hidden="false" customHeight="true" outlineLevel="0" collapsed="false">
      <c r="A447" s="14"/>
      <c r="B447" s="15"/>
      <c r="C447" s="15"/>
      <c r="D447" s="14"/>
      <c r="E447" s="14"/>
      <c r="F447" s="14"/>
      <c r="G447" s="14"/>
      <c r="H447" s="15"/>
      <c r="I447" s="15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14"/>
      <c r="BI447" s="14"/>
      <c r="BJ447" s="14"/>
      <c r="BK447" s="14"/>
      <c r="BL447" s="14"/>
      <c r="BM447" s="14"/>
      <c r="BN447" s="14"/>
      <c r="BO447" s="14"/>
      <c r="BP447" s="14"/>
      <c r="BQ447" s="14"/>
      <c r="BR447" s="14"/>
      <c r="BS447" s="14"/>
      <c r="BT447" s="14"/>
      <c r="BU447" s="14"/>
      <c r="BV447" s="14"/>
      <c r="BW447" s="14"/>
      <c r="BX447" s="14"/>
      <c r="BY447" s="14"/>
      <c r="BZ447" s="14"/>
      <c r="CA447" s="14"/>
      <c r="CB447" s="14"/>
      <c r="CC447" s="14"/>
      <c r="CD447" s="14"/>
      <c r="CE447" s="14"/>
      <c r="CF447" s="14"/>
      <c r="CG447" s="14"/>
      <c r="CH447" s="14"/>
      <c r="CI447" s="14"/>
      <c r="CJ447" s="14"/>
      <c r="CK447" s="14"/>
      <c r="CL447" s="14"/>
      <c r="CT447" s="14"/>
      <c r="CW447" s="3"/>
      <c r="DG447" s="4"/>
    </row>
    <row r="448" customFormat="false" ht="11.25" hidden="false" customHeight="true" outlineLevel="0" collapsed="false">
      <c r="A448" s="14"/>
      <c r="B448" s="15"/>
      <c r="C448" s="15"/>
      <c r="D448" s="14"/>
      <c r="E448" s="14"/>
      <c r="F448" s="14"/>
      <c r="G448" s="14"/>
      <c r="H448" s="15"/>
      <c r="I448" s="15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  <c r="BC448" s="14"/>
      <c r="BD448" s="14"/>
      <c r="BE448" s="14"/>
      <c r="BF448" s="14"/>
      <c r="BG448" s="14"/>
      <c r="BH448" s="14"/>
      <c r="BI448" s="14"/>
      <c r="BJ448" s="14"/>
      <c r="BK448" s="14"/>
      <c r="BL448" s="14"/>
      <c r="BM448" s="14"/>
      <c r="BN448" s="14"/>
      <c r="BO448" s="14"/>
      <c r="BP448" s="14"/>
      <c r="BQ448" s="14"/>
      <c r="BR448" s="14"/>
      <c r="BS448" s="14"/>
      <c r="BT448" s="14"/>
      <c r="BU448" s="14"/>
      <c r="BV448" s="14"/>
      <c r="BW448" s="14"/>
      <c r="BX448" s="14"/>
      <c r="BY448" s="14"/>
      <c r="BZ448" s="14"/>
      <c r="CA448" s="14"/>
      <c r="CB448" s="14"/>
      <c r="CC448" s="14"/>
      <c r="CD448" s="14"/>
      <c r="CE448" s="14"/>
      <c r="CF448" s="14"/>
      <c r="CG448" s="14"/>
      <c r="CH448" s="14"/>
      <c r="CI448" s="14"/>
      <c r="CJ448" s="14"/>
      <c r="CK448" s="14"/>
      <c r="CL448" s="14"/>
      <c r="CT448" s="14"/>
      <c r="CW448" s="3"/>
      <c r="DG448" s="4"/>
    </row>
    <row r="449" customFormat="false" ht="11.25" hidden="false" customHeight="true" outlineLevel="0" collapsed="false">
      <c r="A449" s="14"/>
      <c r="B449" s="15"/>
      <c r="C449" s="15"/>
      <c r="D449" s="14"/>
      <c r="E449" s="14"/>
      <c r="F449" s="14"/>
      <c r="G449" s="14"/>
      <c r="H449" s="15"/>
      <c r="I449" s="15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  <c r="BJ449" s="14"/>
      <c r="BK449" s="14"/>
      <c r="BL449" s="14"/>
      <c r="BM449" s="14"/>
      <c r="BN449" s="14"/>
      <c r="BO449" s="14"/>
      <c r="BP449" s="14"/>
      <c r="BQ449" s="14"/>
      <c r="BR449" s="14"/>
      <c r="BS449" s="14"/>
      <c r="BT449" s="14"/>
      <c r="BU449" s="14"/>
      <c r="BV449" s="14"/>
      <c r="BW449" s="14"/>
      <c r="BX449" s="14"/>
      <c r="BY449" s="14"/>
      <c r="BZ449" s="14"/>
      <c r="CA449" s="14"/>
      <c r="CB449" s="14"/>
      <c r="CC449" s="14"/>
      <c r="CD449" s="14"/>
      <c r="CE449" s="14"/>
      <c r="CF449" s="14"/>
      <c r="CG449" s="14"/>
      <c r="CH449" s="14"/>
      <c r="CI449" s="14"/>
      <c r="CJ449" s="14"/>
      <c r="CK449" s="14"/>
      <c r="CL449" s="14"/>
      <c r="CT449" s="14"/>
      <c r="CW449" s="3"/>
      <c r="DG449" s="4"/>
    </row>
    <row r="450" customFormat="false" ht="11.25" hidden="false" customHeight="true" outlineLevel="0" collapsed="false">
      <c r="A450" s="14"/>
      <c r="B450" s="15"/>
      <c r="C450" s="15"/>
      <c r="D450" s="14"/>
      <c r="E450" s="14"/>
      <c r="F450" s="14"/>
      <c r="G450" s="14"/>
      <c r="H450" s="15"/>
      <c r="I450" s="15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4"/>
      <c r="BD450" s="14"/>
      <c r="BE450" s="14"/>
      <c r="BF450" s="14"/>
      <c r="BG450" s="14"/>
      <c r="BH450" s="14"/>
      <c r="BI450" s="14"/>
      <c r="BJ450" s="14"/>
      <c r="BK450" s="14"/>
      <c r="BL450" s="14"/>
      <c r="BM450" s="14"/>
      <c r="BN450" s="14"/>
      <c r="BO450" s="14"/>
      <c r="BP450" s="14"/>
      <c r="BQ450" s="14"/>
      <c r="BR450" s="14"/>
      <c r="BS450" s="14"/>
      <c r="BT450" s="14"/>
      <c r="BU450" s="14"/>
      <c r="BV450" s="14"/>
      <c r="BW450" s="14"/>
      <c r="BX450" s="14"/>
      <c r="BY450" s="14"/>
      <c r="BZ450" s="14"/>
      <c r="CA450" s="14"/>
      <c r="CB450" s="14"/>
      <c r="CC450" s="14"/>
      <c r="CD450" s="14"/>
      <c r="CE450" s="14"/>
      <c r="CF450" s="14"/>
      <c r="CG450" s="14"/>
      <c r="CH450" s="14"/>
      <c r="CI450" s="14"/>
      <c r="CJ450" s="14"/>
      <c r="CK450" s="14"/>
      <c r="CL450" s="14"/>
      <c r="CT450" s="14"/>
      <c r="CW450" s="3"/>
      <c r="DG450" s="4"/>
    </row>
    <row r="451" customFormat="false" ht="11.25" hidden="false" customHeight="true" outlineLevel="0" collapsed="false">
      <c r="A451" s="14"/>
      <c r="B451" s="15"/>
      <c r="C451" s="15"/>
      <c r="D451" s="14"/>
      <c r="E451" s="14"/>
      <c r="F451" s="14"/>
      <c r="G451" s="14"/>
      <c r="H451" s="15"/>
      <c r="I451" s="15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14"/>
      <c r="BI451" s="14"/>
      <c r="BJ451" s="14"/>
      <c r="BK451" s="14"/>
      <c r="BL451" s="14"/>
      <c r="BM451" s="14"/>
      <c r="BN451" s="14"/>
      <c r="BO451" s="14"/>
      <c r="BP451" s="14"/>
      <c r="BQ451" s="14"/>
      <c r="BR451" s="14"/>
      <c r="BS451" s="14"/>
      <c r="BT451" s="14"/>
      <c r="BU451" s="14"/>
      <c r="BV451" s="14"/>
      <c r="BW451" s="14"/>
      <c r="BX451" s="14"/>
      <c r="BY451" s="14"/>
      <c r="BZ451" s="14"/>
      <c r="CA451" s="14"/>
      <c r="CB451" s="14"/>
      <c r="CC451" s="14"/>
      <c r="CD451" s="14"/>
      <c r="CE451" s="14"/>
      <c r="CF451" s="14"/>
      <c r="CG451" s="14"/>
      <c r="CH451" s="14"/>
      <c r="CI451" s="14"/>
      <c r="CJ451" s="14"/>
      <c r="CK451" s="14"/>
      <c r="CL451" s="14"/>
      <c r="CT451" s="14"/>
      <c r="CW451" s="3"/>
      <c r="DG451" s="4"/>
    </row>
    <row r="452" customFormat="false" ht="11.25" hidden="false" customHeight="true" outlineLevel="0" collapsed="false">
      <c r="A452" s="14"/>
      <c r="B452" s="15"/>
      <c r="C452" s="15"/>
      <c r="D452" s="14"/>
      <c r="E452" s="14"/>
      <c r="F452" s="14"/>
      <c r="G452" s="14"/>
      <c r="H452" s="15"/>
      <c r="I452" s="15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  <c r="BC452" s="14"/>
      <c r="BD452" s="14"/>
      <c r="BE452" s="14"/>
      <c r="BF452" s="14"/>
      <c r="BG452" s="14"/>
      <c r="BH452" s="14"/>
      <c r="BI452" s="14"/>
      <c r="BJ452" s="14"/>
      <c r="BK452" s="14"/>
      <c r="BL452" s="14"/>
      <c r="BM452" s="14"/>
      <c r="BN452" s="14"/>
      <c r="BO452" s="14"/>
      <c r="BP452" s="14"/>
      <c r="BQ452" s="14"/>
      <c r="BR452" s="14"/>
      <c r="BS452" s="14"/>
      <c r="BT452" s="14"/>
      <c r="BU452" s="14"/>
      <c r="BV452" s="14"/>
      <c r="BW452" s="14"/>
      <c r="BX452" s="14"/>
      <c r="BY452" s="14"/>
      <c r="BZ452" s="14"/>
      <c r="CA452" s="14"/>
      <c r="CB452" s="14"/>
      <c r="CC452" s="14"/>
      <c r="CD452" s="14"/>
      <c r="CE452" s="14"/>
      <c r="CF452" s="14"/>
      <c r="CG452" s="14"/>
      <c r="CH452" s="14"/>
      <c r="CI452" s="14"/>
      <c r="CJ452" s="14"/>
      <c r="CK452" s="14"/>
      <c r="CL452" s="14"/>
      <c r="CT452" s="14"/>
      <c r="CW452" s="3"/>
      <c r="DG452" s="4"/>
    </row>
    <row r="453" customFormat="false" ht="11.25" hidden="false" customHeight="true" outlineLevel="0" collapsed="false">
      <c r="A453" s="14"/>
      <c r="B453" s="15"/>
      <c r="C453" s="15"/>
      <c r="D453" s="14"/>
      <c r="E453" s="14"/>
      <c r="F453" s="14"/>
      <c r="G453" s="14"/>
      <c r="H453" s="15"/>
      <c r="I453" s="15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14"/>
      <c r="BI453" s="14"/>
      <c r="BJ453" s="14"/>
      <c r="BK453" s="14"/>
      <c r="BL453" s="14"/>
      <c r="BM453" s="14"/>
      <c r="BN453" s="14"/>
      <c r="BO453" s="14"/>
      <c r="BP453" s="14"/>
      <c r="BQ453" s="14"/>
      <c r="BR453" s="14"/>
      <c r="BS453" s="14"/>
      <c r="BT453" s="14"/>
      <c r="BU453" s="14"/>
      <c r="BV453" s="14"/>
      <c r="BW453" s="14"/>
      <c r="BX453" s="14"/>
      <c r="BY453" s="14"/>
      <c r="BZ453" s="14"/>
      <c r="CA453" s="14"/>
      <c r="CB453" s="14"/>
      <c r="CC453" s="14"/>
      <c r="CD453" s="14"/>
      <c r="CE453" s="14"/>
      <c r="CF453" s="14"/>
      <c r="CG453" s="14"/>
      <c r="CH453" s="14"/>
      <c r="CI453" s="14"/>
      <c r="CJ453" s="14"/>
      <c r="CK453" s="14"/>
      <c r="CL453" s="14"/>
      <c r="CT453" s="14"/>
      <c r="CW453" s="3"/>
      <c r="DG453" s="4"/>
    </row>
    <row r="454" customFormat="false" ht="11.25" hidden="false" customHeight="true" outlineLevel="0" collapsed="false">
      <c r="A454" s="14"/>
      <c r="B454" s="15"/>
      <c r="C454" s="15"/>
      <c r="D454" s="14"/>
      <c r="E454" s="14"/>
      <c r="F454" s="14"/>
      <c r="G454" s="14"/>
      <c r="H454" s="15"/>
      <c r="I454" s="15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4"/>
      <c r="BD454" s="14"/>
      <c r="BE454" s="14"/>
      <c r="BF454" s="14"/>
      <c r="BG454" s="14"/>
      <c r="BH454" s="14"/>
      <c r="BI454" s="14"/>
      <c r="BJ454" s="14"/>
      <c r="BK454" s="14"/>
      <c r="BL454" s="14"/>
      <c r="BM454" s="14"/>
      <c r="BN454" s="14"/>
      <c r="BO454" s="14"/>
      <c r="BP454" s="14"/>
      <c r="BQ454" s="14"/>
      <c r="BR454" s="14"/>
      <c r="BS454" s="14"/>
      <c r="BT454" s="14"/>
      <c r="BU454" s="14"/>
      <c r="BV454" s="14"/>
      <c r="BW454" s="14"/>
      <c r="BX454" s="14"/>
      <c r="BY454" s="14"/>
      <c r="BZ454" s="14"/>
      <c r="CA454" s="14"/>
      <c r="CB454" s="14"/>
      <c r="CC454" s="14"/>
      <c r="CD454" s="14"/>
      <c r="CE454" s="14"/>
      <c r="CF454" s="14"/>
      <c r="CG454" s="14"/>
      <c r="CH454" s="14"/>
      <c r="CI454" s="14"/>
      <c r="CJ454" s="14"/>
      <c r="CK454" s="14"/>
      <c r="CL454" s="14"/>
      <c r="CT454" s="14"/>
      <c r="CW454" s="3"/>
      <c r="DG454" s="4"/>
    </row>
    <row r="455" customFormat="false" ht="11.25" hidden="false" customHeight="true" outlineLevel="0" collapsed="false">
      <c r="A455" s="14"/>
      <c r="B455" s="15"/>
      <c r="C455" s="15"/>
      <c r="D455" s="14"/>
      <c r="E455" s="14"/>
      <c r="F455" s="14"/>
      <c r="G455" s="14"/>
      <c r="H455" s="15"/>
      <c r="I455" s="15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14"/>
      <c r="BI455" s="14"/>
      <c r="BJ455" s="14"/>
      <c r="BK455" s="14"/>
      <c r="BL455" s="14"/>
      <c r="BM455" s="14"/>
      <c r="BN455" s="14"/>
      <c r="BO455" s="14"/>
      <c r="BP455" s="14"/>
      <c r="BQ455" s="14"/>
      <c r="BR455" s="14"/>
      <c r="BS455" s="14"/>
      <c r="BT455" s="14"/>
      <c r="BU455" s="14"/>
      <c r="BV455" s="14"/>
      <c r="BW455" s="14"/>
      <c r="BX455" s="14"/>
      <c r="BY455" s="14"/>
      <c r="BZ455" s="14"/>
      <c r="CA455" s="14"/>
      <c r="CB455" s="14"/>
      <c r="CC455" s="14"/>
      <c r="CD455" s="14"/>
      <c r="CE455" s="14"/>
      <c r="CF455" s="14"/>
      <c r="CG455" s="14"/>
      <c r="CH455" s="14"/>
      <c r="CI455" s="14"/>
      <c r="CJ455" s="14"/>
      <c r="CK455" s="14"/>
      <c r="CL455" s="14"/>
      <c r="CT455" s="14"/>
      <c r="CW455" s="3"/>
      <c r="DG455" s="4"/>
    </row>
    <row r="456" customFormat="false" ht="11.25" hidden="false" customHeight="true" outlineLevel="0" collapsed="false">
      <c r="A456" s="14"/>
      <c r="B456" s="15"/>
      <c r="C456" s="15"/>
      <c r="D456" s="14"/>
      <c r="E456" s="14"/>
      <c r="F456" s="14"/>
      <c r="G456" s="14"/>
      <c r="H456" s="15"/>
      <c r="I456" s="15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  <c r="BC456" s="14"/>
      <c r="BD456" s="14"/>
      <c r="BE456" s="14"/>
      <c r="BF456" s="14"/>
      <c r="BG456" s="14"/>
      <c r="BH456" s="14"/>
      <c r="BI456" s="14"/>
      <c r="BJ456" s="14"/>
      <c r="BK456" s="14"/>
      <c r="BL456" s="14"/>
      <c r="BM456" s="14"/>
      <c r="BN456" s="14"/>
      <c r="BO456" s="14"/>
      <c r="BP456" s="14"/>
      <c r="BQ456" s="14"/>
      <c r="BR456" s="14"/>
      <c r="BS456" s="14"/>
      <c r="BT456" s="14"/>
      <c r="BU456" s="14"/>
      <c r="BV456" s="14"/>
      <c r="BW456" s="14"/>
      <c r="BX456" s="14"/>
      <c r="BY456" s="14"/>
      <c r="BZ456" s="14"/>
      <c r="CA456" s="14"/>
      <c r="CB456" s="14"/>
      <c r="CC456" s="14"/>
      <c r="CD456" s="14"/>
      <c r="CE456" s="14"/>
      <c r="CF456" s="14"/>
      <c r="CG456" s="14"/>
      <c r="CH456" s="14"/>
      <c r="CI456" s="14"/>
      <c r="CJ456" s="14"/>
      <c r="CK456" s="14"/>
      <c r="CL456" s="14"/>
      <c r="CT456" s="14"/>
      <c r="CW456" s="3"/>
      <c r="DG456" s="4"/>
    </row>
    <row r="457" customFormat="false" ht="11.25" hidden="false" customHeight="true" outlineLevel="0" collapsed="false">
      <c r="A457" s="14"/>
      <c r="B457" s="15"/>
      <c r="C457" s="15"/>
      <c r="D457" s="14"/>
      <c r="E457" s="14"/>
      <c r="F457" s="14"/>
      <c r="G457" s="14"/>
      <c r="H457" s="15"/>
      <c r="I457" s="15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14"/>
      <c r="BI457" s="14"/>
      <c r="BJ457" s="14"/>
      <c r="BK457" s="14"/>
      <c r="BL457" s="14"/>
      <c r="BM457" s="14"/>
      <c r="BN457" s="14"/>
      <c r="BO457" s="14"/>
      <c r="BP457" s="14"/>
      <c r="BQ457" s="14"/>
      <c r="BR457" s="14"/>
      <c r="BS457" s="14"/>
      <c r="BT457" s="14"/>
      <c r="BU457" s="14"/>
      <c r="BV457" s="14"/>
      <c r="BW457" s="14"/>
      <c r="BX457" s="14"/>
      <c r="BY457" s="14"/>
      <c r="BZ457" s="14"/>
      <c r="CA457" s="14"/>
      <c r="CB457" s="14"/>
      <c r="CC457" s="14"/>
      <c r="CD457" s="14"/>
      <c r="CE457" s="14"/>
      <c r="CF457" s="14"/>
      <c r="CG457" s="14"/>
      <c r="CH457" s="14"/>
      <c r="CI457" s="14"/>
      <c r="CJ457" s="14"/>
      <c r="CK457" s="14"/>
      <c r="CL457" s="14"/>
      <c r="CT457" s="14"/>
      <c r="CW457" s="3"/>
      <c r="DG457" s="4"/>
    </row>
    <row r="458" customFormat="false" ht="11.25" hidden="false" customHeight="true" outlineLevel="0" collapsed="false">
      <c r="A458" s="14"/>
      <c r="B458" s="15"/>
      <c r="C458" s="15"/>
      <c r="D458" s="14"/>
      <c r="E458" s="14"/>
      <c r="F458" s="14"/>
      <c r="G458" s="14"/>
      <c r="H458" s="15"/>
      <c r="I458" s="15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4"/>
      <c r="BD458" s="14"/>
      <c r="BE458" s="14"/>
      <c r="BF458" s="14"/>
      <c r="BG458" s="14"/>
      <c r="BH458" s="14"/>
      <c r="BI458" s="14"/>
      <c r="BJ458" s="14"/>
      <c r="BK458" s="14"/>
      <c r="BL458" s="14"/>
      <c r="BM458" s="14"/>
      <c r="BN458" s="14"/>
      <c r="BO458" s="14"/>
      <c r="BP458" s="14"/>
      <c r="BQ458" s="14"/>
      <c r="BR458" s="14"/>
      <c r="BS458" s="14"/>
      <c r="BT458" s="14"/>
      <c r="BU458" s="14"/>
      <c r="BV458" s="14"/>
      <c r="BW458" s="14"/>
      <c r="BX458" s="14"/>
      <c r="BY458" s="14"/>
      <c r="BZ458" s="14"/>
      <c r="CA458" s="14"/>
      <c r="CB458" s="14"/>
      <c r="CC458" s="14"/>
      <c r="CD458" s="14"/>
      <c r="CE458" s="14"/>
      <c r="CF458" s="14"/>
      <c r="CG458" s="14"/>
      <c r="CH458" s="14"/>
      <c r="CI458" s="14"/>
      <c r="CJ458" s="14"/>
      <c r="CK458" s="14"/>
      <c r="CL458" s="14"/>
      <c r="CT458" s="14"/>
      <c r="CW458" s="3"/>
      <c r="DG458" s="4"/>
    </row>
    <row r="459" customFormat="false" ht="11.25" hidden="false" customHeight="true" outlineLevel="0" collapsed="false">
      <c r="A459" s="14"/>
      <c r="B459" s="15"/>
      <c r="C459" s="15"/>
      <c r="D459" s="14"/>
      <c r="E459" s="14"/>
      <c r="F459" s="14"/>
      <c r="G459" s="14"/>
      <c r="H459" s="15"/>
      <c r="I459" s="15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14"/>
      <c r="BI459" s="14"/>
      <c r="BJ459" s="14"/>
      <c r="BK459" s="14"/>
      <c r="BL459" s="14"/>
      <c r="BM459" s="14"/>
      <c r="BN459" s="14"/>
      <c r="BO459" s="14"/>
      <c r="BP459" s="14"/>
      <c r="BQ459" s="14"/>
      <c r="BR459" s="14"/>
      <c r="BS459" s="14"/>
      <c r="BT459" s="14"/>
      <c r="BU459" s="14"/>
      <c r="BV459" s="14"/>
      <c r="BW459" s="14"/>
      <c r="BX459" s="14"/>
      <c r="BY459" s="14"/>
      <c r="BZ459" s="14"/>
      <c r="CA459" s="14"/>
      <c r="CB459" s="14"/>
      <c r="CC459" s="14"/>
      <c r="CD459" s="14"/>
      <c r="CE459" s="14"/>
      <c r="CF459" s="14"/>
      <c r="CG459" s="14"/>
      <c r="CH459" s="14"/>
      <c r="CI459" s="14"/>
      <c r="CJ459" s="14"/>
      <c r="CK459" s="14"/>
      <c r="CL459" s="14"/>
      <c r="CT459" s="14"/>
      <c r="CW459" s="3"/>
      <c r="DG459" s="4"/>
    </row>
    <row r="460" customFormat="false" ht="11.25" hidden="false" customHeight="true" outlineLevel="0" collapsed="false">
      <c r="A460" s="14"/>
      <c r="B460" s="15"/>
      <c r="C460" s="15"/>
      <c r="D460" s="14"/>
      <c r="E460" s="14"/>
      <c r="F460" s="14"/>
      <c r="G460" s="14"/>
      <c r="H460" s="15"/>
      <c r="I460" s="15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  <c r="BC460" s="14"/>
      <c r="BD460" s="14"/>
      <c r="BE460" s="14"/>
      <c r="BF460" s="14"/>
      <c r="BG460" s="14"/>
      <c r="BH460" s="14"/>
      <c r="BI460" s="14"/>
      <c r="BJ460" s="14"/>
      <c r="BK460" s="14"/>
      <c r="BL460" s="14"/>
      <c r="BM460" s="14"/>
      <c r="BN460" s="14"/>
      <c r="BO460" s="14"/>
      <c r="BP460" s="14"/>
      <c r="BQ460" s="14"/>
      <c r="BR460" s="14"/>
      <c r="BS460" s="14"/>
      <c r="BT460" s="14"/>
      <c r="BU460" s="14"/>
      <c r="BV460" s="14"/>
      <c r="BW460" s="14"/>
      <c r="BX460" s="14"/>
      <c r="BY460" s="14"/>
      <c r="BZ460" s="14"/>
      <c r="CA460" s="14"/>
      <c r="CB460" s="14"/>
      <c r="CC460" s="14"/>
      <c r="CD460" s="14"/>
      <c r="CE460" s="14"/>
      <c r="CF460" s="14"/>
      <c r="CG460" s="14"/>
      <c r="CH460" s="14"/>
      <c r="CI460" s="14"/>
      <c r="CJ460" s="14"/>
      <c r="CK460" s="14"/>
      <c r="CL460" s="14"/>
      <c r="CT460" s="14"/>
      <c r="CW460" s="3"/>
      <c r="DG460" s="4"/>
    </row>
    <row r="461" customFormat="false" ht="11.25" hidden="false" customHeight="true" outlineLevel="0" collapsed="false">
      <c r="A461" s="14"/>
      <c r="B461" s="15"/>
      <c r="C461" s="15"/>
      <c r="D461" s="14"/>
      <c r="E461" s="14"/>
      <c r="F461" s="14"/>
      <c r="G461" s="14"/>
      <c r="H461" s="15"/>
      <c r="I461" s="15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  <c r="BH461" s="14"/>
      <c r="BI461" s="14"/>
      <c r="BJ461" s="14"/>
      <c r="BK461" s="14"/>
      <c r="BL461" s="14"/>
      <c r="BM461" s="14"/>
      <c r="BN461" s="14"/>
      <c r="BO461" s="14"/>
      <c r="BP461" s="14"/>
      <c r="BQ461" s="14"/>
      <c r="BR461" s="14"/>
      <c r="BS461" s="14"/>
      <c r="BT461" s="14"/>
      <c r="BU461" s="14"/>
      <c r="BV461" s="14"/>
      <c r="BW461" s="14"/>
      <c r="BX461" s="14"/>
      <c r="BY461" s="14"/>
      <c r="BZ461" s="14"/>
      <c r="CA461" s="14"/>
      <c r="CB461" s="14"/>
      <c r="CC461" s="14"/>
      <c r="CD461" s="14"/>
      <c r="CE461" s="14"/>
      <c r="CF461" s="14"/>
      <c r="CG461" s="14"/>
      <c r="CH461" s="14"/>
      <c r="CI461" s="14"/>
      <c r="CJ461" s="14"/>
      <c r="CK461" s="14"/>
      <c r="CL461" s="14"/>
      <c r="CT461" s="14"/>
      <c r="CW461" s="3"/>
      <c r="DG461" s="4"/>
    </row>
    <row r="462" customFormat="false" ht="11.25" hidden="false" customHeight="true" outlineLevel="0" collapsed="false">
      <c r="A462" s="14"/>
      <c r="B462" s="15"/>
      <c r="C462" s="15"/>
      <c r="D462" s="14"/>
      <c r="E462" s="14"/>
      <c r="F462" s="14"/>
      <c r="G462" s="14"/>
      <c r="H462" s="15"/>
      <c r="I462" s="15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  <c r="BC462" s="14"/>
      <c r="BD462" s="14"/>
      <c r="BE462" s="14"/>
      <c r="BF462" s="14"/>
      <c r="BG462" s="14"/>
      <c r="BH462" s="14"/>
      <c r="BI462" s="14"/>
      <c r="BJ462" s="14"/>
      <c r="BK462" s="14"/>
      <c r="BL462" s="14"/>
      <c r="BM462" s="14"/>
      <c r="BN462" s="14"/>
      <c r="BO462" s="14"/>
      <c r="BP462" s="14"/>
      <c r="BQ462" s="14"/>
      <c r="BR462" s="14"/>
      <c r="BS462" s="14"/>
      <c r="BT462" s="14"/>
      <c r="BU462" s="14"/>
      <c r="BV462" s="14"/>
      <c r="BW462" s="14"/>
      <c r="BX462" s="14"/>
      <c r="BY462" s="14"/>
      <c r="BZ462" s="14"/>
      <c r="CA462" s="14"/>
      <c r="CB462" s="14"/>
      <c r="CC462" s="14"/>
      <c r="CD462" s="14"/>
      <c r="CE462" s="14"/>
      <c r="CF462" s="14"/>
      <c r="CG462" s="14"/>
      <c r="CH462" s="14"/>
      <c r="CI462" s="14"/>
      <c r="CJ462" s="14"/>
      <c r="CK462" s="14"/>
      <c r="CL462" s="14"/>
      <c r="CT462" s="14"/>
      <c r="CW462" s="3"/>
      <c r="DG462" s="4"/>
    </row>
    <row r="463" customFormat="false" ht="11.25" hidden="false" customHeight="true" outlineLevel="0" collapsed="false">
      <c r="A463" s="14"/>
      <c r="B463" s="15"/>
      <c r="C463" s="15"/>
      <c r="D463" s="14"/>
      <c r="E463" s="14"/>
      <c r="F463" s="14"/>
      <c r="G463" s="14"/>
      <c r="H463" s="15"/>
      <c r="I463" s="15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  <c r="BH463" s="14"/>
      <c r="BI463" s="14"/>
      <c r="BJ463" s="14"/>
      <c r="BK463" s="14"/>
      <c r="BL463" s="14"/>
      <c r="BM463" s="14"/>
      <c r="BN463" s="14"/>
      <c r="BO463" s="14"/>
      <c r="BP463" s="14"/>
      <c r="BQ463" s="14"/>
      <c r="BR463" s="14"/>
      <c r="BS463" s="14"/>
      <c r="BT463" s="14"/>
      <c r="BU463" s="14"/>
      <c r="BV463" s="14"/>
      <c r="BW463" s="14"/>
      <c r="BX463" s="14"/>
      <c r="BY463" s="14"/>
      <c r="BZ463" s="14"/>
      <c r="CA463" s="14"/>
      <c r="CB463" s="14"/>
      <c r="CC463" s="14"/>
      <c r="CD463" s="14"/>
      <c r="CE463" s="14"/>
      <c r="CF463" s="14"/>
      <c r="CG463" s="14"/>
      <c r="CH463" s="14"/>
      <c r="CI463" s="14"/>
      <c r="CJ463" s="14"/>
      <c r="CK463" s="14"/>
      <c r="CL463" s="14"/>
      <c r="CT463" s="14"/>
      <c r="CW463" s="3"/>
      <c r="DG463" s="4"/>
    </row>
    <row r="464" customFormat="false" ht="11.25" hidden="false" customHeight="true" outlineLevel="0" collapsed="false">
      <c r="A464" s="14"/>
      <c r="B464" s="15"/>
      <c r="C464" s="15"/>
      <c r="D464" s="14"/>
      <c r="E464" s="14"/>
      <c r="F464" s="14"/>
      <c r="G464" s="14"/>
      <c r="H464" s="15"/>
      <c r="I464" s="15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  <c r="BA464" s="14"/>
      <c r="BB464" s="14"/>
      <c r="BC464" s="14"/>
      <c r="BD464" s="14"/>
      <c r="BE464" s="14"/>
      <c r="BF464" s="14"/>
      <c r="BG464" s="14"/>
      <c r="BH464" s="14"/>
      <c r="BI464" s="14"/>
      <c r="BJ464" s="14"/>
      <c r="BK464" s="14"/>
      <c r="BL464" s="14"/>
      <c r="BM464" s="14"/>
      <c r="BN464" s="14"/>
      <c r="BO464" s="14"/>
      <c r="BP464" s="14"/>
      <c r="BQ464" s="14"/>
      <c r="BR464" s="14"/>
      <c r="BS464" s="14"/>
      <c r="BT464" s="14"/>
      <c r="BU464" s="14"/>
      <c r="BV464" s="14"/>
      <c r="BW464" s="14"/>
      <c r="BX464" s="14"/>
      <c r="BY464" s="14"/>
      <c r="BZ464" s="14"/>
      <c r="CA464" s="14"/>
      <c r="CB464" s="14"/>
      <c r="CC464" s="14"/>
      <c r="CD464" s="14"/>
      <c r="CE464" s="14"/>
      <c r="CF464" s="14"/>
      <c r="CG464" s="14"/>
      <c r="CH464" s="14"/>
      <c r="CI464" s="14"/>
      <c r="CJ464" s="14"/>
      <c r="CK464" s="14"/>
      <c r="CL464" s="14"/>
      <c r="CT464" s="14"/>
      <c r="CW464" s="3"/>
      <c r="DG464" s="4"/>
    </row>
    <row r="465" customFormat="false" ht="11.25" hidden="false" customHeight="true" outlineLevel="0" collapsed="false">
      <c r="A465" s="14"/>
      <c r="B465" s="15"/>
      <c r="C465" s="15"/>
      <c r="D465" s="14"/>
      <c r="E465" s="14"/>
      <c r="F465" s="14"/>
      <c r="G465" s="14"/>
      <c r="H465" s="15"/>
      <c r="I465" s="15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4"/>
      <c r="BF465" s="14"/>
      <c r="BG465" s="14"/>
      <c r="BH465" s="14"/>
      <c r="BI465" s="14"/>
      <c r="BJ465" s="14"/>
      <c r="BK465" s="14"/>
      <c r="BL465" s="14"/>
      <c r="BM465" s="14"/>
      <c r="BN465" s="14"/>
      <c r="BO465" s="14"/>
      <c r="BP465" s="14"/>
      <c r="BQ465" s="14"/>
      <c r="BR465" s="14"/>
      <c r="BS465" s="14"/>
      <c r="BT465" s="14"/>
      <c r="BU465" s="14"/>
      <c r="BV465" s="14"/>
      <c r="BW465" s="14"/>
      <c r="BX465" s="14"/>
      <c r="BY465" s="14"/>
      <c r="BZ465" s="14"/>
      <c r="CA465" s="14"/>
      <c r="CB465" s="14"/>
      <c r="CC465" s="14"/>
      <c r="CD465" s="14"/>
      <c r="CE465" s="14"/>
      <c r="CF465" s="14"/>
      <c r="CG465" s="14"/>
      <c r="CH465" s="14"/>
      <c r="CI465" s="14"/>
      <c r="CJ465" s="14"/>
      <c r="CK465" s="14"/>
      <c r="CL465" s="14"/>
      <c r="CT465" s="14"/>
      <c r="CW465" s="3"/>
      <c r="DG465" s="4"/>
    </row>
    <row r="466" customFormat="false" ht="11.25" hidden="false" customHeight="true" outlineLevel="0" collapsed="false">
      <c r="A466" s="14"/>
      <c r="B466" s="15"/>
      <c r="C466" s="15"/>
      <c r="D466" s="14"/>
      <c r="E466" s="14"/>
      <c r="F466" s="14"/>
      <c r="G466" s="14"/>
      <c r="H466" s="15"/>
      <c r="I466" s="15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  <c r="BC466" s="14"/>
      <c r="BD466" s="14"/>
      <c r="BE466" s="14"/>
      <c r="BF466" s="14"/>
      <c r="BG466" s="14"/>
      <c r="BH466" s="14"/>
      <c r="BI466" s="14"/>
      <c r="BJ466" s="14"/>
      <c r="BK466" s="14"/>
      <c r="BL466" s="14"/>
      <c r="BM466" s="14"/>
      <c r="BN466" s="14"/>
      <c r="BO466" s="14"/>
      <c r="BP466" s="14"/>
      <c r="BQ466" s="14"/>
      <c r="BR466" s="14"/>
      <c r="BS466" s="14"/>
      <c r="BT466" s="14"/>
      <c r="BU466" s="14"/>
      <c r="BV466" s="14"/>
      <c r="BW466" s="14"/>
      <c r="BX466" s="14"/>
      <c r="BY466" s="14"/>
      <c r="BZ466" s="14"/>
      <c r="CA466" s="14"/>
      <c r="CB466" s="14"/>
      <c r="CC466" s="14"/>
      <c r="CD466" s="14"/>
      <c r="CE466" s="14"/>
      <c r="CF466" s="14"/>
      <c r="CG466" s="14"/>
      <c r="CH466" s="14"/>
      <c r="CI466" s="14"/>
      <c r="CJ466" s="14"/>
      <c r="CK466" s="14"/>
      <c r="CL466" s="14"/>
      <c r="CT466" s="14"/>
      <c r="CW466" s="3"/>
      <c r="DG466" s="4"/>
    </row>
    <row r="467" customFormat="false" ht="11.25" hidden="false" customHeight="true" outlineLevel="0" collapsed="false">
      <c r="A467" s="14"/>
      <c r="B467" s="15"/>
      <c r="C467" s="15"/>
      <c r="D467" s="14"/>
      <c r="E467" s="14"/>
      <c r="F467" s="14"/>
      <c r="G467" s="14"/>
      <c r="H467" s="15"/>
      <c r="I467" s="15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  <c r="BH467" s="14"/>
      <c r="BI467" s="14"/>
      <c r="BJ467" s="14"/>
      <c r="BK467" s="14"/>
      <c r="BL467" s="14"/>
      <c r="BM467" s="14"/>
      <c r="BN467" s="14"/>
      <c r="BO467" s="14"/>
      <c r="BP467" s="14"/>
      <c r="BQ467" s="14"/>
      <c r="BR467" s="14"/>
      <c r="BS467" s="14"/>
      <c r="BT467" s="14"/>
      <c r="BU467" s="14"/>
      <c r="BV467" s="14"/>
      <c r="BW467" s="14"/>
      <c r="BX467" s="14"/>
      <c r="BY467" s="14"/>
      <c r="BZ467" s="14"/>
      <c r="CA467" s="14"/>
      <c r="CB467" s="14"/>
      <c r="CC467" s="14"/>
      <c r="CD467" s="14"/>
      <c r="CE467" s="14"/>
      <c r="CF467" s="14"/>
      <c r="CG467" s="14"/>
      <c r="CH467" s="14"/>
      <c r="CI467" s="14"/>
      <c r="CJ467" s="14"/>
      <c r="CK467" s="14"/>
      <c r="CL467" s="14"/>
      <c r="CT467" s="14"/>
      <c r="CW467" s="3"/>
      <c r="DG467" s="4"/>
    </row>
    <row r="468" customFormat="false" ht="11.25" hidden="false" customHeight="true" outlineLevel="0" collapsed="false">
      <c r="A468" s="14"/>
      <c r="B468" s="15"/>
      <c r="C468" s="15"/>
      <c r="D468" s="14"/>
      <c r="E468" s="14"/>
      <c r="F468" s="14"/>
      <c r="G468" s="14"/>
      <c r="H468" s="15"/>
      <c r="I468" s="15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  <c r="BC468" s="14"/>
      <c r="BD468" s="14"/>
      <c r="BE468" s="14"/>
      <c r="BF468" s="14"/>
      <c r="BG468" s="14"/>
      <c r="BH468" s="14"/>
      <c r="BI468" s="14"/>
      <c r="BJ468" s="14"/>
      <c r="BK468" s="14"/>
      <c r="BL468" s="14"/>
      <c r="BM468" s="14"/>
      <c r="BN468" s="14"/>
      <c r="BO468" s="14"/>
      <c r="BP468" s="14"/>
      <c r="BQ468" s="14"/>
      <c r="BR468" s="14"/>
      <c r="BS468" s="14"/>
      <c r="BT468" s="14"/>
      <c r="BU468" s="14"/>
      <c r="BV468" s="14"/>
      <c r="BW468" s="14"/>
      <c r="BX468" s="14"/>
      <c r="BY468" s="14"/>
      <c r="BZ468" s="14"/>
      <c r="CA468" s="14"/>
      <c r="CB468" s="14"/>
      <c r="CC468" s="14"/>
      <c r="CD468" s="14"/>
      <c r="CE468" s="14"/>
      <c r="CF468" s="14"/>
      <c r="CG468" s="14"/>
      <c r="CH468" s="14"/>
      <c r="CI468" s="14"/>
      <c r="CJ468" s="14"/>
      <c r="CK468" s="14"/>
      <c r="CL468" s="14"/>
      <c r="CT468" s="14"/>
      <c r="CW468" s="3"/>
      <c r="DG468" s="4"/>
    </row>
    <row r="469" customFormat="false" ht="11.25" hidden="false" customHeight="true" outlineLevel="0" collapsed="false">
      <c r="A469" s="14"/>
      <c r="B469" s="15"/>
      <c r="C469" s="15"/>
      <c r="D469" s="14"/>
      <c r="E469" s="14"/>
      <c r="F469" s="14"/>
      <c r="G469" s="14"/>
      <c r="H469" s="15"/>
      <c r="I469" s="15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/>
      <c r="BG469" s="14"/>
      <c r="BH469" s="14"/>
      <c r="BI469" s="14"/>
      <c r="BJ469" s="14"/>
      <c r="BK469" s="14"/>
      <c r="BL469" s="14"/>
      <c r="BM469" s="14"/>
      <c r="BN469" s="14"/>
      <c r="BO469" s="14"/>
      <c r="BP469" s="14"/>
      <c r="BQ469" s="14"/>
      <c r="BR469" s="14"/>
      <c r="BS469" s="14"/>
      <c r="BT469" s="14"/>
      <c r="BU469" s="14"/>
      <c r="BV469" s="14"/>
      <c r="BW469" s="14"/>
      <c r="BX469" s="14"/>
      <c r="BY469" s="14"/>
      <c r="BZ469" s="14"/>
      <c r="CA469" s="14"/>
      <c r="CB469" s="14"/>
      <c r="CC469" s="14"/>
      <c r="CD469" s="14"/>
      <c r="CE469" s="14"/>
      <c r="CF469" s="14"/>
      <c r="CG469" s="14"/>
      <c r="CH469" s="14"/>
      <c r="CI469" s="14"/>
      <c r="CJ469" s="14"/>
      <c r="CK469" s="14"/>
      <c r="CL469" s="14"/>
      <c r="CT469" s="14"/>
      <c r="CW469" s="3"/>
      <c r="DG469" s="4"/>
    </row>
    <row r="470" customFormat="false" ht="11.25" hidden="false" customHeight="true" outlineLevel="0" collapsed="false">
      <c r="A470" s="14"/>
      <c r="B470" s="15"/>
      <c r="C470" s="15"/>
      <c r="D470" s="14"/>
      <c r="E470" s="14"/>
      <c r="F470" s="14"/>
      <c r="G470" s="14"/>
      <c r="H470" s="15"/>
      <c r="I470" s="15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/>
      <c r="AZ470" s="14"/>
      <c r="BA470" s="14"/>
      <c r="BB470" s="14"/>
      <c r="BC470" s="14"/>
      <c r="BD470" s="14"/>
      <c r="BE470" s="14"/>
      <c r="BF470" s="14"/>
      <c r="BG470" s="14"/>
      <c r="BH470" s="14"/>
      <c r="BI470" s="14"/>
      <c r="BJ470" s="14"/>
      <c r="BK470" s="14"/>
      <c r="BL470" s="14"/>
      <c r="BM470" s="14"/>
      <c r="BN470" s="14"/>
      <c r="BO470" s="14"/>
      <c r="BP470" s="14"/>
      <c r="BQ470" s="14"/>
      <c r="BR470" s="14"/>
      <c r="BS470" s="14"/>
      <c r="BT470" s="14"/>
      <c r="BU470" s="14"/>
      <c r="BV470" s="14"/>
      <c r="BW470" s="14"/>
      <c r="BX470" s="14"/>
      <c r="BY470" s="14"/>
      <c r="BZ470" s="14"/>
      <c r="CA470" s="14"/>
      <c r="CB470" s="14"/>
      <c r="CC470" s="14"/>
      <c r="CD470" s="14"/>
      <c r="CE470" s="14"/>
      <c r="CF470" s="14"/>
      <c r="CG470" s="14"/>
      <c r="CH470" s="14"/>
      <c r="CI470" s="14"/>
      <c r="CJ470" s="14"/>
      <c r="CK470" s="14"/>
      <c r="CL470" s="14"/>
      <c r="CT470" s="14"/>
      <c r="CW470" s="3"/>
      <c r="DG470" s="4"/>
    </row>
    <row r="471" customFormat="false" ht="11.25" hidden="false" customHeight="true" outlineLevel="0" collapsed="false">
      <c r="A471" s="14"/>
      <c r="B471" s="15"/>
      <c r="C471" s="15"/>
      <c r="D471" s="14"/>
      <c r="E471" s="14"/>
      <c r="F471" s="14"/>
      <c r="G471" s="14"/>
      <c r="H471" s="15"/>
      <c r="I471" s="15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/>
      <c r="BG471" s="14"/>
      <c r="BH471" s="14"/>
      <c r="BI471" s="14"/>
      <c r="BJ471" s="14"/>
      <c r="BK471" s="14"/>
      <c r="BL471" s="14"/>
      <c r="BM471" s="14"/>
      <c r="BN471" s="14"/>
      <c r="BO471" s="14"/>
      <c r="BP471" s="14"/>
      <c r="BQ471" s="14"/>
      <c r="BR471" s="14"/>
      <c r="BS471" s="14"/>
      <c r="BT471" s="14"/>
      <c r="BU471" s="14"/>
      <c r="BV471" s="14"/>
      <c r="BW471" s="14"/>
      <c r="BX471" s="14"/>
      <c r="BY471" s="14"/>
      <c r="BZ471" s="14"/>
      <c r="CA471" s="14"/>
      <c r="CB471" s="14"/>
      <c r="CC471" s="14"/>
      <c r="CD471" s="14"/>
      <c r="CE471" s="14"/>
      <c r="CF471" s="14"/>
      <c r="CG471" s="14"/>
      <c r="CH471" s="14"/>
      <c r="CI471" s="14"/>
      <c r="CJ471" s="14"/>
      <c r="CK471" s="14"/>
      <c r="CL471" s="14"/>
      <c r="CT471" s="14"/>
      <c r="CW471" s="3"/>
      <c r="DG471" s="4"/>
    </row>
    <row r="472" customFormat="false" ht="11.25" hidden="false" customHeight="true" outlineLevel="0" collapsed="false">
      <c r="A472" s="14"/>
      <c r="B472" s="15"/>
      <c r="C472" s="15"/>
      <c r="D472" s="14"/>
      <c r="E472" s="14"/>
      <c r="F472" s="14"/>
      <c r="G472" s="14"/>
      <c r="H472" s="15"/>
      <c r="I472" s="15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 s="14"/>
      <c r="AY472" s="14"/>
      <c r="AZ472" s="14"/>
      <c r="BA472" s="14"/>
      <c r="BB472" s="14"/>
      <c r="BC472" s="14"/>
      <c r="BD472" s="14"/>
      <c r="BE472" s="14"/>
      <c r="BF472" s="14"/>
      <c r="BG472" s="14"/>
      <c r="BH472" s="14"/>
      <c r="BI472" s="14"/>
      <c r="BJ472" s="14"/>
      <c r="BK472" s="14"/>
      <c r="BL472" s="14"/>
      <c r="BM472" s="14"/>
      <c r="BN472" s="14"/>
      <c r="BO472" s="14"/>
      <c r="BP472" s="14"/>
      <c r="BQ472" s="14"/>
      <c r="BR472" s="14"/>
      <c r="BS472" s="14"/>
      <c r="BT472" s="14"/>
      <c r="BU472" s="14"/>
      <c r="BV472" s="14"/>
      <c r="BW472" s="14"/>
      <c r="BX472" s="14"/>
      <c r="BY472" s="14"/>
      <c r="BZ472" s="14"/>
      <c r="CA472" s="14"/>
      <c r="CB472" s="14"/>
      <c r="CC472" s="14"/>
      <c r="CD472" s="14"/>
      <c r="CE472" s="14"/>
      <c r="CF472" s="14"/>
      <c r="CG472" s="14"/>
      <c r="CH472" s="14"/>
      <c r="CI472" s="14"/>
      <c r="CJ472" s="14"/>
      <c r="CK472" s="14"/>
      <c r="CL472" s="14"/>
      <c r="CT472" s="14"/>
      <c r="CW472" s="3"/>
      <c r="DG472" s="4"/>
    </row>
    <row r="473" customFormat="false" ht="11.25" hidden="false" customHeight="true" outlineLevel="0" collapsed="false">
      <c r="A473" s="14"/>
      <c r="B473" s="15"/>
      <c r="C473" s="15"/>
      <c r="D473" s="14"/>
      <c r="E473" s="14"/>
      <c r="F473" s="14"/>
      <c r="G473" s="14"/>
      <c r="H473" s="15"/>
      <c r="I473" s="15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X473" s="14"/>
      <c r="AY473" s="14"/>
      <c r="AZ473" s="14"/>
      <c r="BA473" s="14"/>
      <c r="BB473" s="14"/>
      <c r="BC473" s="14"/>
      <c r="BD473" s="14"/>
      <c r="BE473" s="14"/>
      <c r="BF473" s="14"/>
      <c r="BG473" s="14"/>
      <c r="BH473" s="14"/>
      <c r="BI473" s="14"/>
      <c r="BJ473" s="14"/>
      <c r="BK473" s="14"/>
      <c r="BL473" s="14"/>
      <c r="BM473" s="14"/>
      <c r="BN473" s="14"/>
      <c r="BO473" s="14"/>
      <c r="BP473" s="14"/>
      <c r="BQ473" s="14"/>
      <c r="BR473" s="14"/>
      <c r="BS473" s="14"/>
      <c r="BT473" s="14"/>
      <c r="BU473" s="14"/>
      <c r="BV473" s="14"/>
      <c r="BW473" s="14"/>
      <c r="BX473" s="14"/>
      <c r="BY473" s="14"/>
      <c r="BZ473" s="14"/>
      <c r="CA473" s="14"/>
      <c r="CB473" s="14"/>
      <c r="CC473" s="14"/>
      <c r="CD473" s="14"/>
      <c r="CE473" s="14"/>
      <c r="CF473" s="14"/>
      <c r="CG473" s="14"/>
      <c r="CH473" s="14"/>
      <c r="CI473" s="14"/>
      <c r="CJ473" s="14"/>
      <c r="CK473" s="14"/>
      <c r="CL473" s="14"/>
      <c r="CT473" s="14"/>
      <c r="CW473" s="3"/>
      <c r="DG473" s="4"/>
    </row>
    <row r="474" customFormat="false" ht="11.25" hidden="false" customHeight="true" outlineLevel="0" collapsed="false">
      <c r="A474" s="14"/>
      <c r="B474" s="15"/>
      <c r="C474" s="15"/>
      <c r="D474" s="14"/>
      <c r="E474" s="14"/>
      <c r="F474" s="14"/>
      <c r="G474" s="14"/>
      <c r="H474" s="15"/>
      <c r="I474" s="15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  <c r="AX474" s="14"/>
      <c r="AY474" s="14"/>
      <c r="AZ474" s="14"/>
      <c r="BA474" s="14"/>
      <c r="BB474" s="14"/>
      <c r="BC474" s="14"/>
      <c r="BD474" s="14"/>
      <c r="BE474" s="14"/>
      <c r="BF474" s="14"/>
      <c r="BG474" s="14"/>
      <c r="BH474" s="14"/>
      <c r="BI474" s="14"/>
      <c r="BJ474" s="14"/>
      <c r="BK474" s="14"/>
      <c r="BL474" s="14"/>
      <c r="BM474" s="14"/>
      <c r="BN474" s="14"/>
      <c r="BO474" s="14"/>
      <c r="BP474" s="14"/>
      <c r="BQ474" s="14"/>
      <c r="BR474" s="14"/>
      <c r="BS474" s="14"/>
      <c r="BT474" s="14"/>
      <c r="BU474" s="14"/>
      <c r="BV474" s="14"/>
      <c r="BW474" s="14"/>
      <c r="BX474" s="14"/>
      <c r="BY474" s="14"/>
      <c r="BZ474" s="14"/>
      <c r="CA474" s="14"/>
      <c r="CB474" s="14"/>
      <c r="CC474" s="14"/>
      <c r="CD474" s="14"/>
      <c r="CE474" s="14"/>
      <c r="CF474" s="14"/>
      <c r="CG474" s="14"/>
      <c r="CH474" s="14"/>
      <c r="CI474" s="14"/>
      <c r="CJ474" s="14"/>
      <c r="CK474" s="14"/>
      <c r="CL474" s="14"/>
      <c r="CT474" s="14"/>
      <c r="CW474" s="3"/>
      <c r="DG474" s="4"/>
    </row>
    <row r="475" customFormat="false" ht="11.25" hidden="false" customHeight="true" outlineLevel="0" collapsed="false">
      <c r="A475" s="14"/>
      <c r="B475" s="15"/>
      <c r="C475" s="15"/>
      <c r="D475" s="14"/>
      <c r="E475" s="14"/>
      <c r="F475" s="14"/>
      <c r="G475" s="14"/>
      <c r="H475" s="15"/>
      <c r="I475" s="15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  <c r="AY475" s="14"/>
      <c r="AZ475" s="14"/>
      <c r="BA475" s="14"/>
      <c r="BB475" s="14"/>
      <c r="BC475" s="14"/>
      <c r="BD475" s="14"/>
      <c r="BE475" s="14"/>
      <c r="BF475" s="14"/>
      <c r="BG475" s="14"/>
      <c r="BH475" s="14"/>
      <c r="BI475" s="14"/>
      <c r="BJ475" s="14"/>
      <c r="BK475" s="14"/>
      <c r="BL475" s="14"/>
      <c r="BM475" s="14"/>
      <c r="BN475" s="14"/>
      <c r="BO475" s="14"/>
      <c r="BP475" s="14"/>
      <c r="BQ475" s="14"/>
      <c r="BR475" s="14"/>
      <c r="BS475" s="14"/>
      <c r="BT475" s="14"/>
      <c r="BU475" s="14"/>
      <c r="BV475" s="14"/>
      <c r="BW475" s="14"/>
      <c r="BX475" s="14"/>
      <c r="BY475" s="14"/>
      <c r="BZ475" s="14"/>
      <c r="CA475" s="14"/>
      <c r="CB475" s="14"/>
      <c r="CC475" s="14"/>
      <c r="CD475" s="14"/>
      <c r="CE475" s="14"/>
      <c r="CF475" s="14"/>
      <c r="CG475" s="14"/>
      <c r="CH475" s="14"/>
      <c r="CI475" s="14"/>
      <c r="CJ475" s="14"/>
      <c r="CK475" s="14"/>
      <c r="CL475" s="14"/>
      <c r="CT475" s="14"/>
      <c r="CW475" s="3"/>
      <c r="DG475" s="4"/>
    </row>
    <row r="476" customFormat="false" ht="11.25" hidden="false" customHeight="true" outlineLevel="0" collapsed="false">
      <c r="A476" s="14"/>
      <c r="B476" s="15"/>
      <c r="C476" s="15"/>
      <c r="D476" s="14"/>
      <c r="E476" s="14"/>
      <c r="F476" s="14"/>
      <c r="G476" s="14"/>
      <c r="H476" s="15"/>
      <c r="I476" s="15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X476" s="14"/>
      <c r="AY476" s="14"/>
      <c r="AZ476" s="14"/>
      <c r="BA476" s="14"/>
      <c r="BB476" s="14"/>
      <c r="BC476" s="14"/>
      <c r="BD476" s="14"/>
      <c r="BE476" s="14"/>
      <c r="BF476" s="14"/>
      <c r="BG476" s="14"/>
      <c r="BH476" s="14"/>
      <c r="BI476" s="14"/>
      <c r="BJ476" s="14"/>
      <c r="BK476" s="14"/>
      <c r="BL476" s="14"/>
      <c r="BM476" s="14"/>
      <c r="BN476" s="14"/>
      <c r="BO476" s="14"/>
      <c r="BP476" s="14"/>
      <c r="BQ476" s="14"/>
      <c r="BR476" s="14"/>
      <c r="BS476" s="14"/>
      <c r="BT476" s="14"/>
      <c r="BU476" s="14"/>
      <c r="BV476" s="14"/>
      <c r="BW476" s="14"/>
      <c r="BX476" s="14"/>
      <c r="BY476" s="14"/>
      <c r="BZ476" s="14"/>
      <c r="CA476" s="14"/>
      <c r="CB476" s="14"/>
      <c r="CC476" s="14"/>
      <c r="CD476" s="14"/>
      <c r="CE476" s="14"/>
      <c r="CF476" s="14"/>
      <c r="CG476" s="14"/>
      <c r="CH476" s="14"/>
      <c r="CI476" s="14"/>
      <c r="CJ476" s="14"/>
      <c r="CK476" s="14"/>
      <c r="CL476" s="14"/>
      <c r="CT476" s="14"/>
      <c r="CW476" s="3"/>
      <c r="DG476" s="4"/>
    </row>
    <row r="477" customFormat="false" ht="11.25" hidden="false" customHeight="true" outlineLevel="0" collapsed="false">
      <c r="A477" s="14"/>
      <c r="B477" s="15"/>
      <c r="C477" s="15"/>
      <c r="D477" s="14"/>
      <c r="E477" s="14"/>
      <c r="F477" s="14"/>
      <c r="G477" s="14"/>
      <c r="H477" s="15"/>
      <c r="I477" s="15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  <c r="AY477" s="14"/>
      <c r="AZ477" s="14"/>
      <c r="BA477" s="14"/>
      <c r="BB477" s="14"/>
      <c r="BC477" s="14"/>
      <c r="BD477" s="14"/>
      <c r="BE477" s="14"/>
      <c r="BF477" s="14"/>
      <c r="BG477" s="14"/>
      <c r="BH477" s="14"/>
      <c r="BI477" s="14"/>
      <c r="BJ477" s="14"/>
      <c r="BK477" s="14"/>
      <c r="BL477" s="14"/>
      <c r="BM477" s="14"/>
      <c r="BN477" s="14"/>
      <c r="BO477" s="14"/>
      <c r="BP477" s="14"/>
      <c r="BQ477" s="14"/>
      <c r="BR477" s="14"/>
      <c r="BS477" s="14"/>
      <c r="BT477" s="14"/>
      <c r="BU477" s="14"/>
      <c r="BV477" s="14"/>
      <c r="BW477" s="14"/>
      <c r="BX477" s="14"/>
      <c r="BY477" s="14"/>
      <c r="BZ477" s="14"/>
      <c r="CA477" s="14"/>
      <c r="CB477" s="14"/>
      <c r="CC477" s="14"/>
      <c r="CD477" s="14"/>
      <c r="CE477" s="14"/>
      <c r="CF477" s="14"/>
      <c r="CG477" s="14"/>
      <c r="CH477" s="14"/>
      <c r="CI477" s="14"/>
      <c r="CJ477" s="14"/>
      <c r="CK477" s="14"/>
      <c r="CL477" s="14"/>
      <c r="CT477" s="14"/>
      <c r="CW477" s="3"/>
      <c r="DG477" s="4"/>
    </row>
    <row r="478" customFormat="false" ht="11.25" hidden="false" customHeight="true" outlineLevel="0" collapsed="false">
      <c r="A478" s="14"/>
      <c r="B478" s="15"/>
      <c r="C478" s="15"/>
      <c r="D478" s="14"/>
      <c r="E478" s="14"/>
      <c r="F478" s="14"/>
      <c r="G478" s="14"/>
      <c r="H478" s="15"/>
      <c r="I478" s="15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X478" s="14"/>
      <c r="AY478" s="14"/>
      <c r="AZ478" s="14"/>
      <c r="BA478" s="14"/>
      <c r="BB478" s="14"/>
      <c r="BC478" s="14"/>
      <c r="BD478" s="14"/>
      <c r="BE478" s="14"/>
      <c r="BF478" s="14"/>
      <c r="BG478" s="14"/>
      <c r="BH478" s="14"/>
      <c r="BI478" s="14"/>
      <c r="BJ478" s="14"/>
      <c r="BK478" s="14"/>
      <c r="BL478" s="14"/>
      <c r="BM478" s="14"/>
      <c r="BN478" s="14"/>
      <c r="BO478" s="14"/>
      <c r="BP478" s="14"/>
      <c r="BQ478" s="14"/>
      <c r="BR478" s="14"/>
      <c r="BS478" s="14"/>
      <c r="BT478" s="14"/>
      <c r="BU478" s="14"/>
      <c r="BV478" s="14"/>
      <c r="BW478" s="14"/>
      <c r="BX478" s="14"/>
      <c r="BY478" s="14"/>
      <c r="BZ478" s="14"/>
      <c r="CA478" s="14"/>
      <c r="CB478" s="14"/>
      <c r="CC478" s="14"/>
      <c r="CD478" s="14"/>
      <c r="CE478" s="14"/>
      <c r="CF478" s="14"/>
      <c r="CG478" s="14"/>
      <c r="CH478" s="14"/>
      <c r="CI478" s="14"/>
      <c r="CJ478" s="14"/>
      <c r="CK478" s="14"/>
      <c r="CL478" s="14"/>
      <c r="CT478" s="14"/>
      <c r="CW478" s="3"/>
      <c r="DG478" s="4"/>
    </row>
    <row r="479" customFormat="false" ht="11.25" hidden="false" customHeight="true" outlineLevel="0" collapsed="false">
      <c r="A479" s="14"/>
      <c r="B479" s="15"/>
      <c r="C479" s="15"/>
      <c r="D479" s="14"/>
      <c r="E479" s="14"/>
      <c r="F479" s="14"/>
      <c r="G479" s="14"/>
      <c r="H479" s="15"/>
      <c r="I479" s="15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  <c r="AY479" s="14"/>
      <c r="AZ479" s="14"/>
      <c r="BA479" s="14"/>
      <c r="BB479" s="14"/>
      <c r="BC479" s="14"/>
      <c r="BD479" s="14"/>
      <c r="BE479" s="14"/>
      <c r="BF479" s="14"/>
      <c r="BG479" s="14"/>
      <c r="BH479" s="14"/>
      <c r="BI479" s="14"/>
      <c r="BJ479" s="14"/>
      <c r="BK479" s="14"/>
      <c r="BL479" s="14"/>
      <c r="BM479" s="14"/>
      <c r="BN479" s="14"/>
      <c r="BO479" s="14"/>
      <c r="BP479" s="14"/>
      <c r="BQ479" s="14"/>
      <c r="BR479" s="14"/>
      <c r="BS479" s="14"/>
      <c r="BT479" s="14"/>
      <c r="BU479" s="14"/>
      <c r="BV479" s="14"/>
      <c r="BW479" s="14"/>
      <c r="BX479" s="14"/>
      <c r="BY479" s="14"/>
      <c r="BZ479" s="14"/>
      <c r="CA479" s="14"/>
      <c r="CB479" s="14"/>
      <c r="CC479" s="14"/>
      <c r="CD479" s="14"/>
      <c r="CE479" s="14"/>
      <c r="CF479" s="14"/>
      <c r="CG479" s="14"/>
      <c r="CH479" s="14"/>
      <c r="CI479" s="14"/>
      <c r="CJ479" s="14"/>
      <c r="CK479" s="14"/>
      <c r="CL479" s="14"/>
      <c r="CT479" s="14"/>
      <c r="CW479" s="3"/>
      <c r="DG479" s="4"/>
    </row>
    <row r="480" customFormat="false" ht="11.25" hidden="false" customHeight="true" outlineLevel="0" collapsed="false">
      <c r="A480" s="14"/>
      <c r="B480" s="15"/>
      <c r="C480" s="15"/>
      <c r="D480" s="14"/>
      <c r="E480" s="14"/>
      <c r="F480" s="14"/>
      <c r="G480" s="14"/>
      <c r="H480" s="15"/>
      <c r="I480" s="15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  <c r="AX480" s="14"/>
      <c r="AY480" s="14"/>
      <c r="AZ480" s="14"/>
      <c r="BA480" s="14"/>
      <c r="BB480" s="14"/>
      <c r="BC480" s="14"/>
      <c r="BD480" s="14"/>
      <c r="BE480" s="14"/>
      <c r="BF480" s="14"/>
      <c r="BG480" s="14"/>
      <c r="BH480" s="14"/>
      <c r="BI480" s="14"/>
      <c r="BJ480" s="14"/>
      <c r="BK480" s="14"/>
      <c r="BL480" s="14"/>
      <c r="BM480" s="14"/>
      <c r="BN480" s="14"/>
      <c r="BO480" s="14"/>
      <c r="BP480" s="14"/>
      <c r="BQ480" s="14"/>
      <c r="BR480" s="14"/>
      <c r="BS480" s="14"/>
      <c r="BT480" s="14"/>
      <c r="BU480" s="14"/>
      <c r="BV480" s="14"/>
      <c r="BW480" s="14"/>
      <c r="BX480" s="14"/>
      <c r="BY480" s="14"/>
      <c r="BZ480" s="14"/>
      <c r="CA480" s="14"/>
      <c r="CB480" s="14"/>
      <c r="CC480" s="14"/>
      <c r="CD480" s="14"/>
      <c r="CE480" s="14"/>
      <c r="CF480" s="14"/>
      <c r="CG480" s="14"/>
      <c r="CH480" s="14"/>
      <c r="CI480" s="14"/>
      <c r="CJ480" s="14"/>
      <c r="CK480" s="14"/>
      <c r="CL480" s="14"/>
      <c r="CT480" s="14"/>
      <c r="CW480" s="3"/>
      <c r="DG480" s="4"/>
    </row>
    <row r="481" customFormat="false" ht="11.25" hidden="false" customHeight="true" outlineLevel="0" collapsed="false">
      <c r="A481" s="14"/>
      <c r="B481" s="15"/>
      <c r="C481" s="15"/>
      <c r="D481" s="14"/>
      <c r="E481" s="14"/>
      <c r="F481" s="14"/>
      <c r="G481" s="14"/>
      <c r="H481" s="15"/>
      <c r="I481" s="15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  <c r="AZ481" s="14"/>
      <c r="BA481" s="14"/>
      <c r="BB481" s="14"/>
      <c r="BC481" s="14"/>
      <c r="BD481" s="14"/>
      <c r="BE481" s="14"/>
      <c r="BF481" s="14"/>
      <c r="BG481" s="14"/>
      <c r="BH481" s="14"/>
      <c r="BI481" s="14"/>
      <c r="BJ481" s="14"/>
      <c r="BK481" s="14"/>
      <c r="BL481" s="14"/>
      <c r="BM481" s="14"/>
      <c r="BN481" s="14"/>
      <c r="BO481" s="14"/>
      <c r="BP481" s="14"/>
      <c r="BQ481" s="14"/>
      <c r="BR481" s="14"/>
      <c r="BS481" s="14"/>
      <c r="BT481" s="14"/>
      <c r="BU481" s="14"/>
      <c r="BV481" s="14"/>
      <c r="BW481" s="14"/>
      <c r="BX481" s="14"/>
      <c r="BY481" s="14"/>
      <c r="BZ481" s="14"/>
      <c r="CA481" s="14"/>
      <c r="CB481" s="14"/>
      <c r="CC481" s="14"/>
      <c r="CD481" s="14"/>
      <c r="CE481" s="14"/>
      <c r="CF481" s="14"/>
      <c r="CG481" s="14"/>
      <c r="CH481" s="14"/>
      <c r="CI481" s="14"/>
      <c r="CJ481" s="14"/>
      <c r="CK481" s="14"/>
      <c r="CL481" s="14"/>
      <c r="CT481" s="14"/>
      <c r="CW481" s="3"/>
      <c r="DG481" s="4"/>
    </row>
    <row r="482" customFormat="false" ht="11.25" hidden="false" customHeight="true" outlineLevel="0" collapsed="false">
      <c r="A482" s="14"/>
      <c r="B482" s="15"/>
      <c r="C482" s="15"/>
      <c r="D482" s="14"/>
      <c r="E482" s="14"/>
      <c r="F482" s="14"/>
      <c r="G482" s="14"/>
      <c r="H482" s="15"/>
      <c r="I482" s="15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X482" s="14"/>
      <c r="AY482" s="14"/>
      <c r="AZ482" s="14"/>
      <c r="BA482" s="14"/>
      <c r="BB482" s="14"/>
      <c r="BC482" s="14"/>
      <c r="BD482" s="14"/>
      <c r="BE482" s="14"/>
      <c r="BF482" s="14"/>
      <c r="BG482" s="14"/>
      <c r="BH482" s="14"/>
      <c r="BI482" s="14"/>
      <c r="BJ482" s="14"/>
      <c r="BK482" s="14"/>
      <c r="BL482" s="14"/>
      <c r="BM482" s="14"/>
      <c r="BN482" s="14"/>
      <c r="BO482" s="14"/>
      <c r="BP482" s="14"/>
      <c r="BQ482" s="14"/>
      <c r="BR482" s="14"/>
      <c r="BS482" s="14"/>
      <c r="BT482" s="14"/>
      <c r="BU482" s="14"/>
      <c r="BV482" s="14"/>
      <c r="BW482" s="14"/>
      <c r="BX482" s="14"/>
      <c r="BY482" s="14"/>
      <c r="BZ482" s="14"/>
      <c r="CA482" s="14"/>
      <c r="CB482" s="14"/>
      <c r="CC482" s="14"/>
      <c r="CD482" s="14"/>
      <c r="CE482" s="14"/>
      <c r="CF482" s="14"/>
      <c r="CG482" s="14"/>
      <c r="CH482" s="14"/>
      <c r="CI482" s="14"/>
      <c r="CJ482" s="14"/>
      <c r="CK482" s="14"/>
      <c r="CL482" s="14"/>
      <c r="CT482" s="14"/>
      <c r="CW482" s="3"/>
      <c r="DG482" s="4"/>
    </row>
    <row r="483" customFormat="false" ht="11.25" hidden="false" customHeight="true" outlineLevel="0" collapsed="false">
      <c r="A483" s="14"/>
      <c r="B483" s="15"/>
      <c r="C483" s="15"/>
      <c r="D483" s="14"/>
      <c r="E483" s="14"/>
      <c r="F483" s="14"/>
      <c r="G483" s="14"/>
      <c r="H483" s="15"/>
      <c r="I483" s="15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  <c r="AY483" s="14"/>
      <c r="AZ483" s="14"/>
      <c r="BA483" s="14"/>
      <c r="BB483" s="14"/>
      <c r="BC483" s="14"/>
      <c r="BD483" s="14"/>
      <c r="BE483" s="14"/>
      <c r="BF483" s="14"/>
      <c r="BG483" s="14"/>
      <c r="BH483" s="14"/>
      <c r="BI483" s="14"/>
      <c r="BJ483" s="14"/>
      <c r="BK483" s="14"/>
      <c r="BL483" s="14"/>
      <c r="BM483" s="14"/>
      <c r="BN483" s="14"/>
      <c r="BO483" s="14"/>
      <c r="BP483" s="14"/>
      <c r="BQ483" s="14"/>
      <c r="BR483" s="14"/>
      <c r="BS483" s="14"/>
      <c r="BT483" s="14"/>
      <c r="BU483" s="14"/>
      <c r="BV483" s="14"/>
      <c r="BW483" s="14"/>
      <c r="BX483" s="14"/>
      <c r="BY483" s="14"/>
      <c r="BZ483" s="14"/>
      <c r="CA483" s="14"/>
      <c r="CB483" s="14"/>
      <c r="CC483" s="14"/>
      <c r="CD483" s="14"/>
      <c r="CE483" s="14"/>
      <c r="CF483" s="14"/>
      <c r="CG483" s="14"/>
      <c r="CH483" s="14"/>
      <c r="CI483" s="14"/>
      <c r="CJ483" s="14"/>
      <c r="CK483" s="14"/>
      <c r="CL483" s="14"/>
      <c r="CT483" s="14"/>
      <c r="CW483" s="3"/>
      <c r="DG483" s="4"/>
    </row>
    <row r="484" customFormat="false" ht="11.25" hidden="false" customHeight="true" outlineLevel="0" collapsed="false">
      <c r="A484" s="14"/>
      <c r="B484" s="15"/>
      <c r="C484" s="15"/>
      <c r="D484" s="14"/>
      <c r="E484" s="14"/>
      <c r="F484" s="14"/>
      <c r="G484" s="14"/>
      <c r="H484" s="15"/>
      <c r="I484" s="15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  <c r="AX484" s="14"/>
      <c r="AY484" s="14"/>
      <c r="AZ484" s="14"/>
      <c r="BA484" s="14"/>
      <c r="BB484" s="14"/>
      <c r="BC484" s="14"/>
      <c r="BD484" s="14"/>
      <c r="BE484" s="14"/>
      <c r="BF484" s="14"/>
      <c r="BG484" s="14"/>
      <c r="BH484" s="14"/>
      <c r="BI484" s="14"/>
      <c r="BJ484" s="14"/>
      <c r="BK484" s="14"/>
      <c r="BL484" s="14"/>
      <c r="BM484" s="14"/>
      <c r="BN484" s="14"/>
      <c r="BO484" s="14"/>
      <c r="BP484" s="14"/>
      <c r="BQ484" s="14"/>
      <c r="BR484" s="14"/>
      <c r="BS484" s="14"/>
      <c r="BT484" s="14"/>
      <c r="BU484" s="14"/>
      <c r="BV484" s="14"/>
      <c r="BW484" s="14"/>
      <c r="BX484" s="14"/>
      <c r="BY484" s="14"/>
      <c r="BZ484" s="14"/>
      <c r="CA484" s="14"/>
      <c r="CB484" s="14"/>
      <c r="CC484" s="14"/>
      <c r="CD484" s="14"/>
      <c r="CE484" s="14"/>
      <c r="CF484" s="14"/>
      <c r="CG484" s="14"/>
      <c r="CH484" s="14"/>
      <c r="CI484" s="14"/>
      <c r="CJ484" s="14"/>
      <c r="CK484" s="14"/>
      <c r="CL484" s="14"/>
      <c r="CT484" s="14"/>
      <c r="CW484" s="3"/>
      <c r="DG484" s="4"/>
    </row>
    <row r="485" customFormat="false" ht="11.25" hidden="false" customHeight="true" outlineLevel="0" collapsed="false">
      <c r="A485" s="14"/>
      <c r="B485" s="15"/>
      <c r="C485" s="15"/>
      <c r="D485" s="14"/>
      <c r="E485" s="14"/>
      <c r="F485" s="14"/>
      <c r="G485" s="14"/>
      <c r="H485" s="15"/>
      <c r="I485" s="15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  <c r="AY485" s="14"/>
      <c r="AZ485" s="14"/>
      <c r="BA485" s="14"/>
      <c r="BB485" s="14"/>
      <c r="BC485" s="14"/>
      <c r="BD485" s="14"/>
      <c r="BE485" s="14"/>
      <c r="BF485" s="14"/>
      <c r="BG485" s="14"/>
      <c r="BH485" s="14"/>
      <c r="BI485" s="14"/>
      <c r="BJ485" s="14"/>
      <c r="BK485" s="14"/>
      <c r="BL485" s="14"/>
      <c r="BM485" s="14"/>
      <c r="BN485" s="14"/>
      <c r="BO485" s="14"/>
      <c r="BP485" s="14"/>
      <c r="BQ485" s="14"/>
      <c r="BR485" s="14"/>
      <c r="BS485" s="14"/>
      <c r="BT485" s="14"/>
      <c r="BU485" s="14"/>
      <c r="BV485" s="14"/>
      <c r="BW485" s="14"/>
      <c r="BX485" s="14"/>
      <c r="BY485" s="14"/>
      <c r="BZ485" s="14"/>
      <c r="CA485" s="14"/>
      <c r="CB485" s="14"/>
      <c r="CC485" s="14"/>
      <c r="CD485" s="14"/>
      <c r="CE485" s="14"/>
      <c r="CF485" s="14"/>
      <c r="CG485" s="14"/>
      <c r="CH485" s="14"/>
      <c r="CI485" s="14"/>
      <c r="CJ485" s="14"/>
      <c r="CK485" s="14"/>
      <c r="CL485" s="14"/>
      <c r="CT485" s="14"/>
      <c r="CW485" s="3"/>
      <c r="DG485" s="4"/>
    </row>
    <row r="486" customFormat="false" ht="11.25" hidden="false" customHeight="true" outlineLevel="0" collapsed="false">
      <c r="A486" s="14"/>
      <c r="B486" s="15"/>
      <c r="C486" s="15"/>
      <c r="D486" s="14"/>
      <c r="E486" s="14"/>
      <c r="F486" s="14"/>
      <c r="G486" s="14"/>
      <c r="H486" s="15"/>
      <c r="I486" s="15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X486" s="14"/>
      <c r="AY486" s="14"/>
      <c r="AZ486" s="14"/>
      <c r="BA486" s="14"/>
      <c r="BB486" s="14"/>
      <c r="BC486" s="14"/>
      <c r="BD486" s="14"/>
      <c r="BE486" s="14"/>
      <c r="BF486" s="14"/>
      <c r="BG486" s="14"/>
      <c r="BH486" s="14"/>
      <c r="BI486" s="14"/>
      <c r="BJ486" s="14"/>
      <c r="BK486" s="14"/>
      <c r="BL486" s="14"/>
      <c r="BM486" s="14"/>
      <c r="BN486" s="14"/>
      <c r="BO486" s="14"/>
      <c r="BP486" s="14"/>
      <c r="BQ486" s="14"/>
      <c r="BR486" s="14"/>
      <c r="BS486" s="14"/>
      <c r="BT486" s="14"/>
      <c r="BU486" s="14"/>
      <c r="BV486" s="14"/>
      <c r="BW486" s="14"/>
      <c r="BX486" s="14"/>
      <c r="BY486" s="14"/>
      <c r="BZ486" s="14"/>
      <c r="CA486" s="14"/>
      <c r="CB486" s="14"/>
      <c r="CC486" s="14"/>
      <c r="CD486" s="14"/>
      <c r="CE486" s="14"/>
      <c r="CF486" s="14"/>
      <c r="CG486" s="14"/>
      <c r="CH486" s="14"/>
      <c r="CI486" s="14"/>
      <c r="CJ486" s="14"/>
      <c r="CK486" s="14"/>
      <c r="CL486" s="14"/>
      <c r="CT486" s="14"/>
      <c r="CW486" s="3"/>
      <c r="DG486" s="4"/>
    </row>
    <row r="487" customFormat="false" ht="11.25" hidden="false" customHeight="true" outlineLevel="0" collapsed="false">
      <c r="A487" s="14"/>
      <c r="B487" s="15"/>
      <c r="C487" s="15"/>
      <c r="D487" s="14"/>
      <c r="E487" s="14"/>
      <c r="F487" s="14"/>
      <c r="G487" s="14"/>
      <c r="H487" s="15"/>
      <c r="I487" s="15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  <c r="AY487" s="14"/>
      <c r="AZ487" s="14"/>
      <c r="BA487" s="14"/>
      <c r="BB487" s="14"/>
      <c r="BC487" s="14"/>
      <c r="BD487" s="14"/>
      <c r="BE487" s="14"/>
      <c r="BF487" s="14"/>
      <c r="BG487" s="14"/>
      <c r="BH487" s="14"/>
      <c r="BI487" s="14"/>
      <c r="BJ487" s="14"/>
      <c r="BK487" s="14"/>
      <c r="BL487" s="14"/>
      <c r="BM487" s="14"/>
      <c r="BN487" s="14"/>
      <c r="BO487" s="14"/>
      <c r="BP487" s="14"/>
      <c r="BQ487" s="14"/>
      <c r="BR487" s="14"/>
      <c r="BS487" s="14"/>
      <c r="BT487" s="14"/>
      <c r="BU487" s="14"/>
      <c r="BV487" s="14"/>
      <c r="BW487" s="14"/>
      <c r="BX487" s="14"/>
      <c r="BY487" s="14"/>
      <c r="BZ487" s="14"/>
      <c r="CA487" s="14"/>
      <c r="CB487" s="14"/>
      <c r="CC487" s="14"/>
      <c r="CD487" s="14"/>
      <c r="CE487" s="14"/>
      <c r="CF487" s="14"/>
      <c r="CG487" s="14"/>
      <c r="CH487" s="14"/>
      <c r="CI487" s="14"/>
      <c r="CJ487" s="14"/>
      <c r="CK487" s="14"/>
      <c r="CL487" s="14"/>
      <c r="CT487" s="14"/>
      <c r="CW487" s="3"/>
      <c r="DG487" s="4"/>
    </row>
    <row r="488" customFormat="false" ht="11.25" hidden="false" customHeight="true" outlineLevel="0" collapsed="false">
      <c r="A488" s="14"/>
      <c r="B488" s="15"/>
      <c r="C488" s="15"/>
      <c r="D488" s="14"/>
      <c r="E488" s="14"/>
      <c r="F488" s="14"/>
      <c r="G488" s="14"/>
      <c r="H488" s="15"/>
      <c r="I488" s="15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X488" s="14"/>
      <c r="AY488" s="14"/>
      <c r="AZ488" s="14"/>
      <c r="BA488" s="14"/>
      <c r="BB488" s="14"/>
      <c r="BC488" s="14"/>
      <c r="BD488" s="14"/>
      <c r="BE488" s="14"/>
      <c r="BF488" s="14"/>
      <c r="BG488" s="14"/>
      <c r="BH488" s="14"/>
      <c r="BI488" s="14"/>
      <c r="BJ488" s="14"/>
      <c r="BK488" s="14"/>
      <c r="BL488" s="14"/>
      <c r="BM488" s="14"/>
      <c r="BN488" s="14"/>
      <c r="BO488" s="14"/>
      <c r="BP488" s="14"/>
      <c r="BQ488" s="14"/>
      <c r="BR488" s="14"/>
      <c r="BS488" s="14"/>
      <c r="BT488" s="14"/>
      <c r="BU488" s="14"/>
      <c r="BV488" s="14"/>
      <c r="BW488" s="14"/>
      <c r="BX488" s="14"/>
      <c r="BY488" s="14"/>
      <c r="BZ488" s="14"/>
      <c r="CA488" s="14"/>
      <c r="CB488" s="14"/>
      <c r="CC488" s="14"/>
      <c r="CD488" s="14"/>
      <c r="CE488" s="14"/>
      <c r="CF488" s="14"/>
      <c r="CG488" s="14"/>
      <c r="CH488" s="14"/>
      <c r="CI488" s="14"/>
      <c r="CJ488" s="14"/>
      <c r="CK488" s="14"/>
      <c r="CL488" s="14"/>
      <c r="CT488" s="14"/>
      <c r="CW488" s="3"/>
      <c r="DG488" s="4"/>
    </row>
    <row r="489" customFormat="false" ht="11.25" hidden="false" customHeight="true" outlineLevel="0" collapsed="false">
      <c r="A489" s="14"/>
      <c r="B489" s="15"/>
      <c r="C489" s="15"/>
      <c r="D489" s="14"/>
      <c r="E489" s="14"/>
      <c r="F489" s="14"/>
      <c r="G489" s="14"/>
      <c r="H489" s="15"/>
      <c r="I489" s="15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  <c r="AY489" s="14"/>
      <c r="AZ489" s="14"/>
      <c r="BA489" s="14"/>
      <c r="BB489" s="14"/>
      <c r="BC489" s="14"/>
      <c r="BD489" s="14"/>
      <c r="BE489" s="14"/>
      <c r="BF489" s="14"/>
      <c r="BG489" s="14"/>
      <c r="BH489" s="14"/>
      <c r="BI489" s="14"/>
      <c r="BJ489" s="14"/>
      <c r="BK489" s="14"/>
      <c r="BL489" s="14"/>
      <c r="BM489" s="14"/>
      <c r="BN489" s="14"/>
      <c r="BO489" s="14"/>
      <c r="BP489" s="14"/>
      <c r="BQ489" s="14"/>
      <c r="BR489" s="14"/>
      <c r="BS489" s="14"/>
      <c r="BT489" s="14"/>
      <c r="BU489" s="14"/>
      <c r="BV489" s="14"/>
      <c r="BW489" s="14"/>
      <c r="BX489" s="14"/>
      <c r="BY489" s="14"/>
      <c r="BZ489" s="14"/>
      <c r="CA489" s="14"/>
      <c r="CB489" s="14"/>
      <c r="CC489" s="14"/>
      <c r="CD489" s="14"/>
      <c r="CE489" s="14"/>
      <c r="CF489" s="14"/>
      <c r="CG489" s="14"/>
      <c r="CH489" s="14"/>
      <c r="CI489" s="14"/>
      <c r="CJ489" s="14"/>
      <c r="CK489" s="14"/>
      <c r="CL489" s="14"/>
      <c r="CT489" s="14"/>
      <c r="CW489" s="3"/>
      <c r="DG489" s="4"/>
    </row>
    <row r="490" customFormat="false" ht="11.25" hidden="false" customHeight="true" outlineLevel="0" collapsed="false">
      <c r="A490" s="14"/>
      <c r="B490" s="15"/>
      <c r="C490" s="15"/>
      <c r="D490" s="14"/>
      <c r="E490" s="14"/>
      <c r="F490" s="14"/>
      <c r="G490" s="14"/>
      <c r="H490" s="15"/>
      <c r="I490" s="15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X490" s="14"/>
      <c r="AY490" s="14"/>
      <c r="AZ490" s="14"/>
      <c r="BA490" s="14"/>
      <c r="BB490" s="14"/>
      <c r="BC490" s="14"/>
      <c r="BD490" s="14"/>
      <c r="BE490" s="14"/>
      <c r="BF490" s="14"/>
      <c r="BG490" s="14"/>
      <c r="BH490" s="14"/>
      <c r="BI490" s="14"/>
      <c r="BJ490" s="14"/>
      <c r="BK490" s="14"/>
      <c r="BL490" s="14"/>
      <c r="BM490" s="14"/>
      <c r="BN490" s="14"/>
      <c r="BO490" s="14"/>
      <c r="BP490" s="14"/>
      <c r="BQ490" s="14"/>
      <c r="BR490" s="14"/>
      <c r="BS490" s="14"/>
      <c r="BT490" s="14"/>
      <c r="BU490" s="14"/>
      <c r="BV490" s="14"/>
      <c r="BW490" s="14"/>
      <c r="BX490" s="14"/>
      <c r="BY490" s="14"/>
      <c r="BZ490" s="14"/>
      <c r="CA490" s="14"/>
      <c r="CB490" s="14"/>
      <c r="CC490" s="14"/>
      <c r="CD490" s="14"/>
      <c r="CE490" s="14"/>
      <c r="CF490" s="14"/>
      <c r="CG490" s="14"/>
      <c r="CH490" s="14"/>
      <c r="CI490" s="14"/>
      <c r="CJ490" s="14"/>
      <c r="CK490" s="14"/>
      <c r="CL490" s="14"/>
      <c r="CT490" s="14"/>
      <c r="CW490" s="3"/>
      <c r="DG490" s="4"/>
    </row>
    <row r="491" customFormat="false" ht="11.25" hidden="false" customHeight="true" outlineLevel="0" collapsed="false">
      <c r="A491" s="14"/>
      <c r="B491" s="15"/>
      <c r="C491" s="15"/>
      <c r="D491" s="14"/>
      <c r="E491" s="14"/>
      <c r="F491" s="14"/>
      <c r="G491" s="14"/>
      <c r="H491" s="15"/>
      <c r="I491" s="15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  <c r="AY491" s="14"/>
      <c r="AZ491" s="14"/>
      <c r="BA491" s="14"/>
      <c r="BB491" s="14"/>
      <c r="BC491" s="14"/>
      <c r="BD491" s="14"/>
      <c r="BE491" s="14"/>
      <c r="BF491" s="14"/>
      <c r="BG491" s="14"/>
      <c r="BH491" s="14"/>
      <c r="BI491" s="14"/>
      <c r="BJ491" s="14"/>
      <c r="BK491" s="14"/>
      <c r="BL491" s="14"/>
      <c r="BM491" s="14"/>
      <c r="BN491" s="14"/>
      <c r="BO491" s="14"/>
      <c r="BP491" s="14"/>
      <c r="BQ491" s="14"/>
      <c r="BR491" s="14"/>
      <c r="BS491" s="14"/>
      <c r="BT491" s="14"/>
      <c r="BU491" s="14"/>
      <c r="BV491" s="14"/>
      <c r="BW491" s="14"/>
      <c r="BX491" s="14"/>
      <c r="BY491" s="14"/>
      <c r="BZ491" s="14"/>
      <c r="CA491" s="14"/>
      <c r="CB491" s="14"/>
      <c r="CC491" s="14"/>
      <c r="CD491" s="14"/>
      <c r="CE491" s="14"/>
      <c r="CF491" s="14"/>
      <c r="CG491" s="14"/>
      <c r="CH491" s="14"/>
      <c r="CI491" s="14"/>
      <c r="CJ491" s="14"/>
      <c r="CK491" s="14"/>
      <c r="CL491" s="14"/>
      <c r="CT491" s="14"/>
      <c r="CW491" s="3"/>
      <c r="DG491" s="4"/>
    </row>
    <row r="492" customFormat="false" ht="11.25" hidden="false" customHeight="true" outlineLevel="0" collapsed="false">
      <c r="A492" s="14"/>
      <c r="B492" s="15"/>
      <c r="C492" s="15"/>
      <c r="D492" s="14"/>
      <c r="E492" s="14"/>
      <c r="F492" s="14"/>
      <c r="G492" s="14"/>
      <c r="H492" s="15"/>
      <c r="I492" s="15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  <c r="AX492" s="14"/>
      <c r="AY492" s="14"/>
      <c r="AZ492" s="14"/>
      <c r="BA492" s="14"/>
      <c r="BB492" s="14"/>
      <c r="BC492" s="14"/>
      <c r="BD492" s="14"/>
      <c r="BE492" s="14"/>
      <c r="BF492" s="14"/>
      <c r="BG492" s="14"/>
      <c r="BH492" s="14"/>
      <c r="BI492" s="14"/>
      <c r="BJ492" s="14"/>
      <c r="BK492" s="14"/>
      <c r="BL492" s="14"/>
      <c r="BM492" s="14"/>
      <c r="BN492" s="14"/>
      <c r="BO492" s="14"/>
      <c r="BP492" s="14"/>
      <c r="BQ492" s="14"/>
      <c r="BR492" s="14"/>
      <c r="BS492" s="14"/>
      <c r="BT492" s="14"/>
      <c r="BU492" s="14"/>
      <c r="BV492" s="14"/>
      <c r="BW492" s="14"/>
      <c r="BX492" s="14"/>
      <c r="BY492" s="14"/>
      <c r="BZ492" s="14"/>
      <c r="CA492" s="14"/>
      <c r="CB492" s="14"/>
      <c r="CC492" s="14"/>
      <c r="CD492" s="14"/>
      <c r="CE492" s="14"/>
      <c r="CF492" s="14"/>
      <c r="CG492" s="14"/>
      <c r="CH492" s="14"/>
      <c r="CI492" s="14"/>
      <c r="CJ492" s="14"/>
      <c r="CK492" s="14"/>
      <c r="CL492" s="14"/>
      <c r="CT492" s="14"/>
      <c r="CW492" s="3"/>
      <c r="DG492" s="4"/>
    </row>
    <row r="493" customFormat="false" ht="11.25" hidden="false" customHeight="true" outlineLevel="0" collapsed="false">
      <c r="A493" s="14"/>
      <c r="B493" s="15"/>
      <c r="C493" s="15"/>
      <c r="D493" s="14"/>
      <c r="E493" s="14"/>
      <c r="F493" s="14"/>
      <c r="G493" s="14"/>
      <c r="H493" s="15"/>
      <c r="I493" s="15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  <c r="AY493" s="14"/>
      <c r="AZ493" s="14"/>
      <c r="BA493" s="14"/>
      <c r="BB493" s="14"/>
      <c r="BC493" s="14"/>
      <c r="BD493" s="14"/>
      <c r="BE493" s="14"/>
      <c r="BF493" s="14"/>
      <c r="BG493" s="14"/>
      <c r="BH493" s="14"/>
      <c r="BI493" s="14"/>
      <c r="BJ493" s="14"/>
      <c r="BK493" s="14"/>
      <c r="BL493" s="14"/>
      <c r="BM493" s="14"/>
      <c r="BN493" s="14"/>
      <c r="BO493" s="14"/>
      <c r="BP493" s="14"/>
      <c r="BQ493" s="14"/>
      <c r="BR493" s="14"/>
      <c r="BS493" s="14"/>
      <c r="BT493" s="14"/>
      <c r="BU493" s="14"/>
      <c r="BV493" s="14"/>
      <c r="BW493" s="14"/>
      <c r="BX493" s="14"/>
      <c r="BY493" s="14"/>
      <c r="BZ493" s="14"/>
      <c r="CA493" s="14"/>
      <c r="CB493" s="14"/>
      <c r="CC493" s="14"/>
      <c r="CD493" s="14"/>
      <c r="CE493" s="14"/>
      <c r="CF493" s="14"/>
      <c r="CG493" s="14"/>
      <c r="CH493" s="14"/>
      <c r="CI493" s="14"/>
      <c r="CJ493" s="14"/>
      <c r="CK493" s="14"/>
      <c r="CL493" s="14"/>
      <c r="CT493" s="14"/>
      <c r="CW493" s="3"/>
      <c r="DG493" s="4"/>
    </row>
    <row r="494" customFormat="false" ht="11.25" hidden="false" customHeight="true" outlineLevel="0" collapsed="false">
      <c r="A494" s="14"/>
      <c r="B494" s="15"/>
      <c r="C494" s="15"/>
      <c r="D494" s="14"/>
      <c r="E494" s="14"/>
      <c r="F494" s="14"/>
      <c r="G494" s="14"/>
      <c r="H494" s="15"/>
      <c r="I494" s="15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  <c r="AY494" s="14"/>
      <c r="AZ494" s="14"/>
      <c r="BA494" s="14"/>
      <c r="BB494" s="14"/>
      <c r="BC494" s="14"/>
      <c r="BD494" s="14"/>
      <c r="BE494" s="14"/>
      <c r="BF494" s="14"/>
      <c r="BG494" s="14"/>
      <c r="BH494" s="14"/>
      <c r="BI494" s="14"/>
      <c r="BJ494" s="14"/>
      <c r="BK494" s="14"/>
      <c r="BL494" s="14"/>
      <c r="BM494" s="14"/>
      <c r="BN494" s="14"/>
      <c r="BO494" s="14"/>
      <c r="BP494" s="14"/>
      <c r="BQ494" s="14"/>
      <c r="BR494" s="14"/>
      <c r="BS494" s="14"/>
      <c r="BT494" s="14"/>
      <c r="BU494" s="14"/>
      <c r="BV494" s="14"/>
      <c r="BW494" s="14"/>
      <c r="BX494" s="14"/>
      <c r="BY494" s="14"/>
      <c r="BZ494" s="14"/>
      <c r="CA494" s="14"/>
      <c r="CB494" s="14"/>
      <c r="CC494" s="14"/>
      <c r="CD494" s="14"/>
      <c r="CE494" s="14"/>
      <c r="CF494" s="14"/>
      <c r="CG494" s="14"/>
      <c r="CH494" s="14"/>
      <c r="CI494" s="14"/>
      <c r="CJ494" s="14"/>
      <c r="CK494" s="14"/>
      <c r="CL494" s="14"/>
      <c r="CT494" s="14"/>
      <c r="CW494" s="3"/>
      <c r="DG494" s="4"/>
    </row>
    <row r="495" customFormat="false" ht="11.25" hidden="false" customHeight="true" outlineLevel="0" collapsed="false">
      <c r="A495" s="14"/>
      <c r="B495" s="15"/>
      <c r="C495" s="15"/>
      <c r="D495" s="14"/>
      <c r="E495" s="14"/>
      <c r="F495" s="14"/>
      <c r="G495" s="14"/>
      <c r="H495" s="15"/>
      <c r="I495" s="15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  <c r="AY495" s="14"/>
      <c r="AZ495" s="14"/>
      <c r="BA495" s="14"/>
      <c r="BB495" s="14"/>
      <c r="BC495" s="14"/>
      <c r="BD495" s="14"/>
      <c r="BE495" s="14"/>
      <c r="BF495" s="14"/>
      <c r="BG495" s="14"/>
      <c r="BH495" s="14"/>
      <c r="BI495" s="14"/>
      <c r="BJ495" s="14"/>
      <c r="BK495" s="14"/>
      <c r="BL495" s="14"/>
      <c r="BM495" s="14"/>
      <c r="BN495" s="14"/>
      <c r="BO495" s="14"/>
      <c r="BP495" s="14"/>
      <c r="BQ495" s="14"/>
      <c r="BR495" s="14"/>
      <c r="BS495" s="14"/>
      <c r="BT495" s="14"/>
      <c r="BU495" s="14"/>
      <c r="BV495" s="14"/>
      <c r="BW495" s="14"/>
      <c r="BX495" s="14"/>
      <c r="BY495" s="14"/>
      <c r="BZ495" s="14"/>
      <c r="CA495" s="14"/>
      <c r="CB495" s="14"/>
      <c r="CC495" s="14"/>
      <c r="CD495" s="14"/>
      <c r="CE495" s="14"/>
      <c r="CF495" s="14"/>
      <c r="CG495" s="14"/>
      <c r="CH495" s="14"/>
      <c r="CI495" s="14"/>
      <c r="CJ495" s="14"/>
      <c r="CK495" s="14"/>
      <c r="CL495" s="14"/>
      <c r="CT495" s="14"/>
      <c r="CW495" s="3"/>
      <c r="DG495" s="4"/>
    </row>
    <row r="496" customFormat="false" ht="11.25" hidden="false" customHeight="true" outlineLevel="0" collapsed="false">
      <c r="A496" s="14"/>
      <c r="B496" s="15"/>
      <c r="C496" s="15"/>
      <c r="D496" s="14"/>
      <c r="E496" s="14"/>
      <c r="F496" s="14"/>
      <c r="G496" s="14"/>
      <c r="H496" s="15"/>
      <c r="I496" s="15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X496" s="14"/>
      <c r="AY496" s="14"/>
      <c r="AZ496" s="14"/>
      <c r="BA496" s="14"/>
      <c r="BB496" s="14"/>
      <c r="BC496" s="14"/>
      <c r="BD496" s="14"/>
      <c r="BE496" s="14"/>
      <c r="BF496" s="14"/>
      <c r="BG496" s="14"/>
      <c r="BH496" s="14"/>
      <c r="BI496" s="14"/>
      <c r="BJ496" s="14"/>
      <c r="BK496" s="14"/>
      <c r="BL496" s="14"/>
      <c r="BM496" s="14"/>
      <c r="BN496" s="14"/>
      <c r="BO496" s="14"/>
      <c r="BP496" s="14"/>
      <c r="BQ496" s="14"/>
      <c r="BR496" s="14"/>
      <c r="BS496" s="14"/>
      <c r="BT496" s="14"/>
      <c r="BU496" s="14"/>
      <c r="BV496" s="14"/>
      <c r="BW496" s="14"/>
      <c r="BX496" s="14"/>
      <c r="BY496" s="14"/>
      <c r="BZ496" s="14"/>
      <c r="CA496" s="14"/>
      <c r="CB496" s="14"/>
      <c r="CC496" s="14"/>
      <c r="CD496" s="14"/>
      <c r="CE496" s="14"/>
      <c r="CF496" s="14"/>
      <c r="CG496" s="14"/>
      <c r="CH496" s="14"/>
      <c r="CI496" s="14"/>
      <c r="CJ496" s="14"/>
      <c r="CK496" s="14"/>
      <c r="CL496" s="14"/>
      <c r="CT496" s="14"/>
      <c r="CW496" s="3"/>
      <c r="DG496" s="4"/>
    </row>
    <row r="497" customFormat="false" ht="11.25" hidden="false" customHeight="true" outlineLevel="0" collapsed="false">
      <c r="A497" s="14"/>
      <c r="B497" s="15"/>
      <c r="C497" s="15"/>
      <c r="D497" s="14"/>
      <c r="E497" s="14"/>
      <c r="F497" s="14"/>
      <c r="G497" s="14"/>
      <c r="H497" s="15"/>
      <c r="I497" s="15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  <c r="AY497" s="14"/>
      <c r="AZ497" s="14"/>
      <c r="BA497" s="14"/>
      <c r="BB497" s="14"/>
      <c r="BC497" s="14"/>
      <c r="BD497" s="14"/>
      <c r="BE497" s="14"/>
      <c r="BF497" s="14"/>
      <c r="BG497" s="14"/>
      <c r="BH497" s="14"/>
      <c r="BI497" s="14"/>
      <c r="BJ497" s="14"/>
      <c r="BK497" s="14"/>
      <c r="BL497" s="14"/>
      <c r="BM497" s="14"/>
      <c r="BN497" s="14"/>
      <c r="BO497" s="14"/>
      <c r="BP497" s="14"/>
      <c r="BQ497" s="14"/>
      <c r="BR497" s="14"/>
      <c r="BS497" s="14"/>
      <c r="BT497" s="14"/>
      <c r="BU497" s="14"/>
      <c r="BV497" s="14"/>
      <c r="BW497" s="14"/>
      <c r="BX497" s="14"/>
      <c r="BY497" s="14"/>
      <c r="BZ497" s="14"/>
      <c r="CA497" s="14"/>
      <c r="CB497" s="14"/>
      <c r="CC497" s="14"/>
      <c r="CD497" s="14"/>
      <c r="CE497" s="14"/>
      <c r="CF497" s="14"/>
      <c r="CG497" s="14"/>
      <c r="CH497" s="14"/>
      <c r="CI497" s="14"/>
      <c r="CJ497" s="14"/>
      <c r="CK497" s="14"/>
      <c r="CL497" s="14"/>
      <c r="CT497" s="14"/>
      <c r="CW497" s="3"/>
      <c r="DG497" s="4"/>
    </row>
    <row r="498" customFormat="false" ht="11.25" hidden="false" customHeight="true" outlineLevel="0" collapsed="false">
      <c r="A498" s="14"/>
      <c r="B498" s="15"/>
      <c r="C498" s="15"/>
      <c r="D498" s="14"/>
      <c r="E498" s="14"/>
      <c r="F498" s="14"/>
      <c r="G498" s="14"/>
      <c r="H498" s="15"/>
      <c r="I498" s="15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X498" s="14"/>
      <c r="AY498" s="14"/>
      <c r="AZ498" s="14"/>
      <c r="BA498" s="14"/>
      <c r="BB498" s="14"/>
      <c r="BC498" s="14"/>
      <c r="BD498" s="14"/>
      <c r="BE498" s="14"/>
      <c r="BF498" s="14"/>
      <c r="BG498" s="14"/>
      <c r="BH498" s="14"/>
      <c r="BI498" s="14"/>
      <c r="BJ498" s="14"/>
      <c r="BK498" s="14"/>
      <c r="BL498" s="14"/>
      <c r="BM498" s="14"/>
      <c r="BN498" s="14"/>
      <c r="BO498" s="14"/>
      <c r="BP498" s="14"/>
      <c r="BQ498" s="14"/>
      <c r="BR498" s="14"/>
      <c r="BS498" s="14"/>
      <c r="BT498" s="14"/>
      <c r="BU498" s="14"/>
      <c r="BV498" s="14"/>
      <c r="BW498" s="14"/>
      <c r="BX498" s="14"/>
      <c r="BY498" s="14"/>
      <c r="BZ498" s="14"/>
      <c r="CA498" s="14"/>
      <c r="CB498" s="14"/>
      <c r="CC498" s="14"/>
      <c r="CD498" s="14"/>
      <c r="CE498" s="14"/>
      <c r="CF498" s="14"/>
      <c r="CG498" s="14"/>
      <c r="CH498" s="14"/>
      <c r="CI498" s="14"/>
      <c r="CJ498" s="14"/>
      <c r="CK498" s="14"/>
      <c r="CL498" s="14"/>
      <c r="CT498" s="14"/>
      <c r="CW498" s="3"/>
      <c r="DG498" s="4"/>
    </row>
    <row r="499" customFormat="false" ht="11.25" hidden="false" customHeight="true" outlineLevel="0" collapsed="false">
      <c r="A499" s="14"/>
      <c r="B499" s="15"/>
      <c r="C499" s="15"/>
      <c r="D499" s="14"/>
      <c r="E499" s="14"/>
      <c r="F499" s="14"/>
      <c r="G499" s="14"/>
      <c r="H499" s="15"/>
      <c r="I499" s="15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  <c r="AY499" s="14"/>
      <c r="AZ499" s="14"/>
      <c r="BA499" s="14"/>
      <c r="BB499" s="14"/>
      <c r="BC499" s="14"/>
      <c r="BD499" s="14"/>
      <c r="BE499" s="14"/>
      <c r="BF499" s="14"/>
      <c r="BG499" s="14"/>
      <c r="BH499" s="14"/>
      <c r="BI499" s="14"/>
      <c r="BJ499" s="14"/>
      <c r="BK499" s="14"/>
      <c r="BL499" s="14"/>
      <c r="BM499" s="14"/>
      <c r="BN499" s="14"/>
      <c r="BO499" s="14"/>
      <c r="BP499" s="14"/>
      <c r="BQ499" s="14"/>
      <c r="BR499" s="14"/>
      <c r="BS499" s="14"/>
      <c r="BT499" s="14"/>
      <c r="BU499" s="14"/>
      <c r="BV499" s="14"/>
      <c r="BW499" s="14"/>
      <c r="BX499" s="14"/>
      <c r="BY499" s="14"/>
      <c r="BZ499" s="14"/>
      <c r="CA499" s="14"/>
      <c r="CB499" s="14"/>
      <c r="CC499" s="14"/>
      <c r="CD499" s="14"/>
      <c r="CE499" s="14"/>
      <c r="CF499" s="14"/>
      <c r="CG499" s="14"/>
      <c r="CH499" s="14"/>
      <c r="CI499" s="14"/>
      <c r="CJ499" s="14"/>
      <c r="CK499" s="14"/>
      <c r="CL499" s="14"/>
      <c r="CT499" s="14"/>
      <c r="CW499" s="3"/>
      <c r="DG499" s="4"/>
    </row>
    <row r="500" customFormat="false" ht="11.25" hidden="false" customHeight="true" outlineLevel="0" collapsed="false">
      <c r="A500" s="14"/>
      <c r="B500" s="15"/>
      <c r="C500" s="15"/>
      <c r="D500" s="14"/>
      <c r="E500" s="14"/>
      <c r="F500" s="14"/>
      <c r="G500" s="14"/>
      <c r="H500" s="15"/>
      <c r="I500" s="15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X500" s="14"/>
      <c r="AY500" s="14"/>
      <c r="AZ500" s="14"/>
      <c r="BA500" s="14"/>
      <c r="BB500" s="14"/>
      <c r="BC500" s="14"/>
      <c r="BD500" s="14"/>
      <c r="BE500" s="14"/>
      <c r="BF500" s="14"/>
      <c r="BG500" s="14"/>
      <c r="BH500" s="14"/>
      <c r="BI500" s="14"/>
      <c r="BJ500" s="14"/>
      <c r="BK500" s="14"/>
      <c r="BL500" s="14"/>
      <c r="BM500" s="14"/>
      <c r="BN500" s="14"/>
      <c r="BO500" s="14"/>
      <c r="BP500" s="14"/>
      <c r="BQ500" s="14"/>
      <c r="BR500" s="14"/>
      <c r="BS500" s="14"/>
      <c r="BT500" s="14"/>
      <c r="BU500" s="14"/>
      <c r="BV500" s="14"/>
      <c r="BW500" s="14"/>
      <c r="BX500" s="14"/>
      <c r="BY500" s="14"/>
      <c r="BZ500" s="14"/>
      <c r="CA500" s="14"/>
      <c r="CB500" s="14"/>
      <c r="CC500" s="14"/>
      <c r="CD500" s="14"/>
      <c r="CE500" s="14"/>
      <c r="CF500" s="14"/>
      <c r="CG500" s="14"/>
      <c r="CH500" s="14"/>
      <c r="CI500" s="14"/>
      <c r="CJ500" s="14"/>
      <c r="CK500" s="14"/>
      <c r="CL500" s="14"/>
      <c r="CT500" s="14"/>
      <c r="CW500" s="3"/>
      <c r="DG500" s="4"/>
    </row>
    <row r="501" customFormat="false" ht="11.25" hidden="false" customHeight="true" outlineLevel="0" collapsed="false">
      <c r="A501" s="14"/>
      <c r="B501" s="15"/>
      <c r="C501" s="15"/>
      <c r="D501" s="14"/>
      <c r="E501" s="14"/>
      <c r="F501" s="14"/>
      <c r="G501" s="14"/>
      <c r="H501" s="15"/>
      <c r="I501" s="15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X501" s="14"/>
      <c r="AY501" s="14"/>
      <c r="AZ501" s="14"/>
      <c r="BA501" s="14"/>
      <c r="BB501" s="14"/>
      <c r="BC501" s="14"/>
      <c r="BD501" s="14"/>
      <c r="BE501" s="14"/>
      <c r="BF501" s="14"/>
      <c r="BG501" s="14"/>
      <c r="BH501" s="14"/>
      <c r="BI501" s="14"/>
      <c r="BJ501" s="14"/>
      <c r="BK501" s="14"/>
      <c r="BL501" s="14"/>
      <c r="BM501" s="14"/>
      <c r="BN501" s="14"/>
      <c r="BO501" s="14"/>
      <c r="BP501" s="14"/>
      <c r="BQ501" s="14"/>
      <c r="BR501" s="14"/>
      <c r="BS501" s="14"/>
      <c r="BT501" s="14"/>
      <c r="BU501" s="14"/>
      <c r="BV501" s="14"/>
      <c r="BW501" s="14"/>
      <c r="BX501" s="14"/>
      <c r="BY501" s="14"/>
      <c r="BZ501" s="14"/>
      <c r="CA501" s="14"/>
      <c r="CB501" s="14"/>
      <c r="CC501" s="14"/>
      <c r="CD501" s="14"/>
      <c r="CE501" s="14"/>
      <c r="CF501" s="14"/>
      <c r="CG501" s="14"/>
      <c r="CH501" s="14"/>
      <c r="CI501" s="14"/>
      <c r="CJ501" s="14"/>
      <c r="CK501" s="14"/>
      <c r="CL501" s="14"/>
      <c r="CT501" s="14"/>
      <c r="CW501" s="3"/>
      <c r="DG501" s="4"/>
    </row>
    <row r="502" customFormat="false" ht="11.25" hidden="false" customHeight="true" outlineLevel="0" collapsed="false">
      <c r="A502" s="14"/>
      <c r="B502" s="15"/>
      <c r="C502" s="15"/>
      <c r="D502" s="14"/>
      <c r="E502" s="14"/>
      <c r="F502" s="14"/>
      <c r="G502" s="14"/>
      <c r="H502" s="15"/>
      <c r="I502" s="15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  <c r="AW502" s="14"/>
      <c r="AX502" s="14"/>
      <c r="AY502" s="14"/>
      <c r="AZ502" s="14"/>
      <c r="BA502" s="14"/>
      <c r="BB502" s="14"/>
      <c r="BC502" s="14"/>
      <c r="BD502" s="14"/>
      <c r="BE502" s="14"/>
      <c r="BF502" s="14"/>
      <c r="BG502" s="14"/>
      <c r="BH502" s="14"/>
      <c r="BI502" s="14"/>
      <c r="BJ502" s="14"/>
      <c r="BK502" s="14"/>
      <c r="BL502" s="14"/>
      <c r="BM502" s="14"/>
      <c r="BN502" s="14"/>
      <c r="BO502" s="14"/>
      <c r="BP502" s="14"/>
      <c r="BQ502" s="14"/>
      <c r="BR502" s="14"/>
      <c r="BS502" s="14"/>
      <c r="BT502" s="14"/>
      <c r="BU502" s="14"/>
      <c r="BV502" s="14"/>
      <c r="BW502" s="14"/>
      <c r="BX502" s="14"/>
      <c r="BY502" s="14"/>
      <c r="BZ502" s="14"/>
      <c r="CA502" s="14"/>
      <c r="CB502" s="14"/>
      <c r="CC502" s="14"/>
      <c r="CD502" s="14"/>
      <c r="CE502" s="14"/>
      <c r="CF502" s="14"/>
      <c r="CG502" s="14"/>
      <c r="CH502" s="14"/>
      <c r="CI502" s="14"/>
      <c r="CJ502" s="14"/>
      <c r="CK502" s="14"/>
      <c r="CL502" s="14"/>
      <c r="CT502" s="14"/>
      <c r="CW502" s="3"/>
      <c r="DG502" s="4"/>
    </row>
    <row r="503" customFormat="false" ht="11.25" hidden="false" customHeight="true" outlineLevel="0" collapsed="false">
      <c r="A503" s="14"/>
      <c r="B503" s="15"/>
      <c r="C503" s="15"/>
      <c r="D503" s="14"/>
      <c r="E503" s="14"/>
      <c r="F503" s="14"/>
      <c r="G503" s="14"/>
      <c r="H503" s="15"/>
      <c r="I503" s="15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X503" s="14"/>
      <c r="AY503" s="14"/>
      <c r="AZ503" s="14"/>
      <c r="BA503" s="14"/>
      <c r="BB503" s="14"/>
      <c r="BC503" s="14"/>
      <c r="BD503" s="14"/>
      <c r="BE503" s="14"/>
      <c r="BF503" s="14"/>
      <c r="BG503" s="14"/>
      <c r="BH503" s="14"/>
      <c r="BI503" s="14"/>
      <c r="BJ503" s="14"/>
      <c r="BK503" s="14"/>
      <c r="BL503" s="14"/>
      <c r="BM503" s="14"/>
      <c r="BN503" s="14"/>
      <c r="BO503" s="14"/>
      <c r="BP503" s="14"/>
      <c r="BQ503" s="14"/>
      <c r="BR503" s="14"/>
      <c r="BS503" s="14"/>
      <c r="BT503" s="14"/>
      <c r="BU503" s="14"/>
      <c r="BV503" s="14"/>
      <c r="BW503" s="14"/>
      <c r="BX503" s="14"/>
      <c r="BY503" s="14"/>
      <c r="BZ503" s="14"/>
      <c r="CA503" s="14"/>
      <c r="CB503" s="14"/>
      <c r="CC503" s="14"/>
      <c r="CD503" s="14"/>
      <c r="CE503" s="14"/>
      <c r="CF503" s="14"/>
      <c r="CG503" s="14"/>
      <c r="CH503" s="14"/>
      <c r="CI503" s="14"/>
      <c r="CJ503" s="14"/>
      <c r="CK503" s="14"/>
      <c r="CL503" s="14"/>
      <c r="CT503" s="14"/>
      <c r="CW503" s="3"/>
      <c r="DG503" s="4"/>
    </row>
    <row r="504" customFormat="false" ht="11.25" hidden="false" customHeight="true" outlineLevel="0" collapsed="false">
      <c r="A504" s="14"/>
      <c r="B504" s="15"/>
      <c r="C504" s="15"/>
      <c r="D504" s="14"/>
      <c r="E504" s="14"/>
      <c r="F504" s="14"/>
      <c r="G504" s="14"/>
      <c r="H504" s="15"/>
      <c r="I504" s="15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  <c r="AW504" s="14"/>
      <c r="AX504" s="14"/>
      <c r="AY504" s="14"/>
      <c r="AZ504" s="14"/>
      <c r="BA504" s="14"/>
      <c r="BB504" s="14"/>
      <c r="BC504" s="14"/>
      <c r="BD504" s="14"/>
      <c r="BE504" s="14"/>
      <c r="BF504" s="14"/>
      <c r="BG504" s="14"/>
      <c r="BH504" s="14"/>
      <c r="BI504" s="14"/>
      <c r="BJ504" s="14"/>
      <c r="BK504" s="14"/>
      <c r="BL504" s="14"/>
      <c r="BM504" s="14"/>
      <c r="BN504" s="14"/>
      <c r="BO504" s="14"/>
      <c r="BP504" s="14"/>
      <c r="BQ504" s="14"/>
      <c r="BR504" s="14"/>
      <c r="BS504" s="14"/>
      <c r="BT504" s="14"/>
      <c r="BU504" s="14"/>
      <c r="BV504" s="14"/>
      <c r="BW504" s="14"/>
      <c r="BX504" s="14"/>
      <c r="BY504" s="14"/>
      <c r="BZ504" s="14"/>
      <c r="CA504" s="14"/>
      <c r="CB504" s="14"/>
      <c r="CC504" s="14"/>
      <c r="CD504" s="14"/>
      <c r="CE504" s="14"/>
      <c r="CF504" s="14"/>
      <c r="CG504" s="14"/>
      <c r="CH504" s="14"/>
      <c r="CI504" s="14"/>
      <c r="CJ504" s="14"/>
      <c r="CK504" s="14"/>
      <c r="CL504" s="14"/>
      <c r="CT504" s="14"/>
      <c r="CW504" s="3"/>
      <c r="DG504" s="4"/>
    </row>
    <row r="505" customFormat="false" ht="11.25" hidden="false" customHeight="true" outlineLevel="0" collapsed="false">
      <c r="A505" s="14"/>
      <c r="B505" s="15"/>
      <c r="C505" s="15"/>
      <c r="D505" s="14"/>
      <c r="E505" s="14"/>
      <c r="F505" s="14"/>
      <c r="G505" s="14"/>
      <c r="H505" s="15"/>
      <c r="I505" s="15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X505" s="14"/>
      <c r="AY505" s="14"/>
      <c r="AZ505" s="14"/>
      <c r="BA505" s="14"/>
      <c r="BB505" s="14"/>
      <c r="BC505" s="14"/>
      <c r="BD505" s="14"/>
      <c r="BE505" s="14"/>
      <c r="BF505" s="14"/>
      <c r="BG505" s="14"/>
      <c r="BH505" s="14"/>
      <c r="BI505" s="14"/>
      <c r="BJ505" s="14"/>
      <c r="BK505" s="14"/>
      <c r="BL505" s="14"/>
      <c r="BM505" s="14"/>
      <c r="BN505" s="14"/>
      <c r="BO505" s="14"/>
      <c r="BP505" s="14"/>
      <c r="BQ505" s="14"/>
      <c r="BR505" s="14"/>
      <c r="BS505" s="14"/>
      <c r="BT505" s="14"/>
      <c r="BU505" s="14"/>
      <c r="BV505" s="14"/>
      <c r="BW505" s="14"/>
      <c r="BX505" s="14"/>
      <c r="BY505" s="14"/>
      <c r="BZ505" s="14"/>
      <c r="CA505" s="14"/>
      <c r="CB505" s="14"/>
      <c r="CC505" s="14"/>
      <c r="CD505" s="14"/>
      <c r="CE505" s="14"/>
      <c r="CF505" s="14"/>
      <c r="CG505" s="14"/>
      <c r="CH505" s="14"/>
      <c r="CI505" s="14"/>
      <c r="CJ505" s="14"/>
      <c r="CK505" s="14"/>
      <c r="CL505" s="14"/>
      <c r="CT505" s="14"/>
      <c r="CW505" s="3"/>
      <c r="DG505" s="4"/>
    </row>
    <row r="506" customFormat="false" ht="11.25" hidden="false" customHeight="true" outlineLevel="0" collapsed="false">
      <c r="A506" s="14"/>
      <c r="B506" s="15"/>
      <c r="C506" s="15"/>
      <c r="D506" s="14"/>
      <c r="E506" s="14"/>
      <c r="F506" s="14"/>
      <c r="G506" s="14"/>
      <c r="H506" s="15"/>
      <c r="I506" s="15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  <c r="AX506" s="14"/>
      <c r="AY506" s="14"/>
      <c r="AZ506" s="14"/>
      <c r="BA506" s="14"/>
      <c r="BB506" s="14"/>
      <c r="BC506" s="14"/>
      <c r="BD506" s="14"/>
      <c r="BE506" s="14"/>
      <c r="BF506" s="14"/>
      <c r="BG506" s="14"/>
      <c r="BH506" s="14"/>
      <c r="BI506" s="14"/>
      <c r="BJ506" s="14"/>
      <c r="BK506" s="14"/>
      <c r="BL506" s="14"/>
      <c r="BM506" s="14"/>
      <c r="BN506" s="14"/>
      <c r="BO506" s="14"/>
      <c r="BP506" s="14"/>
      <c r="BQ506" s="14"/>
      <c r="BR506" s="14"/>
      <c r="BS506" s="14"/>
      <c r="BT506" s="14"/>
      <c r="BU506" s="14"/>
      <c r="BV506" s="14"/>
      <c r="BW506" s="14"/>
      <c r="BX506" s="14"/>
      <c r="BY506" s="14"/>
      <c r="BZ506" s="14"/>
      <c r="CA506" s="14"/>
      <c r="CB506" s="14"/>
      <c r="CC506" s="14"/>
      <c r="CD506" s="14"/>
      <c r="CE506" s="14"/>
      <c r="CF506" s="14"/>
      <c r="CG506" s="14"/>
      <c r="CH506" s="14"/>
      <c r="CI506" s="14"/>
      <c r="CJ506" s="14"/>
      <c r="CK506" s="14"/>
      <c r="CL506" s="14"/>
      <c r="CT506" s="14"/>
      <c r="CW506" s="3"/>
      <c r="DG506" s="4"/>
    </row>
    <row r="507" customFormat="false" ht="11.25" hidden="false" customHeight="true" outlineLevel="0" collapsed="false">
      <c r="A507" s="14"/>
      <c r="B507" s="15"/>
      <c r="C507" s="15"/>
      <c r="D507" s="14"/>
      <c r="E507" s="14"/>
      <c r="F507" s="14"/>
      <c r="G507" s="14"/>
      <c r="H507" s="15"/>
      <c r="I507" s="15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X507" s="14"/>
      <c r="AY507" s="14"/>
      <c r="AZ507" s="14"/>
      <c r="BA507" s="14"/>
      <c r="BB507" s="14"/>
      <c r="BC507" s="14"/>
      <c r="BD507" s="14"/>
      <c r="BE507" s="14"/>
      <c r="BF507" s="14"/>
      <c r="BG507" s="14"/>
      <c r="BH507" s="14"/>
      <c r="BI507" s="14"/>
      <c r="BJ507" s="14"/>
      <c r="BK507" s="14"/>
      <c r="BL507" s="14"/>
      <c r="BM507" s="14"/>
      <c r="BN507" s="14"/>
      <c r="BO507" s="14"/>
      <c r="BP507" s="14"/>
      <c r="BQ507" s="14"/>
      <c r="BR507" s="14"/>
      <c r="BS507" s="14"/>
      <c r="BT507" s="14"/>
      <c r="BU507" s="14"/>
      <c r="BV507" s="14"/>
      <c r="BW507" s="14"/>
      <c r="BX507" s="14"/>
      <c r="BY507" s="14"/>
      <c r="BZ507" s="14"/>
      <c r="CA507" s="14"/>
      <c r="CB507" s="14"/>
      <c r="CC507" s="14"/>
      <c r="CD507" s="14"/>
      <c r="CE507" s="14"/>
      <c r="CF507" s="14"/>
      <c r="CG507" s="14"/>
      <c r="CH507" s="14"/>
      <c r="CI507" s="14"/>
      <c r="CJ507" s="14"/>
      <c r="CK507" s="14"/>
      <c r="CL507" s="14"/>
      <c r="CT507" s="14"/>
      <c r="CW507" s="3"/>
      <c r="DG507" s="4"/>
    </row>
    <row r="508" customFormat="false" ht="11.25" hidden="false" customHeight="true" outlineLevel="0" collapsed="false">
      <c r="A508" s="14"/>
      <c r="B508" s="15"/>
      <c r="C508" s="15"/>
      <c r="D508" s="14"/>
      <c r="E508" s="14"/>
      <c r="F508" s="14"/>
      <c r="G508" s="14"/>
      <c r="H508" s="15"/>
      <c r="I508" s="15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4"/>
      <c r="AX508" s="14"/>
      <c r="AY508" s="14"/>
      <c r="AZ508" s="14"/>
      <c r="BA508" s="14"/>
      <c r="BB508" s="14"/>
      <c r="BC508" s="14"/>
      <c r="BD508" s="14"/>
      <c r="BE508" s="14"/>
      <c r="BF508" s="14"/>
      <c r="BG508" s="14"/>
      <c r="BH508" s="14"/>
      <c r="BI508" s="14"/>
      <c r="BJ508" s="14"/>
      <c r="BK508" s="14"/>
      <c r="BL508" s="14"/>
      <c r="BM508" s="14"/>
      <c r="BN508" s="14"/>
      <c r="BO508" s="14"/>
      <c r="BP508" s="14"/>
      <c r="BQ508" s="14"/>
      <c r="BR508" s="14"/>
      <c r="BS508" s="14"/>
      <c r="BT508" s="14"/>
      <c r="BU508" s="14"/>
      <c r="BV508" s="14"/>
      <c r="BW508" s="14"/>
      <c r="BX508" s="14"/>
      <c r="BY508" s="14"/>
      <c r="BZ508" s="14"/>
      <c r="CA508" s="14"/>
      <c r="CB508" s="14"/>
      <c r="CC508" s="14"/>
      <c r="CD508" s="14"/>
      <c r="CE508" s="14"/>
      <c r="CF508" s="14"/>
      <c r="CG508" s="14"/>
      <c r="CH508" s="14"/>
      <c r="CI508" s="14"/>
      <c r="CJ508" s="14"/>
      <c r="CK508" s="14"/>
      <c r="CL508" s="14"/>
      <c r="CT508" s="14"/>
      <c r="CW508" s="3"/>
      <c r="DG508" s="4"/>
    </row>
    <row r="509" customFormat="false" ht="11.25" hidden="false" customHeight="true" outlineLevel="0" collapsed="false">
      <c r="A509" s="14"/>
      <c r="B509" s="15"/>
      <c r="C509" s="15"/>
      <c r="D509" s="14"/>
      <c r="E509" s="14"/>
      <c r="F509" s="14"/>
      <c r="G509" s="14"/>
      <c r="H509" s="15"/>
      <c r="I509" s="15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  <c r="AX509" s="14"/>
      <c r="AY509" s="14"/>
      <c r="AZ509" s="14"/>
      <c r="BA509" s="14"/>
      <c r="BB509" s="14"/>
      <c r="BC509" s="14"/>
      <c r="BD509" s="14"/>
      <c r="BE509" s="14"/>
      <c r="BF509" s="14"/>
      <c r="BG509" s="14"/>
      <c r="BH509" s="14"/>
      <c r="BI509" s="14"/>
      <c r="BJ509" s="14"/>
      <c r="BK509" s="14"/>
      <c r="BL509" s="14"/>
      <c r="BM509" s="14"/>
      <c r="BN509" s="14"/>
      <c r="BO509" s="14"/>
      <c r="BP509" s="14"/>
      <c r="BQ509" s="14"/>
      <c r="BR509" s="14"/>
      <c r="BS509" s="14"/>
      <c r="BT509" s="14"/>
      <c r="BU509" s="14"/>
      <c r="BV509" s="14"/>
      <c r="BW509" s="14"/>
      <c r="BX509" s="14"/>
      <c r="BY509" s="14"/>
      <c r="BZ509" s="14"/>
      <c r="CA509" s="14"/>
      <c r="CB509" s="14"/>
      <c r="CC509" s="14"/>
      <c r="CD509" s="14"/>
      <c r="CE509" s="14"/>
      <c r="CF509" s="14"/>
      <c r="CG509" s="14"/>
      <c r="CH509" s="14"/>
      <c r="CI509" s="14"/>
      <c r="CJ509" s="14"/>
      <c r="CK509" s="14"/>
      <c r="CL509" s="14"/>
      <c r="CT509" s="14"/>
      <c r="CW509" s="3"/>
      <c r="DG509" s="4"/>
    </row>
    <row r="510" customFormat="false" ht="11.25" hidden="false" customHeight="true" outlineLevel="0" collapsed="false">
      <c r="A510" s="14"/>
      <c r="B510" s="15"/>
      <c r="C510" s="15"/>
      <c r="D510" s="14"/>
      <c r="E510" s="14"/>
      <c r="F510" s="14"/>
      <c r="G510" s="14"/>
      <c r="H510" s="15"/>
      <c r="I510" s="15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4"/>
      <c r="AX510" s="14"/>
      <c r="AY510" s="14"/>
      <c r="AZ510" s="14"/>
      <c r="BA510" s="14"/>
      <c r="BB510" s="14"/>
      <c r="BC510" s="14"/>
      <c r="BD510" s="14"/>
      <c r="BE510" s="14"/>
      <c r="BF510" s="14"/>
      <c r="BG510" s="14"/>
      <c r="BH510" s="14"/>
      <c r="BI510" s="14"/>
      <c r="BJ510" s="14"/>
      <c r="BK510" s="14"/>
      <c r="BL510" s="14"/>
      <c r="BM510" s="14"/>
      <c r="BN510" s="14"/>
      <c r="BO510" s="14"/>
      <c r="BP510" s="14"/>
      <c r="BQ510" s="14"/>
      <c r="BR510" s="14"/>
      <c r="BS510" s="14"/>
      <c r="BT510" s="14"/>
      <c r="BU510" s="14"/>
      <c r="BV510" s="14"/>
      <c r="BW510" s="14"/>
      <c r="BX510" s="14"/>
      <c r="BY510" s="14"/>
      <c r="BZ510" s="14"/>
      <c r="CA510" s="14"/>
      <c r="CB510" s="14"/>
      <c r="CC510" s="14"/>
      <c r="CD510" s="14"/>
      <c r="CE510" s="14"/>
      <c r="CF510" s="14"/>
      <c r="CG510" s="14"/>
      <c r="CH510" s="14"/>
      <c r="CI510" s="14"/>
      <c r="CJ510" s="14"/>
      <c r="CK510" s="14"/>
      <c r="CL510" s="14"/>
      <c r="CT510" s="14"/>
      <c r="CW510" s="3"/>
      <c r="DG510" s="4"/>
    </row>
    <row r="511" customFormat="false" ht="11.25" hidden="false" customHeight="true" outlineLevel="0" collapsed="false">
      <c r="A511" s="14"/>
      <c r="B511" s="15"/>
      <c r="C511" s="15"/>
      <c r="D511" s="14"/>
      <c r="E511" s="14"/>
      <c r="F511" s="14"/>
      <c r="G511" s="14"/>
      <c r="H511" s="15"/>
      <c r="I511" s="15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X511" s="14"/>
      <c r="AY511" s="14"/>
      <c r="AZ511" s="14"/>
      <c r="BA511" s="14"/>
      <c r="BB511" s="14"/>
      <c r="BC511" s="14"/>
      <c r="BD511" s="14"/>
      <c r="BE511" s="14"/>
      <c r="BF511" s="14"/>
      <c r="BG511" s="14"/>
      <c r="BH511" s="14"/>
      <c r="BI511" s="14"/>
      <c r="BJ511" s="14"/>
      <c r="BK511" s="14"/>
      <c r="BL511" s="14"/>
      <c r="BM511" s="14"/>
      <c r="BN511" s="14"/>
      <c r="BO511" s="14"/>
      <c r="BP511" s="14"/>
      <c r="BQ511" s="14"/>
      <c r="BR511" s="14"/>
      <c r="BS511" s="14"/>
      <c r="BT511" s="14"/>
      <c r="BU511" s="14"/>
      <c r="BV511" s="14"/>
      <c r="BW511" s="14"/>
      <c r="BX511" s="14"/>
      <c r="BY511" s="14"/>
      <c r="BZ511" s="14"/>
      <c r="CA511" s="14"/>
      <c r="CB511" s="14"/>
      <c r="CC511" s="14"/>
      <c r="CD511" s="14"/>
      <c r="CE511" s="14"/>
      <c r="CF511" s="14"/>
      <c r="CG511" s="14"/>
      <c r="CH511" s="14"/>
      <c r="CI511" s="14"/>
      <c r="CJ511" s="14"/>
      <c r="CK511" s="14"/>
      <c r="CL511" s="14"/>
      <c r="CT511" s="14"/>
      <c r="CW511" s="3"/>
      <c r="DG511" s="4"/>
    </row>
    <row r="512" customFormat="false" ht="11.25" hidden="false" customHeight="true" outlineLevel="0" collapsed="false">
      <c r="A512" s="14"/>
      <c r="B512" s="15"/>
      <c r="C512" s="15"/>
      <c r="D512" s="14"/>
      <c r="E512" s="14"/>
      <c r="F512" s="14"/>
      <c r="G512" s="14"/>
      <c r="H512" s="15"/>
      <c r="I512" s="15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14"/>
      <c r="AX512" s="14"/>
      <c r="AY512" s="14"/>
      <c r="AZ512" s="14"/>
      <c r="BA512" s="14"/>
      <c r="BB512" s="14"/>
      <c r="BC512" s="14"/>
      <c r="BD512" s="14"/>
      <c r="BE512" s="14"/>
      <c r="BF512" s="14"/>
      <c r="BG512" s="14"/>
      <c r="BH512" s="14"/>
      <c r="BI512" s="14"/>
      <c r="BJ512" s="14"/>
      <c r="BK512" s="14"/>
      <c r="BL512" s="14"/>
      <c r="BM512" s="14"/>
      <c r="BN512" s="14"/>
      <c r="BO512" s="14"/>
      <c r="BP512" s="14"/>
      <c r="BQ512" s="14"/>
      <c r="BR512" s="14"/>
      <c r="BS512" s="14"/>
      <c r="BT512" s="14"/>
      <c r="BU512" s="14"/>
      <c r="BV512" s="14"/>
      <c r="BW512" s="14"/>
      <c r="BX512" s="14"/>
      <c r="BY512" s="14"/>
      <c r="BZ512" s="14"/>
      <c r="CA512" s="14"/>
      <c r="CB512" s="14"/>
      <c r="CC512" s="14"/>
      <c r="CD512" s="14"/>
      <c r="CE512" s="14"/>
      <c r="CF512" s="14"/>
      <c r="CG512" s="14"/>
      <c r="CH512" s="14"/>
      <c r="CI512" s="14"/>
      <c r="CJ512" s="14"/>
      <c r="CK512" s="14"/>
      <c r="CL512" s="14"/>
      <c r="CT512" s="14"/>
      <c r="CW512" s="3"/>
      <c r="DG512" s="4"/>
    </row>
    <row r="513" customFormat="false" ht="11.25" hidden="false" customHeight="true" outlineLevel="0" collapsed="false">
      <c r="A513" s="14"/>
      <c r="B513" s="15"/>
      <c r="C513" s="15"/>
      <c r="D513" s="14"/>
      <c r="E513" s="14"/>
      <c r="F513" s="14"/>
      <c r="G513" s="14"/>
      <c r="H513" s="15"/>
      <c r="I513" s="15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X513" s="14"/>
      <c r="AY513" s="14"/>
      <c r="AZ513" s="14"/>
      <c r="BA513" s="14"/>
      <c r="BB513" s="14"/>
      <c r="BC513" s="14"/>
      <c r="BD513" s="14"/>
      <c r="BE513" s="14"/>
      <c r="BF513" s="14"/>
      <c r="BG513" s="14"/>
      <c r="BH513" s="14"/>
      <c r="BI513" s="14"/>
      <c r="BJ513" s="14"/>
      <c r="BK513" s="14"/>
      <c r="BL513" s="14"/>
      <c r="BM513" s="14"/>
      <c r="BN513" s="14"/>
      <c r="BO513" s="14"/>
      <c r="BP513" s="14"/>
      <c r="BQ513" s="14"/>
      <c r="BR513" s="14"/>
      <c r="BS513" s="14"/>
      <c r="BT513" s="14"/>
      <c r="BU513" s="14"/>
      <c r="BV513" s="14"/>
      <c r="BW513" s="14"/>
      <c r="BX513" s="14"/>
      <c r="BY513" s="14"/>
      <c r="BZ513" s="14"/>
      <c r="CA513" s="14"/>
      <c r="CB513" s="14"/>
      <c r="CC513" s="14"/>
      <c r="CD513" s="14"/>
      <c r="CE513" s="14"/>
      <c r="CF513" s="14"/>
      <c r="CG513" s="14"/>
      <c r="CH513" s="14"/>
      <c r="CI513" s="14"/>
      <c r="CJ513" s="14"/>
      <c r="CK513" s="14"/>
      <c r="CL513" s="14"/>
      <c r="CT513" s="14"/>
      <c r="CW513" s="3"/>
      <c r="DG513" s="4"/>
    </row>
    <row r="514" customFormat="false" ht="11.25" hidden="false" customHeight="true" outlineLevel="0" collapsed="false">
      <c r="A514" s="14"/>
      <c r="B514" s="15"/>
      <c r="C514" s="15"/>
      <c r="D514" s="14"/>
      <c r="E514" s="14"/>
      <c r="F514" s="14"/>
      <c r="G514" s="14"/>
      <c r="H514" s="15"/>
      <c r="I514" s="15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14"/>
      <c r="AX514" s="14"/>
      <c r="AY514" s="14"/>
      <c r="AZ514" s="14"/>
      <c r="BA514" s="14"/>
      <c r="BB514" s="14"/>
      <c r="BC514" s="14"/>
      <c r="BD514" s="14"/>
      <c r="BE514" s="14"/>
      <c r="BF514" s="14"/>
      <c r="BG514" s="14"/>
      <c r="BH514" s="14"/>
      <c r="BI514" s="14"/>
      <c r="BJ514" s="14"/>
      <c r="BK514" s="14"/>
      <c r="BL514" s="14"/>
      <c r="BM514" s="14"/>
      <c r="BN514" s="14"/>
      <c r="BO514" s="14"/>
      <c r="BP514" s="14"/>
      <c r="BQ514" s="14"/>
      <c r="BR514" s="14"/>
      <c r="BS514" s="14"/>
      <c r="BT514" s="14"/>
      <c r="BU514" s="14"/>
      <c r="BV514" s="14"/>
      <c r="BW514" s="14"/>
      <c r="BX514" s="14"/>
      <c r="BY514" s="14"/>
      <c r="BZ514" s="14"/>
      <c r="CA514" s="14"/>
      <c r="CB514" s="14"/>
      <c r="CC514" s="14"/>
      <c r="CD514" s="14"/>
      <c r="CE514" s="14"/>
      <c r="CF514" s="14"/>
      <c r="CG514" s="14"/>
      <c r="CH514" s="14"/>
      <c r="CI514" s="14"/>
      <c r="CJ514" s="14"/>
      <c r="CK514" s="14"/>
      <c r="CL514" s="14"/>
      <c r="CT514" s="14"/>
      <c r="CW514" s="3"/>
      <c r="DG514" s="4"/>
    </row>
    <row r="515" customFormat="false" ht="11.25" hidden="false" customHeight="true" outlineLevel="0" collapsed="false">
      <c r="A515" s="14"/>
      <c r="B515" s="15"/>
      <c r="C515" s="15"/>
      <c r="D515" s="14"/>
      <c r="E515" s="14"/>
      <c r="F515" s="14"/>
      <c r="G515" s="14"/>
      <c r="H515" s="15"/>
      <c r="I515" s="15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  <c r="AX515" s="14"/>
      <c r="AY515" s="14"/>
      <c r="AZ515" s="14"/>
      <c r="BA515" s="14"/>
      <c r="BB515" s="14"/>
      <c r="BC515" s="14"/>
      <c r="BD515" s="14"/>
      <c r="BE515" s="14"/>
      <c r="BF515" s="14"/>
      <c r="BG515" s="14"/>
      <c r="BH515" s="14"/>
      <c r="BI515" s="14"/>
      <c r="BJ515" s="14"/>
      <c r="BK515" s="14"/>
      <c r="BL515" s="14"/>
      <c r="BM515" s="14"/>
      <c r="BN515" s="14"/>
      <c r="BO515" s="14"/>
      <c r="BP515" s="14"/>
      <c r="BQ515" s="14"/>
      <c r="BR515" s="14"/>
      <c r="BS515" s="14"/>
      <c r="BT515" s="14"/>
      <c r="BU515" s="14"/>
      <c r="BV515" s="14"/>
      <c r="BW515" s="14"/>
      <c r="BX515" s="14"/>
      <c r="BY515" s="14"/>
      <c r="BZ515" s="14"/>
      <c r="CA515" s="14"/>
      <c r="CB515" s="14"/>
      <c r="CC515" s="14"/>
      <c r="CD515" s="14"/>
      <c r="CE515" s="14"/>
      <c r="CF515" s="14"/>
      <c r="CG515" s="14"/>
      <c r="CH515" s="14"/>
      <c r="CI515" s="14"/>
      <c r="CJ515" s="14"/>
      <c r="CK515" s="14"/>
      <c r="CL515" s="14"/>
      <c r="CT515" s="14"/>
      <c r="CW515" s="3"/>
      <c r="DG515" s="4"/>
    </row>
    <row r="516" customFormat="false" ht="11.25" hidden="false" customHeight="true" outlineLevel="0" collapsed="false">
      <c r="A516" s="14"/>
      <c r="B516" s="15"/>
      <c r="C516" s="15"/>
      <c r="D516" s="14"/>
      <c r="E516" s="14"/>
      <c r="F516" s="14"/>
      <c r="G516" s="14"/>
      <c r="H516" s="15"/>
      <c r="I516" s="15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14"/>
      <c r="AX516" s="14"/>
      <c r="AY516" s="14"/>
      <c r="AZ516" s="14"/>
      <c r="BA516" s="14"/>
      <c r="BB516" s="14"/>
      <c r="BC516" s="14"/>
      <c r="BD516" s="14"/>
      <c r="BE516" s="14"/>
      <c r="BF516" s="14"/>
      <c r="BG516" s="14"/>
      <c r="BH516" s="14"/>
      <c r="BI516" s="14"/>
      <c r="BJ516" s="14"/>
      <c r="BK516" s="14"/>
      <c r="BL516" s="14"/>
      <c r="BM516" s="14"/>
      <c r="BN516" s="14"/>
      <c r="BO516" s="14"/>
      <c r="BP516" s="14"/>
      <c r="BQ516" s="14"/>
      <c r="BR516" s="14"/>
      <c r="BS516" s="14"/>
      <c r="BT516" s="14"/>
      <c r="BU516" s="14"/>
      <c r="BV516" s="14"/>
      <c r="BW516" s="14"/>
      <c r="BX516" s="14"/>
      <c r="BY516" s="14"/>
      <c r="BZ516" s="14"/>
      <c r="CA516" s="14"/>
      <c r="CB516" s="14"/>
      <c r="CC516" s="14"/>
      <c r="CD516" s="14"/>
      <c r="CE516" s="14"/>
      <c r="CF516" s="14"/>
      <c r="CG516" s="14"/>
      <c r="CH516" s="14"/>
      <c r="CI516" s="14"/>
      <c r="CJ516" s="14"/>
      <c r="CK516" s="14"/>
      <c r="CL516" s="14"/>
      <c r="CT516" s="14"/>
      <c r="CW516" s="3"/>
      <c r="DG516" s="4"/>
    </row>
    <row r="517" customFormat="false" ht="11.25" hidden="false" customHeight="true" outlineLevel="0" collapsed="false">
      <c r="A517" s="14"/>
      <c r="B517" s="15"/>
      <c r="C517" s="15"/>
      <c r="D517" s="14"/>
      <c r="E517" s="14"/>
      <c r="F517" s="14"/>
      <c r="G517" s="14"/>
      <c r="H517" s="15"/>
      <c r="I517" s="15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  <c r="AX517" s="14"/>
      <c r="AY517" s="14"/>
      <c r="AZ517" s="14"/>
      <c r="BA517" s="14"/>
      <c r="BB517" s="14"/>
      <c r="BC517" s="14"/>
      <c r="BD517" s="14"/>
      <c r="BE517" s="14"/>
      <c r="BF517" s="14"/>
      <c r="BG517" s="14"/>
      <c r="BH517" s="14"/>
      <c r="BI517" s="14"/>
      <c r="BJ517" s="14"/>
      <c r="BK517" s="14"/>
      <c r="BL517" s="14"/>
      <c r="BM517" s="14"/>
      <c r="BN517" s="14"/>
      <c r="BO517" s="14"/>
      <c r="BP517" s="14"/>
      <c r="BQ517" s="14"/>
      <c r="BR517" s="14"/>
      <c r="BS517" s="14"/>
      <c r="BT517" s="14"/>
      <c r="BU517" s="14"/>
      <c r="BV517" s="14"/>
      <c r="BW517" s="14"/>
      <c r="BX517" s="14"/>
      <c r="BY517" s="14"/>
      <c r="BZ517" s="14"/>
      <c r="CA517" s="14"/>
      <c r="CB517" s="14"/>
      <c r="CC517" s="14"/>
      <c r="CD517" s="14"/>
      <c r="CE517" s="14"/>
      <c r="CF517" s="14"/>
      <c r="CG517" s="14"/>
      <c r="CH517" s="14"/>
      <c r="CI517" s="14"/>
      <c r="CJ517" s="14"/>
      <c r="CK517" s="14"/>
      <c r="CL517" s="14"/>
      <c r="CT517" s="14"/>
      <c r="CW517" s="3"/>
      <c r="DG517" s="4"/>
    </row>
    <row r="518" customFormat="false" ht="11.25" hidden="false" customHeight="true" outlineLevel="0" collapsed="false">
      <c r="A518" s="14"/>
      <c r="B518" s="15"/>
      <c r="C518" s="15"/>
      <c r="D518" s="14"/>
      <c r="E518" s="14"/>
      <c r="F518" s="14"/>
      <c r="G518" s="14"/>
      <c r="H518" s="15"/>
      <c r="I518" s="15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4"/>
      <c r="AX518" s="14"/>
      <c r="AY518" s="14"/>
      <c r="AZ518" s="14"/>
      <c r="BA518" s="14"/>
      <c r="BB518" s="14"/>
      <c r="BC518" s="14"/>
      <c r="BD518" s="14"/>
      <c r="BE518" s="14"/>
      <c r="BF518" s="14"/>
      <c r="BG518" s="14"/>
      <c r="BH518" s="14"/>
      <c r="BI518" s="14"/>
      <c r="BJ518" s="14"/>
      <c r="BK518" s="14"/>
      <c r="BL518" s="14"/>
      <c r="BM518" s="14"/>
      <c r="BN518" s="14"/>
      <c r="BO518" s="14"/>
      <c r="BP518" s="14"/>
      <c r="BQ518" s="14"/>
      <c r="BR518" s="14"/>
      <c r="BS518" s="14"/>
      <c r="BT518" s="14"/>
      <c r="BU518" s="14"/>
      <c r="BV518" s="14"/>
      <c r="BW518" s="14"/>
      <c r="BX518" s="14"/>
      <c r="BY518" s="14"/>
      <c r="BZ518" s="14"/>
      <c r="CA518" s="14"/>
      <c r="CB518" s="14"/>
      <c r="CC518" s="14"/>
      <c r="CD518" s="14"/>
      <c r="CE518" s="14"/>
      <c r="CF518" s="14"/>
      <c r="CG518" s="14"/>
      <c r="CH518" s="14"/>
      <c r="CI518" s="14"/>
      <c r="CJ518" s="14"/>
      <c r="CK518" s="14"/>
      <c r="CL518" s="14"/>
      <c r="CT518" s="14"/>
      <c r="CW518" s="3"/>
      <c r="DG518" s="4"/>
    </row>
    <row r="519" customFormat="false" ht="11.25" hidden="false" customHeight="true" outlineLevel="0" collapsed="false">
      <c r="A519" s="14"/>
      <c r="B519" s="15"/>
      <c r="C519" s="15"/>
      <c r="D519" s="14"/>
      <c r="E519" s="14"/>
      <c r="F519" s="14"/>
      <c r="G519" s="14"/>
      <c r="H519" s="15"/>
      <c r="I519" s="15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4"/>
      <c r="AX519" s="14"/>
      <c r="AY519" s="14"/>
      <c r="AZ519" s="14"/>
      <c r="BA519" s="14"/>
      <c r="BB519" s="14"/>
      <c r="BC519" s="14"/>
      <c r="BD519" s="14"/>
      <c r="BE519" s="14"/>
      <c r="BF519" s="14"/>
      <c r="BG519" s="14"/>
      <c r="BH519" s="14"/>
      <c r="BI519" s="14"/>
      <c r="BJ519" s="14"/>
      <c r="BK519" s="14"/>
      <c r="BL519" s="14"/>
      <c r="BM519" s="14"/>
      <c r="BN519" s="14"/>
      <c r="BO519" s="14"/>
      <c r="BP519" s="14"/>
      <c r="BQ519" s="14"/>
      <c r="BR519" s="14"/>
      <c r="BS519" s="14"/>
      <c r="BT519" s="14"/>
      <c r="BU519" s="14"/>
      <c r="BV519" s="14"/>
      <c r="BW519" s="14"/>
      <c r="BX519" s="14"/>
      <c r="BY519" s="14"/>
      <c r="BZ519" s="14"/>
      <c r="CA519" s="14"/>
      <c r="CB519" s="14"/>
      <c r="CC519" s="14"/>
      <c r="CD519" s="14"/>
      <c r="CE519" s="14"/>
      <c r="CF519" s="14"/>
      <c r="CG519" s="14"/>
      <c r="CH519" s="14"/>
      <c r="CI519" s="14"/>
      <c r="CJ519" s="14"/>
      <c r="CK519" s="14"/>
      <c r="CL519" s="14"/>
      <c r="CT519" s="14"/>
      <c r="CW519" s="3"/>
      <c r="DG519" s="4"/>
    </row>
    <row r="520" customFormat="false" ht="11.25" hidden="false" customHeight="true" outlineLevel="0" collapsed="false">
      <c r="A520" s="14"/>
      <c r="B520" s="15"/>
      <c r="C520" s="15"/>
      <c r="D520" s="14"/>
      <c r="E520" s="14"/>
      <c r="F520" s="14"/>
      <c r="G520" s="14"/>
      <c r="H520" s="15"/>
      <c r="I520" s="15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  <c r="AV520" s="14"/>
      <c r="AW520" s="14"/>
      <c r="AX520" s="14"/>
      <c r="AY520" s="14"/>
      <c r="AZ520" s="14"/>
      <c r="BA520" s="14"/>
      <c r="BB520" s="14"/>
      <c r="BC520" s="14"/>
      <c r="BD520" s="14"/>
      <c r="BE520" s="14"/>
      <c r="BF520" s="14"/>
      <c r="BG520" s="14"/>
      <c r="BH520" s="14"/>
      <c r="BI520" s="14"/>
      <c r="BJ520" s="14"/>
      <c r="BK520" s="14"/>
      <c r="BL520" s="14"/>
      <c r="BM520" s="14"/>
      <c r="BN520" s="14"/>
      <c r="BO520" s="14"/>
      <c r="BP520" s="14"/>
      <c r="BQ520" s="14"/>
      <c r="BR520" s="14"/>
      <c r="BS520" s="14"/>
      <c r="BT520" s="14"/>
      <c r="BU520" s="14"/>
      <c r="BV520" s="14"/>
      <c r="BW520" s="14"/>
      <c r="BX520" s="14"/>
      <c r="BY520" s="14"/>
      <c r="BZ520" s="14"/>
      <c r="CA520" s="14"/>
      <c r="CB520" s="14"/>
      <c r="CC520" s="14"/>
      <c r="CD520" s="14"/>
      <c r="CE520" s="14"/>
      <c r="CF520" s="14"/>
      <c r="CG520" s="14"/>
      <c r="CH520" s="14"/>
      <c r="CI520" s="14"/>
      <c r="CJ520" s="14"/>
      <c r="CK520" s="14"/>
      <c r="CL520" s="14"/>
      <c r="CT520" s="14"/>
      <c r="CW520" s="3"/>
      <c r="DG520" s="4"/>
    </row>
    <row r="521" customFormat="false" ht="11.25" hidden="false" customHeight="true" outlineLevel="0" collapsed="false">
      <c r="A521" s="14"/>
      <c r="B521" s="15"/>
      <c r="C521" s="15"/>
      <c r="D521" s="14"/>
      <c r="E521" s="14"/>
      <c r="F521" s="14"/>
      <c r="G521" s="14"/>
      <c r="H521" s="15"/>
      <c r="I521" s="15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X521" s="14"/>
      <c r="AY521" s="14"/>
      <c r="AZ521" s="14"/>
      <c r="BA521" s="14"/>
      <c r="BB521" s="14"/>
      <c r="BC521" s="14"/>
      <c r="BD521" s="14"/>
      <c r="BE521" s="14"/>
      <c r="BF521" s="14"/>
      <c r="BG521" s="14"/>
      <c r="BH521" s="14"/>
      <c r="BI521" s="14"/>
      <c r="BJ521" s="14"/>
      <c r="BK521" s="14"/>
      <c r="BL521" s="14"/>
      <c r="BM521" s="14"/>
      <c r="BN521" s="14"/>
      <c r="BO521" s="14"/>
      <c r="BP521" s="14"/>
      <c r="BQ521" s="14"/>
      <c r="BR521" s="14"/>
      <c r="BS521" s="14"/>
      <c r="BT521" s="14"/>
      <c r="BU521" s="14"/>
      <c r="BV521" s="14"/>
      <c r="BW521" s="14"/>
      <c r="BX521" s="14"/>
      <c r="BY521" s="14"/>
      <c r="BZ521" s="14"/>
      <c r="CA521" s="14"/>
      <c r="CB521" s="14"/>
      <c r="CC521" s="14"/>
      <c r="CD521" s="14"/>
      <c r="CE521" s="14"/>
      <c r="CF521" s="14"/>
      <c r="CG521" s="14"/>
      <c r="CH521" s="14"/>
      <c r="CI521" s="14"/>
      <c r="CJ521" s="14"/>
      <c r="CK521" s="14"/>
      <c r="CL521" s="14"/>
      <c r="CT521" s="14"/>
      <c r="CW521" s="3"/>
      <c r="DG521" s="4"/>
    </row>
    <row r="522" customFormat="false" ht="11.25" hidden="false" customHeight="true" outlineLevel="0" collapsed="false">
      <c r="A522" s="14"/>
      <c r="B522" s="15"/>
      <c r="C522" s="15"/>
      <c r="D522" s="14"/>
      <c r="E522" s="14"/>
      <c r="F522" s="14"/>
      <c r="G522" s="14"/>
      <c r="H522" s="15"/>
      <c r="I522" s="15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14"/>
      <c r="AV522" s="14"/>
      <c r="AW522" s="14"/>
      <c r="AX522" s="14"/>
      <c r="AY522" s="14"/>
      <c r="AZ522" s="14"/>
      <c r="BA522" s="14"/>
      <c r="BB522" s="14"/>
      <c r="BC522" s="14"/>
      <c r="BD522" s="14"/>
      <c r="BE522" s="14"/>
      <c r="BF522" s="14"/>
      <c r="BG522" s="14"/>
      <c r="BH522" s="14"/>
      <c r="BI522" s="14"/>
      <c r="BJ522" s="14"/>
      <c r="BK522" s="14"/>
      <c r="BL522" s="14"/>
      <c r="BM522" s="14"/>
      <c r="BN522" s="14"/>
      <c r="BO522" s="14"/>
      <c r="BP522" s="14"/>
      <c r="BQ522" s="14"/>
      <c r="BR522" s="14"/>
      <c r="BS522" s="14"/>
      <c r="BT522" s="14"/>
      <c r="BU522" s="14"/>
      <c r="BV522" s="14"/>
      <c r="BW522" s="14"/>
      <c r="BX522" s="14"/>
      <c r="BY522" s="14"/>
      <c r="BZ522" s="14"/>
      <c r="CA522" s="14"/>
      <c r="CB522" s="14"/>
      <c r="CC522" s="14"/>
      <c r="CD522" s="14"/>
      <c r="CE522" s="14"/>
      <c r="CF522" s="14"/>
      <c r="CG522" s="14"/>
      <c r="CH522" s="14"/>
      <c r="CI522" s="14"/>
      <c r="CJ522" s="14"/>
      <c r="CK522" s="14"/>
      <c r="CL522" s="14"/>
      <c r="CT522" s="14"/>
      <c r="CW522" s="3"/>
      <c r="DG522" s="4"/>
    </row>
    <row r="523" customFormat="false" ht="11.25" hidden="false" customHeight="true" outlineLevel="0" collapsed="false">
      <c r="A523" s="14"/>
      <c r="B523" s="15"/>
      <c r="C523" s="15"/>
      <c r="D523" s="14"/>
      <c r="E523" s="14"/>
      <c r="F523" s="14"/>
      <c r="G523" s="14"/>
      <c r="H523" s="15"/>
      <c r="I523" s="15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4"/>
      <c r="AX523" s="14"/>
      <c r="AY523" s="14"/>
      <c r="AZ523" s="14"/>
      <c r="BA523" s="14"/>
      <c r="BB523" s="14"/>
      <c r="BC523" s="14"/>
      <c r="BD523" s="14"/>
      <c r="BE523" s="14"/>
      <c r="BF523" s="14"/>
      <c r="BG523" s="14"/>
      <c r="BH523" s="14"/>
      <c r="BI523" s="14"/>
      <c r="BJ523" s="14"/>
      <c r="BK523" s="14"/>
      <c r="BL523" s="14"/>
      <c r="BM523" s="14"/>
      <c r="BN523" s="14"/>
      <c r="BO523" s="14"/>
      <c r="BP523" s="14"/>
      <c r="BQ523" s="14"/>
      <c r="BR523" s="14"/>
      <c r="BS523" s="14"/>
      <c r="BT523" s="14"/>
      <c r="BU523" s="14"/>
      <c r="BV523" s="14"/>
      <c r="BW523" s="14"/>
      <c r="BX523" s="14"/>
      <c r="BY523" s="14"/>
      <c r="BZ523" s="14"/>
      <c r="CA523" s="14"/>
      <c r="CB523" s="14"/>
      <c r="CC523" s="14"/>
      <c r="CD523" s="14"/>
      <c r="CE523" s="14"/>
      <c r="CF523" s="14"/>
      <c r="CG523" s="14"/>
      <c r="CH523" s="14"/>
      <c r="CI523" s="14"/>
      <c r="CJ523" s="14"/>
      <c r="CK523" s="14"/>
      <c r="CL523" s="14"/>
      <c r="CT523" s="14"/>
      <c r="CW523" s="3"/>
      <c r="DG523" s="4"/>
    </row>
    <row r="524" customFormat="false" ht="11.25" hidden="false" customHeight="true" outlineLevel="0" collapsed="false">
      <c r="A524" s="14"/>
      <c r="B524" s="15"/>
      <c r="C524" s="15"/>
      <c r="D524" s="14"/>
      <c r="E524" s="14"/>
      <c r="F524" s="14"/>
      <c r="G524" s="14"/>
      <c r="H524" s="15"/>
      <c r="I524" s="15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  <c r="AU524" s="14"/>
      <c r="AV524" s="14"/>
      <c r="AW524" s="14"/>
      <c r="AX524" s="14"/>
      <c r="AY524" s="14"/>
      <c r="AZ524" s="14"/>
      <c r="BA524" s="14"/>
      <c r="BB524" s="14"/>
      <c r="BC524" s="14"/>
      <c r="BD524" s="14"/>
      <c r="BE524" s="14"/>
      <c r="BF524" s="14"/>
      <c r="BG524" s="14"/>
      <c r="BH524" s="14"/>
      <c r="BI524" s="14"/>
      <c r="BJ524" s="14"/>
      <c r="BK524" s="14"/>
      <c r="BL524" s="14"/>
      <c r="BM524" s="14"/>
      <c r="BN524" s="14"/>
      <c r="BO524" s="14"/>
      <c r="BP524" s="14"/>
      <c r="BQ524" s="14"/>
      <c r="BR524" s="14"/>
      <c r="BS524" s="14"/>
      <c r="BT524" s="14"/>
      <c r="BU524" s="14"/>
      <c r="BV524" s="14"/>
      <c r="BW524" s="14"/>
      <c r="BX524" s="14"/>
      <c r="BY524" s="14"/>
      <c r="BZ524" s="14"/>
      <c r="CA524" s="14"/>
      <c r="CB524" s="14"/>
      <c r="CC524" s="14"/>
      <c r="CD524" s="14"/>
      <c r="CE524" s="14"/>
      <c r="CF524" s="14"/>
      <c r="CG524" s="14"/>
      <c r="CH524" s="14"/>
      <c r="CI524" s="14"/>
      <c r="CJ524" s="14"/>
      <c r="CK524" s="14"/>
      <c r="CL524" s="14"/>
      <c r="CT524" s="14"/>
      <c r="CW524" s="3"/>
      <c r="DG524" s="4"/>
    </row>
    <row r="525" customFormat="false" ht="11.25" hidden="false" customHeight="true" outlineLevel="0" collapsed="false">
      <c r="A525" s="14"/>
      <c r="B525" s="15"/>
      <c r="C525" s="15"/>
      <c r="D525" s="14"/>
      <c r="E525" s="14"/>
      <c r="F525" s="14"/>
      <c r="G525" s="14"/>
      <c r="H525" s="15"/>
      <c r="I525" s="15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X525" s="14"/>
      <c r="AY525" s="14"/>
      <c r="AZ525" s="14"/>
      <c r="BA525" s="14"/>
      <c r="BB525" s="14"/>
      <c r="BC525" s="14"/>
      <c r="BD525" s="14"/>
      <c r="BE525" s="14"/>
      <c r="BF525" s="14"/>
      <c r="BG525" s="14"/>
      <c r="BH525" s="14"/>
      <c r="BI525" s="14"/>
      <c r="BJ525" s="14"/>
      <c r="BK525" s="14"/>
      <c r="BL525" s="14"/>
      <c r="BM525" s="14"/>
      <c r="BN525" s="14"/>
      <c r="BO525" s="14"/>
      <c r="BP525" s="14"/>
      <c r="BQ525" s="14"/>
      <c r="BR525" s="14"/>
      <c r="BS525" s="14"/>
      <c r="BT525" s="14"/>
      <c r="BU525" s="14"/>
      <c r="BV525" s="14"/>
      <c r="BW525" s="14"/>
      <c r="BX525" s="14"/>
      <c r="BY525" s="14"/>
      <c r="BZ525" s="14"/>
      <c r="CA525" s="14"/>
      <c r="CB525" s="14"/>
      <c r="CC525" s="14"/>
      <c r="CD525" s="14"/>
      <c r="CE525" s="14"/>
      <c r="CF525" s="14"/>
      <c r="CG525" s="14"/>
      <c r="CH525" s="14"/>
      <c r="CI525" s="14"/>
      <c r="CJ525" s="14"/>
      <c r="CK525" s="14"/>
      <c r="CL525" s="14"/>
      <c r="CT525" s="14"/>
      <c r="CW525" s="3"/>
      <c r="DG525" s="4"/>
    </row>
    <row r="526" customFormat="false" ht="11.25" hidden="false" customHeight="true" outlineLevel="0" collapsed="false">
      <c r="A526" s="14"/>
      <c r="B526" s="15"/>
      <c r="C526" s="15"/>
      <c r="D526" s="14"/>
      <c r="E526" s="14"/>
      <c r="F526" s="14"/>
      <c r="G526" s="14"/>
      <c r="H526" s="15"/>
      <c r="I526" s="15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4"/>
      <c r="AX526" s="14"/>
      <c r="AY526" s="14"/>
      <c r="AZ526" s="14"/>
      <c r="BA526" s="14"/>
      <c r="BB526" s="14"/>
      <c r="BC526" s="14"/>
      <c r="BD526" s="14"/>
      <c r="BE526" s="14"/>
      <c r="BF526" s="14"/>
      <c r="BG526" s="14"/>
      <c r="BH526" s="14"/>
      <c r="BI526" s="14"/>
      <c r="BJ526" s="14"/>
      <c r="BK526" s="14"/>
      <c r="BL526" s="14"/>
      <c r="BM526" s="14"/>
      <c r="BN526" s="14"/>
      <c r="BO526" s="14"/>
      <c r="BP526" s="14"/>
      <c r="BQ526" s="14"/>
      <c r="BR526" s="14"/>
      <c r="BS526" s="14"/>
      <c r="BT526" s="14"/>
      <c r="BU526" s="14"/>
      <c r="BV526" s="14"/>
      <c r="BW526" s="14"/>
      <c r="BX526" s="14"/>
      <c r="BY526" s="14"/>
      <c r="BZ526" s="14"/>
      <c r="CA526" s="14"/>
      <c r="CB526" s="14"/>
      <c r="CC526" s="14"/>
      <c r="CD526" s="14"/>
      <c r="CE526" s="14"/>
      <c r="CF526" s="14"/>
      <c r="CG526" s="14"/>
      <c r="CH526" s="14"/>
      <c r="CI526" s="14"/>
      <c r="CJ526" s="14"/>
      <c r="CK526" s="14"/>
      <c r="CL526" s="14"/>
      <c r="CT526" s="14"/>
      <c r="CW526" s="3"/>
      <c r="DG526" s="4"/>
    </row>
    <row r="527" customFormat="false" ht="11.25" hidden="false" customHeight="true" outlineLevel="0" collapsed="false">
      <c r="A527" s="14"/>
      <c r="B527" s="15"/>
      <c r="C527" s="15"/>
      <c r="D527" s="14"/>
      <c r="E527" s="14"/>
      <c r="F527" s="14"/>
      <c r="G527" s="14"/>
      <c r="H527" s="15"/>
      <c r="I527" s="15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X527" s="14"/>
      <c r="AY527" s="14"/>
      <c r="AZ527" s="14"/>
      <c r="BA527" s="14"/>
      <c r="BB527" s="14"/>
      <c r="BC527" s="14"/>
      <c r="BD527" s="14"/>
      <c r="BE527" s="14"/>
      <c r="BF527" s="14"/>
      <c r="BG527" s="14"/>
      <c r="BH527" s="14"/>
      <c r="BI527" s="14"/>
      <c r="BJ527" s="14"/>
      <c r="BK527" s="14"/>
      <c r="BL527" s="14"/>
      <c r="BM527" s="14"/>
      <c r="BN527" s="14"/>
      <c r="BO527" s="14"/>
      <c r="BP527" s="14"/>
      <c r="BQ527" s="14"/>
      <c r="BR527" s="14"/>
      <c r="BS527" s="14"/>
      <c r="BT527" s="14"/>
      <c r="BU527" s="14"/>
      <c r="BV527" s="14"/>
      <c r="BW527" s="14"/>
      <c r="BX527" s="14"/>
      <c r="BY527" s="14"/>
      <c r="BZ527" s="14"/>
      <c r="CA527" s="14"/>
      <c r="CB527" s="14"/>
      <c r="CC527" s="14"/>
      <c r="CD527" s="14"/>
      <c r="CE527" s="14"/>
      <c r="CF527" s="14"/>
      <c r="CG527" s="14"/>
      <c r="CH527" s="14"/>
      <c r="CI527" s="14"/>
      <c r="CJ527" s="14"/>
      <c r="CK527" s="14"/>
      <c r="CL527" s="14"/>
      <c r="CT527" s="14"/>
      <c r="CW527" s="3"/>
      <c r="DG527" s="4"/>
    </row>
    <row r="528" customFormat="false" ht="11.25" hidden="false" customHeight="true" outlineLevel="0" collapsed="false">
      <c r="A528" s="14"/>
      <c r="B528" s="15"/>
      <c r="C528" s="15"/>
      <c r="D528" s="14"/>
      <c r="E528" s="14"/>
      <c r="F528" s="14"/>
      <c r="G528" s="14"/>
      <c r="H528" s="15"/>
      <c r="I528" s="15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4"/>
      <c r="AX528" s="14"/>
      <c r="AY528" s="14"/>
      <c r="AZ528" s="14"/>
      <c r="BA528" s="14"/>
      <c r="BB528" s="14"/>
      <c r="BC528" s="14"/>
      <c r="BD528" s="14"/>
      <c r="BE528" s="14"/>
      <c r="BF528" s="14"/>
      <c r="BG528" s="14"/>
      <c r="BH528" s="14"/>
      <c r="BI528" s="14"/>
      <c r="BJ528" s="14"/>
      <c r="BK528" s="14"/>
      <c r="BL528" s="14"/>
      <c r="BM528" s="14"/>
      <c r="BN528" s="14"/>
      <c r="BO528" s="14"/>
      <c r="BP528" s="14"/>
      <c r="BQ528" s="14"/>
      <c r="BR528" s="14"/>
      <c r="BS528" s="14"/>
      <c r="BT528" s="14"/>
      <c r="BU528" s="14"/>
      <c r="BV528" s="14"/>
      <c r="BW528" s="14"/>
      <c r="BX528" s="14"/>
      <c r="BY528" s="14"/>
      <c r="BZ528" s="14"/>
      <c r="CA528" s="14"/>
      <c r="CB528" s="14"/>
      <c r="CC528" s="14"/>
      <c r="CD528" s="14"/>
      <c r="CE528" s="14"/>
      <c r="CF528" s="14"/>
      <c r="CG528" s="14"/>
      <c r="CH528" s="14"/>
      <c r="CI528" s="14"/>
      <c r="CJ528" s="14"/>
      <c r="CK528" s="14"/>
      <c r="CL528" s="14"/>
      <c r="CT528" s="14"/>
      <c r="CW528" s="3"/>
      <c r="DG528" s="4"/>
    </row>
    <row r="529" customFormat="false" ht="11.25" hidden="false" customHeight="true" outlineLevel="0" collapsed="false">
      <c r="A529" s="14"/>
      <c r="B529" s="15"/>
      <c r="C529" s="15"/>
      <c r="D529" s="14"/>
      <c r="E529" s="14"/>
      <c r="F529" s="14"/>
      <c r="G529" s="14"/>
      <c r="H529" s="15"/>
      <c r="I529" s="15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X529" s="14"/>
      <c r="AY529" s="14"/>
      <c r="AZ529" s="14"/>
      <c r="BA529" s="14"/>
      <c r="BB529" s="14"/>
      <c r="BC529" s="14"/>
      <c r="BD529" s="14"/>
      <c r="BE529" s="14"/>
      <c r="BF529" s="14"/>
      <c r="BG529" s="14"/>
      <c r="BH529" s="14"/>
      <c r="BI529" s="14"/>
      <c r="BJ529" s="14"/>
      <c r="BK529" s="14"/>
      <c r="BL529" s="14"/>
      <c r="BM529" s="14"/>
      <c r="BN529" s="14"/>
      <c r="BO529" s="14"/>
      <c r="BP529" s="14"/>
      <c r="BQ529" s="14"/>
      <c r="BR529" s="14"/>
      <c r="BS529" s="14"/>
      <c r="BT529" s="14"/>
      <c r="BU529" s="14"/>
      <c r="BV529" s="14"/>
      <c r="BW529" s="14"/>
      <c r="BX529" s="14"/>
      <c r="BY529" s="14"/>
      <c r="BZ529" s="14"/>
      <c r="CA529" s="14"/>
      <c r="CB529" s="14"/>
      <c r="CC529" s="14"/>
      <c r="CD529" s="14"/>
      <c r="CE529" s="14"/>
      <c r="CF529" s="14"/>
      <c r="CG529" s="14"/>
      <c r="CH529" s="14"/>
      <c r="CI529" s="14"/>
      <c r="CJ529" s="14"/>
      <c r="CK529" s="14"/>
      <c r="CL529" s="14"/>
      <c r="CT529" s="14"/>
      <c r="CW529" s="3"/>
      <c r="DG529" s="4"/>
    </row>
    <row r="530" customFormat="false" ht="11.25" hidden="false" customHeight="true" outlineLevel="0" collapsed="false">
      <c r="A530" s="14"/>
      <c r="B530" s="15"/>
      <c r="C530" s="15"/>
      <c r="D530" s="14"/>
      <c r="E530" s="14"/>
      <c r="F530" s="14"/>
      <c r="G530" s="14"/>
      <c r="H530" s="15"/>
      <c r="I530" s="15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X530" s="14"/>
      <c r="AY530" s="14"/>
      <c r="AZ530" s="14"/>
      <c r="BA530" s="14"/>
      <c r="BB530" s="14"/>
      <c r="BC530" s="14"/>
      <c r="BD530" s="14"/>
      <c r="BE530" s="14"/>
      <c r="BF530" s="14"/>
      <c r="BG530" s="14"/>
      <c r="BH530" s="14"/>
      <c r="BI530" s="14"/>
      <c r="BJ530" s="14"/>
      <c r="BK530" s="14"/>
      <c r="BL530" s="14"/>
      <c r="BM530" s="14"/>
      <c r="BN530" s="14"/>
      <c r="BO530" s="14"/>
      <c r="BP530" s="14"/>
      <c r="BQ530" s="14"/>
      <c r="BR530" s="14"/>
      <c r="BS530" s="14"/>
      <c r="BT530" s="14"/>
      <c r="BU530" s="14"/>
      <c r="BV530" s="14"/>
      <c r="BW530" s="14"/>
      <c r="BX530" s="14"/>
      <c r="BY530" s="14"/>
      <c r="BZ530" s="14"/>
      <c r="CA530" s="14"/>
      <c r="CB530" s="14"/>
      <c r="CC530" s="14"/>
      <c r="CD530" s="14"/>
      <c r="CE530" s="14"/>
      <c r="CF530" s="14"/>
      <c r="CG530" s="14"/>
      <c r="CH530" s="14"/>
      <c r="CI530" s="14"/>
      <c r="CJ530" s="14"/>
      <c r="CK530" s="14"/>
      <c r="CL530" s="14"/>
      <c r="CT530" s="14"/>
      <c r="CW530" s="3"/>
      <c r="DG530" s="4"/>
    </row>
    <row r="531" customFormat="false" ht="11.25" hidden="false" customHeight="true" outlineLevel="0" collapsed="false">
      <c r="A531" s="14"/>
      <c r="B531" s="15"/>
      <c r="C531" s="15"/>
      <c r="D531" s="14"/>
      <c r="E531" s="14"/>
      <c r="F531" s="14"/>
      <c r="G531" s="14"/>
      <c r="H531" s="15"/>
      <c r="I531" s="15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X531" s="14"/>
      <c r="AY531" s="14"/>
      <c r="AZ531" s="14"/>
      <c r="BA531" s="14"/>
      <c r="BB531" s="14"/>
      <c r="BC531" s="14"/>
      <c r="BD531" s="14"/>
      <c r="BE531" s="14"/>
      <c r="BF531" s="14"/>
      <c r="BG531" s="14"/>
      <c r="BH531" s="14"/>
      <c r="BI531" s="14"/>
      <c r="BJ531" s="14"/>
      <c r="BK531" s="14"/>
      <c r="BL531" s="14"/>
      <c r="BM531" s="14"/>
      <c r="BN531" s="14"/>
      <c r="BO531" s="14"/>
      <c r="BP531" s="14"/>
      <c r="BQ531" s="14"/>
      <c r="BR531" s="14"/>
      <c r="BS531" s="14"/>
      <c r="BT531" s="14"/>
      <c r="BU531" s="14"/>
      <c r="BV531" s="14"/>
      <c r="BW531" s="14"/>
      <c r="BX531" s="14"/>
      <c r="BY531" s="14"/>
      <c r="BZ531" s="14"/>
      <c r="CA531" s="14"/>
      <c r="CB531" s="14"/>
      <c r="CC531" s="14"/>
      <c r="CD531" s="14"/>
      <c r="CE531" s="14"/>
      <c r="CF531" s="14"/>
      <c r="CG531" s="14"/>
      <c r="CH531" s="14"/>
      <c r="CI531" s="14"/>
      <c r="CJ531" s="14"/>
      <c r="CK531" s="14"/>
      <c r="CL531" s="14"/>
      <c r="CT531" s="14"/>
      <c r="CW531" s="3"/>
      <c r="DG531" s="4"/>
    </row>
    <row r="532" customFormat="false" ht="11.25" hidden="false" customHeight="true" outlineLevel="0" collapsed="false">
      <c r="A532" s="14"/>
      <c r="B532" s="15"/>
      <c r="C532" s="15"/>
      <c r="D532" s="14"/>
      <c r="E532" s="14"/>
      <c r="F532" s="14"/>
      <c r="G532" s="14"/>
      <c r="H532" s="15"/>
      <c r="I532" s="15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  <c r="AX532" s="14"/>
      <c r="AY532" s="14"/>
      <c r="AZ532" s="14"/>
      <c r="BA532" s="14"/>
      <c r="BB532" s="14"/>
      <c r="BC532" s="14"/>
      <c r="BD532" s="14"/>
      <c r="BE532" s="14"/>
      <c r="BF532" s="14"/>
      <c r="BG532" s="14"/>
      <c r="BH532" s="14"/>
      <c r="BI532" s="14"/>
      <c r="BJ532" s="14"/>
      <c r="BK532" s="14"/>
      <c r="BL532" s="14"/>
      <c r="BM532" s="14"/>
      <c r="BN532" s="14"/>
      <c r="BO532" s="14"/>
      <c r="BP532" s="14"/>
      <c r="BQ532" s="14"/>
      <c r="BR532" s="14"/>
      <c r="BS532" s="14"/>
      <c r="BT532" s="14"/>
      <c r="BU532" s="14"/>
      <c r="BV532" s="14"/>
      <c r="BW532" s="14"/>
      <c r="BX532" s="14"/>
      <c r="BY532" s="14"/>
      <c r="BZ532" s="14"/>
      <c r="CA532" s="14"/>
      <c r="CB532" s="14"/>
      <c r="CC532" s="14"/>
      <c r="CD532" s="14"/>
      <c r="CE532" s="14"/>
      <c r="CF532" s="14"/>
      <c r="CG532" s="14"/>
      <c r="CH532" s="14"/>
      <c r="CI532" s="14"/>
      <c r="CJ532" s="14"/>
      <c r="CK532" s="14"/>
      <c r="CL532" s="14"/>
      <c r="CT532" s="14"/>
      <c r="CW532" s="3"/>
      <c r="DG532" s="4"/>
    </row>
    <row r="533" customFormat="false" ht="11.25" hidden="false" customHeight="true" outlineLevel="0" collapsed="false">
      <c r="A533" s="14"/>
      <c r="B533" s="15"/>
      <c r="C533" s="15"/>
      <c r="D533" s="14"/>
      <c r="E533" s="14"/>
      <c r="F533" s="14"/>
      <c r="G533" s="14"/>
      <c r="H533" s="15"/>
      <c r="I533" s="15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X533" s="14"/>
      <c r="AY533" s="14"/>
      <c r="AZ533" s="14"/>
      <c r="BA533" s="14"/>
      <c r="BB533" s="14"/>
      <c r="BC533" s="14"/>
      <c r="BD533" s="14"/>
      <c r="BE533" s="14"/>
      <c r="BF533" s="14"/>
      <c r="BG533" s="14"/>
      <c r="BH533" s="14"/>
      <c r="BI533" s="14"/>
      <c r="BJ533" s="14"/>
      <c r="BK533" s="14"/>
      <c r="BL533" s="14"/>
      <c r="BM533" s="14"/>
      <c r="BN533" s="14"/>
      <c r="BO533" s="14"/>
      <c r="BP533" s="14"/>
      <c r="BQ533" s="14"/>
      <c r="BR533" s="14"/>
      <c r="BS533" s="14"/>
      <c r="BT533" s="14"/>
      <c r="BU533" s="14"/>
      <c r="BV533" s="14"/>
      <c r="BW533" s="14"/>
      <c r="BX533" s="14"/>
      <c r="BY533" s="14"/>
      <c r="BZ533" s="14"/>
      <c r="CA533" s="14"/>
      <c r="CB533" s="14"/>
      <c r="CC533" s="14"/>
      <c r="CD533" s="14"/>
      <c r="CE533" s="14"/>
      <c r="CF533" s="14"/>
      <c r="CG533" s="14"/>
      <c r="CH533" s="14"/>
      <c r="CI533" s="14"/>
      <c r="CJ533" s="14"/>
      <c r="CK533" s="14"/>
      <c r="CL533" s="14"/>
      <c r="CT533" s="14"/>
      <c r="CW533" s="3"/>
      <c r="DG533" s="4"/>
    </row>
    <row r="534" customFormat="false" ht="11.25" hidden="false" customHeight="true" outlineLevel="0" collapsed="false">
      <c r="A534" s="14"/>
      <c r="B534" s="15"/>
      <c r="C534" s="15"/>
      <c r="D534" s="14"/>
      <c r="E534" s="14"/>
      <c r="F534" s="14"/>
      <c r="G534" s="14"/>
      <c r="H534" s="15"/>
      <c r="I534" s="15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  <c r="AX534" s="14"/>
      <c r="AY534" s="14"/>
      <c r="AZ534" s="14"/>
      <c r="BA534" s="14"/>
      <c r="BB534" s="14"/>
      <c r="BC534" s="14"/>
      <c r="BD534" s="14"/>
      <c r="BE534" s="14"/>
      <c r="BF534" s="14"/>
      <c r="BG534" s="14"/>
      <c r="BH534" s="14"/>
      <c r="BI534" s="14"/>
      <c r="BJ534" s="14"/>
      <c r="BK534" s="14"/>
      <c r="BL534" s="14"/>
      <c r="BM534" s="14"/>
      <c r="BN534" s="14"/>
      <c r="BO534" s="14"/>
      <c r="BP534" s="14"/>
      <c r="BQ534" s="14"/>
      <c r="BR534" s="14"/>
      <c r="BS534" s="14"/>
      <c r="BT534" s="14"/>
      <c r="BU534" s="14"/>
      <c r="BV534" s="14"/>
      <c r="BW534" s="14"/>
      <c r="BX534" s="14"/>
      <c r="BY534" s="14"/>
      <c r="BZ534" s="14"/>
      <c r="CA534" s="14"/>
      <c r="CB534" s="14"/>
      <c r="CC534" s="14"/>
      <c r="CD534" s="14"/>
      <c r="CE534" s="14"/>
      <c r="CF534" s="14"/>
      <c r="CG534" s="14"/>
      <c r="CH534" s="14"/>
      <c r="CI534" s="14"/>
      <c r="CJ534" s="14"/>
      <c r="CK534" s="14"/>
      <c r="CL534" s="14"/>
      <c r="CT534" s="14"/>
      <c r="CW534" s="3"/>
      <c r="DG534" s="4"/>
    </row>
    <row r="535" customFormat="false" ht="11.25" hidden="false" customHeight="true" outlineLevel="0" collapsed="false">
      <c r="A535" s="14"/>
      <c r="B535" s="15"/>
      <c r="C535" s="15"/>
      <c r="D535" s="14"/>
      <c r="E535" s="14"/>
      <c r="F535" s="14"/>
      <c r="G535" s="14"/>
      <c r="H535" s="15"/>
      <c r="I535" s="15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  <c r="AY535" s="14"/>
      <c r="AZ535" s="14"/>
      <c r="BA535" s="14"/>
      <c r="BB535" s="14"/>
      <c r="BC535" s="14"/>
      <c r="BD535" s="14"/>
      <c r="BE535" s="14"/>
      <c r="BF535" s="14"/>
      <c r="BG535" s="14"/>
      <c r="BH535" s="14"/>
      <c r="BI535" s="14"/>
      <c r="BJ535" s="14"/>
      <c r="BK535" s="14"/>
      <c r="BL535" s="14"/>
      <c r="BM535" s="14"/>
      <c r="BN535" s="14"/>
      <c r="BO535" s="14"/>
      <c r="BP535" s="14"/>
      <c r="BQ535" s="14"/>
      <c r="BR535" s="14"/>
      <c r="BS535" s="14"/>
      <c r="BT535" s="14"/>
      <c r="BU535" s="14"/>
      <c r="BV535" s="14"/>
      <c r="BW535" s="14"/>
      <c r="BX535" s="14"/>
      <c r="BY535" s="14"/>
      <c r="BZ535" s="14"/>
      <c r="CA535" s="14"/>
      <c r="CB535" s="14"/>
      <c r="CC535" s="14"/>
      <c r="CD535" s="14"/>
      <c r="CE535" s="14"/>
      <c r="CF535" s="14"/>
      <c r="CG535" s="14"/>
      <c r="CH535" s="14"/>
      <c r="CI535" s="14"/>
      <c r="CJ535" s="14"/>
      <c r="CK535" s="14"/>
      <c r="CL535" s="14"/>
      <c r="CT535" s="14"/>
      <c r="CW535" s="3"/>
      <c r="DG535" s="4"/>
    </row>
    <row r="536" customFormat="false" ht="11.25" hidden="false" customHeight="true" outlineLevel="0" collapsed="false">
      <c r="A536" s="14"/>
      <c r="B536" s="15"/>
      <c r="C536" s="15"/>
      <c r="D536" s="14"/>
      <c r="E536" s="14"/>
      <c r="F536" s="14"/>
      <c r="G536" s="14"/>
      <c r="H536" s="15"/>
      <c r="I536" s="15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  <c r="AX536" s="14"/>
      <c r="AY536" s="14"/>
      <c r="AZ536" s="14"/>
      <c r="BA536" s="14"/>
      <c r="BB536" s="14"/>
      <c r="BC536" s="14"/>
      <c r="BD536" s="14"/>
      <c r="BE536" s="14"/>
      <c r="BF536" s="14"/>
      <c r="BG536" s="14"/>
      <c r="BH536" s="14"/>
      <c r="BI536" s="14"/>
      <c r="BJ536" s="14"/>
      <c r="BK536" s="14"/>
      <c r="BL536" s="14"/>
      <c r="BM536" s="14"/>
      <c r="BN536" s="14"/>
      <c r="BO536" s="14"/>
      <c r="BP536" s="14"/>
      <c r="BQ536" s="14"/>
      <c r="BR536" s="14"/>
      <c r="BS536" s="14"/>
      <c r="BT536" s="14"/>
      <c r="BU536" s="14"/>
      <c r="BV536" s="14"/>
      <c r="BW536" s="14"/>
      <c r="BX536" s="14"/>
      <c r="BY536" s="14"/>
      <c r="BZ536" s="14"/>
      <c r="CA536" s="14"/>
      <c r="CB536" s="14"/>
      <c r="CC536" s="14"/>
      <c r="CD536" s="14"/>
      <c r="CE536" s="14"/>
      <c r="CF536" s="14"/>
      <c r="CG536" s="14"/>
      <c r="CH536" s="14"/>
      <c r="CI536" s="14"/>
      <c r="CJ536" s="14"/>
      <c r="CK536" s="14"/>
      <c r="CL536" s="14"/>
      <c r="CT536" s="14"/>
      <c r="CW536" s="3"/>
      <c r="DG536" s="4"/>
    </row>
    <row r="537" customFormat="false" ht="11.25" hidden="false" customHeight="true" outlineLevel="0" collapsed="false">
      <c r="A537" s="14"/>
      <c r="B537" s="15"/>
      <c r="C537" s="15"/>
      <c r="D537" s="14"/>
      <c r="E537" s="14"/>
      <c r="F537" s="14"/>
      <c r="G537" s="14"/>
      <c r="H537" s="15"/>
      <c r="I537" s="15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X537" s="14"/>
      <c r="AY537" s="14"/>
      <c r="AZ537" s="14"/>
      <c r="BA537" s="14"/>
      <c r="BB537" s="14"/>
      <c r="BC537" s="14"/>
      <c r="BD537" s="14"/>
      <c r="BE537" s="14"/>
      <c r="BF537" s="14"/>
      <c r="BG537" s="14"/>
      <c r="BH537" s="14"/>
      <c r="BI537" s="14"/>
      <c r="BJ537" s="14"/>
      <c r="BK537" s="14"/>
      <c r="BL537" s="14"/>
      <c r="BM537" s="14"/>
      <c r="BN537" s="14"/>
      <c r="BO537" s="14"/>
      <c r="BP537" s="14"/>
      <c r="BQ537" s="14"/>
      <c r="BR537" s="14"/>
      <c r="BS537" s="14"/>
      <c r="BT537" s="14"/>
      <c r="BU537" s="14"/>
      <c r="BV537" s="14"/>
      <c r="BW537" s="14"/>
      <c r="BX537" s="14"/>
      <c r="BY537" s="14"/>
      <c r="BZ537" s="14"/>
      <c r="CA537" s="14"/>
      <c r="CB537" s="14"/>
      <c r="CC537" s="14"/>
      <c r="CD537" s="14"/>
      <c r="CE537" s="14"/>
      <c r="CF537" s="14"/>
      <c r="CG537" s="14"/>
      <c r="CH537" s="14"/>
      <c r="CI537" s="14"/>
      <c r="CJ537" s="14"/>
      <c r="CK537" s="14"/>
      <c r="CL537" s="14"/>
      <c r="CT537" s="14"/>
      <c r="CW537" s="3"/>
      <c r="DG537" s="4"/>
    </row>
    <row r="538" customFormat="false" ht="11.25" hidden="false" customHeight="true" outlineLevel="0" collapsed="false">
      <c r="A538" s="14"/>
      <c r="B538" s="15"/>
      <c r="C538" s="15"/>
      <c r="D538" s="14"/>
      <c r="E538" s="14"/>
      <c r="F538" s="14"/>
      <c r="G538" s="14"/>
      <c r="H538" s="15"/>
      <c r="I538" s="15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4"/>
      <c r="AX538" s="14"/>
      <c r="AY538" s="14"/>
      <c r="AZ538" s="14"/>
      <c r="BA538" s="14"/>
      <c r="BB538" s="14"/>
      <c r="BC538" s="14"/>
      <c r="BD538" s="14"/>
      <c r="BE538" s="14"/>
      <c r="BF538" s="14"/>
      <c r="BG538" s="14"/>
      <c r="BH538" s="14"/>
      <c r="BI538" s="14"/>
      <c r="BJ538" s="14"/>
      <c r="BK538" s="14"/>
      <c r="BL538" s="14"/>
      <c r="BM538" s="14"/>
      <c r="BN538" s="14"/>
      <c r="BO538" s="14"/>
      <c r="BP538" s="14"/>
      <c r="BQ538" s="14"/>
      <c r="BR538" s="14"/>
      <c r="BS538" s="14"/>
      <c r="BT538" s="14"/>
      <c r="BU538" s="14"/>
      <c r="BV538" s="14"/>
      <c r="BW538" s="14"/>
      <c r="BX538" s="14"/>
      <c r="BY538" s="14"/>
      <c r="BZ538" s="14"/>
      <c r="CA538" s="14"/>
      <c r="CB538" s="14"/>
      <c r="CC538" s="14"/>
      <c r="CD538" s="14"/>
      <c r="CE538" s="14"/>
      <c r="CF538" s="14"/>
      <c r="CG538" s="14"/>
      <c r="CH538" s="14"/>
      <c r="CI538" s="14"/>
      <c r="CJ538" s="14"/>
      <c r="CK538" s="14"/>
      <c r="CL538" s="14"/>
      <c r="CT538" s="14"/>
      <c r="CW538" s="3"/>
      <c r="DG538" s="4"/>
    </row>
    <row r="539" customFormat="false" ht="11.25" hidden="false" customHeight="true" outlineLevel="0" collapsed="false">
      <c r="A539" s="14"/>
      <c r="B539" s="15"/>
      <c r="C539" s="15"/>
      <c r="D539" s="14"/>
      <c r="E539" s="14"/>
      <c r="F539" s="14"/>
      <c r="G539" s="14"/>
      <c r="H539" s="15"/>
      <c r="I539" s="15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  <c r="AX539" s="14"/>
      <c r="AY539" s="14"/>
      <c r="AZ539" s="14"/>
      <c r="BA539" s="14"/>
      <c r="BB539" s="14"/>
      <c r="BC539" s="14"/>
      <c r="BD539" s="14"/>
      <c r="BE539" s="14"/>
      <c r="BF539" s="14"/>
      <c r="BG539" s="14"/>
      <c r="BH539" s="14"/>
      <c r="BI539" s="14"/>
      <c r="BJ539" s="14"/>
      <c r="BK539" s="14"/>
      <c r="BL539" s="14"/>
      <c r="BM539" s="14"/>
      <c r="BN539" s="14"/>
      <c r="BO539" s="14"/>
      <c r="BP539" s="14"/>
      <c r="BQ539" s="14"/>
      <c r="BR539" s="14"/>
      <c r="BS539" s="14"/>
      <c r="BT539" s="14"/>
      <c r="BU539" s="14"/>
      <c r="BV539" s="14"/>
      <c r="BW539" s="14"/>
      <c r="BX539" s="14"/>
      <c r="BY539" s="14"/>
      <c r="BZ539" s="14"/>
      <c r="CA539" s="14"/>
      <c r="CB539" s="14"/>
      <c r="CC539" s="14"/>
      <c r="CD539" s="14"/>
      <c r="CE539" s="14"/>
      <c r="CF539" s="14"/>
      <c r="CG539" s="14"/>
      <c r="CH539" s="14"/>
      <c r="CI539" s="14"/>
      <c r="CJ539" s="14"/>
      <c r="CK539" s="14"/>
      <c r="CL539" s="14"/>
      <c r="CT539" s="14"/>
      <c r="CW539" s="3"/>
      <c r="DG539" s="4"/>
    </row>
    <row r="540" customFormat="false" ht="11.25" hidden="false" customHeight="true" outlineLevel="0" collapsed="false">
      <c r="A540" s="14"/>
      <c r="B540" s="15"/>
      <c r="C540" s="15"/>
      <c r="D540" s="14"/>
      <c r="E540" s="14"/>
      <c r="F540" s="14"/>
      <c r="G540" s="14"/>
      <c r="H540" s="15"/>
      <c r="I540" s="15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4"/>
      <c r="AX540" s="14"/>
      <c r="AY540" s="14"/>
      <c r="AZ540" s="14"/>
      <c r="BA540" s="14"/>
      <c r="BB540" s="14"/>
      <c r="BC540" s="14"/>
      <c r="BD540" s="14"/>
      <c r="BE540" s="14"/>
      <c r="BF540" s="14"/>
      <c r="BG540" s="14"/>
      <c r="BH540" s="14"/>
      <c r="BI540" s="14"/>
      <c r="BJ540" s="14"/>
      <c r="BK540" s="14"/>
      <c r="BL540" s="14"/>
      <c r="BM540" s="14"/>
      <c r="BN540" s="14"/>
      <c r="BO540" s="14"/>
      <c r="BP540" s="14"/>
      <c r="BQ540" s="14"/>
      <c r="BR540" s="14"/>
      <c r="BS540" s="14"/>
      <c r="BT540" s="14"/>
      <c r="BU540" s="14"/>
      <c r="BV540" s="14"/>
      <c r="BW540" s="14"/>
      <c r="BX540" s="14"/>
      <c r="BY540" s="14"/>
      <c r="BZ540" s="14"/>
      <c r="CA540" s="14"/>
      <c r="CB540" s="14"/>
      <c r="CC540" s="14"/>
      <c r="CD540" s="14"/>
      <c r="CE540" s="14"/>
      <c r="CF540" s="14"/>
      <c r="CG540" s="14"/>
      <c r="CH540" s="14"/>
      <c r="CI540" s="14"/>
      <c r="CJ540" s="14"/>
      <c r="CK540" s="14"/>
      <c r="CL540" s="14"/>
      <c r="CT540" s="14"/>
      <c r="CW540" s="3"/>
      <c r="DG540" s="4"/>
    </row>
    <row r="541" customFormat="false" ht="11.25" hidden="false" customHeight="true" outlineLevel="0" collapsed="false">
      <c r="A541" s="14"/>
      <c r="B541" s="15"/>
      <c r="C541" s="15"/>
      <c r="D541" s="14"/>
      <c r="E541" s="14"/>
      <c r="F541" s="14"/>
      <c r="G541" s="14"/>
      <c r="H541" s="15"/>
      <c r="I541" s="15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  <c r="AX541" s="14"/>
      <c r="AY541" s="14"/>
      <c r="AZ541" s="14"/>
      <c r="BA541" s="14"/>
      <c r="BB541" s="14"/>
      <c r="BC541" s="14"/>
      <c r="BD541" s="14"/>
      <c r="BE541" s="14"/>
      <c r="BF541" s="14"/>
      <c r="BG541" s="14"/>
      <c r="BH541" s="14"/>
      <c r="BI541" s="14"/>
      <c r="BJ541" s="14"/>
      <c r="BK541" s="14"/>
      <c r="BL541" s="14"/>
      <c r="BM541" s="14"/>
      <c r="BN541" s="14"/>
      <c r="BO541" s="14"/>
      <c r="BP541" s="14"/>
      <c r="BQ541" s="14"/>
      <c r="BR541" s="14"/>
      <c r="BS541" s="14"/>
      <c r="BT541" s="14"/>
      <c r="BU541" s="14"/>
      <c r="BV541" s="14"/>
      <c r="BW541" s="14"/>
      <c r="BX541" s="14"/>
      <c r="BY541" s="14"/>
      <c r="BZ541" s="14"/>
      <c r="CA541" s="14"/>
      <c r="CB541" s="14"/>
      <c r="CC541" s="14"/>
      <c r="CD541" s="14"/>
      <c r="CE541" s="14"/>
      <c r="CF541" s="14"/>
      <c r="CG541" s="14"/>
      <c r="CH541" s="14"/>
      <c r="CI541" s="14"/>
      <c r="CJ541" s="14"/>
      <c r="CK541" s="14"/>
      <c r="CL541" s="14"/>
      <c r="CT541" s="14"/>
      <c r="CW541" s="3"/>
      <c r="DG541" s="4"/>
    </row>
    <row r="542" customFormat="false" ht="11.25" hidden="false" customHeight="true" outlineLevel="0" collapsed="false">
      <c r="A542" s="14"/>
      <c r="B542" s="15"/>
      <c r="C542" s="15"/>
      <c r="D542" s="14"/>
      <c r="E542" s="14"/>
      <c r="F542" s="14"/>
      <c r="G542" s="14"/>
      <c r="H542" s="15"/>
      <c r="I542" s="15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4"/>
      <c r="AX542" s="14"/>
      <c r="AY542" s="14"/>
      <c r="AZ542" s="14"/>
      <c r="BA542" s="14"/>
      <c r="BB542" s="14"/>
      <c r="BC542" s="14"/>
      <c r="BD542" s="14"/>
      <c r="BE542" s="14"/>
      <c r="BF542" s="14"/>
      <c r="BG542" s="14"/>
      <c r="BH542" s="14"/>
      <c r="BI542" s="14"/>
      <c r="BJ542" s="14"/>
      <c r="BK542" s="14"/>
      <c r="BL542" s="14"/>
      <c r="BM542" s="14"/>
      <c r="BN542" s="14"/>
      <c r="BO542" s="14"/>
      <c r="BP542" s="14"/>
      <c r="BQ542" s="14"/>
      <c r="BR542" s="14"/>
      <c r="BS542" s="14"/>
      <c r="BT542" s="14"/>
      <c r="BU542" s="14"/>
      <c r="BV542" s="14"/>
      <c r="BW542" s="14"/>
      <c r="BX542" s="14"/>
      <c r="BY542" s="14"/>
      <c r="BZ542" s="14"/>
      <c r="CA542" s="14"/>
      <c r="CB542" s="14"/>
      <c r="CC542" s="14"/>
      <c r="CD542" s="14"/>
      <c r="CE542" s="14"/>
      <c r="CF542" s="14"/>
      <c r="CG542" s="14"/>
      <c r="CH542" s="14"/>
      <c r="CI542" s="14"/>
      <c r="CJ542" s="14"/>
      <c r="CK542" s="14"/>
      <c r="CL542" s="14"/>
      <c r="CT542" s="14"/>
      <c r="CW542" s="3"/>
      <c r="DG542" s="4"/>
    </row>
    <row r="543" customFormat="false" ht="11.25" hidden="false" customHeight="true" outlineLevel="0" collapsed="false">
      <c r="A543" s="14"/>
      <c r="B543" s="15"/>
      <c r="C543" s="15"/>
      <c r="D543" s="14"/>
      <c r="E543" s="14"/>
      <c r="F543" s="14"/>
      <c r="G543" s="14"/>
      <c r="H543" s="15"/>
      <c r="I543" s="15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X543" s="14"/>
      <c r="AY543" s="14"/>
      <c r="AZ543" s="14"/>
      <c r="BA543" s="14"/>
      <c r="BB543" s="14"/>
      <c r="BC543" s="14"/>
      <c r="BD543" s="14"/>
      <c r="BE543" s="14"/>
      <c r="BF543" s="14"/>
      <c r="BG543" s="14"/>
      <c r="BH543" s="14"/>
      <c r="BI543" s="14"/>
      <c r="BJ543" s="14"/>
      <c r="BK543" s="14"/>
      <c r="BL543" s="14"/>
      <c r="BM543" s="14"/>
      <c r="BN543" s="14"/>
      <c r="BO543" s="14"/>
      <c r="BP543" s="14"/>
      <c r="BQ543" s="14"/>
      <c r="BR543" s="14"/>
      <c r="BS543" s="14"/>
      <c r="BT543" s="14"/>
      <c r="BU543" s="14"/>
      <c r="BV543" s="14"/>
      <c r="BW543" s="14"/>
      <c r="BX543" s="14"/>
      <c r="BY543" s="14"/>
      <c r="BZ543" s="14"/>
      <c r="CA543" s="14"/>
      <c r="CB543" s="14"/>
      <c r="CC543" s="14"/>
      <c r="CD543" s="14"/>
      <c r="CE543" s="14"/>
      <c r="CF543" s="14"/>
      <c r="CG543" s="14"/>
      <c r="CH543" s="14"/>
      <c r="CI543" s="14"/>
      <c r="CJ543" s="14"/>
      <c r="CK543" s="14"/>
      <c r="CL543" s="14"/>
      <c r="CT543" s="14"/>
      <c r="CW543" s="3"/>
      <c r="DG543" s="4"/>
    </row>
    <row r="544" customFormat="false" ht="11.25" hidden="false" customHeight="true" outlineLevel="0" collapsed="false">
      <c r="A544" s="14"/>
      <c r="B544" s="15"/>
      <c r="C544" s="15"/>
      <c r="D544" s="14"/>
      <c r="E544" s="14"/>
      <c r="F544" s="14"/>
      <c r="G544" s="14"/>
      <c r="H544" s="15"/>
      <c r="I544" s="15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4"/>
      <c r="AX544" s="14"/>
      <c r="AY544" s="14"/>
      <c r="AZ544" s="14"/>
      <c r="BA544" s="14"/>
      <c r="BB544" s="14"/>
      <c r="BC544" s="14"/>
      <c r="BD544" s="14"/>
      <c r="BE544" s="14"/>
      <c r="BF544" s="14"/>
      <c r="BG544" s="14"/>
      <c r="BH544" s="14"/>
      <c r="BI544" s="14"/>
      <c r="BJ544" s="14"/>
      <c r="BK544" s="14"/>
      <c r="BL544" s="14"/>
      <c r="BM544" s="14"/>
      <c r="BN544" s="14"/>
      <c r="BO544" s="14"/>
      <c r="BP544" s="14"/>
      <c r="BQ544" s="14"/>
      <c r="BR544" s="14"/>
      <c r="BS544" s="14"/>
      <c r="BT544" s="14"/>
      <c r="BU544" s="14"/>
      <c r="BV544" s="14"/>
      <c r="BW544" s="14"/>
      <c r="BX544" s="14"/>
      <c r="BY544" s="14"/>
      <c r="BZ544" s="14"/>
      <c r="CA544" s="14"/>
      <c r="CB544" s="14"/>
      <c r="CC544" s="14"/>
      <c r="CD544" s="14"/>
      <c r="CE544" s="14"/>
      <c r="CF544" s="14"/>
      <c r="CG544" s="14"/>
      <c r="CH544" s="14"/>
      <c r="CI544" s="14"/>
      <c r="CJ544" s="14"/>
      <c r="CK544" s="14"/>
      <c r="CL544" s="14"/>
      <c r="CT544" s="14"/>
      <c r="CW544" s="3"/>
      <c r="DG544" s="4"/>
    </row>
    <row r="545" customFormat="false" ht="11.25" hidden="false" customHeight="true" outlineLevel="0" collapsed="false">
      <c r="A545" s="14"/>
      <c r="B545" s="15"/>
      <c r="C545" s="15"/>
      <c r="D545" s="14"/>
      <c r="E545" s="14"/>
      <c r="F545" s="14"/>
      <c r="G545" s="14"/>
      <c r="H545" s="15"/>
      <c r="I545" s="15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  <c r="AX545" s="14"/>
      <c r="AY545" s="14"/>
      <c r="AZ545" s="14"/>
      <c r="BA545" s="14"/>
      <c r="BB545" s="14"/>
      <c r="BC545" s="14"/>
      <c r="BD545" s="14"/>
      <c r="BE545" s="14"/>
      <c r="BF545" s="14"/>
      <c r="BG545" s="14"/>
      <c r="BH545" s="14"/>
      <c r="BI545" s="14"/>
      <c r="BJ545" s="14"/>
      <c r="BK545" s="14"/>
      <c r="BL545" s="14"/>
      <c r="BM545" s="14"/>
      <c r="BN545" s="14"/>
      <c r="BO545" s="14"/>
      <c r="BP545" s="14"/>
      <c r="BQ545" s="14"/>
      <c r="BR545" s="14"/>
      <c r="BS545" s="14"/>
      <c r="BT545" s="14"/>
      <c r="BU545" s="14"/>
      <c r="BV545" s="14"/>
      <c r="BW545" s="14"/>
      <c r="BX545" s="14"/>
      <c r="BY545" s="14"/>
      <c r="BZ545" s="14"/>
      <c r="CA545" s="14"/>
      <c r="CB545" s="14"/>
      <c r="CC545" s="14"/>
      <c r="CD545" s="14"/>
      <c r="CE545" s="14"/>
      <c r="CF545" s="14"/>
      <c r="CG545" s="14"/>
      <c r="CH545" s="14"/>
      <c r="CI545" s="14"/>
      <c r="CJ545" s="14"/>
      <c r="CK545" s="14"/>
      <c r="CL545" s="14"/>
      <c r="CT545" s="14"/>
      <c r="CW545" s="3"/>
      <c r="DG545" s="4"/>
    </row>
    <row r="546" customFormat="false" ht="11.25" hidden="false" customHeight="true" outlineLevel="0" collapsed="false">
      <c r="A546" s="14"/>
      <c r="B546" s="15"/>
      <c r="C546" s="15"/>
      <c r="D546" s="14"/>
      <c r="E546" s="14"/>
      <c r="F546" s="14"/>
      <c r="G546" s="14"/>
      <c r="H546" s="15"/>
      <c r="I546" s="15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4"/>
      <c r="AX546" s="14"/>
      <c r="AY546" s="14"/>
      <c r="AZ546" s="14"/>
      <c r="BA546" s="14"/>
      <c r="BB546" s="14"/>
      <c r="BC546" s="14"/>
      <c r="BD546" s="14"/>
      <c r="BE546" s="14"/>
      <c r="BF546" s="14"/>
      <c r="BG546" s="14"/>
      <c r="BH546" s="14"/>
      <c r="BI546" s="14"/>
      <c r="BJ546" s="14"/>
      <c r="BK546" s="14"/>
      <c r="BL546" s="14"/>
      <c r="BM546" s="14"/>
      <c r="BN546" s="14"/>
      <c r="BO546" s="14"/>
      <c r="BP546" s="14"/>
      <c r="BQ546" s="14"/>
      <c r="BR546" s="14"/>
      <c r="BS546" s="14"/>
      <c r="BT546" s="14"/>
      <c r="BU546" s="14"/>
      <c r="BV546" s="14"/>
      <c r="BW546" s="14"/>
      <c r="BX546" s="14"/>
      <c r="BY546" s="14"/>
      <c r="BZ546" s="14"/>
      <c r="CA546" s="14"/>
      <c r="CB546" s="14"/>
      <c r="CC546" s="14"/>
      <c r="CD546" s="14"/>
      <c r="CE546" s="14"/>
      <c r="CF546" s="14"/>
      <c r="CG546" s="14"/>
      <c r="CH546" s="14"/>
      <c r="CI546" s="14"/>
      <c r="CJ546" s="14"/>
      <c r="CK546" s="14"/>
      <c r="CL546" s="14"/>
      <c r="CT546" s="14"/>
      <c r="CW546" s="3"/>
      <c r="DG546" s="4"/>
    </row>
    <row r="547" customFormat="false" ht="11.25" hidden="false" customHeight="true" outlineLevel="0" collapsed="false">
      <c r="A547" s="14"/>
      <c r="B547" s="15"/>
      <c r="C547" s="15"/>
      <c r="D547" s="14"/>
      <c r="E547" s="14"/>
      <c r="F547" s="14"/>
      <c r="G547" s="14"/>
      <c r="H547" s="15"/>
      <c r="I547" s="15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  <c r="AX547" s="14"/>
      <c r="AY547" s="14"/>
      <c r="AZ547" s="14"/>
      <c r="BA547" s="14"/>
      <c r="BB547" s="14"/>
      <c r="BC547" s="14"/>
      <c r="BD547" s="14"/>
      <c r="BE547" s="14"/>
      <c r="BF547" s="14"/>
      <c r="BG547" s="14"/>
      <c r="BH547" s="14"/>
      <c r="BI547" s="14"/>
      <c r="BJ547" s="14"/>
      <c r="BK547" s="14"/>
      <c r="BL547" s="14"/>
      <c r="BM547" s="14"/>
      <c r="BN547" s="14"/>
      <c r="BO547" s="14"/>
      <c r="BP547" s="14"/>
      <c r="BQ547" s="14"/>
      <c r="BR547" s="14"/>
      <c r="BS547" s="14"/>
      <c r="BT547" s="14"/>
      <c r="BU547" s="14"/>
      <c r="BV547" s="14"/>
      <c r="BW547" s="14"/>
      <c r="BX547" s="14"/>
      <c r="BY547" s="14"/>
      <c r="BZ547" s="14"/>
      <c r="CA547" s="14"/>
      <c r="CB547" s="14"/>
      <c r="CC547" s="14"/>
      <c r="CD547" s="14"/>
      <c r="CE547" s="14"/>
      <c r="CF547" s="14"/>
      <c r="CG547" s="14"/>
      <c r="CH547" s="14"/>
      <c r="CI547" s="14"/>
      <c r="CJ547" s="14"/>
      <c r="CK547" s="14"/>
      <c r="CL547" s="14"/>
      <c r="CT547" s="14"/>
      <c r="CW547" s="3"/>
      <c r="DG547" s="4"/>
    </row>
    <row r="548" customFormat="false" ht="11.25" hidden="false" customHeight="true" outlineLevel="0" collapsed="false">
      <c r="A548" s="14"/>
      <c r="B548" s="15"/>
      <c r="C548" s="15"/>
      <c r="D548" s="14"/>
      <c r="E548" s="14"/>
      <c r="F548" s="14"/>
      <c r="G548" s="14"/>
      <c r="H548" s="15"/>
      <c r="I548" s="15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4"/>
      <c r="AX548" s="14"/>
      <c r="AY548" s="14"/>
      <c r="AZ548" s="14"/>
      <c r="BA548" s="14"/>
      <c r="BB548" s="14"/>
      <c r="BC548" s="14"/>
      <c r="BD548" s="14"/>
      <c r="BE548" s="14"/>
      <c r="BF548" s="14"/>
      <c r="BG548" s="14"/>
      <c r="BH548" s="14"/>
      <c r="BI548" s="14"/>
      <c r="BJ548" s="14"/>
      <c r="BK548" s="14"/>
      <c r="BL548" s="14"/>
      <c r="BM548" s="14"/>
      <c r="BN548" s="14"/>
      <c r="BO548" s="14"/>
      <c r="BP548" s="14"/>
      <c r="BQ548" s="14"/>
      <c r="BR548" s="14"/>
      <c r="BS548" s="14"/>
      <c r="BT548" s="14"/>
      <c r="BU548" s="14"/>
      <c r="BV548" s="14"/>
      <c r="BW548" s="14"/>
      <c r="BX548" s="14"/>
      <c r="BY548" s="14"/>
      <c r="BZ548" s="14"/>
      <c r="CA548" s="14"/>
      <c r="CB548" s="14"/>
      <c r="CC548" s="14"/>
      <c r="CD548" s="14"/>
      <c r="CE548" s="14"/>
      <c r="CF548" s="14"/>
      <c r="CG548" s="14"/>
      <c r="CH548" s="14"/>
      <c r="CI548" s="14"/>
      <c r="CJ548" s="14"/>
      <c r="CK548" s="14"/>
      <c r="CL548" s="14"/>
      <c r="CT548" s="14"/>
      <c r="CW548" s="3"/>
      <c r="DG548" s="4"/>
    </row>
    <row r="549" customFormat="false" ht="11.25" hidden="false" customHeight="true" outlineLevel="0" collapsed="false">
      <c r="A549" s="14"/>
      <c r="B549" s="15"/>
      <c r="C549" s="15"/>
      <c r="D549" s="14"/>
      <c r="E549" s="14"/>
      <c r="F549" s="14"/>
      <c r="G549" s="14"/>
      <c r="H549" s="15"/>
      <c r="I549" s="15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X549" s="14"/>
      <c r="AY549" s="14"/>
      <c r="AZ549" s="14"/>
      <c r="BA549" s="14"/>
      <c r="BB549" s="14"/>
      <c r="BC549" s="14"/>
      <c r="BD549" s="14"/>
      <c r="BE549" s="14"/>
      <c r="BF549" s="14"/>
      <c r="BG549" s="14"/>
      <c r="BH549" s="14"/>
      <c r="BI549" s="14"/>
      <c r="BJ549" s="14"/>
      <c r="BK549" s="14"/>
      <c r="BL549" s="14"/>
      <c r="BM549" s="14"/>
      <c r="BN549" s="14"/>
      <c r="BO549" s="14"/>
      <c r="BP549" s="14"/>
      <c r="BQ549" s="14"/>
      <c r="BR549" s="14"/>
      <c r="BS549" s="14"/>
      <c r="BT549" s="14"/>
      <c r="BU549" s="14"/>
      <c r="BV549" s="14"/>
      <c r="BW549" s="14"/>
      <c r="BX549" s="14"/>
      <c r="BY549" s="14"/>
      <c r="BZ549" s="14"/>
      <c r="CA549" s="14"/>
      <c r="CB549" s="14"/>
      <c r="CC549" s="14"/>
      <c r="CD549" s="14"/>
      <c r="CE549" s="14"/>
      <c r="CF549" s="14"/>
      <c r="CG549" s="14"/>
      <c r="CH549" s="14"/>
      <c r="CI549" s="14"/>
      <c r="CJ549" s="14"/>
      <c r="CK549" s="14"/>
      <c r="CL549" s="14"/>
      <c r="CT549" s="14"/>
      <c r="CW549" s="3"/>
      <c r="DG549" s="4"/>
    </row>
    <row r="550" customFormat="false" ht="11.25" hidden="false" customHeight="true" outlineLevel="0" collapsed="false">
      <c r="A550" s="14"/>
      <c r="B550" s="15"/>
      <c r="C550" s="15"/>
      <c r="D550" s="14"/>
      <c r="E550" s="14"/>
      <c r="F550" s="14"/>
      <c r="G550" s="14"/>
      <c r="H550" s="15"/>
      <c r="I550" s="15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14"/>
      <c r="AX550" s="14"/>
      <c r="AY550" s="14"/>
      <c r="AZ550" s="14"/>
      <c r="BA550" s="14"/>
      <c r="BB550" s="14"/>
      <c r="BC550" s="14"/>
      <c r="BD550" s="14"/>
      <c r="BE550" s="14"/>
      <c r="BF550" s="14"/>
      <c r="BG550" s="14"/>
      <c r="BH550" s="14"/>
      <c r="BI550" s="14"/>
      <c r="BJ550" s="14"/>
      <c r="BK550" s="14"/>
      <c r="BL550" s="14"/>
      <c r="BM550" s="14"/>
      <c r="BN550" s="14"/>
      <c r="BO550" s="14"/>
      <c r="BP550" s="14"/>
      <c r="BQ550" s="14"/>
      <c r="BR550" s="14"/>
      <c r="BS550" s="14"/>
      <c r="BT550" s="14"/>
      <c r="BU550" s="14"/>
      <c r="BV550" s="14"/>
      <c r="BW550" s="14"/>
      <c r="BX550" s="14"/>
      <c r="BY550" s="14"/>
      <c r="BZ550" s="14"/>
      <c r="CA550" s="14"/>
      <c r="CB550" s="14"/>
      <c r="CC550" s="14"/>
      <c r="CD550" s="14"/>
      <c r="CE550" s="14"/>
      <c r="CF550" s="14"/>
      <c r="CG550" s="14"/>
      <c r="CH550" s="14"/>
      <c r="CI550" s="14"/>
      <c r="CJ550" s="14"/>
      <c r="CK550" s="14"/>
      <c r="CL550" s="14"/>
      <c r="CT550" s="14"/>
      <c r="CW550" s="3"/>
      <c r="DG550" s="4"/>
    </row>
    <row r="551" customFormat="false" ht="11.25" hidden="false" customHeight="true" outlineLevel="0" collapsed="false">
      <c r="A551" s="14"/>
      <c r="B551" s="15"/>
      <c r="C551" s="15"/>
      <c r="D551" s="14"/>
      <c r="E551" s="14"/>
      <c r="F551" s="14"/>
      <c r="G551" s="14"/>
      <c r="H551" s="15"/>
      <c r="I551" s="15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X551" s="14"/>
      <c r="AY551" s="14"/>
      <c r="AZ551" s="14"/>
      <c r="BA551" s="14"/>
      <c r="BB551" s="14"/>
      <c r="BC551" s="14"/>
      <c r="BD551" s="14"/>
      <c r="BE551" s="14"/>
      <c r="BF551" s="14"/>
      <c r="BG551" s="14"/>
      <c r="BH551" s="14"/>
      <c r="BI551" s="14"/>
      <c r="BJ551" s="14"/>
      <c r="BK551" s="14"/>
      <c r="BL551" s="14"/>
      <c r="BM551" s="14"/>
      <c r="BN551" s="14"/>
      <c r="BO551" s="14"/>
      <c r="BP551" s="14"/>
      <c r="BQ551" s="14"/>
      <c r="BR551" s="14"/>
      <c r="BS551" s="14"/>
      <c r="BT551" s="14"/>
      <c r="BU551" s="14"/>
      <c r="BV551" s="14"/>
      <c r="BW551" s="14"/>
      <c r="BX551" s="14"/>
      <c r="BY551" s="14"/>
      <c r="BZ551" s="14"/>
      <c r="CA551" s="14"/>
      <c r="CB551" s="14"/>
      <c r="CC551" s="14"/>
      <c r="CD551" s="14"/>
      <c r="CE551" s="14"/>
      <c r="CF551" s="14"/>
      <c r="CG551" s="14"/>
      <c r="CH551" s="14"/>
      <c r="CI551" s="14"/>
      <c r="CJ551" s="14"/>
      <c r="CK551" s="14"/>
      <c r="CL551" s="14"/>
      <c r="CT551" s="14"/>
      <c r="CW551" s="3"/>
      <c r="DG551" s="4"/>
    </row>
    <row r="552" customFormat="false" ht="11.25" hidden="false" customHeight="true" outlineLevel="0" collapsed="false">
      <c r="A552" s="14"/>
      <c r="B552" s="15"/>
      <c r="C552" s="15"/>
      <c r="D552" s="14"/>
      <c r="E552" s="14"/>
      <c r="F552" s="14"/>
      <c r="G552" s="14"/>
      <c r="H552" s="15"/>
      <c r="I552" s="15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4"/>
      <c r="AX552" s="14"/>
      <c r="AY552" s="14"/>
      <c r="AZ552" s="14"/>
      <c r="BA552" s="14"/>
      <c r="BB552" s="14"/>
      <c r="BC552" s="14"/>
      <c r="BD552" s="14"/>
      <c r="BE552" s="14"/>
      <c r="BF552" s="14"/>
      <c r="BG552" s="14"/>
      <c r="BH552" s="14"/>
      <c r="BI552" s="14"/>
      <c r="BJ552" s="14"/>
      <c r="BK552" s="14"/>
      <c r="BL552" s="14"/>
      <c r="BM552" s="14"/>
      <c r="BN552" s="14"/>
      <c r="BO552" s="14"/>
      <c r="BP552" s="14"/>
      <c r="BQ552" s="14"/>
      <c r="BR552" s="14"/>
      <c r="BS552" s="14"/>
      <c r="BT552" s="14"/>
      <c r="BU552" s="14"/>
      <c r="BV552" s="14"/>
      <c r="BW552" s="14"/>
      <c r="BX552" s="14"/>
      <c r="BY552" s="14"/>
      <c r="BZ552" s="14"/>
      <c r="CA552" s="14"/>
      <c r="CB552" s="14"/>
      <c r="CC552" s="14"/>
      <c r="CD552" s="14"/>
      <c r="CE552" s="14"/>
      <c r="CF552" s="14"/>
      <c r="CG552" s="14"/>
      <c r="CH552" s="14"/>
      <c r="CI552" s="14"/>
      <c r="CJ552" s="14"/>
      <c r="CK552" s="14"/>
      <c r="CL552" s="14"/>
      <c r="CT552" s="14"/>
      <c r="CW552" s="3"/>
      <c r="DG552" s="4"/>
    </row>
    <row r="553" customFormat="false" ht="11.25" hidden="false" customHeight="true" outlineLevel="0" collapsed="false">
      <c r="A553" s="14"/>
      <c r="B553" s="15"/>
      <c r="C553" s="15"/>
      <c r="D553" s="14"/>
      <c r="E553" s="14"/>
      <c r="F553" s="14"/>
      <c r="G553" s="14"/>
      <c r="H553" s="15"/>
      <c r="I553" s="15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  <c r="AX553" s="14"/>
      <c r="AY553" s="14"/>
      <c r="AZ553" s="14"/>
      <c r="BA553" s="14"/>
      <c r="BB553" s="14"/>
      <c r="BC553" s="14"/>
      <c r="BD553" s="14"/>
      <c r="BE553" s="14"/>
      <c r="BF553" s="14"/>
      <c r="BG553" s="14"/>
      <c r="BH553" s="14"/>
      <c r="BI553" s="14"/>
      <c r="BJ553" s="14"/>
      <c r="BK553" s="14"/>
      <c r="BL553" s="14"/>
      <c r="BM553" s="14"/>
      <c r="BN553" s="14"/>
      <c r="BO553" s="14"/>
      <c r="BP553" s="14"/>
      <c r="BQ553" s="14"/>
      <c r="BR553" s="14"/>
      <c r="BS553" s="14"/>
      <c r="BT553" s="14"/>
      <c r="BU553" s="14"/>
      <c r="BV553" s="14"/>
      <c r="BW553" s="14"/>
      <c r="BX553" s="14"/>
      <c r="BY553" s="14"/>
      <c r="BZ553" s="14"/>
      <c r="CA553" s="14"/>
      <c r="CB553" s="14"/>
      <c r="CC553" s="14"/>
      <c r="CD553" s="14"/>
      <c r="CE553" s="14"/>
      <c r="CF553" s="14"/>
      <c r="CG553" s="14"/>
      <c r="CH553" s="14"/>
      <c r="CI553" s="14"/>
      <c r="CJ553" s="14"/>
      <c r="CK553" s="14"/>
      <c r="CL553" s="14"/>
      <c r="CT553" s="14"/>
      <c r="CW553" s="3"/>
      <c r="DG553" s="4"/>
    </row>
    <row r="554" customFormat="false" ht="11.25" hidden="false" customHeight="true" outlineLevel="0" collapsed="false">
      <c r="A554" s="14"/>
      <c r="B554" s="15"/>
      <c r="C554" s="15"/>
      <c r="D554" s="14"/>
      <c r="E554" s="14"/>
      <c r="F554" s="14"/>
      <c r="G554" s="14"/>
      <c r="H554" s="15"/>
      <c r="I554" s="15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4"/>
      <c r="AX554" s="14"/>
      <c r="AY554" s="14"/>
      <c r="AZ554" s="14"/>
      <c r="BA554" s="14"/>
      <c r="BB554" s="14"/>
      <c r="BC554" s="14"/>
      <c r="BD554" s="14"/>
      <c r="BE554" s="14"/>
      <c r="BF554" s="14"/>
      <c r="BG554" s="14"/>
      <c r="BH554" s="14"/>
      <c r="BI554" s="14"/>
      <c r="BJ554" s="14"/>
      <c r="BK554" s="14"/>
      <c r="BL554" s="14"/>
      <c r="BM554" s="14"/>
      <c r="BN554" s="14"/>
      <c r="BO554" s="14"/>
      <c r="BP554" s="14"/>
      <c r="BQ554" s="14"/>
      <c r="BR554" s="14"/>
      <c r="BS554" s="14"/>
      <c r="BT554" s="14"/>
      <c r="BU554" s="14"/>
      <c r="BV554" s="14"/>
      <c r="BW554" s="14"/>
      <c r="BX554" s="14"/>
      <c r="BY554" s="14"/>
      <c r="BZ554" s="14"/>
      <c r="CA554" s="14"/>
      <c r="CB554" s="14"/>
      <c r="CC554" s="14"/>
      <c r="CD554" s="14"/>
      <c r="CE554" s="14"/>
      <c r="CF554" s="14"/>
      <c r="CG554" s="14"/>
      <c r="CH554" s="14"/>
      <c r="CI554" s="14"/>
      <c r="CJ554" s="14"/>
      <c r="CK554" s="14"/>
      <c r="CL554" s="14"/>
      <c r="CT554" s="14"/>
      <c r="CW554" s="3"/>
      <c r="DG554" s="4"/>
    </row>
    <row r="555" customFormat="false" ht="11.25" hidden="false" customHeight="true" outlineLevel="0" collapsed="false">
      <c r="A555" s="14"/>
      <c r="B555" s="15"/>
      <c r="C555" s="15"/>
      <c r="D555" s="14"/>
      <c r="E555" s="14"/>
      <c r="F555" s="14"/>
      <c r="G555" s="14"/>
      <c r="H555" s="15"/>
      <c r="I555" s="15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  <c r="AY555" s="14"/>
      <c r="AZ555" s="14"/>
      <c r="BA555" s="14"/>
      <c r="BB555" s="14"/>
      <c r="BC555" s="14"/>
      <c r="BD555" s="14"/>
      <c r="BE555" s="14"/>
      <c r="BF555" s="14"/>
      <c r="BG555" s="14"/>
      <c r="BH555" s="14"/>
      <c r="BI555" s="14"/>
      <c r="BJ555" s="14"/>
      <c r="BK555" s="14"/>
      <c r="BL555" s="14"/>
      <c r="BM555" s="14"/>
      <c r="BN555" s="14"/>
      <c r="BO555" s="14"/>
      <c r="BP555" s="14"/>
      <c r="BQ555" s="14"/>
      <c r="BR555" s="14"/>
      <c r="BS555" s="14"/>
      <c r="BT555" s="14"/>
      <c r="BU555" s="14"/>
      <c r="BV555" s="14"/>
      <c r="BW555" s="14"/>
      <c r="BX555" s="14"/>
      <c r="BY555" s="14"/>
      <c r="BZ555" s="14"/>
      <c r="CA555" s="14"/>
      <c r="CB555" s="14"/>
      <c r="CC555" s="14"/>
      <c r="CD555" s="14"/>
      <c r="CE555" s="14"/>
      <c r="CF555" s="14"/>
      <c r="CG555" s="14"/>
      <c r="CH555" s="14"/>
      <c r="CI555" s="14"/>
      <c r="CJ555" s="14"/>
      <c r="CK555" s="14"/>
      <c r="CL555" s="14"/>
      <c r="CT555" s="14"/>
      <c r="CW555" s="3"/>
      <c r="DG555" s="4"/>
    </row>
    <row r="556" customFormat="false" ht="11.25" hidden="false" customHeight="true" outlineLevel="0" collapsed="false">
      <c r="A556" s="14"/>
      <c r="B556" s="15"/>
      <c r="C556" s="15"/>
      <c r="D556" s="14"/>
      <c r="E556" s="14"/>
      <c r="F556" s="14"/>
      <c r="G556" s="14"/>
      <c r="H556" s="15"/>
      <c r="I556" s="15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  <c r="AX556" s="14"/>
      <c r="AY556" s="14"/>
      <c r="AZ556" s="14"/>
      <c r="BA556" s="14"/>
      <c r="BB556" s="14"/>
      <c r="BC556" s="14"/>
      <c r="BD556" s="14"/>
      <c r="BE556" s="14"/>
      <c r="BF556" s="14"/>
      <c r="BG556" s="14"/>
      <c r="BH556" s="14"/>
      <c r="BI556" s="14"/>
      <c r="BJ556" s="14"/>
      <c r="BK556" s="14"/>
      <c r="BL556" s="14"/>
      <c r="BM556" s="14"/>
      <c r="BN556" s="14"/>
      <c r="BO556" s="14"/>
      <c r="BP556" s="14"/>
      <c r="BQ556" s="14"/>
      <c r="BR556" s="14"/>
      <c r="BS556" s="14"/>
      <c r="BT556" s="14"/>
      <c r="BU556" s="14"/>
      <c r="BV556" s="14"/>
      <c r="BW556" s="14"/>
      <c r="BX556" s="14"/>
      <c r="BY556" s="14"/>
      <c r="BZ556" s="14"/>
      <c r="CA556" s="14"/>
      <c r="CB556" s="14"/>
      <c r="CC556" s="14"/>
      <c r="CD556" s="14"/>
      <c r="CE556" s="14"/>
      <c r="CF556" s="14"/>
      <c r="CG556" s="14"/>
      <c r="CH556" s="14"/>
      <c r="CI556" s="14"/>
      <c r="CJ556" s="14"/>
      <c r="CK556" s="14"/>
      <c r="CL556" s="14"/>
      <c r="CT556" s="14"/>
      <c r="CW556" s="3"/>
      <c r="DG556" s="4"/>
    </row>
    <row r="557" customFormat="false" ht="11.25" hidden="false" customHeight="true" outlineLevel="0" collapsed="false">
      <c r="A557" s="14"/>
      <c r="B557" s="15"/>
      <c r="C557" s="15"/>
      <c r="D557" s="14"/>
      <c r="E557" s="14"/>
      <c r="F557" s="14"/>
      <c r="G557" s="14"/>
      <c r="H557" s="15"/>
      <c r="I557" s="15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X557" s="14"/>
      <c r="AY557" s="14"/>
      <c r="AZ557" s="14"/>
      <c r="BA557" s="14"/>
      <c r="BB557" s="14"/>
      <c r="BC557" s="14"/>
      <c r="BD557" s="14"/>
      <c r="BE557" s="14"/>
      <c r="BF557" s="14"/>
      <c r="BG557" s="14"/>
      <c r="BH557" s="14"/>
      <c r="BI557" s="14"/>
      <c r="BJ557" s="14"/>
      <c r="BK557" s="14"/>
      <c r="BL557" s="14"/>
      <c r="BM557" s="14"/>
      <c r="BN557" s="14"/>
      <c r="BO557" s="14"/>
      <c r="BP557" s="14"/>
      <c r="BQ557" s="14"/>
      <c r="BR557" s="14"/>
      <c r="BS557" s="14"/>
      <c r="BT557" s="14"/>
      <c r="BU557" s="14"/>
      <c r="BV557" s="14"/>
      <c r="BW557" s="14"/>
      <c r="BX557" s="14"/>
      <c r="BY557" s="14"/>
      <c r="BZ557" s="14"/>
      <c r="CA557" s="14"/>
      <c r="CB557" s="14"/>
      <c r="CC557" s="14"/>
      <c r="CD557" s="14"/>
      <c r="CE557" s="14"/>
      <c r="CF557" s="14"/>
      <c r="CG557" s="14"/>
      <c r="CH557" s="14"/>
      <c r="CI557" s="14"/>
      <c r="CJ557" s="14"/>
      <c r="CK557" s="14"/>
      <c r="CL557" s="14"/>
      <c r="CT557" s="14"/>
      <c r="CW557" s="3"/>
      <c r="DG557" s="4"/>
    </row>
    <row r="558" customFormat="false" ht="11.25" hidden="false" customHeight="true" outlineLevel="0" collapsed="false">
      <c r="A558" s="14"/>
      <c r="B558" s="15"/>
      <c r="C558" s="15"/>
      <c r="D558" s="14"/>
      <c r="E558" s="14"/>
      <c r="F558" s="14"/>
      <c r="G558" s="14"/>
      <c r="H558" s="15"/>
      <c r="I558" s="15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4"/>
      <c r="AX558" s="14"/>
      <c r="AY558" s="14"/>
      <c r="AZ558" s="14"/>
      <c r="BA558" s="14"/>
      <c r="BB558" s="14"/>
      <c r="BC558" s="14"/>
      <c r="BD558" s="14"/>
      <c r="BE558" s="14"/>
      <c r="BF558" s="14"/>
      <c r="BG558" s="14"/>
      <c r="BH558" s="14"/>
      <c r="BI558" s="14"/>
      <c r="BJ558" s="14"/>
      <c r="BK558" s="14"/>
      <c r="BL558" s="14"/>
      <c r="BM558" s="14"/>
      <c r="BN558" s="14"/>
      <c r="BO558" s="14"/>
      <c r="BP558" s="14"/>
      <c r="BQ558" s="14"/>
      <c r="BR558" s="14"/>
      <c r="BS558" s="14"/>
      <c r="BT558" s="14"/>
      <c r="BU558" s="14"/>
      <c r="BV558" s="14"/>
      <c r="BW558" s="14"/>
      <c r="BX558" s="14"/>
      <c r="BY558" s="14"/>
      <c r="BZ558" s="14"/>
      <c r="CA558" s="14"/>
      <c r="CB558" s="14"/>
      <c r="CC558" s="14"/>
      <c r="CD558" s="14"/>
      <c r="CE558" s="14"/>
      <c r="CF558" s="14"/>
      <c r="CG558" s="14"/>
      <c r="CH558" s="14"/>
      <c r="CI558" s="14"/>
      <c r="CJ558" s="14"/>
      <c r="CK558" s="14"/>
      <c r="CL558" s="14"/>
      <c r="CT558" s="14"/>
      <c r="CW558" s="3"/>
      <c r="DG558" s="4"/>
    </row>
    <row r="559" customFormat="false" ht="11.25" hidden="false" customHeight="true" outlineLevel="0" collapsed="false">
      <c r="A559" s="14"/>
      <c r="B559" s="15"/>
      <c r="C559" s="15"/>
      <c r="D559" s="14"/>
      <c r="E559" s="14"/>
      <c r="F559" s="14"/>
      <c r="G559" s="14"/>
      <c r="H559" s="15"/>
      <c r="I559" s="15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  <c r="AX559" s="14"/>
      <c r="AY559" s="14"/>
      <c r="AZ559" s="14"/>
      <c r="BA559" s="14"/>
      <c r="BB559" s="14"/>
      <c r="BC559" s="14"/>
      <c r="BD559" s="14"/>
      <c r="BE559" s="14"/>
      <c r="BF559" s="14"/>
      <c r="BG559" s="14"/>
      <c r="BH559" s="14"/>
      <c r="BI559" s="14"/>
      <c r="BJ559" s="14"/>
      <c r="BK559" s="14"/>
      <c r="BL559" s="14"/>
      <c r="BM559" s="14"/>
      <c r="BN559" s="14"/>
      <c r="BO559" s="14"/>
      <c r="BP559" s="14"/>
      <c r="BQ559" s="14"/>
      <c r="BR559" s="14"/>
      <c r="BS559" s="14"/>
      <c r="BT559" s="14"/>
      <c r="BU559" s="14"/>
      <c r="BV559" s="14"/>
      <c r="BW559" s="14"/>
      <c r="BX559" s="14"/>
      <c r="BY559" s="14"/>
      <c r="BZ559" s="14"/>
      <c r="CA559" s="14"/>
      <c r="CB559" s="14"/>
      <c r="CC559" s="14"/>
      <c r="CD559" s="14"/>
      <c r="CE559" s="14"/>
      <c r="CF559" s="14"/>
      <c r="CG559" s="14"/>
      <c r="CH559" s="14"/>
      <c r="CI559" s="14"/>
      <c r="CJ559" s="14"/>
      <c r="CK559" s="14"/>
      <c r="CL559" s="14"/>
      <c r="CT559" s="14"/>
      <c r="CW559" s="3"/>
      <c r="DG559" s="4"/>
    </row>
    <row r="560" customFormat="false" ht="11.25" hidden="false" customHeight="true" outlineLevel="0" collapsed="false">
      <c r="A560" s="14"/>
      <c r="B560" s="15"/>
      <c r="C560" s="15"/>
      <c r="D560" s="14"/>
      <c r="E560" s="14"/>
      <c r="F560" s="14"/>
      <c r="G560" s="14"/>
      <c r="H560" s="15"/>
      <c r="I560" s="15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  <c r="AW560" s="14"/>
      <c r="AX560" s="14"/>
      <c r="AY560" s="14"/>
      <c r="AZ560" s="14"/>
      <c r="BA560" s="14"/>
      <c r="BB560" s="14"/>
      <c r="BC560" s="14"/>
      <c r="BD560" s="14"/>
      <c r="BE560" s="14"/>
      <c r="BF560" s="14"/>
      <c r="BG560" s="14"/>
      <c r="BH560" s="14"/>
      <c r="BI560" s="14"/>
      <c r="BJ560" s="14"/>
      <c r="BK560" s="14"/>
      <c r="BL560" s="14"/>
      <c r="BM560" s="14"/>
      <c r="BN560" s="14"/>
      <c r="BO560" s="14"/>
      <c r="BP560" s="14"/>
      <c r="BQ560" s="14"/>
      <c r="BR560" s="14"/>
      <c r="BS560" s="14"/>
      <c r="BT560" s="14"/>
      <c r="BU560" s="14"/>
      <c r="BV560" s="14"/>
      <c r="BW560" s="14"/>
      <c r="BX560" s="14"/>
      <c r="BY560" s="14"/>
      <c r="BZ560" s="14"/>
      <c r="CA560" s="14"/>
      <c r="CB560" s="14"/>
      <c r="CC560" s="14"/>
      <c r="CD560" s="14"/>
      <c r="CE560" s="14"/>
      <c r="CF560" s="14"/>
      <c r="CG560" s="14"/>
      <c r="CH560" s="14"/>
      <c r="CI560" s="14"/>
      <c r="CJ560" s="14"/>
      <c r="CK560" s="14"/>
      <c r="CL560" s="14"/>
      <c r="CT560" s="14"/>
      <c r="CW560" s="3"/>
      <c r="DG560" s="4"/>
    </row>
    <row r="561" customFormat="false" ht="11.25" hidden="false" customHeight="true" outlineLevel="0" collapsed="false">
      <c r="A561" s="14"/>
      <c r="B561" s="15"/>
      <c r="C561" s="15"/>
      <c r="D561" s="14"/>
      <c r="E561" s="14"/>
      <c r="F561" s="14"/>
      <c r="G561" s="14"/>
      <c r="H561" s="15"/>
      <c r="I561" s="15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4"/>
      <c r="AX561" s="14"/>
      <c r="AY561" s="14"/>
      <c r="AZ561" s="14"/>
      <c r="BA561" s="14"/>
      <c r="BB561" s="14"/>
      <c r="BC561" s="14"/>
      <c r="BD561" s="14"/>
      <c r="BE561" s="14"/>
      <c r="BF561" s="14"/>
      <c r="BG561" s="14"/>
      <c r="BH561" s="14"/>
      <c r="BI561" s="14"/>
      <c r="BJ561" s="14"/>
      <c r="BK561" s="14"/>
      <c r="BL561" s="14"/>
      <c r="BM561" s="14"/>
      <c r="BN561" s="14"/>
      <c r="BO561" s="14"/>
      <c r="BP561" s="14"/>
      <c r="BQ561" s="14"/>
      <c r="BR561" s="14"/>
      <c r="BS561" s="14"/>
      <c r="BT561" s="14"/>
      <c r="BU561" s="14"/>
      <c r="BV561" s="14"/>
      <c r="BW561" s="14"/>
      <c r="BX561" s="14"/>
      <c r="BY561" s="14"/>
      <c r="BZ561" s="14"/>
      <c r="CA561" s="14"/>
      <c r="CB561" s="14"/>
      <c r="CC561" s="14"/>
      <c r="CD561" s="14"/>
      <c r="CE561" s="14"/>
      <c r="CF561" s="14"/>
      <c r="CG561" s="14"/>
      <c r="CH561" s="14"/>
      <c r="CI561" s="14"/>
      <c r="CJ561" s="14"/>
      <c r="CK561" s="14"/>
      <c r="CL561" s="14"/>
      <c r="CT561" s="14"/>
      <c r="CW561" s="3"/>
      <c r="DG561" s="4"/>
    </row>
    <row r="562" customFormat="false" ht="11.25" hidden="false" customHeight="true" outlineLevel="0" collapsed="false">
      <c r="A562" s="14"/>
      <c r="B562" s="15"/>
      <c r="C562" s="15"/>
      <c r="D562" s="14"/>
      <c r="E562" s="14"/>
      <c r="F562" s="14"/>
      <c r="G562" s="14"/>
      <c r="H562" s="15"/>
      <c r="I562" s="15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4"/>
      <c r="AX562" s="14"/>
      <c r="AY562" s="14"/>
      <c r="AZ562" s="14"/>
      <c r="BA562" s="14"/>
      <c r="BB562" s="14"/>
      <c r="BC562" s="14"/>
      <c r="BD562" s="14"/>
      <c r="BE562" s="14"/>
      <c r="BF562" s="14"/>
      <c r="BG562" s="14"/>
      <c r="BH562" s="14"/>
      <c r="BI562" s="14"/>
      <c r="BJ562" s="14"/>
      <c r="BK562" s="14"/>
      <c r="BL562" s="14"/>
      <c r="BM562" s="14"/>
      <c r="BN562" s="14"/>
      <c r="BO562" s="14"/>
      <c r="BP562" s="14"/>
      <c r="BQ562" s="14"/>
      <c r="BR562" s="14"/>
      <c r="BS562" s="14"/>
      <c r="BT562" s="14"/>
      <c r="BU562" s="14"/>
      <c r="BV562" s="14"/>
      <c r="BW562" s="14"/>
      <c r="BX562" s="14"/>
      <c r="BY562" s="14"/>
      <c r="BZ562" s="14"/>
      <c r="CA562" s="14"/>
      <c r="CB562" s="14"/>
      <c r="CC562" s="14"/>
      <c r="CD562" s="14"/>
      <c r="CE562" s="14"/>
      <c r="CF562" s="14"/>
      <c r="CG562" s="14"/>
      <c r="CH562" s="14"/>
      <c r="CI562" s="14"/>
      <c r="CJ562" s="14"/>
      <c r="CK562" s="14"/>
      <c r="CL562" s="14"/>
      <c r="CT562" s="14"/>
      <c r="CW562" s="3"/>
      <c r="DG562" s="4"/>
    </row>
    <row r="563" customFormat="false" ht="11.25" hidden="false" customHeight="true" outlineLevel="0" collapsed="false">
      <c r="A563" s="14"/>
      <c r="B563" s="15"/>
      <c r="C563" s="15"/>
      <c r="D563" s="14"/>
      <c r="E563" s="14"/>
      <c r="F563" s="14"/>
      <c r="G563" s="14"/>
      <c r="H563" s="15"/>
      <c r="I563" s="15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  <c r="AX563" s="14"/>
      <c r="AY563" s="14"/>
      <c r="AZ563" s="14"/>
      <c r="BA563" s="14"/>
      <c r="BB563" s="14"/>
      <c r="BC563" s="14"/>
      <c r="BD563" s="14"/>
      <c r="BE563" s="14"/>
      <c r="BF563" s="14"/>
      <c r="BG563" s="14"/>
      <c r="BH563" s="14"/>
      <c r="BI563" s="14"/>
      <c r="BJ563" s="14"/>
      <c r="BK563" s="14"/>
      <c r="BL563" s="14"/>
      <c r="BM563" s="14"/>
      <c r="BN563" s="14"/>
      <c r="BO563" s="14"/>
      <c r="BP563" s="14"/>
      <c r="BQ563" s="14"/>
      <c r="BR563" s="14"/>
      <c r="BS563" s="14"/>
      <c r="BT563" s="14"/>
      <c r="BU563" s="14"/>
      <c r="BV563" s="14"/>
      <c r="BW563" s="14"/>
      <c r="BX563" s="14"/>
      <c r="BY563" s="14"/>
      <c r="BZ563" s="14"/>
      <c r="CA563" s="14"/>
      <c r="CB563" s="14"/>
      <c r="CC563" s="14"/>
      <c r="CD563" s="14"/>
      <c r="CE563" s="14"/>
      <c r="CF563" s="14"/>
      <c r="CG563" s="14"/>
      <c r="CH563" s="14"/>
      <c r="CI563" s="14"/>
      <c r="CJ563" s="14"/>
      <c r="CK563" s="14"/>
      <c r="CL563" s="14"/>
      <c r="CT563" s="14"/>
      <c r="CW563" s="3"/>
      <c r="DG563" s="4"/>
    </row>
    <row r="564" customFormat="false" ht="11.25" hidden="false" customHeight="true" outlineLevel="0" collapsed="false">
      <c r="A564" s="14"/>
      <c r="B564" s="15"/>
      <c r="C564" s="15"/>
      <c r="D564" s="14"/>
      <c r="E564" s="14"/>
      <c r="F564" s="14"/>
      <c r="G564" s="14"/>
      <c r="H564" s="15"/>
      <c r="I564" s="15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  <c r="AW564" s="14"/>
      <c r="AX564" s="14"/>
      <c r="AY564" s="14"/>
      <c r="AZ564" s="14"/>
      <c r="BA564" s="14"/>
      <c r="BB564" s="14"/>
      <c r="BC564" s="14"/>
      <c r="BD564" s="14"/>
      <c r="BE564" s="14"/>
      <c r="BF564" s="14"/>
      <c r="BG564" s="14"/>
      <c r="BH564" s="14"/>
      <c r="BI564" s="14"/>
      <c r="BJ564" s="14"/>
      <c r="BK564" s="14"/>
      <c r="BL564" s="14"/>
      <c r="BM564" s="14"/>
      <c r="BN564" s="14"/>
      <c r="BO564" s="14"/>
      <c r="BP564" s="14"/>
      <c r="BQ564" s="14"/>
      <c r="BR564" s="14"/>
      <c r="BS564" s="14"/>
      <c r="BT564" s="14"/>
      <c r="BU564" s="14"/>
      <c r="BV564" s="14"/>
      <c r="BW564" s="14"/>
      <c r="BX564" s="14"/>
      <c r="BY564" s="14"/>
      <c r="BZ564" s="14"/>
      <c r="CA564" s="14"/>
      <c r="CB564" s="14"/>
      <c r="CC564" s="14"/>
      <c r="CD564" s="14"/>
      <c r="CE564" s="14"/>
      <c r="CF564" s="14"/>
      <c r="CG564" s="14"/>
      <c r="CH564" s="14"/>
      <c r="CI564" s="14"/>
      <c r="CJ564" s="14"/>
      <c r="CK564" s="14"/>
      <c r="CL564" s="14"/>
      <c r="CT564" s="14"/>
      <c r="CW564" s="3"/>
      <c r="DG564" s="4"/>
    </row>
    <row r="565" customFormat="false" ht="11.25" hidden="false" customHeight="true" outlineLevel="0" collapsed="false">
      <c r="A565" s="14"/>
      <c r="B565" s="15"/>
      <c r="C565" s="15"/>
      <c r="D565" s="14"/>
      <c r="E565" s="14"/>
      <c r="F565" s="14"/>
      <c r="G565" s="14"/>
      <c r="H565" s="15"/>
      <c r="I565" s="15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4"/>
      <c r="AX565" s="14"/>
      <c r="AY565" s="14"/>
      <c r="AZ565" s="14"/>
      <c r="BA565" s="14"/>
      <c r="BB565" s="14"/>
      <c r="BC565" s="14"/>
      <c r="BD565" s="14"/>
      <c r="BE565" s="14"/>
      <c r="BF565" s="14"/>
      <c r="BG565" s="14"/>
      <c r="BH565" s="14"/>
      <c r="BI565" s="14"/>
      <c r="BJ565" s="14"/>
      <c r="BK565" s="14"/>
      <c r="BL565" s="14"/>
      <c r="BM565" s="14"/>
      <c r="BN565" s="14"/>
      <c r="BO565" s="14"/>
      <c r="BP565" s="14"/>
      <c r="BQ565" s="14"/>
      <c r="BR565" s="14"/>
      <c r="BS565" s="14"/>
      <c r="BT565" s="14"/>
      <c r="BU565" s="14"/>
      <c r="BV565" s="14"/>
      <c r="BW565" s="14"/>
      <c r="BX565" s="14"/>
      <c r="BY565" s="14"/>
      <c r="BZ565" s="14"/>
      <c r="CA565" s="14"/>
      <c r="CB565" s="14"/>
      <c r="CC565" s="14"/>
      <c r="CD565" s="14"/>
      <c r="CE565" s="14"/>
      <c r="CF565" s="14"/>
      <c r="CG565" s="14"/>
      <c r="CH565" s="14"/>
      <c r="CI565" s="14"/>
      <c r="CJ565" s="14"/>
      <c r="CK565" s="14"/>
      <c r="CL565" s="14"/>
      <c r="CT565" s="14"/>
      <c r="CW565" s="3"/>
      <c r="DG565" s="4"/>
    </row>
    <row r="566" customFormat="false" ht="11.25" hidden="false" customHeight="true" outlineLevel="0" collapsed="false">
      <c r="A566" s="14"/>
      <c r="B566" s="15"/>
      <c r="C566" s="15"/>
      <c r="D566" s="14"/>
      <c r="E566" s="14"/>
      <c r="F566" s="14"/>
      <c r="G566" s="14"/>
      <c r="H566" s="15"/>
      <c r="I566" s="15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  <c r="AV566" s="14"/>
      <c r="AW566" s="14"/>
      <c r="AX566" s="14"/>
      <c r="AY566" s="14"/>
      <c r="AZ566" s="14"/>
      <c r="BA566" s="14"/>
      <c r="BB566" s="14"/>
      <c r="BC566" s="14"/>
      <c r="BD566" s="14"/>
      <c r="BE566" s="14"/>
      <c r="BF566" s="14"/>
      <c r="BG566" s="14"/>
      <c r="BH566" s="14"/>
      <c r="BI566" s="14"/>
      <c r="BJ566" s="14"/>
      <c r="BK566" s="14"/>
      <c r="BL566" s="14"/>
      <c r="BM566" s="14"/>
      <c r="BN566" s="14"/>
      <c r="BO566" s="14"/>
      <c r="BP566" s="14"/>
      <c r="BQ566" s="14"/>
      <c r="BR566" s="14"/>
      <c r="BS566" s="14"/>
      <c r="BT566" s="14"/>
      <c r="BU566" s="14"/>
      <c r="BV566" s="14"/>
      <c r="BW566" s="14"/>
      <c r="BX566" s="14"/>
      <c r="BY566" s="14"/>
      <c r="BZ566" s="14"/>
      <c r="CA566" s="14"/>
      <c r="CB566" s="14"/>
      <c r="CC566" s="14"/>
      <c r="CD566" s="14"/>
      <c r="CE566" s="14"/>
      <c r="CF566" s="14"/>
      <c r="CG566" s="14"/>
      <c r="CH566" s="14"/>
      <c r="CI566" s="14"/>
      <c r="CJ566" s="14"/>
      <c r="CK566" s="14"/>
      <c r="CL566" s="14"/>
      <c r="CT566" s="14"/>
      <c r="CW566" s="3"/>
      <c r="DG566" s="4"/>
    </row>
    <row r="567" customFormat="false" ht="11.25" hidden="false" customHeight="true" outlineLevel="0" collapsed="false">
      <c r="A567" s="14"/>
      <c r="B567" s="15"/>
      <c r="C567" s="15"/>
      <c r="D567" s="14"/>
      <c r="E567" s="14"/>
      <c r="F567" s="14"/>
      <c r="G567" s="14"/>
      <c r="H567" s="15"/>
      <c r="I567" s="15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  <c r="AX567" s="14"/>
      <c r="AY567" s="14"/>
      <c r="AZ567" s="14"/>
      <c r="BA567" s="14"/>
      <c r="BB567" s="14"/>
      <c r="BC567" s="14"/>
      <c r="BD567" s="14"/>
      <c r="BE567" s="14"/>
      <c r="BF567" s="14"/>
      <c r="BG567" s="14"/>
      <c r="BH567" s="14"/>
      <c r="BI567" s="14"/>
      <c r="BJ567" s="14"/>
      <c r="BK567" s="14"/>
      <c r="BL567" s="14"/>
      <c r="BM567" s="14"/>
      <c r="BN567" s="14"/>
      <c r="BO567" s="14"/>
      <c r="BP567" s="14"/>
      <c r="BQ567" s="14"/>
      <c r="BR567" s="14"/>
      <c r="BS567" s="14"/>
      <c r="BT567" s="14"/>
      <c r="BU567" s="14"/>
      <c r="BV567" s="14"/>
      <c r="BW567" s="14"/>
      <c r="BX567" s="14"/>
      <c r="BY567" s="14"/>
      <c r="BZ567" s="14"/>
      <c r="CA567" s="14"/>
      <c r="CB567" s="14"/>
      <c r="CC567" s="14"/>
      <c r="CD567" s="14"/>
      <c r="CE567" s="14"/>
      <c r="CF567" s="14"/>
      <c r="CG567" s="14"/>
      <c r="CH567" s="14"/>
      <c r="CI567" s="14"/>
      <c r="CJ567" s="14"/>
      <c r="CK567" s="14"/>
      <c r="CL567" s="14"/>
      <c r="CT567" s="14"/>
      <c r="CW567" s="3"/>
      <c r="DG567" s="4"/>
    </row>
    <row r="568" customFormat="false" ht="11.25" hidden="false" customHeight="true" outlineLevel="0" collapsed="false">
      <c r="A568" s="14"/>
      <c r="B568" s="15"/>
      <c r="C568" s="15"/>
      <c r="D568" s="14"/>
      <c r="E568" s="14"/>
      <c r="F568" s="14"/>
      <c r="G568" s="14"/>
      <c r="H568" s="15"/>
      <c r="I568" s="15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  <c r="AU568" s="14"/>
      <c r="AV568" s="14"/>
      <c r="AW568" s="14"/>
      <c r="AX568" s="14"/>
      <c r="AY568" s="14"/>
      <c r="AZ568" s="14"/>
      <c r="BA568" s="14"/>
      <c r="BB568" s="14"/>
      <c r="BC568" s="14"/>
      <c r="BD568" s="14"/>
      <c r="BE568" s="14"/>
      <c r="BF568" s="14"/>
      <c r="BG568" s="14"/>
      <c r="BH568" s="14"/>
      <c r="BI568" s="14"/>
      <c r="BJ568" s="14"/>
      <c r="BK568" s="14"/>
      <c r="BL568" s="14"/>
      <c r="BM568" s="14"/>
      <c r="BN568" s="14"/>
      <c r="BO568" s="14"/>
      <c r="BP568" s="14"/>
      <c r="BQ568" s="14"/>
      <c r="BR568" s="14"/>
      <c r="BS568" s="14"/>
      <c r="BT568" s="14"/>
      <c r="BU568" s="14"/>
      <c r="BV568" s="14"/>
      <c r="BW568" s="14"/>
      <c r="BX568" s="14"/>
      <c r="BY568" s="14"/>
      <c r="BZ568" s="14"/>
      <c r="CA568" s="14"/>
      <c r="CB568" s="14"/>
      <c r="CC568" s="14"/>
      <c r="CD568" s="14"/>
      <c r="CE568" s="14"/>
      <c r="CF568" s="14"/>
      <c r="CG568" s="14"/>
      <c r="CH568" s="14"/>
      <c r="CI568" s="14"/>
      <c r="CJ568" s="14"/>
      <c r="CK568" s="14"/>
      <c r="CL568" s="14"/>
      <c r="CT568" s="14"/>
      <c r="CW568" s="3"/>
      <c r="DG568" s="4"/>
    </row>
    <row r="569" customFormat="false" ht="11.25" hidden="false" customHeight="true" outlineLevel="0" collapsed="false">
      <c r="A569" s="14"/>
      <c r="B569" s="15"/>
      <c r="C569" s="15"/>
      <c r="D569" s="14"/>
      <c r="E569" s="14"/>
      <c r="F569" s="14"/>
      <c r="G569" s="14"/>
      <c r="H569" s="15"/>
      <c r="I569" s="15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  <c r="AX569" s="14"/>
      <c r="AY569" s="14"/>
      <c r="AZ569" s="14"/>
      <c r="BA569" s="14"/>
      <c r="BB569" s="14"/>
      <c r="BC569" s="14"/>
      <c r="BD569" s="14"/>
      <c r="BE569" s="14"/>
      <c r="BF569" s="14"/>
      <c r="BG569" s="14"/>
      <c r="BH569" s="14"/>
      <c r="BI569" s="14"/>
      <c r="BJ569" s="14"/>
      <c r="BK569" s="14"/>
      <c r="BL569" s="14"/>
      <c r="BM569" s="14"/>
      <c r="BN569" s="14"/>
      <c r="BO569" s="14"/>
      <c r="BP569" s="14"/>
      <c r="BQ569" s="14"/>
      <c r="BR569" s="14"/>
      <c r="BS569" s="14"/>
      <c r="BT569" s="14"/>
      <c r="BU569" s="14"/>
      <c r="BV569" s="14"/>
      <c r="BW569" s="14"/>
      <c r="BX569" s="14"/>
      <c r="BY569" s="14"/>
      <c r="BZ569" s="14"/>
      <c r="CA569" s="14"/>
      <c r="CB569" s="14"/>
      <c r="CC569" s="14"/>
      <c r="CD569" s="14"/>
      <c r="CE569" s="14"/>
      <c r="CF569" s="14"/>
      <c r="CG569" s="14"/>
      <c r="CH569" s="14"/>
      <c r="CI569" s="14"/>
      <c r="CJ569" s="14"/>
      <c r="CK569" s="14"/>
      <c r="CL569" s="14"/>
      <c r="CT569" s="14"/>
      <c r="CW569" s="3"/>
      <c r="DG569" s="4"/>
    </row>
    <row r="570" customFormat="false" ht="11.25" hidden="false" customHeight="true" outlineLevel="0" collapsed="false">
      <c r="A570" s="14"/>
      <c r="B570" s="15"/>
      <c r="C570" s="15"/>
      <c r="D570" s="14"/>
      <c r="E570" s="14"/>
      <c r="F570" s="14"/>
      <c r="G570" s="14"/>
      <c r="H570" s="15"/>
      <c r="I570" s="15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  <c r="AU570" s="14"/>
      <c r="AV570" s="14"/>
      <c r="AW570" s="14"/>
      <c r="AX570" s="14"/>
      <c r="AY570" s="14"/>
      <c r="AZ570" s="14"/>
      <c r="BA570" s="14"/>
      <c r="BB570" s="14"/>
      <c r="BC570" s="14"/>
      <c r="BD570" s="14"/>
      <c r="BE570" s="14"/>
      <c r="BF570" s="14"/>
      <c r="BG570" s="14"/>
      <c r="BH570" s="14"/>
      <c r="BI570" s="14"/>
      <c r="BJ570" s="14"/>
      <c r="BK570" s="14"/>
      <c r="BL570" s="14"/>
      <c r="BM570" s="14"/>
      <c r="BN570" s="14"/>
      <c r="BO570" s="14"/>
      <c r="BP570" s="14"/>
      <c r="BQ570" s="14"/>
      <c r="BR570" s="14"/>
      <c r="BS570" s="14"/>
      <c r="BT570" s="14"/>
      <c r="BU570" s="14"/>
      <c r="BV570" s="14"/>
      <c r="BW570" s="14"/>
      <c r="BX570" s="14"/>
      <c r="BY570" s="14"/>
      <c r="BZ570" s="14"/>
      <c r="CA570" s="14"/>
      <c r="CB570" s="14"/>
      <c r="CC570" s="14"/>
      <c r="CD570" s="14"/>
      <c r="CE570" s="14"/>
      <c r="CF570" s="14"/>
      <c r="CG570" s="14"/>
      <c r="CH570" s="14"/>
      <c r="CI570" s="14"/>
      <c r="CJ570" s="14"/>
      <c r="CK570" s="14"/>
      <c r="CL570" s="14"/>
      <c r="CT570" s="14"/>
      <c r="CW570" s="3"/>
      <c r="DG570" s="4"/>
    </row>
    <row r="571" customFormat="false" ht="11.25" hidden="false" customHeight="true" outlineLevel="0" collapsed="false">
      <c r="A571" s="14"/>
      <c r="B571" s="15"/>
      <c r="C571" s="15"/>
      <c r="D571" s="14"/>
      <c r="E571" s="14"/>
      <c r="F571" s="14"/>
      <c r="G571" s="14"/>
      <c r="H571" s="15"/>
      <c r="I571" s="15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4"/>
      <c r="AX571" s="14"/>
      <c r="AY571" s="14"/>
      <c r="AZ571" s="14"/>
      <c r="BA571" s="14"/>
      <c r="BB571" s="14"/>
      <c r="BC571" s="14"/>
      <c r="BD571" s="14"/>
      <c r="BE571" s="14"/>
      <c r="BF571" s="14"/>
      <c r="BG571" s="14"/>
      <c r="BH571" s="14"/>
      <c r="BI571" s="14"/>
      <c r="BJ571" s="14"/>
      <c r="BK571" s="14"/>
      <c r="BL571" s="14"/>
      <c r="BM571" s="14"/>
      <c r="BN571" s="14"/>
      <c r="BO571" s="14"/>
      <c r="BP571" s="14"/>
      <c r="BQ571" s="14"/>
      <c r="BR571" s="14"/>
      <c r="BS571" s="14"/>
      <c r="BT571" s="14"/>
      <c r="BU571" s="14"/>
      <c r="BV571" s="14"/>
      <c r="BW571" s="14"/>
      <c r="BX571" s="14"/>
      <c r="BY571" s="14"/>
      <c r="BZ571" s="14"/>
      <c r="CA571" s="14"/>
      <c r="CB571" s="14"/>
      <c r="CC571" s="14"/>
      <c r="CD571" s="14"/>
      <c r="CE571" s="14"/>
      <c r="CF571" s="14"/>
      <c r="CG571" s="14"/>
      <c r="CH571" s="14"/>
      <c r="CI571" s="14"/>
      <c r="CJ571" s="14"/>
      <c r="CK571" s="14"/>
      <c r="CL571" s="14"/>
      <c r="CT571" s="14"/>
      <c r="CW571" s="3"/>
      <c r="DG571" s="4"/>
    </row>
    <row r="572" customFormat="false" ht="11.25" hidden="false" customHeight="true" outlineLevel="0" collapsed="false">
      <c r="A572" s="14"/>
      <c r="B572" s="15"/>
      <c r="C572" s="15"/>
      <c r="D572" s="14"/>
      <c r="E572" s="14"/>
      <c r="F572" s="14"/>
      <c r="G572" s="14"/>
      <c r="H572" s="15"/>
      <c r="I572" s="15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  <c r="AU572" s="14"/>
      <c r="AV572" s="14"/>
      <c r="AW572" s="14"/>
      <c r="AX572" s="14"/>
      <c r="AY572" s="14"/>
      <c r="AZ572" s="14"/>
      <c r="BA572" s="14"/>
      <c r="BB572" s="14"/>
      <c r="BC572" s="14"/>
      <c r="BD572" s="14"/>
      <c r="BE572" s="14"/>
      <c r="BF572" s="14"/>
      <c r="BG572" s="14"/>
      <c r="BH572" s="14"/>
      <c r="BI572" s="14"/>
      <c r="BJ572" s="14"/>
      <c r="BK572" s="14"/>
      <c r="BL572" s="14"/>
      <c r="BM572" s="14"/>
      <c r="BN572" s="14"/>
      <c r="BO572" s="14"/>
      <c r="BP572" s="14"/>
      <c r="BQ572" s="14"/>
      <c r="BR572" s="14"/>
      <c r="BS572" s="14"/>
      <c r="BT572" s="14"/>
      <c r="BU572" s="14"/>
      <c r="BV572" s="14"/>
      <c r="BW572" s="14"/>
      <c r="BX572" s="14"/>
      <c r="BY572" s="14"/>
      <c r="BZ572" s="14"/>
      <c r="CA572" s="14"/>
      <c r="CB572" s="14"/>
      <c r="CC572" s="14"/>
      <c r="CD572" s="14"/>
      <c r="CE572" s="14"/>
      <c r="CF572" s="14"/>
      <c r="CG572" s="14"/>
      <c r="CH572" s="14"/>
      <c r="CI572" s="14"/>
      <c r="CJ572" s="14"/>
      <c r="CK572" s="14"/>
      <c r="CL572" s="14"/>
      <c r="CT572" s="14"/>
      <c r="CW572" s="3"/>
      <c r="DG572" s="4"/>
    </row>
    <row r="573" customFormat="false" ht="11.25" hidden="false" customHeight="true" outlineLevel="0" collapsed="false">
      <c r="A573" s="14"/>
      <c r="B573" s="15"/>
      <c r="C573" s="15"/>
      <c r="D573" s="14"/>
      <c r="E573" s="14"/>
      <c r="F573" s="14"/>
      <c r="G573" s="14"/>
      <c r="H573" s="15"/>
      <c r="I573" s="15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  <c r="AX573" s="14"/>
      <c r="AY573" s="14"/>
      <c r="AZ573" s="14"/>
      <c r="BA573" s="14"/>
      <c r="BB573" s="14"/>
      <c r="BC573" s="14"/>
      <c r="BD573" s="14"/>
      <c r="BE573" s="14"/>
      <c r="BF573" s="14"/>
      <c r="BG573" s="14"/>
      <c r="BH573" s="14"/>
      <c r="BI573" s="14"/>
      <c r="BJ573" s="14"/>
      <c r="BK573" s="14"/>
      <c r="BL573" s="14"/>
      <c r="BM573" s="14"/>
      <c r="BN573" s="14"/>
      <c r="BO573" s="14"/>
      <c r="BP573" s="14"/>
      <c r="BQ573" s="14"/>
      <c r="BR573" s="14"/>
      <c r="BS573" s="14"/>
      <c r="BT573" s="14"/>
      <c r="BU573" s="14"/>
      <c r="BV573" s="14"/>
      <c r="BW573" s="14"/>
      <c r="BX573" s="14"/>
      <c r="BY573" s="14"/>
      <c r="BZ573" s="14"/>
      <c r="CA573" s="14"/>
      <c r="CB573" s="14"/>
      <c r="CC573" s="14"/>
      <c r="CD573" s="14"/>
      <c r="CE573" s="14"/>
      <c r="CF573" s="14"/>
      <c r="CG573" s="14"/>
      <c r="CH573" s="14"/>
      <c r="CI573" s="14"/>
      <c r="CJ573" s="14"/>
      <c r="CK573" s="14"/>
      <c r="CL573" s="14"/>
      <c r="CT573" s="14"/>
      <c r="CW573" s="3"/>
      <c r="DG573" s="4"/>
    </row>
    <row r="574" customFormat="false" ht="11.25" hidden="false" customHeight="true" outlineLevel="0" collapsed="false">
      <c r="A574" s="14"/>
      <c r="B574" s="15"/>
      <c r="C574" s="15"/>
      <c r="D574" s="14"/>
      <c r="E574" s="14"/>
      <c r="F574" s="14"/>
      <c r="G574" s="14"/>
      <c r="H574" s="15"/>
      <c r="I574" s="15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14"/>
      <c r="AX574" s="14"/>
      <c r="AY574" s="14"/>
      <c r="AZ574" s="14"/>
      <c r="BA574" s="14"/>
      <c r="BB574" s="14"/>
      <c r="BC574" s="14"/>
      <c r="BD574" s="14"/>
      <c r="BE574" s="14"/>
      <c r="BF574" s="14"/>
      <c r="BG574" s="14"/>
      <c r="BH574" s="14"/>
      <c r="BI574" s="14"/>
      <c r="BJ574" s="14"/>
      <c r="BK574" s="14"/>
      <c r="BL574" s="14"/>
      <c r="BM574" s="14"/>
      <c r="BN574" s="14"/>
      <c r="BO574" s="14"/>
      <c r="BP574" s="14"/>
      <c r="BQ574" s="14"/>
      <c r="BR574" s="14"/>
      <c r="BS574" s="14"/>
      <c r="BT574" s="14"/>
      <c r="BU574" s="14"/>
      <c r="BV574" s="14"/>
      <c r="BW574" s="14"/>
      <c r="BX574" s="14"/>
      <c r="BY574" s="14"/>
      <c r="BZ574" s="14"/>
      <c r="CA574" s="14"/>
      <c r="CB574" s="14"/>
      <c r="CC574" s="14"/>
      <c r="CD574" s="14"/>
      <c r="CE574" s="14"/>
      <c r="CF574" s="14"/>
      <c r="CG574" s="14"/>
      <c r="CH574" s="14"/>
      <c r="CI574" s="14"/>
      <c r="CJ574" s="14"/>
      <c r="CK574" s="14"/>
      <c r="CL574" s="14"/>
      <c r="CT574" s="14"/>
      <c r="CW574" s="3"/>
      <c r="DG574" s="4"/>
    </row>
    <row r="575" customFormat="false" ht="11.25" hidden="false" customHeight="true" outlineLevel="0" collapsed="false">
      <c r="A575" s="14"/>
      <c r="B575" s="15"/>
      <c r="C575" s="15"/>
      <c r="D575" s="14"/>
      <c r="E575" s="14"/>
      <c r="F575" s="14"/>
      <c r="G575" s="14"/>
      <c r="H575" s="15"/>
      <c r="I575" s="15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  <c r="AX575" s="14"/>
      <c r="AY575" s="14"/>
      <c r="AZ575" s="14"/>
      <c r="BA575" s="14"/>
      <c r="BB575" s="14"/>
      <c r="BC575" s="14"/>
      <c r="BD575" s="14"/>
      <c r="BE575" s="14"/>
      <c r="BF575" s="14"/>
      <c r="BG575" s="14"/>
      <c r="BH575" s="14"/>
      <c r="BI575" s="14"/>
      <c r="BJ575" s="14"/>
      <c r="BK575" s="14"/>
      <c r="BL575" s="14"/>
      <c r="BM575" s="14"/>
      <c r="BN575" s="14"/>
      <c r="BO575" s="14"/>
      <c r="BP575" s="14"/>
      <c r="BQ575" s="14"/>
      <c r="BR575" s="14"/>
      <c r="BS575" s="14"/>
      <c r="BT575" s="14"/>
      <c r="BU575" s="14"/>
      <c r="BV575" s="14"/>
      <c r="BW575" s="14"/>
      <c r="BX575" s="14"/>
      <c r="BY575" s="14"/>
      <c r="BZ575" s="14"/>
      <c r="CA575" s="14"/>
      <c r="CB575" s="14"/>
      <c r="CC575" s="14"/>
      <c r="CD575" s="14"/>
      <c r="CE575" s="14"/>
      <c r="CF575" s="14"/>
      <c r="CG575" s="14"/>
      <c r="CH575" s="14"/>
      <c r="CI575" s="14"/>
      <c r="CJ575" s="14"/>
      <c r="CK575" s="14"/>
      <c r="CL575" s="14"/>
      <c r="CT575" s="14"/>
      <c r="CW575" s="3"/>
      <c r="DG575" s="4"/>
    </row>
    <row r="576" customFormat="false" ht="11.25" hidden="false" customHeight="true" outlineLevel="0" collapsed="false">
      <c r="A576" s="14"/>
      <c r="B576" s="15"/>
      <c r="C576" s="15"/>
      <c r="D576" s="14"/>
      <c r="E576" s="14"/>
      <c r="F576" s="14"/>
      <c r="G576" s="14"/>
      <c r="H576" s="15"/>
      <c r="I576" s="15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/>
      <c r="AW576" s="14"/>
      <c r="AX576" s="14"/>
      <c r="AY576" s="14"/>
      <c r="AZ576" s="14"/>
      <c r="BA576" s="14"/>
      <c r="BB576" s="14"/>
      <c r="BC576" s="14"/>
      <c r="BD576" s="14"/>
      <c r="BE576" s="14"/>
      <c r="BF576" s="14"/>
      <c r="BG576" s="14"/>
      <c r="BH576" s="14"/>
      <c r="BI576" s="14"/>
      <c r="BJ576" s="14"/>
      <c r="BK576" s="14"/>
      <c r="BL576" s="14"/>
      <c r="BM576" s="14"/>
      <c r="BN576" s="14"/>
      <c r="BO576" s="14"/>
      <c r="BP576" s="14"/>
      <c r="BQ576" s="14"/>
      <c r="BR576" s="14"/>
      <c r="BS576" s="14"/>
      <c r="BT576" s="14"/>
      <c r="BU576" s="14"/>
      <c r="BV576" s="14"/>
      <c r="BW576" s="14"/>
      <c r="BX576" s="14"/>
      <c r="BY576" s="14"/>
      <c r="BZ576" s="14"/>
      <c r="CA576" s="14"/>
      <c r="CB576" s="14"/>
      <c r="CC576" s="14"/>
      <c r="CD576" s="14"/>
      <c r="CE576" s="14"/>
      <c r="CF576" s="14"/>
      <c r="CG576" s="14"/>
      <c r="CH576" s="14"/>
      <c r="CI576" s="14"/>
      <c r="CJ576" s="14"/>
      <c r="CK576" s="14"/>
      <c r="CL576" s="14"/>
      <c r="CT576" s="14"/>
      <c r="CW576" s="3"/>
      <c r="DG576" s="4"/>
    </row>
    <row r="577" customFormat="false" ht="11.25" hidden="false" customHeight="true" outlineLevel="0" collapsed="false">
      <c r="A577" s="14"/>
      <c r="B577" s="15"/>
      <c r="C577" s="15"/>
      <c r="D577" s="14"/>
      <c r="E577" s="14"/>
      <c r="F577" s="14"/>
      <c r="G577" s="14"/>
      <c r="H577" s="15"/>
      <c r="I577" s="15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  <c r="AX577" s="14"/>
      <c r="AY577" s="14"/>
      <c r="AZ577" s="14"/>
      <c r="BA577" s="14"/>
      <c r="BB577" s="14"/>
      <c r="BC577" s="14"/>
      <c r="BD577" s="14"/>
      <c r="BE577" s="14"/>
      <c r="BF577" s="14"/>
      <c r="BG577" s="14"/>
      <c r="BH577" s="14"/>
      <c r="BI577" s="14"/>
      <c r="BJ577" s="14"/>
      <c r="BK577" s="14"/>
      <c r="BL577" s="14"/>
      <c r="BM577" s="14"/>
      <c r="BN577" s="14"/>
      <c r="BO577" s="14"/>
      <c r="BP577" s="14"/>
      <c r="BQ577" s="14"/>
      <c r="BR577" s="14"/>
      <c r="BS577" s="14"/>
      <c r="BT577" s="14"/>
      <c r="BU577" s="14"/>
      <c r="BV577" s="14"/>
      <c r="BW577" s="14"/>
      <c r="BX577" s="14"/>
      <c r="BY577" s="14"/>
      <c r="BZ577" s="14"/>
      <c r="CA577" s="14"/>
      <c r="CB577" s="14"/>
      <c r="CC577" s="14"/>
      <c r="CD577" s="14"/>
      <c r="CE577" s="14"/>
      <c r="CF577" s="14"/>
      <c r="CG577" s="14"/>
      <c r="CH577" s="14"/>
      <c r="CI577" s="14"/>
      <c r="CJ577" s="14"/>
      <c r="CK577" s="14"/>
      <c r="CL577" s="14"/>
      <c r="CT577" s="14"/>
      <c r="CW577" s="3"/>
      <c r="DG577" s="4"/>
    </row>
    <row r="578" customFormat="false" ht="11.25" hidden="false" customHeight="true" outlineLevel="0" collapsed="false">
      <c r="A578" s="14"/>
      <c r="B578" s="15"/>
      <c r="C578" s="15"/>
      <c r="D578" s="14"/>
      <c r="E578" s="14"/>
      <c r="F578" s="14"/>
      <c r="G578" s="14"/>
      <c r="H578" s="15"/>
      <c r="I578" s="15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14"/>
      <c r="AX578" s="14"/>
      <c r="AY578" s="14"/>
      <c r="AZ578" s="14"/>
      <c r="BA578" s="14"/>
      <c r="BB578" s="14"/>
      <c r="BC578" s="14"/>
      <c r="BD578" s="14"/>
      <c r="BE578" s="14"/>
      <c r="BF578" s="14"/>
      <c r="BG578" s="14"/>
      <c r="BH578" s="14"/>
      <c r="BI578" s="14"/>
      <c r="BJ578" s="14"/>
      <c r="BK578" s="14"/>
      <c r="BL578" s="14"/>
      <c r="BM578" s="14"/>
      <c r="BN578" s="14"/>
      <c r="BO578" s="14"/>
      <c r="BP578" s="14"/>
      <c r="BQ578" s="14"/>
      <c r="BR578" s="14"/>
      <c r="BS578" s="14"/>
      <c r="BT578" s="14"/>
      <c r="BU578" s="14"/>
      <c r="BV578" s="14"/>
      <c r="BW578" s="14"/>
      <c r="BX578" s="14"/>
      <c r="BY578" s="14"/>
      <c r="BZ578" s="14"/>
      <c r="CA578" s="14"/>
      <c r="CB578" s="14"/>
      <c r="CC578" s="14"/>
      <c r="CD578" s="14"/>
      <c r="CE578" s="14"/>
      <c r="CF578" s="14"/>
      <c r="CG578" s="14"/>
      <c r="CH578" s="14"/>
      <c r="CI578" s="14"/>
      <c r="CJ578" s="14"/>
      <c r="CK578" s="14"/>
      <c r="CL578" s="14"/>
      <c r="CT578" s="14"/>
      <c r="CW578" s="3"/>
      <c r="DG578" s="4"/>
    </row>
    <row r="579" customFormat="false" ht="11.25" hidden="false" customHeight="true" outlineLevel="0" collapsed="false">
      <c r="A579" s="14"/>
      <c r="B579" s="15"/>
      <c r="C579" s="15"/>
      <c r="D579" s="14"/>
      <c r="E579" s="14"/>
      <c r="F579" s="14"/>
      <c r="G579" s="14"/>
      <c r="H579" s="15"/>
      <c r="I579" s="15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  <c r="AX579" s="14"/>
      <c r="AY579" s="14"/>
      <c r="AZ579" s="14"/>
      <c r="BA579" s="14"/>
      <c r="BB579" s="14"/>
      <c r="BC579" s="14"/>
      <c r="BD579" s="14"/>
      <c r="BE579" s="14"/>
      <c r="BF579" s="14"/>
      <c r="BG579" s="14"/>
      <c r="BH579" s="14"/>
      <c r="BI579" s="14"/>
      <c r="BJ579" s="14"/>
      <c r="BK579" s="14"/>
      <c r="BL579" s="14"/>
      <c r="BM579" s="14"/>
      <c r="BN579" s="14"/>
      <c r="BO579" s="14"/>
      <c r="BP579" s="14"/>
      <c r="BQ579" s="14"/>
      <c r="BR579" s="14"/>
      <c r="BS579" s="14"/>
      <c r="BT579" s="14"/>
      <c r="BU579" s="14"/>
      <c r="BV579" s="14"/>
      <c r="BW579" s="14"/>
      <c r="BX579" s="14"/>
      <c r="BY579" s="14"/>
      <c r="BZ579" s="14"/>
      <c r="CA579" s="14"/>
      <c r="CB579" s="14"/>
      <c r="CC579" s="14"/>
      <c r="CD579" s="14"/>
      <c r="CE579" s="14"/>
      <c r="CF579" s="14"/>
      <c r="CG579" s="14"/>
      <c r="CH579" s="14"/>
      <c r="CI579" s="14"/>
      <c r="CJ579" s="14"/>
      <c r="CK579" s="14"/>
      <c r="CL579" s="14"/>
      <c r="CT579" s="14"/>
      <c r="CW579" s="3"/>
      <c r="DG579" s="4"/>
    </row>
    <row r="580" customFormat="false" ht="11.25" hidden="false" customHeight="true" outlineLevel="0" collapsed="false">
      <c r="A580" s="14"/>
      <c r="B580" s="15"/>
      <c r="C580" s="15"/>
      <c r="D580" s="14"/>
      <c r="E580" s="14"/>
      <c r="F580" s="14"/>
      <c r="G580" s="14"/>
      <c r="H580" s="15"/>
      <c r="I580" s="15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14"/>
      <c r="AV580" s="14"/>
      <c r="AW580" s="14"/>
      <c r="AX580" s="14"/>
      <c r="AY580" s="14"/>
      <c r="AZ580" s="14"/>
      <c r="BA580" s="14"/>
      <c r="BB580" s="14"/>
      <c r="BC580" s="14"/>
      <c r="BD580" s="14"/>
      <c r="BE580" s="14"/>
      <c r="BF580" s="14"/>
      <c r="BG580" s="14"/>
      <c r="BH580" s="14"/>
      <c r="BI580" s="14"/>
      <c r="BJ580" s="14"/>
      <c r="BK580" s="14"/>
      <c r="BL580" s="14"/>
      <c r="BM580" s="14"/>
      <c r="BN580" s="14"/>
      <c r="BO580" s="14"/>
      <c r="BP580" s="14"/>
      <c r="BQ580" s="14"/>
      <c r="BR580" s="14"/>
      <c r="BS580" s="14"/>
      <c r="BT580" s="14"/>
      <c r="BU580" s="14"/>
      <c r="BV580" s="14"/>
      <c r="BW580" s="14"/>
      <c r="BX580" s="14"/>
      <c r="BY580" s="14"/>
      <c r="BZ580" s="14"/>
      <c r="CA580" s="14"/>
      <c r="CB580" s="14"/>
      <c r="CC580" s="14"/>
      <c r="CD580" s="14"/>
      <c r="CE580" s="14"/>
      <c r="CF580" s="14"/>
      <c r="CG580" s="14"/>
      <c r="CH580" s="14"/>
      <c r="CI580" s="14"/>
      <c r="CJ580" s="14"/>
      <c r="CK580" s="14"/>
      <c r="CL580" s="14"/>
      <c r="CT580" s="14"/>
      <c r="CW580" s="3"/>
      <c r="DG580" s="4"/>
    </row>
    <row r="581" customFormat="false" ht="11.25" hidden="false" customHeight="true" outlineLevel="0" collapsed="false">
      <c r="A581" s="14"/>
      <c r="B581" s="15"/>
      <c r="C581" s="15"/>
      <c r="D581" s="14"/>
      <c r="E581" s="14"/>
      <c r="F581" s="14"/>
      <c r="G581" s="14"/>
      <c r="H581" s="15"/>
      <c r="I581" s="15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4"/>
      <c r="AX581" s="14"/>
      <c r="AY581" s="14"/>
      <c r="AZ581" s="14"/>
      <c r="BA581" s="14"/>
      <c r="BB581" s="14"/>
      <c r="BC581" s="14"/>
      <c r="BD581" s="14"/>
      <c r="BE581" s="14"/>
      <c r="BF581" s="14"/>
      <c r="BG581" s="14"/>
      <c r="BH581" s="14"/>
      <c r="BI581" s="14"/>
      <c r="BJ581" s="14"/>
      <c r="BK581" s="14"/>
      <c r="BL581" s="14"/>
      <c r="BM581" s="14"/>
      <c r="BN581" s="14"/>
      <c r="BO581" s="14"/>
      <c r="BP581" s="14"/>
      <c r="BQ581" s="14"/>
      <c r="BR581" s="14"/>
      <c r="BS581" s="14"/>
      <c r="BT581" s="14"/>
      <c r="BU581" s="14"/>
      <c r="BV581" s="14"/>
      <c r="BW581" s="14"/>
      <c r="BX581" s="14"/>
      <c r="BY581" s="14"/>
      <c r="BZ581" s="14"/>
      <c r="CA581" s="14"/>
      <c r="CB581" s="14"/>
      <c r="CC581" s="14"/>
      <c r="CD581" s="14"/>
      <c r="CE581" s="14"/>
      <c r="CF581" s="14"/>
      <c r="CG581" s="14"/>
      <c r="CH581" s="14"/>
      <c r="CI581" s="14"/>
      <c r="CJ581" s="14"/>
      <c r="CK581" s="14"/>
      <c r="CL581" s="14"/>
      <c r="CT581" s="14"/>
      <c r="CW581" s="3"/>
      <c r="DG581" s="4"/>
    </row>
    <row r="582" customFormat="false" ht="11.25" hidden="false" customHeight="true" outlineLevel="0" collapsed="false">
      <c r="A582" s="14"/>
      <c r="B582" s="15"/>
      <c r="C582" s="15"/>
      <c r="D582" s="14"/>
      <c r="E582" s="14"/>
      <c r="F582" s="14"/>
      <c r="G582" s="14"/>
      <c r="H582" s="15"/>
      <c r="I582" s="15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14"/>
      <c r="AV582" s="14"/>
      <c r="AW582" s="14"/>
      <c r="AX582" s="14"/>
      <c r="AY582" s="14"/>
      <c r="AZ582" s="14"/>
      <c r="BA582" s="14"/>
      <c r="BB582" s="14"/>
      <c r="BC582" s="14"/>
      <c r="BD582" s="14"/>
      <c r="BE582" s="14"/>
      <c r="BF582" s="14"/>
      <c r="BG582" s="14"/>
      <c r="BH582" s="14"/>
      <c r="BI582" s="14"/>
      <c r="BJ582" s="14"/>
      <c r="BK582" s="14"/>
      <c r="BL582" s="14"/>
      <c r="BM582" s="14"/>
      <c r="BN582" s="14"/>
      <c r="BO582" s="14"/>
      <c r="BP582" s="14"/>
      <c r="BQ582" s="14"/>
      <c r="BR582" s="14"/>
      <c r="BS582" s="14"/>
      <c r="BT582" s="14"/>
      <c r="BU582" s="14"/>
      <c r="BV582" s="14"/>
      <c r="BW582" s="14"/>
      <c r="BX582" s="14"/>
      <c r="BY582" s="14"/>
      <c r="BZ582" s="14"/>
      <c r="CA582" s="14"/>
      <c r="CB582" s="14"/>
      <c r="CC582" s="14"/>
      <c r="CD582" s="14"/>
      <c r="CE582" s="14"/>
      <c r="CF582" s="14"/>
      <c r="CG582" s="14"/>
      <c r="CH582" s="14"/>
      <c r="CI582" s="14"/>
      <c r="CJ582" s="14"/>
      <c r="CK582" s="14"/>
      <c r="CL582" s="14"/>
      <c r="CT582" s="14"/>
      <c r="CW582" s="3"/>
      <c r="DG582" s="4"/>
    </row>
    <row r="583" customFormat="false" ht="11.25" hidden="false" customHeight="true" outlineLevel="0" collapsed="false">
      <c r="A583" s="14"/>
      <c r="B583" s="15"/>
      <c r="C583" s="15"/>
      <c r="D583" s="14"/>
      <c r="E583" s="14"/>
      <c r="F583" s="14"/>
      <c r="G583" s="14"/>
      <c r="H583" s="15"/>
      <c r="I583" s="15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X583" s="14"/>
      <c r="AY583" s="14"/>
      <c r="AZ583" s="14"/>
      <c r="BA583" s="14"/>
      <c r="BB583" s="14"/>
      <c r="BC583" s="14"/>
      <c r="BD583" s="14"/>
      <c r="BE583" s="14"/>
      <c r="BF583" s="14"/>
      <c r="BG583" s="14"/>
      <c r="BH583" s="14"/>
      <c r="BI583" s="14"/>
      <c r="BJ583" s="14"/>
      <c r="BK583" s="14"/>
      <c r="BL583" s="14"/>
      <c r="BM583" s="14"/>
      <c r="BN583" s="14"/>
      <c r="BO583" s="14"/>
      <c r="BP583" s="14"/>
      <c r="BQ583" s="14"/>
      <c r="BR583" s="14"/>
      <c r="BS583" s="14"/>
      <c r="BT583" s="14"/>
      <c r="BU583" s="14"/>
      <c r="BV583" s="14"/>
      <c r="BW583" s="14"/>
      <c r="BX583" s="14"/>
      <c r="BY583" s="14"/>
      <c r="BZ583" s="14"/>
      <c r="CA583" s="14"/>
      <c r="CB583" s="14"/>
      <c r="CC583" s="14"/>
      <c r="CD583" s="14"/>
      <c r="CE583" s="14"/>
      <c r="CF583" s="14"/>
      <c r="CG583" s="14"/>
      <c r="CH583" s="14"/>
      <c r="CI583" s="14"/>
      <c r="CJ583" s="14"/>
      <c r="CK583" s="14"/>
      <c r="CL583" s="14"/>
      <c r="CT583" s="14"/>
      <c r="CW583" s="3"/>
      <c r="DG583" s="4"/>
    </row>
    <row r="584" customFormat="false" ht="11.25" hidden="false" customHeight="true" outlineLevel="0" collapsed="false">
      <c r="A584" s="14"/>
      <c r="B584" s="15"/>
      <c r="C584" s="15"/>
      <c r="D584" s="14"/>
      <c r="E584" s="14"/>
      <c r="F584" s="14"/>
      <c r="G584" s="14"/>
      <c r="H584" s="15"/>
      <c r="I584" s="15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  <c r="AW584" s="14"/>
      <c r="AX584" s="14"/>
      <c r="AY584" s="14"/>
      <c r="AZ584" s="14"/>
      <c r="BA584" s="14"/>
      <c r="BB584" s="14"/>
      <c r="BC584" s="14"/>
      <c r="BD584" s="14"/>
      <c r="BE584" s="14"/>
      <c r="BF584" s="14"/>
      <c r="BG584" s="14"/>
      <c r="BH584" s="14"/>
      <c r="BI584" s="14"/>
      <c r="BJ584" s="14"/>
      <c r="BK584" s="14"/>
      <c r="BL584" s="14"/>
      <c r="BM584" s="14"/>
      <c r="BN584" s="14"/>
      <c r="BO584" s="14"/>
      <c r="BP584" s="14"/>
      <c r="BQ584" s="14"/>
      <c r="BR584" s="14"/>
      <c r="BS584" s="14"/>
      <c r="BT584" s="14"/>
      <c r="BU584" s="14"/>
      <c r="BV584" s="14"/>
      <c r="BW584" s="14"/>
      <c r="BX584" s="14"/>
      <c r="BY584" s="14"/>
      <c r="BZ584" s="14"/>
      <c r="CA584" s="14"/>
      <c r="CB584" s="14"/>
      <c r="CC584" s="14"/>
      <c r="CD584" s="14"/>
      <c r="CE584" s="14"/>
      <c r="CF584" s="14"/>
      <c r="CG584" s="14"/>
      <c r="CH584" s="14"/>
      <c r="CI584" s="14"/>
      <c r="CJ584" s="14"/>
      <c r="CK584" s="14"/>
      <c r="CL584" s="14"/>
      <c r="CT584" s="14"/>
      <c r="CW584" s="3"/>
      <c r="DG584" s="4"/>
    </row>
    <row r="585" customFormat="false" ht="11.25" hidden="false" customHeight="true" outlineLevel="0" collapsed="false">
      <c r="A585" s="14"/>
      <c r="B585" s="15"/>
      <c r="C585" s="15"/>
      <c r="D585" s="14"/>
      <c r="E585" s="14"/>
      <c r="F585" s="14"/>
      <c r="G585" s="14"/>
      <c r="H585" s="15"/>
      <c r="I585" s="15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  <c r="AX585" s="14"/>
      <c r="AY585" s="14"/>
      <c r="AZ585" s="14"/>
      <c r="BA585" s="14"/>
      <c r="BB585" s="14"/>
      <c r="BC585" s="14"/>
      <c r="BD585" s="14"/>
      <c r="BE585" s="14"/>
      <c r="BF585" s="14"/>
      <c r="BG585" s="14"/>
      <c r="BH585" s="14"/>
      <c r="BI585" s="14"/>
      <c r="BJ585" s="14"/>
      <c r="BK585" s="14"/>
      <c r="BL585" s="14"/>
      <c r="BM585" s="14"/>
      <c r="BN585" s="14"/>
      <c r="BO585" s="14"/>
      <c r="BP585" s="14"/>
      <c r="BQ585" s="14"/>
      <c r="BR585" s="14"/>
      <c r="BS585" s="14"/>
      <c r="BT585" s="14"/>
      <c r="BU585" s="14"/>
      <c r="BV585" s="14"/>
      <c r="BW585" s="14"/>
      <c r="BX585" s="14"/>
      <c r="BY585" s="14"/>
      <c r="BZ585" s="14"/>
      <c r="CA585" s="14"/>
      <c r="CB585" s="14"/>
      <c r="CC585" s="14"/>
      <c r="CD585" s="14"/>
      <c r="CE585" s="14"/>
      <c r="CF585" s="14"/>
      <c r="CG585" s="14"/>
      <c r="CH585" s="14"/>
      <c r="CI585" s="14"/>
      <c r="CJ585" s="14"/>
      <c r="CK585" s="14"/>
      <c r="CL585" s="14"/>
      <c r="CT585" s="14"/>
      <c r="CW585" s="3"/>
      <c r="DG585" s="4"/>
    </row>
    <row r="586" customFormat="false" ht="11.25" hidden="false" customHeight="true" outlineLevel="0" collapsed="false">
      <c r="A586" s="14"/>
      <c r="B586" s="15"/>
      <c r="C586" s="15"/>
      <c r="D586" s="14"/>
      <c r="E586" s="14"/>
      <c r="F586" s="14"/>
      <c r="G586" s="14"/>
      <c r="H586" s="15"/>
      <c r="I586" s="15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4"/>
      <c r="AX586" s="14"/>
      <c r="AY586" s="14"/>
      <c r="AZ586" s="14"/>
      <c r="BA586" s="14"/>
      <c r="BB586" s="14"/>
      <c r="BC586" s="14"/>
      <c r="BD586" s="14"/>
      <c r="BE586" s="14"/>
      <c r="BF586" s="14"/>
      <c r="BG586" s="14"/>
      <c r="BH586" s="14"/>
      <c r="BI586" s="14"/>
      <c r="BJ586" s="14"/>
      <c r="BK586" s="14"/>
      <c r="BL586" s="14"/>
      <c r="BM586" s="14"/>
      <c r="BN586" s="14"/>
      <c r="BO586" s="14"/>
      <c r="BP586" s="14"/>
      <c r="BQ586" s="14"/>
      <c r="BR586" s="14"/>
      <c r="BS586" s="14"/>
      <c r="BT586" s="14"/>
      <c r="BU586" s="14"/>
      <c r="BV586" s="14"/>
      <c r="BW586" s="14"/>
      <c r="BX586" s="14"/>
      <c r="BY586" s="14"/>
      <c r="BZ586" s="14"/>
      <c r="CA586" s="14"/>
      <c r="CB586" s="14"/>
      <c r="CC586" s="14"/>
      <c r="CD586" s="14"/>
      <c r="CE586" s="14"/>
      <c r="CF586" s="14"/>
      <c r="CG586" s="14"/>
      <c r="CH586" s="14"/>
      <c r="CI586" s="14"/>
      <c r="CJ586" s="14"/>
      <c r="CK586" s="14"/>
      <c r="CL586" s="14"/>
      <c r="CT586" s="14"/>
      <c r="CW586" s="3"/>
      <c r="DG586" s="4"/>
    </row>
    <row r="587" customFormat="false" ht="11.25" hidden="false" customHeight="true" outlineLevel="0" collapsed="false">
      <c r="A587" s="14"/>
      <c r="B587" s="15"/>
      <c r="C587" s="15"/>
      <c r="D587" s="14"/>
      <c r="E587" s="14"/>
      <c r="F587" s="14"/>
      <c r="G587" s="14"/>
      <c r="H587" s="15"/>
      <c r="I587" s="15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  <c r="AX587" s="14"/>
      <c r="AY587" s="14"/>
      <c r="AZ587" s="14"/>
      <c r="BA587" s="14"/>
      <c r="BB587" s="14"/>
      <c r="BC587" s="14"/>
      <c r="BD587" s="14"/>
      <c r="BE587" s="14"/>
      <c r="BF587" s="14"/>
      <c r="BG587" s="14"/>
      <c r="BH587" s="14"/>
      <c r="BI587" s="14"/>
      <c r="BJ587" s="14"/>
      <c r="BK587" s="14"/>
      <c r="BL587" s="14"/>
      <c r="BM587" s="14"/>
      <c r="BN587" s="14"/>
      <c r="BO587" s="14"/>
      <c r="BP587" s="14"/>
      <c r="BQ587" s="14"/>
      <c r="BR587" s="14"/>
      <c r="BS587" s="14"/>
      <c r="BT587" s="14"/>
      <c r="BU587" s="14"/>
      <c r="BV587" s="14"/>
      <c r="BW587" s="14"/>
      <c r="BX587" s="14"/>
      <c r="BY587" s="14"/>
      <c r="BZ587" s="14"/>
      <c r="CA587" s="14"/>
      <c r="CB587" s="14"/>
      <c r="CC587" s="14"/>
      <c r="CD587" s="14"/>
      <c r="CE587" s="14"/>
      <c r="CF587" s="14"/>
      <c r="CG587" s="14"/>
      <c r="CH587" s="14"/>
      <c r="CI587" s="14"/>
      <c r="CJ587" s="14"/>
      <c r="CK587" s="14"/>
      <c r="CL587" s="14"/>
      <c r="CT587" s="14"/>
      <c r="CW587" s="3"/>
      <c r="DG587" s="4"/>
    </row>
    <row r="588" customFormat="false" ht="11.25" hidden="false" customHeight="true" outlineLevel="0" collapsed="false">
      <c r="A588" s="14"/>
      <c r="B588" s="15"/>
      <c r="C588" s="15"/>
      <c r="D588" s="14"/>
      <c r="E588" s="14"/>
      <c r="F588" s="14"/>
      <c r="G588" s="14"/>
      <c r="H588" s="15"/>
      <c r="I588" s="15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14"/>
      <c r="AX588" s="14"/>
      <c r="AY588" s="14"/>
      <c r="AZ588" s="14"/>
      <c r="BA588" s="14"/>
      <c r="BB588" s="14"/>
      <c r="BC588" s="14"/>
      <c r="BD588" s="14"/>
      <c r="BE588" s="14"/>
      <c r="BF588" s="14"/>
      <c r="BG588" s="14"/>
      <c r="BH588" s="14"/>
      <c r="BI588" s="14"/>
      <c r="BJ588" s="14"/>
      <c r="BK588" s="14"/>
      <c r="BL588" s="14"/>
      <c r="BM588" s="14"/>
      <c r="BN588" s="14"/>
      <c r="BO588" s="14"/>
      <c r="BP588" s="14"/>
      <c r="BQ588" s="14"/>
      <c r="BR588" s="14"/>
      <c r="BS588" s="14"/>
      <c r="BT588" s="14"/>
      <c r="BU588" s="14"/>
      <c r="BV588" s="14"/>
      <c r="BW588" s="14"/>
      <c r="BX588" s="14"/>
      <c r="BY588" s="14"/>
      <c r="BZ588" s="14"/>
      <c r="CA588" s="14"/>
      <c r="CB588" s="14"/>
      <c r="CC588" s="14"/>
      <c r="CD588" s="14"/>
      <c r="CE588" s="14"/>
      <c r="CF588" s="14"/>
      <c r="CG588" s="14"/>
      <c r="CH588" s="14"/>
      <c r="CI588" s="14"/>
      <c r="CJ588" s="14"/>
      <c r="CK588" s="14"/>
      <c r="CL588" s="14"/>
      <c r="CT588" s="14"/>
      <c r="CW588" s="3"/>
      <c r="DG588" s="4"/>
    </row>
    <row r="589" customFormat="false" ht="11.25" hidden="false" customHeight="true" outlineLevel="0" collapsed="false">
      <c r="A589" s="14"/>
      <c r="B589" s="15"/>
      <c r="C589" s="15"/>
      <c r="D589" s="14"/>
      <c r="E589" s="14"/>
      <c r="F589" s="14"/>
      <c r="G589" s="14"/>
      <c r="H589" s="15"/>
      <c r="I589" s="15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14"/>
      <c r="AX589" s="14"/>
      <c r="AY589" s="14"/>
      <c r="AZ589" s="14"/>
      <c r="BA589" s="14"/>
      <c r="BB589" s="14"/>
      <c r="BC589" s="14"/>
      <c r="BD589" s="14"/>
      <c r="BE589" s="14"/>
      <c r="BF589" s="14"/>
      <c r="BG589" s="14"/>
      <c r="BH589" s="14"/>
      <c r="BI589" s="14"/>
      <c r="BJ589" s="14"/>
      <c r="BK589" s="14"/>
      <c r="BL589" s="14"/>
      <c r="BM589" s="14"/>
      <c r="BN589" s="14"/>
      <c r="BO589" s="14"/>
      <c r="BP589" s="14"/>
      <c r="BQ589" s="14"/>
      <c r="BR589" s="14"/>
      <c r="BS589" s="14"/>
      <c r="BT589" s="14"/>
      <c r="BU589" s="14"/>
      <c r="BV589" s="14"/>
      <c r="BW589" s="14"/>
      <c r="BX589" s="14"/>
      <c r="BY589" s="14"/>
      <c r="BZ589" s="14"/>
      <c r="CA589" s="14"/>
      <c r="CB589" s="14"/>
      <c r="CC589" s="14"/>
      <c r="CD589" s="14"/>
      <c r="CE589" s="14"/>
      <c r="CF589" s="14"/>
      <c r="CG589" s="14"/>
      <c r="CH589" s="14"/>
      <c r="CI589" s="14"/>
      <c r="CJ589" s="14"/>
      <c r="CK589" s="14"/>
      <c r="CL589" s="14"/>
      <c r="CT589" s="14"/>
      <c r="CW589" s="3"/>
      <c r="DG589" s="4"/>
    </row>
    <row r="590" customFormat="false" ht="11.25" hidden="false" customHeight="true" outlineLevel="0" collapsed="false">
      <c r="A590" s="14"/>
      <c r="B590" s="15"/>
      <c r="C590" s="15"/>
      <c r="D590" s="14"/>
      <c r="E590" s="14"/>
      <c r="F590" s="14"/>
      <c r="G590" s="14"/>
      <c r="H590" s="15"/>
      <c r="I590" s="15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  <c r="AU590" s="14"/>
      <c r="AV590" s="14"/>
      <c r="AW590" s="14"/>
      <c r="AX590" s="14"/>
      <c r="AY590" s="14"/>
      <c r="AZ590" s="14"/>
      <c r="BA590" s="14"/>
      <c r="BB590" s="14"/>
      <c r="BC590" s="14"/>
      <c r="BD590" s="14"/>
      <c r="BE590" s="14"/>
      <c r="BF590" s="14"/>
      <c r="BG590" s="14"/>
      <c r="BH590" s="14"/>
      <c r="BI590" s="14"/>
      <c r="BJ590" s="14"/>
      <c r="BK590" s="14"/>
      <c r="BL590" s="14"/>
      <c r="BM590" s="14"/>
      <c r="BN590" s="14"/>
      <c r="BO590" s="14"/>
      <c r="BP590" s="14"/>
      <c r="BQ590" s="14"/>
      <c r="BR590" s="14"/>
      <c r="BS590" s="14"/>
      <c r="BT590" s="14"/>
      <c r="BU590" s="14"/>
      <c r="BV590" s="14"/>
      <c r="BW590" s="14"/>
      <c r="BX590" s="14"/>
      <c r="BY590" s="14"/>
      <c r="BZ590" s="14"/>
      <c r="CA590" s="14"/>
      <c r="CB590" s="14"/>
      <c r="CC590" s="14"/>
      <c r="CD590" s="14"/>
      <c r="CE590" s="14"/>
      <c r="CF590" s="14"/>
      <c r="CG590" s="14"/>
      <c r="CH590" s="14"/>
      <c r="CI590" s="14"/>
      <c r="CJ590" s="14"/>
      <c r="CK590" s="14"/>
      <c r="CL590" s="14"/>
      <c r="CT590" s="14"/>
      <c r="CW590" s="3"/>
      <c r="DG590" s="4"/>
    </row>
    <row r="591" customFormat="false" ht="11.25" hidden="false" customHeight="true" outlineLevel="0" collapsed="false">
      <c r="A591" s="14"/>
      <c r="B591" s="15"/>
      <c r="C591" s="15"/>
      <c r="D591" s="14"/>
      <c r="E591" s="14"/>
      <c r="F591" s="14"/>
      <c r="G591" s="14"/>
      <c r="H591" s="15"/>
      <c r="I591" s="15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4"/>
      <c r="AX591" s="14"/>
      <c r="AY591" s="14"/>
      <c r="AZ591" s="14"/>
      <c r="BA591" s="14"/>
      <c r="BB591" s="14"/>
      <c r="BC591" s="14"/>
      <c r="BD591" s="14"/>
      <c r="BE591" s="14"/>
      <c r="BF591" s="14"/>
      <c r="BG591" s="14"/>
      <c r="BH591" s="14"/>
      <c r="BI591" s="14"/>
      <c r="BJ591" s="14"/>
      <c r="BK591" s="14"/>
      <c r="BL591" s="14"/>
      <c r="BM591" s="14"/>
      <c r="BN591" s="14"/>
      <c r="BO591" s="14"/>
      <c r="BP591" s="14"/>
      <c r="BQ591" s="14"/>
      <c r="BR591" s="14"/>
      <c r="BS591" s="14"/>
      <c r="BT591" s="14"/>
      <c r="BU591" s="14"/>
      <c r="BV591" s="14"/>
      <c r="BW591" s="14"/>
      <c r="BX591" s="14"/>
      <c r="BY591" s="14"/>
      <c r="BZ591" s="14"/>
      <c r="CA591" s="14"/>
      <c r="CB591" s="14"/>
      <c r="CC591" s="14"/>
      <c r="CD591" s="14"/>
      <c r="CE591" s="14"/>
      <c r="CF591" s="14"/>
      <c r="CG591" s="14"/>
      <c r="CH591" s="14"/>
      <c r="CI591" s="14"/>
      <c r="CJ591" s="14"/>
      <c r="CK591" s="14"/>
      <c r="CL591" s="14"/>
      <c r="CT591" s="14"/>
      <c r="CW591" s="3"/>
      <c r="DG591" s="4"/>
    </row>
    <row r="592" customFormat="false" ht="11.25" hidden="false" customHeight="true" outlineLevel="0" collapsed="false">
      <c r="A592" s="14"/>
      <c r="B592" s="15"/>
      <c r="C592" s="15"/>
      <c r="D592" s="14"/>
      <c r="E592" s="14"/>
      <c r="F592" s="14"/>
      <c r="G592" s="14"/>
      <c r="H592" s="15"/>
      <c r="I592" s="15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/>
      <c r="AV592" s="14"/>
      <c r="AW592" s="14"/>
      <c r="AX592" s="14"/>
      <c r="AY592" s="14"/>
      <c r="AZ592" s="14"/>
      <c r="BA592" s="14"/>
      <c r="BB592" s="14"/>
      <c r="BC592" s="14"/>
      <c r="BD592" s="14"/>
      <c r="BE592" s="14"/>
      <c r="BF592" s="14"/>
      <c r="BG592" s="14"/>
      <c r="BH592" s="14"/>
      <c r="BI592" s="14"/>
      <c r="BJ592" s="14"/>
      <c r="BK592" s="14"/>
      <c r="BL592" s="14"/>
      <c r="BM592" s="14"/>
      <c r="BN592" s="14"/>
      <c r="BO592" s="14"/>
      <c r="BP592" s="14"/>
      <c r="BQ592" s="14"/>
      <c r="BR592" s="14"/>
      <c r="BS592" s="14"/>
      <c r="BT592" s="14"/>
      <c r="BU592" s="14"/>
      <c r="BV592" s="14"/>
      <c r="BW592" s="14"/>
      <c r="BX592" s="14"/>
      <c r="BY592" s="14"/>
      <c r="BZ592" s="14"/>
      <c r="CA592" s="14"/>
      <c r="CB592" s="14"/>
      <c r="CC592" s="14"/>
      <c r="CD592" s="14"/>
      <c r="CE592" s="14"/>
      <c r="CF592" s="14"/>
      <c r="CG592" s="14"/>
      <c r="CH592" s="14"/>
      <c r="CI592" s="14"/>
      <c r="CJ592" s="14"/>
      <c r="CK592" s="14"/>
      <c r="CL592" s="14"/>
      <c r="CT592" s="14"/>
      <c r="CW592" s="3"/>
      <c r="DG592" s="4"/>
    </row>
    <row r="593" customFormat="false" ht="11.25" hidden="false" customHeight="true" outlineLevel="0" collapsed="false">
      <c r="A593" s="14"/>
      <c r="B593" s="15"/>
      <c r="C593" s="15"/>
      <c r="D593" s="14"/>
      <c r="E593" s="14"/>
      <c r="F593" s="14"/>
      <c r="G593" s="14"/>
      <c r="H593" s="15"/>
      <c r="I593" s="15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4"/>
      <c r="AX593" s="14"/>
      <c r="AY593" s="14"/>
      <c r="AZ593" s="14"/>
      <c r="BA593" s="14"/>
      <c r="BB593" s="14"/>
      <c r="BC593" s="14"/>
      <c r="BD593" s="14"/>
      <c r="BE593" s="14"/>
      <c r="BF593" s="14"/>
      <c r="BG593" s="14"/>
      <c r="BH593" s="14"/>
      <c r="BI593" s="14"/>
      <c r="BJ593" s="14"/>
      <c r="BK593" s="14"/>
      <c r="BL593" s="14"/>
      <c r="BM593" s="14"/>
      <c r="BN593" s="14"/>
      <c r="BO593" s="14"/>
      <c r="BP593" s="14"/>
      <c r="BQ593" s="14"/>
      <c r="BR593" s="14"/>
      <c r="BS593" s="14"/>
      <c r="BT593" s="14"/>
      <c r="BU593" s="14"/>
      <c r="BV593" s="14"/>
      <c r="BW593" s="14"/>
      <c r="BX593" s="14"/>
      <c r="BY593" s="14"/>
      <c r="BZ593" s="14"/>
      <c r="CA593" s="14"/>
      <c r="CB593" s="14"/>
      <c r="CC593" s="14"/>
      <c r="CD593" s="14"/>
      <c r="CE593" s="14"/>
      <c r="CF593" s="14"/>
      <c r="CG593" s="14"/>
      <c r="CH593" s="14"/>
      <c r="CI593" s="14"/>
      <c r="CJ593" s="14"/>
      <c r="CK593" s="14"/>
      <c r="CL593" s="14"/>
      <c r="CT593" s="14"/>
      <c r="CW593" s="3"/>
      <c r="DG593" s="4"/>
    </row>
    <row r="594" customFormat="false" ht="11.25" hidden="false" customHeight="true" outlineLevel="0" collapsed="false">
      <c r="A594" s="14"/>
      <c r="B594" s="15"/>
      <c r="C594" s="15"/>
      <c r="D594" s="14"/>
      <c r="E594" s="14"/>
      <c r="F594" s="14"/>
      <c r="G594" s="14"/>
      <c r="H594" s="15"/>
      <c r="I594" s="15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  <c r="AU594" s="14"/>
      <c r="AV594" s="14"/>
      <c r="AW594" s="14"/>
      <c r="AX594" s="14"/>
      <c r="AY594" s="14"/>
      <c r="AZ594" s="14"/>
      <c r="BA594" s="14"/>
      <c r="BB594" s="14"/>
      <c r="BC594" s="14"/>
      <c r="BD594" s="14"/>
      <c r="BE594" s="14"/>
      <c r="BF594" s="14"/>
      <c r="BG594" s="14"/>
      <c r="BH594" s="14"/>
      <c r="BI594" s="14"/>
      <c r="BJ594" s="14"/>
      <c r="BK594" s="14"/>
      <c r="BL594" s="14"/>
      <c r="BM594" s="14"/>
      <c r="BN594" s="14"/>
      <c r="BO594" s="14"/>
      <c r="BP594" s="14"/>
      <c r="BQ594" s="14"/>
      <c r="BR594" s="14"/>
      <c r="BS594" s="14"/>
      <c r="BT594" s="14"/>
      <c r="BU594" s="14"/>
      <c r="BV594" s="14"/>
      <c r="BW594" s="14"/>
      <c r="BX594" s="14"/>
      <c r="BY594" s="14"/>
      <c r="BZ594" s="14"/>
      <c r="CA594" s="14"/>
      <c r="CB594" s="14"/>
      <c r="CC594" s="14"/>
      <c r="CD594" s="14"/>
      <c r="CE594" s="14"/>
      <c r="CF594" s="14"/>
      <c r="CG594" s="14"/>
      <c r="CH594" s="14"/>
      <c r="CI594" s="14"/>
      <c r="CJ594" s="14"/>
      <c r="CK594" s="14"/>
      <c r="CL594" s="14"/>
      <c r="CT594" s="14"/>
      <c r="CW594" s="3"/>
      <c r="DG594" s="4"/>
    </row>
    <row r="595" customFormat="false" ht="11.25" hidden="false" customHeight="true" outlineLevel="0" collapsed="false">
      <c r="A595" s="14"/>
      <c r="B595" s="15"/>
      <c r="C595" s="15"/>
      <c r="D595" s="14"/>
      <c r="E595" s="14"/>
      <c r="F595" s="14"/>
      <c r="G595" s="14"/>
      <c r="H595" s="15"/>
      <c r="I595" s="15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4"/>
      <c r="AX595" s="14"/>
      <c r="AY595" s="14"/>
      <c r="AZ595" s="14"/>
      <c r="BA595" s="14"/>
      <c r="BB595" s="14"/>
      <c r="BC595" s="14"/>
      <c r="BD595" s="14"/>
      <c r="BE595" s="14"/>
      <c r="BF595" s="14"/>
      <c r="BG595" s="14"/>
      <c r="BH595" s="14"/>
      <c r="BI595" s="14"/>
      <c r="BJ595" s="14"/>
      <c r="BK595" s="14"/>
      <c r="BL595" s="14"/>
      <c r="BM595" s="14"/>
      <c r="BN595" s="14"/>
      <c r="BO595" s="14"/>
      <c r="BP595" s="14"/>
      <c r="BQ595" s="14"/>
      <c r="BR595" s="14"/>
      <c r="BS595" s="14"/>
      <c r="BT595" s="14"/>
      <c r="BU595" s="14"/>
      <c r="BV595" s="14"/>
      <c r="BW595" s="14"/>
      <c r="BX595" s="14"/>
      <c r="BY595" s="14"/>
      <c r="BZ595" s="14"/>
      <c r="CA595" s="14"/>
      <c r="CB595" s="14"/>
      <c r="CC595" s="14"/>
      <c r="CD595" s="14"/>
      <c r="CE595" s="14"/>
      <c r="CF595" s="14"/>
      <c r="CG595" s="14"/>
      <c r="CH595" s="14"/>
      <c r="CI595" s="14"/>
      <c r="CJ595" s="14"/>
      <c r="CK595" s="14"/>
      <c r="CL595" s="14"/>
      <c r="CT595" s="14"/>
      <c r="CW595" s="3"/>
      <c r="DG595" s="4"/>
    </row>
    <row r="596" customFormat="false" ht="11.25" hidden="false" customHeight="true" outlineLevel="0" collapsed="false">
      <c r="A596" s="14"/>
      <c r="B596" s="15"/>
      <c r="C596" s="15"/>
      <c r="D596" s="14"/>
      <c r="E596" s="14"/>
      <c r="F596" s="14"/>
      <c r="G596" s="14"/>
      <c r="H596" s="15"/>
      <c r="I596" s="15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  <c r="AU596" s="14"/>
      <c r="AV596" s="14"/>
      <c r="AW596" s="14"/>
      <c r="AX596" s="14"/>
      <c r="AY596" s="14"/>
      <c r="AZ596" s="14"/>
      <c r="BA596" s="14"/>
      <c r="BB596" s="14"/>
      <c r="BC596" s="14"/>
      <c r="BD596" s="14"/>
      <c r="BE596" s="14"/>
      <c r="BF596" s="14"/>
      <c r="BG596" s="14"/>
      <c r="BH596" s="14"/>
      <c r="BI596" s="14"/>
      <c r="BJ596" s="14"/>
      <c r="BK596" s="14"/>
      <c r="BL596" s="14"/>
      <c r="BM596" s="14"/>
      <c r="BN596" s="14"/>
      <c r="BO596" s="14"/>
      <c r="BP596" s="14"/>
      <c r="BQ596" s="14"/>
      <c r="BR596" s="14"/>
      <c r="BS596" s="14"/>
      <c r="BT596" s="14"/>
      <c r="BU596" s="14"/>
      <c r="BV596" s="14"/>
      <c r="BW596" s="14"/>
      <c r="BX596" s="14"/>
      <c r="BY596" s="14"/>
      <c r="BZ596" s="14"/>
      <c r="CA596" s="14"/>
      <c r="CB596" s="14"/>
      <c r="CC596" s="14"/>
      <c r="CD596" s="14"/>
      <c r="CE596" s="14"/>
      <c r="CF596" s="14"/>
      <c r="CG596" s="14"/>
      <c r="CH596" s="14"/>
      <c r="CI596" s="14"/>
      <c r="CJ596" s="14"/>
      <c r="CK596" s="14"/>
      <c r="CL596" s="14"/>
      <c r="CT596" s="14"/>
      <c r="CW596" s="3"/>
      <c r="DG596" s="4"/>
    </row>
    <row r="597" customFormat="false" ht="11.25" hidden="false" customHeight="true" outlineLevel="0" collapsed="false">
      <c r="A597" s="14"/>
      <c r="B597" s="15"/>
      <c r="C597" s="15"/>
      <c r="D597" s="14"/>
      <c r="E597" s="14"/>
      <c r="F597" s="14"/>
      <c r="G597" s="14"/>
      <c r="H597" s="15"/>
      <c r="I597" s="15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  <c r="AX597" s="14"/>
      <c r="AY597" s="14"/>
      <c r="AZ597" s="14"/>
      <c r="BA597" s="14"/>
      <c r="BB597" s="14"/>
      <c r="BC597" s="14"/>
      <c r="BD597" s="14"/>
      <c r="BE597" s="14"/>
      <c r="BF597" s="14"/>
      <c r="BG597" s="14"/>
      <c r="BH597" s="14"/>
      <c r="BI597" s="14"/>
      <c r="BJ597" s="14"/>
      <c r="BK597" s="14"/>
      <c r="BL597" s="14"/>
      <c r="BM597" s="14"/>
      <c r="BN597" s="14"/>
      <c r="BO597" s="14"/>
      <c r="BP597" s="14"/>
      <c r="BQ597" s="14"/>
      <c r="BR597" s="14"/>
      <c r="BS597" s="14"/>
      <c r="BT597" s="14"/>
      <c r="BU597" s="14"/>
      <c r="BV597" s="14"/>
      <c r="BW597" s="14"/>
      <c r="BX597" s="14"/>
      <c r="BY597" s="14"/>
      <c r="BZ597" s="14"/>
      <c r="CA597" s="14"/>
      <c r="CB597" s="14"/>
      <c r="CC597" s="14"/>
      <c r="CD597" s="14"/>
      <c r="CE597" s="14"/>
      <c r="CF597" s="14"/>
      <c r="CG597" s="14"/>
      <c r="CH597" s="14"/>
      <c r="CI597" s="14"/>
      <c r="CJ597" s="14"/>
      <c r="CK597" s="14"/>
      <c r="CL597" s="14"/>
      <c r="CT597" s="14"/>
      <c r="CW597" s="3"/>
      <c r="DG597" s="4"/>
    </row>
    <row r="598" customFormat="false" ht="11.25" hidden="false" customHeight="true" outlineLevel="0" collapsed="false">
      <c r="A598" s="14"/>
      <c r="B598" s="15"/>
      <c r="C598" s="15"/>
      <c r="D598" s="14"/>
      <c r="E598" s="14"/>
      <c r="F598" s="14"/>
      <c r="G598" s="14"/>
      <c r="H598" s="15"/>
      <c r="I598" s="15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  <c r="AU598" s="14"/>
      <c r="AV598" s="14"/>
      <c r="AW598" s="14"/>
      <c r="AX598" s="14"/>
      <c r="AY598" s="14"/>
      <c r="AZ598" s="14"/>
      <c r="BA598" s="14"/>
      <c r="BB598" s="14"/>
      <c r="BC598" s="14"/>
      <c r="BD598" s="14"/>
      <c r="BE598" s="14"/>
      <c r="BF598" s="14"/>
      <c r="BG598" s="14"/>
      <c r="BH598" s="14"/>
      <c r="BI598" s="14"/>
      <c r="BJ598" s="14"/>
      <c r="BK598" s="14"/>
      <c r="BL598" s="14"/>
      <c r="BM598" s="14"/>
      <c r="BN598" s="14"/>
      <c r="BO598" s="14"/>
      <c r="BP598" s="14"/>
      <c r="BQ598" s="14"/>
      <c r="BR598" s="14"/>
      <c r="BS598" s="14"/>
      <c r="BT598" s="14"/>
      <c r="BU598" s="14"/>
      <c r="BV598" s="14"/>
      <c r="BW598" s="14"/>
      <c r="BX598" s="14"/>
      <c r="BY598" s="14"/>
      <c r="BZ598" s="14"/>
      <c r="CA598" s="14"/>
      <c r="CB598" s="14"/>
      <c r="CC598" s="14"/>
      <c r="CD598" s="14"/>
      <c r="CE598" s="14"/>
      <c r="CF598" s="14"/>
      <c r="CG598" s="14"/>
      <c r="CH598" s="14"/>
      <c r="CI598" s="14"/>
      <c r="CJ598" s="14"/>
      <c r="CK598" s="14"/>
      <c r="CL598" s="14"/>
      <c r="CT598" s="14"/>
      <c r="CW598" s="3"/>
      <c r="DG598" s="4"/>
    </row>
    <row r="599" customFormat="false" ht="11.25" hidden="false" customHeight="true" outlineLevel="0" collapsed="false">
      <c r="A599" s="14"/>
      <c r="B599" s="15"/>
      <c r="C599" s="15"/>
      <c r="D599" s="14"/>
      <c r="E599" s="14"/>
      <c r="F599" s="14"/>
      <c r="G599" s="14"/>
      <c r="H599" s="15"/>
      <c r="I599" s="15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X599" s="14"/>
      <c r="AY599" s="14"/>
      <c r="AZ599" s="14"/>
      <c r="BA599" s="14"/>
      <c r="BB599" s="14"/>
      <c r="BC599" s="14"/>
      <c r="BD599" s="14"/>
      <c r="BE599" s="14"/>
      <c r="BF599" s="14"/>
      <c r="BG599" s="14"/>
      <c r="BH599" s="14"/>
      <c r="BI599" s="14"/>
      <c r="BJ599" s="14"/>
      <c r="BK599" s="14"/>
      <c r="BL599" s="14"/>
      <c r="BM599" s="14"/>
      <c r="BN599" s="14"/>
      <c r="BO599" s="14"/>
      <c r="BP599" s="14"/>
      <c r="BQ599" s="14"/>
      <c r="BR599" s="14"/>
      <c r="BS599" s="14"/>
      <c r="BT599" s="14"/>
      <c r="BU599" s="14"/>
      <c r="BV599" s="14"/>
      <c r="BW599" s="14"/>
      <c r="BX599" s="14"/>
      <c r="BY599" s="14"/>
      <c r="BZ599" s="14"/>
      <c r="CA599" s="14"/>
      <c r="CB599" s="14"/>
      <c r="CC599" s="14"/>
      <c r="CD599" s="14"/>
      <c r="CE599" s="14"/>
      <c r="CF599" s="14"/>
      <c r="CG599" s="14"/>
      <c r="CH599" s="14"/>
      <c r="CI599" s="14"/>
      <c r="CJ599" s="14"/>
      <c r="CK599" s="14"/>
      <c r="CL599" s="14"/>
      <c r="CT599" s="14"/>
      <c r="CW599" s="3"/>
      <c r="DG599" s="4"/>
    </row>
    <row r="600" customFormat="false" ht="11.25" hidden="false" customHeight="true" outlineLevel="0" collapsed="false">
      <c r="A600" s="14"/>
      <c r="B600" s="15"/>
      <c r="C600" s="15"/>
      <c r="D600" s="14"/>
      <c r="E600" s="14"/>
      <c r="F600" s="14"/>
      <c r="G600" s="14"/>
      <c r="H600" s="15"/>
      <c r="I600" s="15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  <c r="AU600" s="14"/>
      <c r="AV600" s="14"/>
      <c r="AW600" s="14"/>
      <c r="AX600" s="14"/>
      <c r="AY600" s="14"/>
      <c r="AZ600" s="14"/>
      <c r="BA600" s="14"/>
      <c r="BB600" s="14"/>
      <c r="BC600" s="14"/>
      <c r="BD600" s="14"/>
      <c r="BE600" s="14"/>
      <c r="BF600" s="14"/>
      <c r="BG600" s="14"/>
      <c r="BH600" s="14"/>
      <c r="BI600" s="14"/>
      <c r="BJ600" s="14"/>
      <c r="BK600" s="14"/>
      <c r="BL600" s="14"/>
      <c r="BM600" s="14"/>
      <c r="BN600" s="14"/>
      <c r="BO600" s="14"/>
      <c r="BP600" s="14"/>
      <c r="BQ600" s="14"/>
      <c r="BR600" s="14"/>
      <c r="BS600" s="14"/>
      <c r="BT600" s="14"/>
      <c r="BU600" s="14"/>
      <c r="BV600" s="14"/>
      <c r="BW600" s="14"/>
      <c r="BX600" s="14"/>
      <c r="BY600" s="14"/>
      <c r="BZ600" s="14"/>
      <c r="CA600" s="14"/>
      <c r="CB600" s="14"/>
      <c r="CC600" s="14"/>
      <c r="CD600" s="14"/>
      <c r="CE600" s="14"/>
      <c r="CF600" s="14"/>
      <c r="CG600" s="14"/>
      <c r="CH600" s="14"/>
      <c r="CI600" s="14"/>
      <c r="CJ600" s="14"/>
      <c r="CK600" s="14"/>
      <c r="CL600" s="14"/>
      <c r="CT600" s="14"/>
      <c r="CW600" s="3"/>
      <c r="DG600" s="4"/>
    </row>
    <row r="601" customFormat="false" ht="11.25" hidden="false" customHeight="true" outlineLevel="0" collapsed="false">
      <c r="A601" s="14"/>
      <c r="B601" s="15"/>
      <c r="C601" s="15"/>
      <c r="D601" s="14"/>
      <c r="E601" s="14"/>
      <c r="F601" s="14"/>
      <c r="G601" s="14"/>
      <c r="H601" s="15"/>
      <c r="I601" s="15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4"/>
      <c r="AX601" s="14"/>
      <c r="AY601" s="14"/>
      <c r="AZ601" s="14"/>
      <c r="BA601" s="14"/>
      <c r="BB601" s="14"/>
      <c r="BC601" s="14"/>
      <c r="BD601" s="14"/>
      <c r="BE601" s="14"/>
      <c r="BF601" s="14"/>
      <c r="BG601" s="14"/>
      <c r="BH601" s="14"/>
      <c r="BI601" s="14"/>
      <c r="BJ601" s="14"/>
      <c r="BK601" s="14"/>
      <c r="BL601" s="14"/>
      <c r="BM601" s="14"/>
      <c r="BN601" s="14"/>
      <c r="BO601" s="14"/>
      <c r="BP601" s="14"/>
      <c r="BQ601" s="14"/>
      <c r="BR601" s="14"/>
      <c r="BS601" s="14"/>
      <c r="BT601" s="14"/>
      <c r="BU601" s="14"/>
      <c r="BV601" s="14"/>
      <c r="BW601" s="14"/>
      <c r="BX601" s="14"/>
      <c r="BY601" s="14"/>
      <c r="BZ601" s="14"/>
      <c r="CA601" s="14"/>
      <c r="CB601" s="14"/>
      <c r="CC601" s="14"/>
      <c r="CD601" s="14"/>
      <c r="CE601" s="14"/>
      <c r="CF601" s="14"/>
      <c r="CG601" s="14"/>
      <c r="CH601" s="14"/>
      <c r="CI601" s="14"/>
      <c r="CJ601" s="14"/>
      <c r="CK601" s="14"/>
      <c r="CL601" s="14"/>
      <c r="CT601" s="14"/>
      <c r="CW601" s="3"/>
      <c r="DG601" s="4"/>
    </row>
    <row r="602" customFormat="false" ht="11.25" hidden="false" customHeight="true" outlineLevel="0" collapsed="false">
      <c r="A602" s="14"/>
      <c r="B602" s="15"/>
      <c r="C602" s="15"/>
      <c r="D602" s="14"/>
      <c r="E602" s="14"/>
      <c r="F602" s="14"/>
      <c r="G602" s="14"/>
      <c r="H602" s="15"/>
      <c r="I602" s="15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  <c r="AU602" s="14"/>
      <c r="AV602" s="14"/>
      <c r="AW602" s="14"/>
      <c r="AX602" s="14"/>
      <c r="AY602" s="14"/>
      <c r="AZ602" s="14"/>
      <c r="BA602" s="14"/>
      <c r="BB602" s="14"/>
      <c r="BC602" s="14"/>
      <c r="BD602" s="14"/>
      <c r="BE602" s="14"/>
      <c r="BF602" s="14"/>
      <c r="BG602" s="14"/>
      <c r="BH602" s="14"/>
      <c r="BI602" s="14"/>
      <c r="BJ602" s="14"/>
      <c r="BK602" s="14"/>
      <c r="BL602" s="14"/>
      <c r="BM602" s="14"/>
      <c r="BN602" s="14"/>
      <c r="BO602" s="14"/>
      <c r="BP602" s="14"/>
      <c r="BQ602" s="14"/>
      <c r="BR602" s="14"/>
      <c r="BS602" s="14"/>
      <c r="BT602" s="14"/>
      <c r="BU602" s="14"/>
      <c r="BV602" s="14"/>
      <c r="BW602" s="14"/>
      <c r="BX602" s="14"/>
      <c r="BY602" s="14"/>
      <c r="BZ602" s="14"/>
      <c r="CA602" s="14"/>
      <c r="CB602" s="14"/>
      <c r="CC602" s="14"/>
      <c r="CD602" s="14"/>
      <c r="CE602" s="14"/>
      <c r="CF602" s="14"/>
      <c r="CG602" s="14"/>
      <c r="CH602" s="14"/>
      <c r="CI602" s="14"/>
      <c r="CJ602" s="14"/>
      <c r="CK602" s="14"/>
      <c r="CL602" s="14"/>
      <c r="CT602" s="14"/>
      <c r="CW602" s="3"/>
      <c r="DG602" s="4"/>
    </row>
    <row r="603" customFormat="false" ht="11.25" hidden="false" customHeight="true" outlineLevel="0" collapsed="false">
      <c r="A603" s="14"/>
      <c r="B603" s="15"/>
      <c r="C603" s="15"/>
      <c r="D603" s="14"/>
      <c r="E603" s="14"/>
      <c r="F603" s="14"/>
      <c r="G603" s="14"/>
      <c r="H603" s="15"/>
      <c r="I603" s="15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4"/>
      <c r="AX603" s="14"/>
      <c r="AY603" s="14"/>
      <c r="AZ603" s="14"/>
      <c r="BA603" s="14"/>
      <c r="BB603" s="14"/>
      <c r="BC603" s="14"/>
      <c r="BD603" s="14"/>
      <c r="BE603" s="14"/>
      <c r="BF603" s="14"/>
      <c r="BG603" s="14"/>
      <c r="BH603" s="14"/>
      <c r="BI603" s="14"/>
      <c r="BJ603" s="14"/>
      <c r="BK603" s="14"/>
      <c r="BL603" s="14"/>
      <c r="BM603" s="14"/>
      <c r="BN603" s="14"/>
      <c r="BO603" s="14"/>
      <c r="BP603" s="14"/>
      <c r="BQ603" s="14"/>
      <c r="BR603" s="14"/>
      <c r="BS603" s="14"/>
      <c r="BT603" s="14"/>
      <c r="BU603" s="14"/>
      <c r="BV603" s="14"/>
      <c r="BW603" s="14"/>
      <c r="BX603" s="14"/>
      <c r="BY603" s="14"/>
      <c r="BZ603" s="14"/>
      <c r="CA603" s="14"/>
      <c r="CB603" s="14"/>
      <c r="CC603" s="14"/>
      <c r="CD603" s="14"/>
      <c r="CE603" s="14"/>
      <c r="CF603" s="14"/>
      <c r="CG603" s="14"/>
      <c r="CH603" s="14"/>
      <c r="CI603" s="14"/>
      <c r="CJ603" s="14"/>
      <c r="CK603" s="14"/>
      <c r="CL603" s="14"/>
      <c r="CT603" s="14"/>
      <c r="CW603" s="3"/>
      <c r="DG603" s="4"/>
    </row>
    <row r="604" customFormat="false" ht="11.25" hidden="false" customHeight="true" outlineLevel="0" collapsed="false">
      <c r="A604" s="14"/>
      <c r="B604" s="15"/>
      <c r="C604" s="15"/>
      <c r="D604" s="14"/>
      <c r="E604" s="14"/>
      <c r="F604" s="14"/>
      <c r="G604" s="14"/>
      <c r="H604" s="15"/>
      <c r="I604" s="15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4"/>
      <c r="AX604" s="14"/>
      <c r="AY604" s="14"/>
      <c r="AZ604" s="14"/>
      <c r="BA604" s="14"/>
      <c r="BB604" s="14"/>
      <c r="BC604" s="14"/>
      <c r="BD604" s="14"/>
      <c r="BE604" s="14"/>
      <c r="BF604" s="14"/>
      <c r="BG604" s="14"/>
      <c r="BH604" s="14"/>
      <c r="BI604" s="14"/>
      <c r="BJ604" s="14"/>
      <c r="BK604" s="14"/>
      <c r="BL604" s="14"/>
      <c r="BM604" s="14"/>
      <c r="BN604" s="14"/>
      <c r="BO604" s="14"/>
      <c r="BP604" s="14"/>
      <c r="BQ604" s="14"/>
      <c r="BR604" s="14"/>
      <c r="BS604" s="14"/>
      <c r="BT604" s="14"/>
      <c r="BU604" s="14"/>
      <c r="BV604" s="14"/>
      <c r="BW604" s="14"/>
      <c r="BX604" s="14"/>
      <c r="BY604" s="14"/>
      <c r="BZ604" s="14"/>
      <c r="CA604" s="14"/>
      <c r="CB604" s="14"/>
      <c r="CC604" s="14"/>
      <c r="CD604" s="14"/>
      <c r="CE604" s="14"/>
      <c r="CF604" s="14"/>
      <c r="CG604" s="14"/>
      <c r="CH604" s="14"/>
      <c r="CI604" s="14"/>
      <c r="CJ604" s="14"/>
      <c r="CK604" s="14"/>
      <c r="CL604" s="14"/>
      <c r="CT604" s="14"/>
      <c r="CW604" s="3"/>
      <c r="DG604" s="4"/>
    </row>
    <row r="605" customFormat="false" ht="11.25" hidden="false" customHeight="true" outlineLevel="0" collapsed="false">
      <c r="A605" s="14"/>
      <c r="B605" s="15"/>
      <c r="C605" s="15"/>
      <c r="D605" s="14"/>
      <c r="E605" s="14"/>
      <c r="F605" s="14"/>
      <c r="G605" s="14"/>
      <c r="H605" s="15"/>
      <c r="I605" s="15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X605" s="14"/>
      <c r="AY605" s="14"/>
      <c r="AZ605" s="14"/>
      <c r="BA605" s="14"/>
      <c r="BB605" s="14"/>
      <c r="BC605" s="14"/>
      <c r="BD605" s="14"/>
      <c r="BE605" s="14"/>
      <c r="BF605" s="14"/>
      <c r="BG605" s="14"/>
      <c r="BH605" s="14"/>
      <c r="BI605" s="14"/>
      <c r="BJ605" s="14"/>
      <c r="BK605" s="14"/>
      <c r="BL605" s="14"/>
      <c r="BM605" s="14"/>
      <c r="BN605" s="14"/>
      <c r="BO605" s="14"/>
      <c r="BP605" s="14"/>
      <c r="BQ605" s="14"/>
      <c r="BR605" s="14"/>
      <c r="BS605" s="14"/>
      <c r="BT605" s="14"/>
      <c r="BU605" s="14"/>
      <c r="BV605" s="14"/>
      <c r="BW605" s="14"/>
      <c r="BX605" s="14"/>
      <c r="BY605" s="14"/>
      <c r="BZ605" s="14"/>
      <c r="CA605" s="14"/>
      <c r="CB605" s="14"/>
      <c r="CC605" s="14"/>
      <c r="CD605" s="14"/>
      <c r="CE605" s="14"/>
      <c r="CF605" s="14"/>
      <c r="CG605" s="14"/>
      <c r="CH605" s="14"/>
      <c r="CI605" s="14"/>
      <c r="CJ605" s="14"/>
      <c r="CK605" s="14"/>
      <c r="CL605" s="14"/>
      <c r="CT605" s="14"/>
      <c r="CW605" s="3"/>
      <c r="DG605" s="4"/>
    </row>
    <row r="606" customFormat="false" ht="11.25" hidden="false" customHeight="true" outlineLevel="0" collapsed="false">
      <c r="A606" s="14"/>
      <c r="B606" s="15"/>
      <c r="C606" s="15"/>
      <c r="D606" s="14"/>
      <c r="E606" s="14"/>
      <c r="F606" s="14"/>
      <c r="G606" s="14"/>
      <c r="H606" s="15"/>
      <c r="I606" s="15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  <c r="AW606" s="14"/>
      <c r="AX606" s="14"/>
      <c r="AY606" s="14"/>
      <c r="AZ606" s="14"/>
      <c r="BA606" s="14"/>
      <c r="BB606" s="14"/>
      <c r="BC606" s="14"/>
      <c r="BD606" s="14"/>
      <c r="BE606" s="14"/>
      <c r="BF606" s="14"/>
      <c r="BG606" s="14"/>
      <c r="BH606" s="14"/>
      <c r="BI606" s="14"/>
      <c r="BJ606" s="14"/>
      <c r="BK606" s="14"/>
      <c r="BL606" s="14"/>
      <c r="BM606" s="14"/>
      <c r="BN606" s="14"/>
      <c r="BO606" s="14"/>
      <c r="BP606" s="14"/>
      <c r="BQ606" s="14"/>
      <c r="BR606" s="14"/>
      <c r="BS606" s="14"/>
      <c r="BT606" s="14"/>
      <c r="BU606" s="14"/>
      <c r="BV606" s="14"/>
      <c r="BW606" s="14"/>
      <c r="BX606" s="14"/>
      <c r="BY606" s="14"/>
      <c r="BZ606" s="14"/>
      <c r="CA606" s="14"/>
      <c r="CB606" s="14"/>
      <c r="CC606" s="14"/>
      <c r="CD606" s="14"/>
      <c r="CE606" s="14"/>
      <c r="CF606" s="14"/>
      <c r="CG606" s="14"/>
      <c r="CH606" s="14"/>
      <c r="CI606" s="14"/>
      <c r="CJ606" s="14"/>
      <c r="CK606" s="14"/>
      <c r="CL606" s="14"/>
      <c r="CT606" s="14"/>
      <c r="CW606" s="3"/>
      <c r="DG606" s="4"/>
    </row>
    <row r="607" customFormat="false" ht="11.25" hidden="false" customHeight="true" outlineLevel="0" collapsed="false">
      <c r="A607" s="14"/>
      <c r="B607" s="15"/>
      <c r="C607" s="15"/>
      <c r="D607" s="14"/>
      <c r="E607" s="14"/>
      <c r="F607" s="14"/>
      <c r="G607" s="14"/>
      <c r="H607" s="15"/>
      <c r="I607" s="15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4"/>
      <c r="AX607" s="14"/>
      <c r="AY607" s="14"/>
      <c r="AZ607" s="14"/>
      <c r="BA607" s="14"/>
      <c r="BB607" s="14"/>
      <c r="BC607" s="14"/>
      <c r="BD607" s="14"/>
      <c r="BE607" s="14"/>
      <c r="BF607" s="14"/>
      <c r="BG607" s="14"/>
      <c r="BH607" s="14"/>
      <c r="BI607" s="14"/>
      <c r="BJ607" s="14"/>
      <c r="BK607" s="14"/>
      <c r="BL607" s="14"/>
      <c r="BM607" s="14"/>
      <c r="BN607" s="14"/>
      <c r="BO607" s="14"/>
      <c r="BP607" s="14"/>
      <c r="BQ607" s="14"/>
      <c r="BR607" s="14"/>
      <c r="BS607" s="14"/>
      <c r="BT607" s="14"/>
      <c r="BU607" s="14"/>
      <c r="BV607" s="14"/>
      <c r="BW607" s="14"/>
      <c r="BX607" s="14"/>
      <c r="BY607" s="14"/>
      <c r="BZ607" s="14"/>
      <c r="CA607" s="14"/>
      <c r="CB607" s="14"/>
      <c r="CC607" s="14"/>
      <c r="CD607" s="14"/>
      <c r="CE607" s="14"/>
      <c r="CF607" s="14"/>
      <c r="CG607" s="14"/>
      <c r="CH607" s="14"/>
      <c r="CI607" s="14"/>
      <c r="CJ607" s="14"/>
      <c r="CK607" s="14"/>
      <c r="CL607" s="14"/>
      <c r="CT607" s="14"/>
      <c r="CW607" s="3"/>
      <c r="DG607" s="4"/>
    </row>
    <row r="608" customFormat="false" ht="11.25" hidden="false" customHeight="true" outlineLevel="0" collapsed="false">
      <c r="A608" s="14"/>
      <c r="B608" s="15"/>
      <c r="C608" s="15"/>
      <c r="D608" s="14"/>
      <c r="E608" s="14"/>
      <c r="F608" s="14"/>
      <c r="G608" s="14"/>
      <c r="H608" s="15"/>
      <c r="I608" s="15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  <c r="AU608" s="14"/>
      <c r="AV608" s="14"/>
      <c r="AW608" s="14"/>
      <c r="AX608" s="14"/>
      <c r="AY608" s="14"/>
      <c r="AZ608" s="14"/>
      <c r="BA608" s="14"/>
      <c r="BB608" s="14"/>
      <c r="BC608" s="14"/>
      <c r="BD608" s="14"/>
      <c r="BE608" s="14"/>
      <c r="BF608" s="14"/>
      <c r="BG608" s="14"/>
      <c r="BH608" s="14"/>
      <c r="BI608" s="14"/>
      <c r="BJ608" s="14"/>
      <c r="BK608" s="14"/>
      <c r="BL608" s="14"/>
      <c r="BM608" s="14"/>
      <c r="BN608" s="14"/>
      <c r="BO608" s="14"/>
      <c r="BP608" s="14"/>
      <c r="BQ608" s="14"/>
      <c r="BR608" s="14"/>
      <c r="BS608" s="14"/>
      <c r="BT608" s="14"/>
      <c r="BU608" s="14"/>
      <c r="BV608" s="14"/>
      <c r="BW608" s="14"/>
      <c r="BX608" s="14"/>
      <c r="BY608" s="14"/>
      <c r="BZ608" s="14"/>
      <c r="CA608" s="14"/>
      <c r="CB608" s="14"/>
      <c r="CC608" s="14"/>
      <c r="CD608" s="14"/>
      <c r="CE608" s="14"/>
      <c r="CF608" s="14"/>
      <c r="CG608" s="14"/>
      <c r="CH608" s="14"/>
      <c r="CI608" s="14"/>
      <c r="CJ608" s="14"/>
      <c r="CK608" s="14"/>
      <c r="CL608" s="14"/>
      <c r="CT608" s="14"/>
      <c r="CW608" s="3"/>
      <c r="DG608" s="4"/>
    </row>
    <row r="609" customFormat="false" ht="11.25" hidden="false" customHeight="true" outlineLevel="0" collapsed="false">
      <c r="A609" s="14"/>
      <c r="B609" s="15"/>
      <c r="C609" s="15"/>
      <c r="D609" s="14"/>
      <c r="E609" s="14"/>
      <c r="F609" s="14"/>
      <c r="G609" s="14"/>
      <c r="H609" s="15"/>
      <c r="I609" s="15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4"/>
      <c r="AX609" s="14"/>
      <c r="AY609" s="14"/>
      <c r="AZ609" s="14"/>
      <c r="BA609" s="14"/>
      <c r="BB609" s="14"/>
      <c r="BC609" s="14"/>
      <c r="BD609" s="14"/>
      <c r="BE609" s="14"/>
      <c r="BF609" s="14"/>
      <c r="BG609" s="14"/>
      <c r="BH609" s="14"/>
      <c r="BI609" s="14"/>
      <c r="BJ609" s="14"/>
      <c r="BK609" s="14"/>
      <c r="BL609" s="14"/>
      <c r="BM609" s="14"/>
      <c r="BN609" s="14"/>
      <c r="BO609" s="14"/>
      <c r="BP609" s="14"/>
      <c r="BQ609" s="14"/>
      <c r="BR609" s="14"/>
      <c r="BS609" s="14"/>
      <c r="BT609" s="14"/>
      <c r="BU609" s="14"/>
      <c r="BV609" s="14"/>
      <c r="BW609" s="14"/>
      <c r="BX609" s="14"/>
      <c r="BY609" s="14"/>
      <c r="BZ609" s="14"/>
      <c r="CA609" s="14"/>
      <c r="CB609" s="14"/>
      <c r="CC609" s="14"/>
      <c r="CD609" s="14"/>
      <c r="CE609" s="14"/>
      <c r="CF609" s="14"/>
      <c r="CG609" s="14"/>
      <c r="CH609" s="14"/>
      <c r="CI609" s="14"/>
      <c r="CJ609" s="14"/>
      <c r="CK609" s="14"/>
      <c r="CL609" s="14"/>
      <c r="CT609" s="14"/>
      <c r="CW609" s="3"/>
      <c r="DG609" s="4"/>
    </row>
    <row r="610" customFormat="false" ht="11.25" hidden="false" customHeight="true" outlineLevel="0" collapsed="false">
      <c r="A610" s="14"/>
      <c r="B610" s="15"/>
      <c r="C610" s="15"/>
      <c r="D610" s="14"/>
      <c r="E610" s="14"/>
      <c r="F610" s="14"/>
      <c r="G610" s="14"/>
      <c r="H610" s="15"/>
      <c r="I610" s="15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  <c r="AU610" s="14"/>
      <c r="AV610" s="14"/>
      <c r="AW610" s="14"/>
      <c r="AX610" s="14"/>
      <c r="AY610" s="14"/>
      <c r="AZ610" s="14"/>
      <c r="BA610" s="14"/>
      <c r="BB610" s="14"/>
      <c r="BC610" s="14"/>
      <c r="BD610" s="14"/>
      <c r="BE610" s="14"/>
      <c r="BF610" s="14"/>
      <c r="BG610" s="14"/>
      <c r="BH610" s="14"/>
      <c r="BI610" s="14"/>
      <c r="BJ610" s="14"/>
      <c r="BK610" s="14"/>
      <c r="BL610" s="14"/>
      <c r="BM610" s="14"/>
      <c r="BN610" s="14"/>
      <c r="BO610" s="14"/>
      <c r="BP610" s="14"/>
      <c r="BQ610" s="14"/>
      <c r="BR610" s="14"/>
      <c r="BS610" s="14"/>
      <c r="BT610" s="14"/>
      <c r="BU610" s="14"/>
      <c r="BV610" s="14"/>
      <c r="BW610" s="14"/>
      <c r="BX610" s="14"/>
      <c r="BY610" s="14"/>
      <c r="BZ610" s="14"/>
      <c r="CA610" s="14"/>
      <c r="CB610" s="14"/>
      <c r="CC610" s="14"/>
      <c r="CD610" s="14"/>
      <c r="CE610" s="14"/>
      <c r="CF610" s="14"/>
      <c r="CG610" s="14"/>
      <c r="CH610" s="14"/>
      <c r="CI610" s="14"/>
      <c r="CJ610" s="14"/>
      <c r="CK610" s="14"/>
      <c r="CL610" s="14"/>
      <c r="CT610" s="14"/>
      <c r="CW610" s="3"/>
      <c r="DG610" s="4"/>
    </row>
    <row r="611" customFormat="false" ht="11.25" hidden="false" customHeight="true" outlineLevel="0" collapsed="false">
      <c r="A611" s="14"/>
      <c r="B611" s="15"/>
      <c r="C611" s="15"/>
      <c r="D611" s="14"/>
      <c r="E611" s="14"/>
      <c r="F611" s="14"/>
      <c r="G611" s="14"/>
      <c r="H611" s="15"/>
      <c r="I611" s="15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14"/>
      <c r="AX611" s="14"/>
      <c r="AY611" s="14"/>
      <c r="AZ611" s="14"/>
      <c r="BA611" s="14"/>
      <c r="BB611" s="14"/>
      <c r="BC611" s="14"/>
      <c r="BD611" s="14"/>
      <c r="BE611" s="14"/>
      <c r="BF611" s="14"/>
      <c r="BG611" s="14"/>
      <c r="BH611" s="14"/>
      <c r="BI611" s="14"/>
      <c r="BJ611" s="14"/>
      <c r="BK611" s="14"/>
      <c r="BL611" s="14"/>
      <c r="BM611" s="14"/>
      <c r="BN611" s="14"/>
      <c r="BO611" s="14"/>
      <c r="BP611" s="14"/>
      <c r="BQ611" s="14"/>
      <c r="BR611" s="14"/>
      <c r="BS611" s="14"/>
      <c r="BT611" s="14"/>
      <c r="BU611" s="14"/>
      <c r="BV611" s="14"/>
      <c r="BW611" s="14"/>
      <c r="BX611" s="14"/>
      <c r="BY611" s="14"/>
      <c r="BZ611" s="14"/>
      <c r="CA611" s="14"/>
      <c r="CB611" s="14"/>
      <c r="CC611" s="14"/>
      <c r="CD611" s="14"/>
      <c r="CE611" s="14"/>
      <c r="CF611" s="14"/>
      <c r="CG611" s="14"/>
      <c r="CH611" s="14"/>
      <c r="CI611" s="14"/>
      <c r="CJ611" s="14"/>
      <c r="CK611" s="14"/>
      <c r="CL611" s="14"/>
      <c r="CT611" s="14"/>
      <c r="CW611" s="3"/>
      <c r="DG611" s="4"/>
    </row>
    <row r="612" customFormat="false" ht="11.25" hidden="false" customHeight="true" outlineLevel="0" collapsed="false">
      <c r="A612" s="14"/>
      <c r="B612" s="15"/>
      <c r="C612" s="15"/>
      <c r="D612" s="14"/>
      <c r="E612" s="14"/>
      <c r="F612" s="14"/>
      <c r="G612" s="14"/>
      <c r="H612" s="15"/>
      <c r="I612" s="15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  <c r="AX612" s="14"/>
      <c r="AY612" s="14"/>
      <c r="AZ612" s="14"/>
      <c r="BA612" s="14"/>
      <c r="BB612" s="14"/>
      <c r="BC612" s="14"/>
      <c r="BD612" s="14"/>
      <c r="BE612" s="14"/>
      <c r="BF612" s="14"/>
      <c r="BG612" s="14"/>
      <c r="BH612" s="14"/>
      <c r="BI612" s="14"/>
      <c r="BJ612" s="14"/>
      <c r="BK612" s="14"/>
      <c r="BL612" s="14"/>
      <c r="BM612" s="14"/>
      <c r="BN612" s="14"/>
      <c r="BO612" s="14"/>
      <c r="BP612" s="14"/>
      <c r="BQ612" s="14"/>
      <c r="BR612" s="14"/>
      <c r="BS612" s="14"/>
      <c r="BT612" s="14"/>
      <c r="BU612" s="14"/>
      <c r="BV612" s="14"/>
      <c r="BW612" s="14"/>
      <c r="BX612" s="14"/>
      <c r="BY612" s="14"/>
      <c r="BZ612" s="14"/>
      <c r="CA612" s="14"/>
      <c r="CB612" s="14"/>
      <c r="CC612" s="14"/>
      <c r="CD612" s="14"/>
      <c r="CE612" s="14"/>
      <c r="CF612" s="14"/>
      <c r="CG612" s="14"/>
      <c r="CH612" s="14"/>
      <c r="CI612" s="14"/>
      <c r="CJ612" s="14"/>
      <c r="CK612" s="14"/>
      <c r="CL612" s="14"/>
      <c r="CT612" s="14"/>
      <c r="CW612" s="3"/>
      <c r="DG612" s="4"/>
    </row>
    <row r="613" customFormat="false" ht="11.25" hidden="false" customHeight="true" outlineLevel="0" collapsed="false">
      <c r="A613" s="14"/>
      <c r="B613" s="15"/>
      <c r="C613" s="15"/>
      <c r="D613" s="14"/>
      <c r="E613" s="14"/>
      <c r="F613" s="14"/>
      <c r="G613" s="14"/>
      <c r="H613" s="15"/>
      <c r="I613" s="15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4"/>
      <c r="AX613" s="14"/>
      <c r="AY613" s="14"/>
      <c r="AZ613" s="14"/>
      <c r="BA613" s="14"/>
      <c r="BB613" s="14"/>
      <c r="BC613" s="14"/>
      <c r="BD613" s="14"/>
      <c r="BE613" s="14"/>
      <c r="BF613" s="14"/>
      <c r="BG613" s="14"/>
      <c r="BH613" s="14"/>
      <c r="BI613" s="14"/>
      <c r="BJ613" s="14"/>
      <c r="BK613" s="14"/>
      <c r="BL613" s="14"/>
      <c r="BM613" s="14"/>
      <c r="BN613" s="14"/>
      <c r="BO613" s="14"/>
      <c r="BP613" s="14"/>
      <c r="BQ613" s="14"/>
      <c r="BR613" s="14"/>
      <c r="BS613" s="14"/>
      <c r="BT613" s="14"/>
      <c r="BU613" s="14"/>
      <c r="BV613" s="14"/>
      <c r="BW613" s="14"/>
      <c r="BX613" s="14"/>
      <c r="BY613" s="14"/>
      <c r="BZ613" s="14"/>
      <c r="CA613" s="14"/>
      <c r="CB613" s="14"/>
      <c r="CC613" s="14"/>
      <c r="CD613" s="14"/>
      <c r="CE613" s="14"/>
      <c r="CF613" s="14"/>
      <c r="CG613" s="14"/>
      <c r="CH613" s="14"/>
      <c r="CI613" s="14"/>
      <c r="CJ613" s="14"/>
      <c r="CK613" s="14"/>
      <c r="CL613" s="14"/>
      <c r="CT613" s="14"/>
      <c r="CW613" s="3"/>
      <c r="DG613" s="4"/>
    </row>
    <row r="614" customFormat="false" ht="11.25" hidden="false" customHeight="true" outlineLevel="0" collapsed="false">
      <c r="A614" s="14"/>
      <c r="B614" s="15"/>
      <c r="C614" s="15"/>
      <c r="D614" s="14"/>
      <c r="E614" s="14"/>
      <c r="F614" s="14"/>
      <c r="G614" s="14"/>
      <c r="H614" s="15"/>
      <c r="I614" s="15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  <c r="AW614" s="14"/>
      <c r="AX614" s="14"/>
      <c r="AY614" s="14"/>
      <c r="AZ614" s="14"/>
      <c r="BA614" s="14"/>
      <c r="BB614" s="14"/>
      <c r="BC614" s="14"/>
      <c r="BD614" s="14"/>
      <c r="BE614" s="14"/>
      <c r="BF614" s="14"/>
      <c r="BG614" s="14"/>
      <c r="BH614" s="14"/>
      <c r="BI614" s="14"/>
      <c r="BJ614" s="14"/>
      <c r="BK614" s="14"/>
      <c r="BL614" s="14"/>
      <c r="BM614" s="14"/>
      <c r="BN614" s="14"/>
      <c r="BO614" s="14"/>
      <c r="BP614" s="14"/>
      <c r="BQ614" s="14"/>
      <c r="BR614" s="14"/>
      <c r="BS614" s="14"/>
      <c r="BT614" s="14"/>
      <c r="BU614" s="14"/>
      <c r="BV614" s="14"/>
      <c r="BW614" s="14"/>
      <c r="BX614" s="14"/>
      <c r="BY614" s="14"/>
      <c r="BZ614" s="14"/>
      <c r="CA614" s="14"/>
      <c r="CB614" s="14"/>
      <c r="CC614" s="14"/>
      <c r="CD614" s="14"/>
      <c r="CE614" s="14"/>
      <c r="CF614" s="14"/>
      <c r="CG614" s="14"/>
      <c r="CH614" s="14"/>
      <c r="CI614" s="14"/>
      <c r="CJ614" s="14"/>
      <c r="CK614" s="14"/>
      <c r="CL614" s="14"/>
      <c r="CT614" s="14"/>
      <c r="CW614" s="3"/>
      <c r="DG614" s="4"/>
    </row>
    <row r="615" customFormat="false" ht="11.25" hidden="false" customHeight="true" outlineLevel="0" collapsed="false">
      <c r="A615" s="14"/>
      <c r="B615" s="15"/>
      <c r="C615" s="15"/>
      <c r="D615" s="14"/>
      <c r="E615" s="14"/>
      <c r="F615" s="14"/>
      <c r="G615" s="14"/>
      <c r="H615" s="15"/>
      <c r="I615" s="15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4"/>
      <c r="AX615" s="14"/>
      <c r="AY615" s="14"/>
      <c r="AZ615" s="14"/>
      <c r="BA615" s="14"/>
      <c r="BB615" s="14"/>
      <c r="BC615" s="14"/>
      <c r="BD615" s="14"/>
      <c r="BE615" s="14"/>
      <c r="BF615" s="14"/>
      <c r="BG615" s="14"/>
      <c r="BH615" s="14"/>
      <c r="BI615" s="14"/>
      <c r="BJ615" s="14"/>
      <c r="BK615" s="14"/>
      <c r="BL615" s="14"/>
      <c r="BM615" s="14"/>
      <c r="BN615" s="14"/>
      <c r="BO615" s="14"/>
      <c r="BP615" s="14"/>
      <c r="BQ615" s="14"/>
      <c r="BR615" s="14"/>
      <c r="BS615" s="14"/>
      <c r="BT615" s="14"/>
      <c r="BU615" s="14"/>
      <c r="BV615" s="14"/>
      <c r="BW615" s="14"/>
      <c r="BX615" s="14"/>
      <c r="BY615" s="14"/>
      <c r="BZ615" s="14"/>
      <c r="CA615" s="14"/>
      <c r="CB615" s="14"/>
      <c r="CC615" s="14"/>
      <c r="CD615" s="14"/>
      <c r="CE615" s="14"/>
      <c r="CF615" s="14"/>
      <c r="CG615" s="14"/>
      <c r="CH615" s="14"/>
      <c r="CI615" s="14"/>
      <c r="CJ615" s="14"/>
      <c r="CK615" s="14"/>
      <c r="CL615" s="14"/>
      <c r="CT615" s="14"/>
      <c r="CW615" s="3"/>
      <c r="DG615" s="4"/>
    </row>
    <row r="616" customFormat="false" ht="11.25" hidden="false" customHeight="true" outlineLevel="0" collapsed="false">
      <c r="A616" s="14"/>
      <c r="B616" s="15"/>
      <c r="C616" s="15"/>
      <c r="D616" s="14"/>
      <c r="E616" s="14"/>
      <c r="F616" s="14"/>
      <c r="G616" s="14"/>
      <c r="H616" s="15"/>
      <c r="I616" s="15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14"/>
      <c r="AX616" s="14"/>
      <c r="AY616" s="14"/>
      <c r="AZ616" s="14"/>
      <c r="BA616" s="14"/>
      <c r="BB616" s="14"/>
      <c r="BC616" s="14"/>
      <c r="BD616" s="14"/>
      <c r="BE616" s="14"/>
      <c r="BF616" s="14"/>
      <c r="BG616" s="14"/>
      <c r="BH616" s="14"/>
      <c r="BI616" s="14"/>
      <c r="BJ616" s="14"/>
      <c r="BK616" s="14"/>
      <c r="BL616" s="14"/>
      <c r="BM616" s="14"/>
      <c r="BN616" s="14"/>
      <c r="BO616" s="14"/>
      <c r="BP616" s="14"/>
      <c r="BQ616" s="14"/>
      <c r="BR616" s="14"/>
      <c r="BS616" s="14"/>
      <c r="BT616" s="14"/>
      <c r="BU616" s="14"/>
      <c r="BV616" s="14"/>
      <c r="BW616" s="14"/>
      <c r="BX616" s="14"/>
      <c r="BY616" s="14"/>
      <c r="BZ616" s="14"/>
      <c r="CA616" s="14"/>
      <c r="CB616" s="14"/>
      <c r="CC616" s="14"/>
      <c r="CD616" s="14"/>
      <c r="CE616" s="14"/>
      <c r="CF616" s="14"/>
      <c r="CG616" s="14"/>
      <c r="CH616" s="14"/>
      <c r="CI616" s="14"/>
      <c r="CJ616" s="14"/>
      <c r="CK616" s="14"/>
      <c r="CL616" s="14"/>
      <c r="CT616" s="14"/>
      <c r="CW616" s="3"/>
      <c r="DG616" s="4"/>
    </row>
    <row r="617" customFormat="false" ht="11.25" hidden="false" customHeight="true" outlineLevel="0" collapsed="false">
      <c r="A617" s="14"/>
      <c r="B617" s="15"/>
      <c r="C617" s="15"/>
      <c r="D617" s="14"/>
      <c r="E617" s="14"/>
      <c r="F617" s="14"/>
      <c r="G617" s="14"/>
      <c r="H617" s="15"/>
      <c r="I617" s="15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4"/>
      <c r="AX617" s="14"/>
      <c r="AY617" s="14"/>
      <c r="AZ617" s="14"/>
      <c r="BA617" s="14"/>
      <c r="BB617" s="14"/>
      <c r="BC617" s="14"/>
      <c r="BD617" s="14"/>
      <c r="BE617" s="14"/>
      <c r="BF617" s="14"/>
      <c r="BG617" s="14"/>
      <c r="BH617" s="14"/>
      <c r="BI617" s="14"/>
      <c r="BJ617" s="14"/>
      <c r="BK617" s="14"/>
      <c r="BL617" s="14"/>
      <c r="BM617" s="14"/>
      <c r="BN617" s="14"/>
      <c r="BO617" s="14"/>
      <c r="BP617" s="14"/>
      <c r="BQ617" s="14"/>
      <c r="BR617" s="14"/>
      <c r="BS617" s="14"/>
      <c r="BT617" s="14"/>
      <c r="BU617" s="14"/>
      <c r="BV617" s="14"/>
      <c r="BW617" s="14"/>
      <c r="BX617" s="14"/>
      <c r="BY617" s="14"/>
      <c r="BZ617" s="14"/>
      <c r="CA617" s="14"/>
      <c r="CB617" s="14"/>
      <c r="CC617" s="14"/>
      <c r="CD617" s="14"/>
      <c r="CE617" s="14"/>
      <c r="CF617" s="14"/>
      <c r="CG617" s="14"/>
      <c r="CH617" s="14"/>
      <c r="CI617" s="14"/>
      <c r="CJ617" s="14"/>
      <c r="CK617" s="14"/>
      <c r="CL617" s="14"/>
      <c r="CT617" s="14"/>
      <c r="CW617" s="3"/>
      <c r="DG617" s="4"/>
    </row>
    <row r="618" customFormat="false" ht="11.25" hidden="false" customHeight="true" outlineLevel="0" collapsed="false">
      <c r="A618" s="14"/>
      <c r="B618" s="15"/>
      <c r="C618" s="15"/>
      <c r="D618" s="14"/>
      <c r="E618" s="14"/>
      <c r="F618" s="14"/>
      <c r="G618" s="14"/>
      <c r="H618" s="15"/>
      <c r="I618" s="15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  <c r="AU618" s="14"/>
      <c r="AV618" s="14"/>
      <c r="AW618" s="14"/>
      <c r="AX618" s="14"/>
      <c r="AY618" s="14"/>
      <c r="AZ618" s="14"/>
      <c r="BA618" s="14"/>
      <c r="BB618" s="14"/>
      <c r="BC618" s="14"/>
      <c r="BD618" s="14"/>
      <c r="BE618" s="14"/>
      <c r="BF618" s="14"/>
      <c r="BG618" s="14"/>
      <c r="BH618" s="14"/>
      <c r="BI618" s="14"/>
      <c r="BJ618" s="14"/>
      <c r="BK618" s="14"/>
      <c r="BL618" s="14"/>
      <c r="BM618" s="14"/>
      <c r="BN618" s="14"/>
      <c r="BO618" s="14"/>
      <c r="BP618" s="14"/>
      <c r="BQ618" s="14"/>
      <c r="BR618" s="14"/>
      <c r="BS618" s="14"/>
      <c r="BT618" s="14"/>
      <c r="BU618" s="14"/>
      <c r="BV618" s="14"/>
      <c r="BW618" s="14"/>
      <c r="BX618" s="14"/>
      <c r="BY618" s="14"/>
      <c r="BZ618" s="14"/>
      <c r="CA618" s="14"/>
      <c r="CB618" s="14"/>
      <c r="CC618" s="14"/>
      <c r="CD618" s="14"/>
      <c r="CE618" s="14"/>
      <c r="CF618" s="14"/>
      <c r="CG618" s="14"/>
      <c r="CH618" s="14"/>
      <c r="CI618" s="14"/>
      <c r="CJ618" s="14"/>
      <c r="CK618" s="14"/>
      <c r="CL618" s="14"/>
      <c r="CT618" s="14"/>
      <c r="CW618" s="3"/>
      <c r="DG618" s="4"/>
    </row>
    <row r="619" customFormat="false" ht="11.25" hidden="false" customHeight="true" outlineLevel="0" collapsed="false">
      <c r="A619" s="14"/>
      <c r="B619" s="15"/>
      <c r="C619" s="15"/>
      <c r="D619" s="14"/>
      <c r="E619" s="14"/>
      <c r="F619" s="14"/>
      <c r="G619" s="14"/>
      <c r="H619" s="15"/>
      <c r="I619" s="15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  <c r="AX619" s="14"/>
      <c r="AY619" s="14"/>
      <c r="AZ619" s="14"/>
      <c r="BA619" s="14"/>
      <c r="BB619" s="14"/>
      <c r="BC619" s="14"/>
      <c r="BD619" s="14"/>
      <c r="BE619" s="14"/>
      <c r="BF619" s="14"/>
      <c r="BG619" s="14"/>
      <c r="BH619" s="14"/>
      <c r="BI619" s="14"/>
      <c r="BJ619" s="14"/>
      <c r="BK619" s="14"/>
      <c r="BL619" s="14"/>
      <c r="BM619" s="14"/>
      <c r="BN619" s="14"/>
      <c r="BO619" s="14"/>
      <c r="BP619" s="14"/>
      <c r="BQ619" s="14"/>
      <c r="BR619" s="14"/>
      <c r="BS619" s="14"/>
      <c r="BT619" s="14"/>
      <c r="BU619" s="14"/>
      <c r="BV619" s="14"/>
      <c r="BW619" s="14"/>
      <c r="BX619" s="14"/>
      <c r="BY619" s="14"/>
      <c r="BZ619" s="14"/>
      <c r="CA619" s="14"/>
      <c r="CB619" s="14"/>
      <c r="CC619" s="14"/>
      <c r="CD619" s="14"/>
      <c r="CE619" s="14"/>
      <c r="CF619" s="14"/>
      <c r="CG619" s="14"/>
      <c r="CH619" s="14"/>
      <c r="CI619" s="14"/>
      <c r="CJ619" s="14"/>
      <c r="CK619" s="14"/>
      <c r="CL619" s="14"/>
      <c r="CT619" s="14"/>
      <c r="CW619" s="3"/>
      <c r="DG619" s="4"/>
    </row>
    <row r="620" customFormat="false" ht="11.25" hidden="false" customHeight="true" outlineLevel="0" collapsed="false">
      <c r="A620" s="14"/>
      <c r="B620" s="15"/>
      <c r="C620" s="15"/>
      <c r="D620" s="14"/>
      <c r="E620" s="14"/>
      <c r="F620" s="14"/>
      <c r="G620" s="14"/>
      <c r="H620" s="15"/>
      <c r="I620" s="15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  <c r="AU620" s="14"/>
      <c r="AV620" s="14"/>
      <c r="AW620" s="14"/>
      <c r="AX620" s="14"/>
      <c r="AY620" s="14"/>
      <c r="AZ620" s="14"/>
      <c r="BA620" s="14"/>
      <c r="BB620" s="14"/>
      <c r="BC620" s="14"/>
      <c r="BD620" s="14"/>
      <c r="BE620" s="14"/>
      <c r="BF620" s="14"/>
      <c r="BG620" s="14"/>
      <c r="BH620" s="14"/>
      <c r="BI620" s="14"/>
      <c r="BJ620" s="14"/>
      <c r="BK620" s="14"/>
      <c r="BL620" s="14"/>
      <c r="BM620" s="14"/>
      <c r="BN620" s="14"/>
      <c r="BO620" s="14"/>
      <c r="BP620" s="14"/>
      <c r="BQ620" s="14"/>
      <c r="BR620" s="14"/>
      <c r="BS620" s="14"/>
      <c r="BT620" s="14"/>
      <c r="BU620" s="14"/>
      <c r="BV620" s="14"/>
      <c r="BW620" s="14"/>
      <c r="BX620" s="14"/>
      <c r="BY620" s="14"/>
      <c r="BZ620" s="14"/>
      <c r="CA620" s="14"/>
      <c r="CB620" s="14"/>
      <c r="CC620" s="14"/>
      <c r="CD620" s="14"/>
      <c r="CE620" s="14"/>
      <c r="CF620" s="14"/>
      <c r="CG620" s="14"/>
      <c r="CH620" s="14"/>
      <c r="CI620" s="14"/>
      <c r="CJ620" s="14"/>
      <c r="CK620" s="14"/>
      <c r="CL620" s="14"/>
      <c r="CT620" s="14"/>
      <c r="CW620" s="3"/>
      <c r="DG620" s="4"/>
    </row>
    <row r="621" customFormat="false" ht="11.25" hidden="false" customHeight="true" outlineLevel="0" collapsed="false">
      <c r="A621" s="14"/>
      <c r="B621" s="15"/>
      <c r="C621" s="15"/>
      <c r="D621" s="14"/>
      <c r="E621" s="14"/>
      <c r="F621" s="14"/>
      <c r="G621" s="14"/>
      <c r="H621" s="15"/>
      <c r="I621" s="15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4"/>
      <c r="AX621" s="14"/>
      <c r="AY621" s="14"/>
      <c r="AZ621" s="14"/>
      <c r="BA621" s="14"/>
      <c r="BB621" s="14"/>
      <c r="BC621" s="14"/>
      <c r="BD621" s="14"/>
      <c r="BE621" s="14"/>
      <c r="BF621" s="14"/>
      <c r="BG621" s="14"/>
      <c r="BH621" s="14"/>
      <c r="BI621" s="14"/>
      <c r="BJ621" s="14"/>
      <c r="BK621" s="14"/>
      <c r="BL621" s="14"/>
      <c r="BM621" s="14"/>
      <c r="BN621" s="14"/>
      <c r="BO621" s="14"/>
      <c r="BP621" s="14"/>
      <c r="BQ621" s="14"/>
      <c r="BR621" s="14"/>
      <c r="BS621" s="14"/>
      <c r="BT621" s="14"/>
      <c r="BU621" s="14"/>
      <c r="BV621" s="14"/>
      <c r="BW621" s="14"/>
      <c r="BX621" s="14"/>
      <c r="BY621" s="14"/>
      <c r="BZ621" s="14"/>
      <c r="CA621" s="14"/>
      <c r="CB621" s="14"/>
      <c r="CC621" s="14"/>
      <c r="CD621" s="14"/>
      <c r="CE621" s="14"/>
      <c r="CF621" s="14"/>
      <c r="CG621" s="14"/>
      <c r="CH621" s="14"/>
      <c r="CI621" s="14"/>
      <c r="CJ621" s="14"/>
      <c r="CK621" s="14"/>
      <c r="CL621" s="14"/>
      <c r="CT621" s="14"/>
      <c r="CW621" s="3"/>
      <c r="DG621" s="4"/>
    </row>
    <row r="622" customFormat="false" ht="11.25" hidden="false" customHeight="true" outlineLevel="0" collapsed="false">
      <c r="A622" s="14"/>
      <c r="B622" s="15"/>
      <c r="C622" s="15"/>
      <c r="D622" s="14"/>
      <c r="E622" s="14"/>
      <c r="F622" s="14"/>
      <c r="G622" s="14"/>
      <c r="H622" s="15"/>
      <c r="I622" s="15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  <c r="AU622" s="14"/>
      <c r="AV622" s="14"/>
      <c r="AW622" s="14"/>
      <c r="AX622" s="14"/>
      <c r="AY622" s="14"/>
      <c r="AZ622" s="14"/>
      <c r="BA622" s="14"/>
      <c r="BB622" s="14"/>
      <c r="BC622" s="14"/>
      <c r="BD622" s="14"/>
      <c r="BE622" s="14"/>
      <c r="BF622" s="14"/>
      <c r="BG622" s="14"/>
      <c r="BH622" s="14"/>
      <c r="BI622" s="14"/>
      <c r="BJ622" s="14"/>
      <c r="BK622" s="14"/>
      <c r="BL622" s="14"/>
      <c r="BM622" s="14"/>
      <c r="BN622" s="14"/>
      <c r="BO622" s="14"/>
      <c r="BP622" s="14"/>
      <c r="BQ622" s="14"/>
      <c r="BR622" s="14"/>
      <c r="BS622" s="14"/>
      <c r="BT622" s="14"/>
      <c r="BU622" s="14"/>
      <c r="BV622" s="14"/>
      <c r="BW622" s="14"/>
      <c r="BX622" s="14"/>
      <c r="BY622" s="14"/>
      <c r="BZ622" s="14"/>
      <c r="CA622" s="14"/>
      <c r="CB622" s="14"/>
      <c r="CC622" s="14"/>
      <c r="CD622" s="14"/>
      <c r="CE622" s="14"/>
      <c r="CF622" s="14"/>
      <c r="CG622" s="14"/>
      <c r="CH622" s="14"/>
      <c r="CI622" s="14"/>
      <c r="CJ622" s="14"/>
      <c r="CK622" s="14"/>
      <c r="CL622" s="14"/>
      <c r="CT622" s="14"/>
      <c r="CW622" s="3"/>
      <c r="DG622" s="4"/>
    </row>
    <row r="623" customFormat="false" ht="11.25" hidden="false" customHeight="true" outlineLevel="0" collapsed="false">
      <c r="A623" s="14"/>
      <c r="B623" s="15"/>
      <c r="C623" s="15"/>
      <c r="D623" s="14"/>
      <c r="E623" s="14"/>
      <c r="F623" s="14"/>
      <c r="G623" s="14"/>
      <c r="H623" s="15"/>
      <c r="I623" s="15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4"/>
      <c r="AW623" s="14"/>
      <c r="AX623" s="14"/>
      <c r="AY623" s="14"/>
      <c r="AZ623" s="14"/>
      <c r="BA623" s="14"/>
      <c r="BB623" s="14"/>
      <c r="BC623" s="14"/>
      <c r="BD623" s="14"/>
      <c r="BE623" s="14"/>
      <c r="BF623" s="14"/>
      <c r="BG623" s="14"/>
      <c r="BH623" s="14"/>
      <c r="BI623" s="14"/>
      <c r="BJ623" s="14"/>
      <c r="BK623" s="14"/>
      <c r="BL623" s="14"/>
      <c r="BM623" s="14"/>
      <c r="BN623" s="14"/>
      <c r="BO623" s="14"/>
      <c r="BP623" s="14"/>
      <c r="BQ623" s="14"/>
      <c r="BR623" s="14"/>
      <c r="BS623" s="14"/>
      <c r="BT623" s="14"/>
      <c r="BU623" s="14"/>
      <c r="BV623" s="14"/>
      <c r="BW623" s="14"/>
      <c r="BX623" s="14"/>
      <c r="BY623" s="14"/>
      <c r="BZ623" s="14"/>
      <c r="CA623" s="14"/>
      <c r="CB623" s="14"/>
      <c r="CC623" s="14"/>
      <c r="CD623" s="14"/>
      <c r="CE623" s="14"/>
      <c r="CF623" s="14"/>
      <c r="CG623" s="14"/>
      <c r="CH623" s="14"/>
      <c r="CI623" s="14"/>
      <c r="CJ623" s="14"/>
      <c r="CK623" s="14"/>
      <c r="CL623" s="14"/>
      <c r="CT623" s="14"/>
      <c r="CW623" s="3"/>
      <c r="DG623" s="4"/>
    </row>
    <row r="624" customFormat="false" ht="11.25" hidden="false" customHeight="true" outlineLevel="0" collapsed="false">
      <c r="A624" s="14"/>
      <c r="B624" s="15"/>
      <c r="C624" s="15"/>
      <c r="D624" s="14"/>
      <c r="E624" s="14"/>
      <c r="F624" s="14"/>
      <c r="G624" s="14"/>
      <c r="H624" s="15"/>
      <c r="I624" s="15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  <c r="AU624" s="14"/>
      <c r="AV624" s="14"/>
      <c r="AW624" s="14"/>
      <c r="AX624" s="14"/>
      <c r="AY624" s="14"/>
      <c r="AZ624" s="14"/>
      <c r="BA624" s="14"/>
      <c r="BB624" s="14"/>
      <c r="BC624" s="14"/>
      <c r="BD624" s="14"/>
      <c r="BE624" s="14"/>
      <c r="BF624" s="14"/>
      <c r="BG624" s="14"/>
      <c r="BH624" s="14"/>
      <c r="BI624" s="14"/>
      <c r="BJ624" s="14"/>
      <c r="BK624" s="14"/>
      <c r="BL624" s="14"/>
      <c r="BM624" s="14"/>
      <c r="BN624" s="14"/>
      <c r="BO624" s="14"/>
      <c r="BP624" s="14"/>
      <c r="BQ624" s="14"/>
      <c r="BR624" s="14"/>
      <c r="BS624" s="14"/>
      <c r="BT624" s="14"/>
      <c r="BU624" s="14"/>
      <c r="BV624" s="14"/>
      <c r="BW624" s="14"/>
      <c r="BX624" s="14"/>
      <c r="BY624" s="14"/>
      <c r="BZ624" s="14"/>
      <c r="CA624" s="14"/>
      <c r="CB624" s="14"/>
      <c r="CC624" s="14"/>
      <c r="CD624" s="14"/>
      <c r="CE624" s="14"/>
      <c r="CF624" s="14"/>
      <c r="CG624" s="14"/>
      <c r="CH624" s="14"/>
      <c r="CI624" s="14"/>
      <c r="CJ624" s="14"/>
      <c r="CK624" s="14"/>
      <c r="CL624" s="14"/>
      <c r="CT624" s="14"/>
      <c r="CW624" s="3"/>
      <c r="DG624" s="4"/>
    </row>
    <row r="625" customFormat="false" ht="11.25" hidden="false" customHeight="true" outlineLevel="0" collapsed="false">
      <c r="A625" s="14"/>
      <c r="B625" s="15"/>
      <c r="C625" s="15"/>
      <c r="D625" s="14"/>
      <c r="E625" s="14"/>
      <c r="F625" s="14"/>
      <c r="G625" s="14"/>
      <c r="H625" s="15"/>
      <c r="I625" s="15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14"/>
      <c r="AX625" s="14"/>
      <c r="AY625" s="14"/>
      <c r="AZ625" s="14"/>
      <c r="BA625" s="14"/>
      <c r="BB625" s="14"/>
      <c r="BC625" s="14"/>
      <c r="BD625" s="14"/>
      <c r="BE625" s="14"/>
      <c r="BF625" s="14"/>
      <c r="BG625" s="14"/>
      <c r="BH625" s="14"/>
      <c r="BI625" s="14"/>
      <c r="BJ625" s="14"/>
      <c r="BK625" s="14"/>
      <c r="BL625" s="14"/>
      <c r="BM625" s="14"/>
      <c r="BN625" s="14"/>
      <c r="BO625" s="14"/>
      <c r="BP625" s="14"/>
      <c r="BQ625" s="14"/>
      <c r="BR625" s="14"/>
      <c r="BS625" s="14"/>
      <c r="BT625" s="14"/>
      <c r="BU625" s="14"/>
      <c r="BV625" s="14"/>
      <c r="BW625" s="14"/>
      <c r="BX625" s="14"/>
      <c r="BY625" s="14"/>
      <c r="BZ625" s="14"/>
      <c r="CA625" s="14"/>
      <c r="CB625" s="14"/>
      <c r="CC625" s="14"/>
      <c r="CD625" s="14"/>
      <c r="CE625" s="14"/>
      <c r="CF625" s="14"/>
      <c r="CG625" s="14"/>
      <c r="CH625" s="14"/>
      <c r="CI625" s="14"/>
      <c r="CJ625" s="14"/>
      <c r="CK625" s="14"/>
      <c r="CL625" s="14"/>
      <c r="CT625" s="14"/>
      <c r="CW625" s="3"/>
      <c r="DG625" s="4"/>
    </row>
    <row r="626" customFormat="false" ht="11.25" hidden="false" customHeight="true" outlineLevel="0" collapsed="false">
      <c r="A626" s="14"/>
      <c r="B626" s="15"/>
      <c r="C626" s="15"/>
      <c r="D626" s="14"/>
      <c r="E626" s="14"/>
      <c r="F626" s="14"/>
      <c r="G626" s="14"/>
      <c r="H626" s="15"/>
      <c r="I626" s="15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/>
      <c r="AU626" s="14"/>
      <c r="AV626" s="14"/>
      <c r="AW626" s="14"/>
      <c r="AX626" s="14"/>
      <c r="AY626" s="14"/>
      <c r="AZ626" s="14"/>
      <c r="BA626" s="14"/>
      <c r="BB626" s="14"/>
      <c r="BC626" s="14"/>
      <c r="BD626" s="14"/>
      <c r="BE626" s="14"/>
      <c r="BF626" s="14"/>
      <c r="BG626" s="14"/>
      <c r="BH626" s="14"/>
      <c r="BI626" s="14"/>
      <c r="BJ626" s="14"/>
      <c r="BK626" s="14"/>
      <c r="BL626" s="14"/>
      <c r="BM626" s="14"/>
      <c r="BN626" s="14"/>
      <c r="BO626" s="14"/>
      <c r="BP626" s="14"/>
      <c r="BQ626" s="14"/>
      <c r="BR626" s="14"/>
      <c r="BS626" s="14"/>
      <c r="BT626" s="14"/>
      <c r="BU626" s="14"/>
      <c r="BV626" s="14"/>
      <c r="BW626" s="14"/>
      <c r="BX626" s="14"/>
      <c r="BY626" s="14"/>
      <c r="BZ626" s="14"/>
      <c r="CA626" s="14"/>
      <c r="CB626" s="14"/>
      <c r="CC626" s="14"/>
      <c r="CD626" s="14"/>
      <c r="CE626" s="14"/>
      <c r="CF626" s="14"/>
      <c r="CG626" s="14"/>
      <c r="CH626" s="14"/>
      <c r="CI626" s="14"/>
      <c r="CJ626" s="14"/>
      <c r="CK626" s="14"/>
      <c r="CL626" s="14"/>
      <c r="CT626" s="14"/>
      <c r="CW626" s="3"/>
      <c r="DG626" s="4"/>
    </row>
    <row r="627" customFormat="false" ht="11.25" hidden="false" customHeight="true" outlineLevel="0" collapsed="false">
      <c r="A627" s="14"/>
      <c r="B627" s="15"/>
      <c r="C627" s="15"/>
      <c r="D627" s="14"/>
      <c r="E627" s="14"/>
      <c r="F627" s="14"/>
      <c r="G627" s="14"/>
      <c r="H627" s="15"/>
      <c r="I627" s="15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/>
      <c r="AU627" s="14"/>
      <c r="AV627" s="14"/>
      <c r="AW627" s="14"/>
      <c r="AX627" s="14"/>
      <c r="AY627" s="14"/>
      <c r="AZ627" s="14"/>
      <c r="BA627" s="14"/>
      <c r="BB627" s="14"/>
      <c r="BC627" s="14"/>
      <c r="BD627" s="14"/>
      <c r="BE627" s="14"/>
      <c r="BF627" s="14"/>
      <c r="BG627" s="14"/>
      <c r="BH627" s="14"/>
      <c r="BI627" s="14"/>
      <c r="BJ627" s="14"/>
      <c r="BK627" s="14"/>
      <c r="BL627" s="14"/>
      <c r="BM627" s="14"/>
      <c r="BN627" s="14"/>
      <c r="BO627" s="14"/>
      <c r="BP627" s="14"/>
      <c r="BQ627" s="14"/>
      <c r="BR627" s="14"/>
      <c r="BS627" s="14"/>
      <c r="BT627" s="14"/>
      <c r="BU627" s="14"/>
      <c r="BV627" s="14"/>
      <c r="BW627" s="14"/>
      <c r="BX627" s="14"/>
      <c r="BY627" s="14"/>
      <c r="BZ627" s="14"/>
      <c r="CA627" s="14"/>
      <c r="CB627" s="14"/>
      <c r="CC627" s="14"/>
      <c r="CD627" s="14"/>
      <c r="CE627" s="14"/>
      <c r="CF627" s="14"/>
      <c r="CG627" s="14"/>
      <c r="CH627" s="14"/>
      <c r="CI627" s="14"/>
      <c r="CJ627" s="14"/>
      <c r="CK627" s="14"/>
      <c r="CL627" s="14"/>
      <c r="CT627" s="14"/>
      <c r="CW627" s="3"/>
      <c r="DG627" s="4"/>
    </row>
    <row r="628" customFormat="false" ht="11.25" hidden="false" customHeight="true" outlineLevel="0" collapsed="false">
      <c r="A628" s="14"/>
      <c r="B628" s="15"/>
      <c r="C628" s="15"/>
      <c r="D628" s="14"/>
      <c r="E628" s="14"/>
      <c r="F628" s="14"/>
      <c r="G628" s="14"/>
      <c r="H628" s="15"/>
      <c r="I628" s="15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  <c r="AR628" s="14"/>
      <c r="AS628" s="14"/>
      <c r="AT628" s="14"/>
      <c r="AU628" s="14"/>
      <c r="AV628" s="14"/>
      <c r="AW628" s="14"/>
      <c r="AX628" s="14"/>
      <c r="AY628" s="14"/>
      <c r="AZ628" s="14"/>
      <c r="BA628" s="14"/>
      <c r="BB628" s="14"/>
      <c r="BC628" s="14"/>
      <c r="BD628" s="14"/>
      <c r="BE628" s="14"/>
      <c r="BF628" s="14"/>
      <c r="BG628" s="14"/>
      <c r="BH628" s="14"/>
      <c r="BI628" s="14"/>
      <c r="BJ628" s="14"/>
      <c r="BK628" s="14"/>
      <c r="BL628" s="14"/>
      <c r="BM628" s="14"/>
      <c r="BN628" s="14"/>
      <c r="BO628" s="14"/>
      <c r="BP628" s="14"/>
      <c r="BQ628" s="14"/>
      <c r="BR628" s="14"/>
      <c r="BS628" s="14"/>
      <c r="BT628" s="14"/>
      <c r="BU628" s="14"/>
      <c r="BV628" s="14"/>
      <c r="BW628" s="14"/>
      <c r="BX628" s="14"/>
      <c r="BY628" s="14"/>
      <c r="BZ628" s="14"/>
      <c r="CA628" s="14"/>
      <c r="CB628" s="14"/>
      <c r="CC628" s="14"/>
      <c r="CD628" s="14"/>
      <c r="CE628" s="14"/>
      <c r="CF628" s="14"/>
      <c r="CG628" s="14"/>
      <c r="CH628" s="14"/>
      <c r="CI628" s="14"/>
      <c r="CJ628" s="14"/>
      <c r="CK628" s="14"/>
      <c r="CL628" s="14"/>
      <c r="CT628" s="14"/>
      <c r="CW628" s="3"/>
      <c r="DG628" s="4"/>
    </row>
    <row r="629" customFormat="false" ht="11.25" hidden="false" customHeight="true" outlineLevel="0" collapsed="false">
      <c r="A629" s="14"/>
      <c r="B629" s="15"/>
      <c r="C629" s="15"/>
      <c r="D629" s="14"/>
      <c r="E629" s="14"/>
      <c r="F629" s="14"/>
      <c r="G629" s="14"/>
      <c r="H629" s="15"/>
      <c r="I629" s="15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4"/>
      <c r="AX629" s="14"/>
      <c r="AY629" s="14"/>
      <c r="AZ629" s="14"/>
      <c r="BA629" s="14"/>
      <c r="BB629" s="14"/>
      <c r="BC629" s="14"/>
      <c r="BD629" s="14"/>
      <c r="BE629" s="14"/>
      <c r="BF629" s="14"/>
      <c r="BG629" s="14"/>
      <c r="BH629" s="14"/>
      <c r="BI629" s="14"/>
      <c r="BJ629" s="14"/>
      <c r="BK629" s="14"/>
      <c r="BL629" s="14"/>
      <c r="BM629" s="14"/>
      <c r="BN629" s="14"/>
      <c r="BO629" s="14"/>
      <c r="BP629" s="14"/>
      <c r="BQ629" s="14"/>
      <c r="BR629" s="14"/>
      <c r="BS629" s="14"/>
      <c r="BT629" s="14"/>
      <c r="BU629" s="14"/>
      <c r="BV629" s="14"/>
      <c r="BW629" s="14"/>
      <c r="BX629" s="14"/>
      <c r="BY629" s="14"/>
      <c r="BZ629" s="14"/>
      <c r="CA629" s="14"/>
      <c r="CB629" s="14"/>
      <c r="CC629" s="14"/>
      <c r="CD629" s="14"/>
      <c r="CE629" s="14"/>
      <c r="CF629" s="14"/>
      <c r="CG629" s="14"/>
      <c r="CH629" s="14"/>
      <c r="CI629" s="14"/>
      <c r="CJ629" s="14"/>
      <c r="CK629" s="14"/>
      <c r="CL629" s="14"/>
      <c r="CT629" s="14"/>
      <c r="CW629" s="3"/>
      <c r="DG629" s="4"/>
    </row>
    <row r="630" customFormat="false" ht="11.25" hidden="false" customHeight="true" outlineLevel="0" collapsed="false">
      <c r="A630" s="14"/>
      <c r="B630" s="15"/>
      <c r="C630" s="15"/>
      <c r="D630" s="14"/>
      <c r="E630" s="14"/>
      <c r="F630" s="14"/>
      <c r="G630" s="14"/>
      <c r="H630" s="15"/>
      <c r="I630" s="15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  <c r="AU630" s="14"/>
      <c r="AV630" s="14"/>
      <c r="AW630" s="14"/>
      <c r="AX630" s="14"/>
      <c r="AY630" s="14"/>
      <c r="AZ630" s="14"/>
      <c r="BA630" s="14"/>
      <c r="BB630" s="14"/>
      <c r="BC630" s="14"/>
      <c r="BD630" s="14"/>
      <c r="BE630" s="14"/>
      <c r="BF630" s="14"/>
      <c r="BG630" s="14"/>
      <c r="BH630" s="14"/>
      <c r="BI630" s="14"/>
      <c r="BJ630" s="14"/>
      <c r="BK630" s="14"/>
      <c r="BL630" s="14"/>
      <c r="BM630" s="14"/>
      <c r="BN630" s="14"/>
      <c r="BO630" s="14"/>
      <c r="BP630" s="14"/>
      <c r="BQ630" s="14"/>
      <c r="BR630" s="14"/>
      <c r="BS630" s="14"/>
      <c r="BT630" s="14"/>
      <c r="BU630" s="14"/>
      <c r="BV630" s="14"/>
      <c r="BW630" s="14"/>
      <c r="BX630" s="14"/>
      <c r="BY630" s="14"/>
      <c r="BZ630" s="14"/>
      <c r="CA630" s="14"/>
      <c r="CB630" s="14"/>
      <c r="CC630" s="14"/>
      <c r="CD630" s="14"/>
      <c r="CE630" s="14"/>
      <c r="CF630" s="14"/>
      <c r="CG630" s="14"/>
      <c r="CH630" s="14"/>
      <c r="CI630" s="14"/>
      <c r="CJ630" s="14"/>
      <c r="CK630" s="14"/>
      <c r="CL630" s="14"/>
      <c r="CT630" s="14"/>
      <c r="CW630" s="3"/>
      <c r="DG630" s="4"/>
    </row>
    <row r="631" customFormat="false" ht="11.25" hidden="false" customHeight="true" outlineLevel="0" collapsed="false">
      <c r="A631" s="14"/>
      <c r="B631" s="15"/>
      <c r="C631" s="15"/>
      <c r="D631" s="14"/>
      <c r="E631" s="14"/>
      <c r="F631" s="14"/>
      <c r="G631" s="14"/>
      <c r="H631" s="15"/>
      <c r="I631" s="15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14"/>
      <c r="AX631" s="14"/>
      <c r="AY631" s="14"/>
      <c r="AZ631" s="14"/>
      <c r="BA631" s="14"/>
      <c r="BB631" s="14"/>
      <c r="BC631" s="14"/>
      <c r="BD631" s="14"/>
      <c r="BE631" s="14"/>
      <c r="BF631" s="14"/>
      <c r="BG631" s="14"/>
      <c r="BH631" s="14"/>
      <c r="BI631" s="14"/>
      <c r="BJ631" s="14"/>
      <c r="BK631" s="14"/>
      <c r="BL631" s="14"/>
      <c r="BM631" s="14"/>
      <c r="BN631" s="14"/>
      <c r="BO631" s="14"/>
      <c r="BP631" s="14"/>
      <c r="BQ631" s="14"/>
      <c r="BR631" s="14"/>
      <c r="BS631" s="14"/>
      <c r="BT631" s="14"/>
      <c r="BU631" s="14"/>
      <c r="BV631" s="14"/>
      <c r="BW631" s="14"/>
      <c r="BX631" s="14"/>
      <c r="BY631" s="14"/>
      <c r="BZ631" s="14"/>
      <c r="CA631" s="14"/>
      <c r="CB631" s="14"/>
      <c r="CC631" s="14"/>
      <c r="CD631" s="14"/>
      <c r="CE631" s="14"/>
      <c r="CF631" s="14"/>
      <c r="CG631" s="14"/>
      <c r="CH631" s="14"/>
      <c r="CI631" s="14"/>
      <c r="CJ631" s="14"/>
      <c r="CK631" s="14"/>
      <c r="CL631" s="14"/>
      <c r="CT631" s="14"/>
      <c r="CW631" s="3"/>
      <c r="DG631" s="4"/>
    </row>
    <row r="632" customFormat="false" ht="11.25" hidden="false" customHeight="true" outlineLevel="0" collapsed="false">
      <c r="A632" s="14"/>
      <c r="B632" s="15"/>
      <c r="C632" s="15"/>
      <c r="D632" s="14"/>
      <c r="E632" s="14"/>
      <c r="F632" s="14"/>
      <c r="G632" s="14"/>
      <c r="H632" s="15"/>
      <c r="I632" s="15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  <c r="AU632" s="14"/>
      <c r="AV632" s="14"/>
      <c r="AW632" s="14"/>
      <c r="AX632" s="14"/>
      <c r="AY632" s="14"/>
      <c r="AZ632" s="14"/>
      <c r="BA632" s="14"/>
      <c r="BB632" s="14"/>
      <c r="BC632" s="14"/>
      <c r="BD632" s="14"/>
      <c r="BE632" s="14"/>
      <c r="BF632" s="14"/>
      <c r="BG632" s="14"/>
      <c r="BH632" s="14"/>
      <c r="BI632" s="14"/>
      <c r="BJ632" s="14"/>
      <c r="BK632" s="14"/>
      <c r="BL632" s="14"/>
      <c r="BM632" s="14"/>
      <c r="BN632" s="14"/>
      <c r="BO632" s="14"/>
      <c r="BP632" s="14"/>
      <c r="BQ632" s="14"/>
      <c r="BR632" s="14"/>
      <c r="BS632" s="14"/>
      <c r="BT632" s="14"/>
      <c r="BU632" s="14"/>
      <c r="BV632" s="14"/>
      <c r="BW632" s="14"/>
      <c r="BX632" s="14"/>
      <c r="BY632" s="14"/>
      <c r="BZ632" s="14"/>
      <c r="CA632" s="14"/>
      <c r="CB632" s="14"/>
      <c r="CC632" s="14"/>
      <c r="CD632" s="14"/>
      <c r="CE632" s="14"/>
      <c r="CF632" s="14"/>
      <c r="CG632" s="14"/>
      <c r="CH632" s="14"/>
      <c r="CI632" s="14"/>
      <c r="CJ632" s="14"/>
      <c r="CK632" s="14"/>
      <c r="CL632" s="14"/>
      <c r="CT632" s="14"/>
      <c r="CW632" s="3"/>
      <c r="DG632" s="4"/>
    </row>
    <row r="633" customFormat="false" ht="11.25" hidden="false" customHeight="true" outlineLevel="0" collapsed="false">
      <c r="A633" s="14"/>
      <c r="B633" s="15"/>
      <c r="C633" s="15"/>
      <c r="D633" s="14"/>
      <c r="E633" s="14"/>
      <c r="F633" s="14"/>
      <c r="G633" s="14"/>
      <c r="H633" s="15"/>
      <c r="I633" s="15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  <c r="AU633" s="14"/>
      <c r="AV633" s="14"/>
      <c r="AW633" s="14"/>
      <c r="AX633" s="14"/>
      <c r="AY633" s="14"/>
      <c r="AZ633" s="14"/>
      <c r="BA633" s="14"/>
      <c r="BB633" s="14"/>
      <c r="BC633" s="14"/>
      <c r="BD633" s="14"/>
      <c r="BE633" s="14"/>
      <c r="BF633" s="14"/>
      <c r="BG633" s="14"/>
      <c r="BH633" s="14"/>
      <c r="BI633" s="14"/>
      <c r="BJ633" s="14"/>
      <c r="BK633" s="14"/>
      <c r="BL633" s="14"/>
      <c r="BM633" s="14"/>
      <c r="BN633" s="14"/>
      <c r="BO633" s="14"/>
      <c r="BP633" s="14"/>
      <c r="BQ633" s="14"/>
      <c r="BR633" s="14"/>
      <c r="BS633" s="14"/>
      <c r="BT633" s="14"/>
      <c r="BU633" s="14"/>
      <c r="BV633" s="14"/>
      <c r="BW633" s="14"/>
      <c r="BX633" s="14"/>
      <c r="BY633" s="14"/>
      <c r="BZ633" s="14"/>
      <c r="CA633" s="14"/>
      <c r="CB633" s="14"/>
      <c r="CC633" s="14"/>
      <c r="CD633" s="14"/>
      <c r="CE633" s="14"/>
      <c r="CF633" s="14"/>
      <c r="CG633" s="14"/>
      <c r="CH633" s="14"/>
      <c r="CI633" s="14"/>
      <c r="CJ633" s="14"/>
      <c r="CK633" s="14"/>
      <c r="CL633" s="14"/>
      <c r="CT633" s="14"/>
      <c r="CW633" s="3"/>
      <c r="DG633" s="4"/>
    </row>
    <row r="634" customFormat="false" ht="11.25" hidden="false" customHeight="true" outlineLevel="0" collapsed="false">
      <c r="A634" s="14"/>
      <c r="B634" s="15"/>
      <c r="C634" s="15"/>
      <c r="D634" s="14"/>
      <c r="E634" s="14"/>
      <c r="F634" s="14"/>
      <c r="G634" s="14"/>
      <c r="H634" s="15"/>
      <c r="I634" s="15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  <c r="AU634" s="14"/>
      <c r="AV634" s="14"/>
      <c r="AW634" s="14"/>
      <c r="AX634" s="14"/>
      <c r="AY634" s="14"/>
      <c r="AZ634" s="14"/>
      <c r="BA634" s="14"/>
      <c r="BB634" s="14"/>
      <c r="BC634" s="14"/>
      <c r="BD634" s="14"/>
      <c r="BE634" s="14"/>
      <c r="BF634" s="14"/>
      <c r="BG634" s="14"/>
      <c r="BH634" s="14"/>
      <c r="BI634" s="14"/>
      <c r="BJ634" s="14"/>
      <c r="BK634" s="14"/>
      <c r="BL634" s="14"/>
      <c r="BM634" s="14"/>
      <c r="BN634" s="14"/>
      <c r="BO634" s="14"/>
      <c r="BP634" s="14"/>
      <c r="BQ634" s="14"/>
      <c r="BR634" s="14"/>
      <c r="BS634" s="14"/>
      <c r="BT634" s="14"/>
      <c r="BU634" s="14"/>
      <c r="BV634" s="14"/>
      <c r="BW634" s="14"/>
      <c r="BX634" s="14"/>
      <c r="BY634" s="14"/>
      <c r="BZ634" s="14"/>
      <c r="CA634" s="14"/>
      <c r="CB634" s="14"/>
      <c r="CC634" s="14"/>
      <c r="CD634" s="14"/>
      <c r="CE634" s="14"/>
      <c r="CF634" s="14"/>
      <c r="CG634" s="14"/>
      <c r="CH634" s="14"/>
      <c r="CI634" s="14"/>
      <c r="CJ634" s="14"/>
      <c r="CK634" s="14"/>
      <c r="CL634" s="14"/>
      <c r="CT634" s="14"/>
      <c r="CW634" s="3"/>
      <c r="DG634" s="4"/>
    </row>
    <row r="635" customFormat="false" ht="11.25" hidden="false" customHeight="true" outlineLevel="0" collapsed="false">
      <c r="A635" s="14"/>
      <c r="B635" s="15"/>
      <c r="C635" s="15"/>
      <c r="D635" s="14"/>
      <c r="E635" s="14"/>
      <c r="F635" s="14"/>
      <c r="G635" s="14"/>
      <c r="H635" s="15"/>
      <c r="I635" s="15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  <c r="AX635" s="14"/>
      <c r="AY635" s="14"/>
      <c r="AZ635" s="14"/>
      <c r="BA635" s="14"/>
      <c r="BB635" s="14"/>
      <c r="BC635" s="14"/>
      <c r="BD635" s="14"/>
      <c r="BE635" s="14"/>
      <c r="BF635" s="14"/>
      <c r="BG635" s="14"/>
      <c r="BH635" s="14"/>
      <c r="BI635" s="14"/>
      <c r="BJ635" s="14"/>
      <c r="BK635" s="14"/>
      <c r="BL635" s="14"/>
      <c r="BM635" s="14"/>
      <c r="BN635" s="14"/>
      <c r="BO635" s="14"/>
      <c r="BP635" s="14"/>
      <c r="BQ635" s="14"/>
      <c r="BR635" s="14"/>
      <c r="BS635" s="14"/>
      <c r="BT635" s="14"/>
      <c r="BU635" s="14"/>
      <c r="BV635" s="14"/>
      <c r="BW635" s="14"/>
      <c r="BX635" s="14"/>
      <c r="BY635" s="14"/>
      <c r="BZ635" s="14"/>
      <c r="CA635" s="14"/>
      <c r="CB635" s="14"/>
      <c r="CC635" s="14"/>
      <c r="CD635" s="14"/>
      <c r="CE635" s="14"/>
      <c r="CF635" s="14"/>
      <c r="CG635" s="14"/>
      <c r="CH635" s="14"/>
      <c r="CI635" s="14"/>
      <c r="CJ635" s="14"/>
      <c r="CK635" s="14"/>
      <c r="CL635" s="14"/>
      <c r="CT635" s="14"/>
      <c r="CW635" s="3"/>
      <c r="DG635" s="4"/>
    </row>
    <row r="636" customFormat="false" ht="11.25" hidden="false" customHeight="true" outlineLevel="0" collapsed="false">
      <c r="A636" s="14"/>
      <c r="B636" s="15"/>
      <c r="C636" s="15"/>
      <c r="D636" s="14"/>
      <c r="E636" s="14"/>
      <c r="F636" s="14"/>
      <c r="G636" s="14"/>
      <c r="H636" s="15"/>
      <c r="I636" s="15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  <c r="AS636" s="14"/>
      <c r="AT636" s="14"/>
      <c r="AU636" s="14"/>
      <c r="AV636" s="14"/>
      <c r="AW636" s="14"/>
      <c r="AX636" s="14"/>
      <c r="AY636" s="14"/>
      <c r="AZ636" s="14"/>
      <c r="BA636" s="14"/>
      <c r="BB636" s="14"/>
      <c r="BC636" s="14"/>
      <c r="BD636" s="14"/>
      <c r="BE636" s="14"/>
      <c r="BF636" s="14"/>
      <c r="BG636" s="14"/>
      <c r="BH636" s="14"/>
      <c r="BI636" s="14"/>
      <c r="BJ636" s="14"/>
      <c r="BK636" s="14"/>
      <c r="BL636" s="14"/>
      <c r="BM636" s="14"/>
      <c r="BN636" s="14"/>
      <c r="BO636" s="14"/>
      <c r="BP636" s="14"/>
      <c r="BQ636" s="14"/>
      <c r="BR636" s="14"/>
      <c r="BS636" s="14"/>
      <c r="BT636" s="14"/>
      <c r="BU636" s="14"/>
      <c r="BV636" s="14"/>
      <c r="BW636" s="14"/>
      <c r="BX636" s="14"/>
      <c r="BY636" s="14"/>
      <c r="BZ636" s="14"/>
      <c r="CA636" s="14"/>
      <c r="CB636" s="14"/>
      <c r="CC636" s="14"/>
      <c r="CD636" s="14"/>
      <c r="CE636" s="14"/>
      <c r="CF636" s="14"/>
      <c r="CG636" s="14"/>
      <c r="CH636" s="14"/>
      <c r="CI636" s="14"/>
      <c r="CJ636" s="14"/>
      <c r="CK636" s="14"/>
      <c r="CL636" s="14"/>
      <c r="CT636" s="14"/>
      <c r="CW636" s="3"/>
      <c r="DG636" s="4"/>
    </row>
    <row r="637" customFormat="false" ht="11.25" hidden="false" customHeight="true" outlineLevel="0" collapsed="false">
      <c r="A637" s="14"/>
      <c r="B637" s="15"/>
      <c r="C637" s="15"/>
      <c r="D637" s="14"/>
      <c r="E637" s="14"/>
      <c r="F637" s="14"/>
      <c r="G637" s="14"/>
      <c r="H637" s="15"/>
      <c r="I637" s="15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  <c r="AU637" s="14"/>
      <c r="AV637" s="14"/>
      <c r="AW637" s="14"/>
      <c r="AX637" s="14"/>
      <c r="AY637" s="14"/>
      <c r="AZ637" s="14"/>
      <c r="BA637" s="14"/>
      <c r="BB637" s="14"/>
      <c r="BC637" s="14"/>
      <c r="BD637" s="14"/>
      <c r="BE637" s="14"/>
      <c r="BF637" s="14"/>
      <c r="BG637" s="14"/>
      <c r="BH637" s="14"/>
      <c r="BI637" s="14"/>
      <c r="BJ637" s="14"/>
      <c r="BK637" s="14"/>
      <c r="BL637" s="14"/>
      <c r="BM637" s="14"/>
      <c r="BN637" s="14"/>
      <c r="BO637" s="14"/>
      <c r="BP637" s="14"/>
      <c r="BQ637" s="14"/>
      <c r="BR637" s="14"/>
      <c r="BS637" s="14"/>
      <c r="BT637" s="14"/>
      <c r="BU637" s="14"/>
      <c r="BV637" s="14"/>
      <c r="BW637" s="14"/>
      <c r="BX637" s="14"/>
      <c r="BY637" s="14"/>
      <c r="BZ637" s="14"/>
      <c r="CA637" s="14"/>
      <c r="CB637" s="14"/>
      <c r="CC637" s="14"/>
      <c r="CD637" s="14"/>
      <c r="CE637" s="14"/>
      <c r="CF637" s="14"/>
      <c r="CG637" s="14"/>
      <c r="CH637" s="14"/>
      <c r="CI637" s="14"/>
      <c r="CJ637" s="14"/>
      <c r="CK637" s="14"/>
      <c r="CL637" s="14"/>
      <c r="CT637" s="14"/>
      <c r="CW637" s="3"/>
      <c r="DG637" s="4"/>
    </row>
    <row r="638" customFormat="false" ht="11.25" hidden="false" customHeight="true" outlineLevel="0" collapsed="false">
      <c r="A638" s="14"/>
      <c r="B638" s="15"/>
      <c r="C638" s="15"/>
      <c r="D638" s="14"/>
      <c r="E638" s="14"/>
      <c r="F638" s="14"/>
      <c r="G638" s="14"/>
      <c r="H638" s="15"/>
      <c r="I638" s="15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  <c r="AR638" s="14"/>
      <c r="AS638" s="14"/>
      <c r="AT638" s="14"/>
      <c r="AU638" s="14"/>
      <c r="AV638" s="14"/>
      <c r="AW638" s="14"/>
      <c r="AX638" s="14"/>
      <c r="AY638" s="14"/>
      <c r="AZ638" s="14"/>
      <c r="BA638" s="14"/>
      <c r="BB638" s="14"/>
      <c r="BC638" s="14"/>
      <c r="BD638" s="14"/>
      <c r="BE638" s="14"/>
      <c r="BF638" s="14"/>
      <c r="BG638" s="14"/>
      <c r="BH638" s="14"/>
      <c r="BI638" s="14"/>
      <c r="BJ638" s="14"/>
      <c r="BK638" s="14"/>
      <c r="BL638" s="14"/>
      <c r="BM638" s="14"/>
      <c r="BN638" s="14"/>
      <c r="BO638" s="14"/>
      <c r="BP638" s="14"/>
      <c r="BQ638" s="14"/>
      <c r="BR638" s="14"/>
      <c r="BS638" s="14"/>
      <c r="BT638" s="14"/>
      <c r="BU638" s="14"/>
      <c r="BV638" s="14"/>
      <c r="BW638" s="14"/>
      <c r="BX638" s="14"/>
      <c r="BY638" s="14"/>
      <c r="BZ638" s="14"/>
      <c r="CA638" s="14"/>
      <c r="CB638" s="14"/>
      <c r="CC638" s="14"/>
      <c r="CD638" s="14"/>
      <c r="CE638" s="14"/>
      <c r="CF638" s="14"/>
      <c r="CG638" s="14"/>
      <c r="CH638" s="14"/>
      <c r="CI638" s="14"/>
      <c r="CJ638" s="14"/>
      <c r="CK638" s="14"/>
      <c r="CL638" s="14"/>
      <c r="CT638" s="14"/>
      <c r="CW638" s="3"/>
      <c r="DG638" s="4"/>
    </row>
    <row r="639" customFormat="false" ht="11.25" hidden="false" customHeight="true" outlineLevel="0" collapsed="false">
      <c r="A639" s="14"/>
      <c r="B639" s="15"/>
      <c r="C639" s="15"/>
      <c r="D639" s="14"/>
      <c r="E639" s="14"/>
      <c r="F639" s="14"/>
      <c r="G639" s="14"/>
      <c r="H639" s="15"/>
      <c r="I639" s="15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4"/>
      <c r="AX639" s="14"/>
      <c r="AY639" s="14"/>
      <c r="AZ639" s="14"/>
      <c r="BA639" s="14"/>
      <c r="BB639" s="14"/>
      <c r="BC639" s="14"/>
      <c r="BD639" s="14"/>
      <c r="BE639" s="14"/>
      <c r="BF639" s="14"/>
      <c r="BG639" s="14"/>
      <c r="BH639" s="14"/>
      <c r="BI639" s="14"/>
      <c r="BJ639" s="14"/>
      <c r="BK639" s="14"/>
      <c r="BL639" s="14"/>
      <c r="BM639" s="14"/>
      <c r="BN639" s="14"/>
      <c r="BO639" s="14"/>
      <c r="BP639" s="14"/>
      <c r="BQ639" s="14"/>
      <c r="BR639" s="14"/>
      <c r="BS639" s="14"/>
      <c r="BT639" s="14"/>
      <c r="BU639" s="14"/>
      <c r="BV639" s="14"/>
      <c r="BW639" s="14"/>
      <c r="BX639" s="14"/>
      <c r="BY639" s="14"/>
      <c r="BZ639" s="14"/>
      <c r="CA639" s="14"/>
      <c r="CB639" s="14"/>
      <c r="CC639" s="14"/>
      <c r="CD639" s="14"/>
      <c r="CE639" s="14"/>
      <c r="CF639" s="14"/>
      <c r="CG639" s="14"/>
      <c r="CH639" s="14"/>
      <c r="CI639" s="14"/>
      <c r="CJ639" s="14"/>
      <c r="CK639" s="14"/>
      <c r="CL639" s="14"/>
      <c r="CT639" s="14"/>
      <c r="CW639" s="3"/>
      <c r="DG639" s="4"/>
    </row>
    <row r="640" customFormat="false" ht="11.25" hidden="false" customHeight="true" outlineLevel="0" collapsed="false">
      <c r="A640" s="14"/>
      <c r="B640" s="15"/>
      <c r="C640" s="15"/>
      <c r="D640" s="14"/>
      <c r="E640" s="14"/>
      <c r="F640" s="14"/>
      <c r="G640" s="14"/>
      <c r="H640" s="15"/>
      <c r="I640" s="15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  <c r="AS640" s="14"/>
      <c r="AT640" s="14"/>
      <c r="AU640" s="14"/>
      <c r="AV640" s="14"/>
      <c r="AW640" s="14"/>
      <c r="AX640" s="14"/>
      <c r="AY640" s="14"/>
      <c r="AZ640" s="14"/>
      <c r="BA640" s="14"/>
      <c r="BB640" s="14"/>
      <c r="BC640" s="14"/>
      <c r="BD640" s="14"/>
      <c r="BE640" s="14"/>
      <c r="BF640" s="14"/>
      <c r="BG640" s="14"/>
      <c r="BH640" s="14"/>
      <c r="BI640" s="14"/>
      <c r="BJ640" s="14"/>
      <c r="BK640" s="14"/>
      <c r="BL640" s="14"/>
      <c r="BM640" s="14"/>
      <c r="BN640" s="14"/>
      <c r="BO640" s="14"/>
      <c r="BP640" s="14"/>
      <c r="BQ640" s="14"/>
      <c r="BR640" s="14"/>
      <c r="BS640" s="14"/>
      <c r="BT640" s="14"/>
      <c r="BU640" s="14"/>
      <c r="BV640" s="14"/>
      <c r="BW640" s="14"/>
      <c r="BX640" s="14"/>
      <c r="BY640" s="14"/>
      <c r="BZ640" s="14"/>
      <c r="CA640" s="14"/>
      <c r="CB640" s="14"/>
      <c r="CC640" s="14"/>
      <c r="CD640" s="14"/>
      <c r="CE640" s="14"/>
      <c r="CF640" s="14"/>
      <c r="CG640" s="14"/>
      <c r="CH640" s="14"/>
      <c r="CI640" s="14"/>
      <c r="CJ640" s="14"/>
      <c r="CK640" s="14"/>
      <c r="CL640" s="14"/>
      <c r="CT640" s="14"/>
      <c r="CW640" s="3"/>
      <c r="DG640" s="4"/>
    </row>
    <row r="641" customFormat="false" ht="11.25" hidden="false" customHeight="true" outlineLevel="0" collapsed="false">
      <c r="A641" s="14"/>
      <c r="B641" s="15"/>
      <c r="C641" s="15"/>
      <c r="D641" s="14"/>
      <c r="E641" s="14"/>
      <c r="F641" s="14"/>
      <c r="G641" s="14"/>
      <c r="H641" s="15"/>
      <c r="I641" s="15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  <c r="AW641" s="14"/>
      <c r="AX641" s="14"/>
      <c r="AY641" s="14"/>
      <c r="AZ641" s="14"/>
      <c r="BA641" s="14"/>
      <c r="BB641" s="14"/>
      <c r="BC641" s="14"/>
      <c r="BD641" s="14"/>
      <c r="BE641" s="14"/>
      <c r="BF641" s="14"/>
      <c r="BG641" s="14"/>
      <c r="BH641" s="14"/>
      <c r="BI641" s="14"/>
      <c r="BJ641" s="14"/>
      <c r="BK641" s="14"/>
      <c r="BL641" s="14"/>
      <c r="BM641" s="14"/>
      <c r="BN641" s="14"/>
      <c r="BO641" s="14"/>
      <c r="BP641" s="14"/>
      <c r="BQ641" s="14"/>
      <c r="BR641" s="14"/>
      <c r="BS641" s="14"/>
      <c r="BT641" s="14"/>
      <c r="BU641" s="14"/>
      <c r="BV641" s="14"/>
      <c r="BW641" s="14"/>
      <c r="BX641" s="14"/>
      <c r="BY641" s="14"/>
      <c r="BZ641" s="14"/>
      <c r="CA641" s="14"/>
      <c r="CB641" s="14"/>
      <c r="CC641" s="14"/>
      <c r="CD641" s="14"/>
      <c r="CE641" s="14"/>
      <c r="CF641" s="14"/>
      <c r="CG641" s="14"/>
      <c r="CH641" s="14"/>
      <c r="CI641" s="14"/>
      <c r="CJ641" s="14"/>
      <c r="CK641" s="14"/>
      <c r="CL641" s="14"/>
      <c r="CT641" s="14"/>
      <c r="CW641" s="3"/>
      <c r="DG641" s="4"/>
    </row>
    <row r="642" customFormat="false" ht="11.25" hidden="false" customHeight="true" outlineLevel="0" collapsed="false">
      <c r="A642" s="14"/>
      <c r="B642" s="15"/>
      <c r="C642" s="15"/>
      <c r="D642" s="14"/>
      <c r="E642" s="14"/>
      <c r="F642" s="14"/>
      <c r="G642" s="14"/>
      <c r="H642" s="15"/>
      <c r="I642" s="15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  <c r="AU642" s="14"/>
      <c r="AV642" s="14"/>
      <c r="AW642" s="14"/>
      <c r="AX642" s="14"/>
      <c r="AY642" s="14"/>
      <c r="AZ642" s="14"/>
      <c r="BA642" s="14"/>
      <c r="BB642" s="14"/>
      <c r="BC642" s="14"/>
      <c r="BD642" s="14"/>
      <c r="BE642" s="14"/>
      <c r="BF642" s="14"/>
      <c r="BG642" s="14"/>
      <c r="BH642" s="14"/>
      <c r="BI642" s="14"/>
      <c r="BJ642" s="14"/>
      <c r="BK642" s="14"/>
      <c r="BL642" s="14"/>
      <c r="BM642" s="14"/>
      <c r="BN642" s="14"/>
      <c r="BO642" s="14"/>
      <c r="BP642" s="14"/>
      <c r="BQ642" s="14"/>
      <c r="BR642" s="14"/>
      <c r="BS642" s="14"/>
      <c r="BT642" s="14"/>
      <c r="BU642" s="14"/>
      <c r="BV642" s="14"/>
      <c r="BW642" s="14"/>
      <c r="BX642" s="14"/>
      <c r="BY642" s="14"/>
      <c r="BZ642" s="14"/>
      <c r="CA642" s="14"/>
      <c r="CB642" s="14"/>
      <c r="CC642" s="14"/>
      <c r="CD642" s="14"/>
      <c r="CE642" s="14"/>
      <c r="CF642" s="14"/>
      <c r="CG642" s="14"/>
      <c r="CH642" s="14"/>
      <c r="CI642" s="14"/>
      <c r="CJ642" s="14"/>
      <c r="CK642" s="14"/>
      <c r="CL642" s="14"/>
      <c r="CT642" s="14"/>
      <c r="CW642" s="3"/>
      <c r="DG642" s="4"/>
    </row>
    <row r="643" customFormat="false" ht="11.25" hidden="false" customHeight="true" outlineLevel="0" collapsed="false">
      <c r="A643" s="14"/>
      <c r="B643" s="15"/>
      <c r="C643" s="15"/>
      <c r="D643" s="14"/>
      <c r="E643" s="14"/>
      <c r="F643" s="14"/>
      <c r="G643" s="14"/>
      <c r="H643" s="15"/>
      <c r="I643" s="15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14"/>
      <c r="AX643" s="14"/>
      <c r="AY643" s="14"/>
      <c r="AZ643" s="14"/>
      <c r="BA643" s="14"/>
      <c r="BB643" s="14"/>
      <c r="BC643" s="14"/>
      <c r="BD643" s="14"/>
      <c r="BE643" s="14"/>
      <c r="BF643" s="14"/>
      <c r="BG643" s="14"/>
      <c r="BH643" s="14"/>
      <c r="BI643" s="14"/>
      <c r="BJ643" s="14"/>
      <c r="BK643" s="14"/>
      <c r="BL643" s="14"/>
      <c r="BM643" s="14"/>
      <c r="BN643" s="14"/>
      <c r="BO643" s="14"/>
      <c r="BP643" s="14"/>
      <c r="BQ643" s="14"/>
      <c r="BR643" s="14"/>
      <c r="BS643" s="14"/>
      <c r="BT643" s="14"/>
      <c r="BU643" s="14"/>
      <c r="BV643" s="14"/>
      <c r="BW643" s="14"/>
      <c r="BX643" s="14"/>
      <c r="BY643" s="14"/>
      <c r="BZ643" s="14"/>
      <c r="CA643" s="14"/>
      <c r="CB643" s="14"/>
      <c r="CC643" s="14"/>
      <c r="CD643" s="14"/>
      <c r="CE643" s="14"/>
      <c r="CF643" s="14"/>
      <c r="CG643" s="14"/>
      <c r="CH643" s="14"/>
      <c r="CI643" s="14"/>
      <c r="CJ643" s="14"/>
      <c r="CK643" s="14"/>
      <c r="CL643" s="14"/>
      <c r="CT643" s="14"/>
      <c r="CW643" s="3"/>
      <c r="DG643" s="4"/>
    </row>
    <row r="644" customFormat="false" ht="11.25" hidden="false" customHeight="true" outlineLevel="0" collapsed="false">
      <c r="A644" s="14"/>
      <c r="B644" s="15"/>
      <c r="C644" s="15"/>
      <c r="D644" s="14"/>
      <c r="E644" s="14"/>
      <c r="F644" s="14"/>
      <c r="G644" s="14"/>
      <c r="H644" s="15"/>
      <c r="I644" s="15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  <c r="AR644" s="14"/>
      <c r="AS644" s="14"/>
      <c r="AT644" s="14"/>
      <c r="AU644" s="14"/>
      <c r="AV644" s="14"/>
      <c r="AW644" s="14"/>
      <c r="AX644" s="14"/>
      <c r="AY644" s="14"/>
      <c r="AZ644" s="14"/>
      <c r="BA644" s="14"/>
      <c r="BB644" s="14"/>
      <c r="BC644" s="14"/>
      <c r="BD644" s="14"/>
      <c r="BE644" s="14"/>
      <c r="BF644" s="14"/>
      <c r="BG644" s="14"/>
      <c r="BH644" s="14"/>
      <c r="BI644" s="14"/>
      <c r="BJ644" s="14"/>
      <c r="BK644" s="14"/>
      <c r="BL644" s="14"/>
      <c r="BM644" s="14"/>
      <c r="BN644" s="14"/>
      <c r="BO644" s="14"/>
      <c r="BP644" s="14"/>
      <c r="BQ644" s="14"/>
      <c r="BR644" s="14"/>
      <c r="BS644" s="14"/>
      <c r="BT644" s="14"/>
      <c r="BU644" s="14"/>
      <c r="BV644" s="14"/>
      <c r="BW644" s="14"/>
      <c r="BX644" s="14"/>
      <c r="BY644" s="14"/>
      <c r="BZ644" s="14"/>
      <c r="CA644" s="14"/>
      <c r="CB644" s="14"/>
      <c r="CC644" s="14"/>
      <c r="CD644" s="14"/>
      <c r="CE644" s="14"/>
      <c r="CF644" s="14"/>
      <c r="CG644" s="14"/>
      <c r="CH644" s="14"/>
      <c r="CI644" s="14"/>
      <c r="CJ644" s="14"/>
      <c r="CK644" s="14"/>
      <c r="CL644" s="14"/>
      <c r="CT644" s="14"/>
      <c r="CW644" s="3"/>
      <c r="DG644" s="4"/>
    </row>
    <row r="645" customFormat="false" ht="11.25" hidden="false" customHeight="true" outlineLevel="0" collapsed="false">
      <c r="A645" s="14"/>
      <c r="B645" s="15"/>
      <c r="C645" s="15"/>
      <c r="D645" s="14"/>
      <c r="E645" s="14"/>
      <c r="F645" s="14"/>
      <c r="G645" s="14"/>
      <c r="H645" s="15"/>
      <c r="I645" s="15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  <c r="AU645" s="14"/>
      <c r="AV645" s="14"/>
      <c r="AW645" s="14"/>
      <c r="AX645" s="14"/>
      <c r="AY645" s="14"/>
      <c r="AZ645" s="14"/>
      <c r="BA645" s="14"/>
      <c r="BB645" s="14"/>
      <c r="BC645" s="14"/>
      <c r="BD645" s="14"/>
      <c r="BE645" s="14"/>
      <c r="BF645" s="14"/>
      <c r="BG645" s="14"/>
      <c r="BH645" s="14"/>
      <c r="BI645" s="14"/>
      <c r="BJ645" s="14"/>
      <c r="BK645" s="14"/>
      <c r="BL645" s="14"/>
      <c r="BM645" s="14"/>
      <c r="BN645" s="14"/>
      <c r="BO645" s="14"/>
      <c r="BP645" s="14"/>
      <c r="BQ645" s="14"/>
      <c r="BR645" s="14"/>
      <c r="BS645" s="14"/>
      <c r="BT645" s="14"/>
      <c r="BU645" s="14"/>
      <c r="BV645" s="14"/>
      <c r="BW645" s="14"/>
      <c r="BX645" s="14"/>
      <c r="BY645" s="14"/>
      <c r="BZ645" s="14"/>
      <c r="CA645" s="14"/>
      <c r="CB645" s="14"/>
      <c r="CC645" s="14"/>
      <c r="CD645" s="14"/>
      <c r="CE645" s="14"/>
      <c r="CF645" s="14"/>
      <c r="CG645" s="14"/>
      <c r="CH645" s="14"/>
      <c r="CI645" s="14"/>
      <c r="CJ645" s="14"/>
      <c r="CK645" s="14"/>
      <c r="CL645" s="14"/>
      <c r="CT645" s="14"/>
      <c r="CW645" s="3"/>
      <c r="DG645" s="4"/>
    </row>
    <row r="646" customFormat="false" ht="11.25" hidden="false" customHeight="true" outlineLevel="0" collapsed="false">
      <c r="A646" s="14"/>
      <c r="B646" s="15"/>
      <c r="C646" s="15"/>
      <c r="D646" s="14"/>
      <c r="E646" s="14"/>
      <c r="F646" s="14"/>
      <c r="G646" s="14"/>
      <c r="H646" s="15"/>
      <c r="I646" s="15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  <c r="AU646" s="14"/>
      <c r="AV646" s="14"/>
      <c r="AW646" s="14"/>
      <c r="AX646" s="14"/>
      <c r="AY646" s="14"/>
      <c r="AZ646" s="14"/>
      <c r="BA646" s="14"/>
      <c r="BB646" s="14"/>
      <c r="BC646" s="14"/>
      <c r="BD646" s="14"/>
      <c r="BE646" s="14"/>
      <c r="BF646" s="14"/>
      <c r="BG646" s="14"/>
      <c r="BH646" s="14"/>
      <c r="BI646" s="14"/>
      <c r="BJ646" s="14"/>
      <c r="BK646" s="14"/>
      <c r="BL646" s="14"/>
      <c r="BM646" s="14"/>
      <c r="BN646" s="14"/>
      <c r="BO646" s="14"/>
      <c r="BP646" s="14"/>
      <c r="BQ646" s="14"/>
      <c r="BR646" s="14"/>
      <c r="BS646" s="14"/>
      <c r="BT646" s="14"/>
      <c r="BU646" s="14"/>
      <c r="BV646" s="14"/>
      <c r="BW646" s="14"/>
      <c r="BX646" s="14"/>
      <c r="BY646" s="14"/>
      <c r="BZ646" s="14"/>
      <c r="CA646" s="14"/>
      <c r="CB646" s="14"/>
      <c r="CC646" s="14"/>
      <c r="CD646" s="14"/>
      <c r="CE646" s="14"/>
      <c r="CF646" s="14"/>
      <c r="CG646" s="14"/>
      <c r="CH646" s="14"/>
      <c r="CI646" s="14"/>
      <c r="CJ646" s="14"/>
      <c r="CK646" s="14"/>
      <c r="CL646" s="14"/>
      <c r="CT646" s="14"/>
      <c r="CW646" s="3"/>
      <c r="DG646" s="4"/>
    </row>
    <row r="647" customFormat="false" ht="11.25" hidden="false" customHeight="true" outlineLevel="0" collapsed="false">
      <c r="A647" s="14"/>
      <c r="B647" s="15"/>
      <c r="C647" s="15"/>
      <c r="D647" s="14"/>
      <c r="E647" s="14"/>
      <c r="F647" s="14"/>
      <c r="G647" s="14"/>
      <c r="H647" s="15"/>
      <c r="I647" s="15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14"/>
      <c r="AX647" s="14"/>
      <c r="AY647" s="14"/>
      <c r="AZ647" s="14"/>
      <c r="BA647" s="14"/>
      <c r="BB647" s="14"/>
      <c r="BC647" s="14"/>
      <c r="BD647" s="14"/>
      <c r="BE647" s="14"/>
      <c r="BF647" s="14"/>
      <c r="BG647" s="14"/>
      <c r="BH647" s="14"/>
      <c r="BI647" s="14"/>
      <c r="BJ647" s="14"/>
      <c r="BK647" s="14"/>
      <c r="BL647" s="14"/>
      <c r="BM647" s="14"/>
      <c r="BN647" s="14"/>
      <c r="BO647" s="14"/>
      <c r="BP647" s="14"/>
      <c r="BQ647" s="14"/>
      <c r="BR647" s="14"/>
      <c r="BS647" s="14"/>
      <c r="BT647" s="14"/>
      <c r="BU647" s="14"/>
      <c r="BV647" s="14"/>
      <c r="BW647" s="14"/>
      <c r="BX647" s="14"/>
      <c r="BY647" s="14"/>
      <c r="BZ647" s="14"/>
      <c r="CA647" s="14"/>
      <c r="CB647" s="14"/>
      <c r="CC647" s="14"/>
      <c r="CD647" s="14"/>
      <c r="CE647" s="14"/>
      <c r="CF647" s="14"/>
      <c r="CG647" s="14"/>
      <c r="CH647" s="14"/>
      <c r="CI647" s="14"/>
      <c r="CJ647" s="14"/>
      <c r="CK647" s="14"/>
      <c r="CL647" s="14"/>
      <c r="CT647" s="14"/>
      <c r="CW647" s="3"/>
      <c r="DG647" s="4"/>
    </row>
    <row r="648" customFormat="false" ht="11.25" hidden="false" customHeight="true" outlineLevel="0" collapsed="false">
      <c r="A648" s="14"/>
      <c r="B648" s="15"/>
      <c r="C648" s="15"/>
      <c r="D648" s="14"/>
      <c r="E648" s="14"/>
      <c r="F648" s="14"/>
      <c r="G648" s="14"/>
      <c r="H648" s="15"/>
      <c r="I648" s="15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  <c r="AU648" s="14"/>
      <c r="AV648" s="14"/>
      <c r="AW648" s="14"/>
      <c r="AX648" s="14"/>
      <c r="AY648" s="14"/>
      <c r="AZ648" s="14"/>
      <c r="BA648" s="14"/>
      <c r="BB648" s="14"/>
      <c r="BC648" s="14"/>
      <c r="BD648" s="14"/>
      <c r="BE648" s="14"/>
      <c r="BF648" s="14"/>
      <c r="BG648" s="14"/>
      <c r="BH648" s="14"/>
      <c r="BI648" s="14"/>
      <c r="BJ648" s="14"/>
      <c r="BK648" s="14"/>
      <c r="BL648" s="14"/>
      <c r="BM648" s="14"/>
      <c r="BN648" s="14"/>
      <c r="BO648" s="14"/>
      <c r="BP648" s="14"/>
      <c r="BQ648" s="14"/>
      <c r="BR648" s="14"/>
      <c r="BS648" s="14"/>
      <c r="BT648" s="14"/>
      <c r="BU648" s="14"/>
      <c r="BV648" s="14"/>
      <c r="BW648" s="14"/>
      <c r="BX648" s="14"/>
      <c r="BY648" s="14"/>
      <c r="BZ648" s="14"/>
      <c r="CA648" s="14"/>
      <c r="CB648" s="14"/>
      <c r="CC648" s="14"/>
      <c r="CD648" s="14"/>
      <c r="CE648" s="14"/>
      <c r="CF648" s="14"/>
      <c r="CG648" s="14"/>
      <c r="CH648" s="14"/>
      <c r="CI648" s="14"/>
      <c r="CJ648" s="14"/>
      <c r="CK648" s="14"/>
      <c r="CL648" s="14"/>
      <c r="CT648" s="14"/>
      <c r="CW648" s="3"/>
      <c r="DG648" s="4"/>
    </row>
    <row r="649" customFormat="false" ht="11.25" hidden="false" customHeight="true" outlineLevel="0" collapsed="false">
      <c r="A649" s="14"/>
      <c r="B649" s="15"/>
      <c r="C649" s="15"/>
      <c r="D649" s="14"/>
      <c r="E649" s="14"/>
      <c r="F649" s="14"/>
      <c r="G649" s="14"/>
      <c r="H649" s="15"/>
      <c r="I649" s="15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14"/>
      <c r="AV649" s="14"/>
      <c r="AW649" s="14"/>
      <c r="AX649" s="14"/>
      <c r="AY649" s="14"/>
      <c r="AZ649" s="14"/>
      <c r="BA649" s="14"/>
      <c r="BB649" s="14"/>
      <c r="BC649" s="14"/>
      <c r="BD649" s="14"/>
      <c r="BE649" s="14"/>
      <c r="BF649" s="14"/>
      <c r="BG649" s="14"/>
      <c r="BH649" s="14"/>
      <c r="BI649" s="14"/>
      <c r="BJ649" s="14"/>
      <c r="BK649" s="14"/>
      <c r="BL649" s="14"/>
      <c r="BM649" s="14"/>
      <c r="BN649" s="14"/>
      <c r="BO649" s="14"/>
      <c r="BP649" s="14"/>
      <c r="BQ649" s="14"/>
      <c r="BR649" s="14"/>
      <c r="BS649" s="14"/>
      <c r="BT649" s="14"/>
      <c r="BU649" s="14"/>
      <c r="BV649" s="14"/>
      <c r="BW649" s="14"/>
      <c r="BX649" s="14"/>
      <c r="BY649" s="14"/>
      <c r="BZ649" s="14"/>
      <c r="CA649" s="14"/>
      <c r="CB649" s="14"/>
      <c r="CC649" s="14"/>
      <c r="CD649" s="14"/>
      <c r="CE649" s="14"/>
      <c r="CF649" s="14"/>
      <c r="CG649" s="14"/>
      <c r="CH649" s="14"/>
      <c r="CI649" s="14"/>
      <c r="CJ649" s="14"/>
      <c r="CK649" s="14"/>
      <c r="CL649" s="14"/>
      <c r="CT649" s="14"/>
      <c r="CW649" s="3"/>
      <c r="DG649" s="4"/>
    </row>
    <row r="650" customFormat="false" ht="11.25" hidden="false" customHeight="true" outlineLevel="0" collapsed="false">
      <c r="A650" s="14"/>
      <c r="B650" s="15"/>
      <c r="C650" s="15"/>
      <c r="D650" s="14"/>
      <c r="E650" s="14"/>
      <c r="F650" s="14"/>
      <c r="G650" s="14"/>
      <c r="H650" s="15"/>
      <c r="I650" s="15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  <c r="AU650" s="14"/>
      <c r="AV650" s="14"/>
      <c r="AW650" s="14"/>
      <c r="AX650" s="14"/>
      <c r="AY650" s="14"/>
      <c r="AZ650" s="14"/>
      <c r="BA650" s="14"/>
      <c r="BB650" s="14"/>
      <c r="BC650" s="14"/>
      <c r="BD650" s="14"/>
      <c r="BE650" s="14"/>
      <c r="BF650" s="14"/>
      <c r="BG650" s="14"/>
      <c r="BH650" s="14"/>
      <c r="BI650" s="14"/>
      <c r="BJ650" s="14"/>
      <c r="BK650" s="14"/>
      <c r="BL650" s="14"/>
      <c r="BM650" s="14"/>
      <c r="BN650" s="14"/>
      <c r="BO650" s="14"/>
      <c r="BP650" s="14"/>
      <c r="BQ650" s="14"/>
      <c r="BR650" s="14"/>
      <c r="BS650" s="14"/>
      <c r="BT650" s="14"/>
      <c r="BU650" s="14"/>
      <c r="BV650" s="14"/>
      <c r="BW650" s="14"/>
      <c r="BX650" s="14"/>
      <c r="BY650" s="14"/>
      <c r="BZ650" s="14"/>
      <c r="CA650" s="14"/>
      <c r="CB650" s="14"/>
      <c r="CC650" s="14"/>
      <c r="CD650" s="14"/>
      <c r="CE650" s="14"/>
      <c r="CF650" s="14"/>
      <c r="CG650" s="14"/>
      <c r="CH650" s="14"/>
      <c r="CI650" s="14"/>
      <c r="CJ650" s="14"/>
      <c r="CK650" s="14"/>
      <c r="CL650" s="14"/>
      <c r="CT650" s="14"/>
      <c r="CW650" s="3"/>
      <c r="DG650" s="4"/>
    </row>
    <row r="651" customFormat="false" ht="11.25" hidden="false" customHeight="true" outlineLevel="0" collapsed="false">
      <c r="A651" s="14"/>
      <c r="B651" s="15"/>
      <c r="C651" s="15"/>
      <c r="D651" s="14"/>
      <c r="E651" s="14"/>
      <c r="F651" s="14"/>
      <c r="G651" s="14"/>
      <c r="H651" s="15"/>
      <c r="I651" s="15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14"/>
      <c r="AX651" s="14"/>
      <c r="AY651" s="14"/>
      <c r="AZ651" s="14"/>
      <c r="BA651" s="14"/>
      <c r="BB651" s="14"/>
      <c r="BC651" s="14"/>
      <c r="BD651" s="14"/>
      <c r="BE651" s="14"/>
      <c r="BF651" s="14"/>
      <c r="BG651" s="14"/>
      <c r="BH651" s="14"/>
      <c r="BI651" s="14"/>
      <c r="BJ651" s="14"/>
      <c r="BK651" s="14"/>
      <c r="BL651" s="14"/>
      <c r="BM651" s="14"/>
      <c r="BN651" s="14"/>
      <c r="BO651" s="14"/>
      <c r="BP651" s="14"/>
      <c r="BQ651" s="14"/>
      <c r="BR651" s="14"/>
      <c r="BS651" s="14"/>
      <c r="BT651" s="14"/>
      <c r="BU651" s="14"/>
      <c r="BV651" s="14"/>
      <c r="BW651" s="14"/>
      <c r="BX651" s="14"/>
      <c r="BY651" s="14"/>
      <c r="BZ651" s="14"/>
      <c r="CA651" s="14"/>
      <c r="CB651" s="14"/>
      <c r="CC651" s="14"/>
      <c r="CD651" s="14"/>
      <c r="CE651" s="14"/>
      <c r="CF651" s="14"/>
      <c r="CG651" s="14"/>
      <c r="CH651" s="14"/>
      <c r="CI651" s="14"/>
      <c r="CJ651" s="14"/>
      <c r="CK651" s="14"/>
      <c r="CL651" s="14"/>
      <c r="CT651" s="14"/>
      <c r="CW651" s="3"/>
      <c r="DG651" s="4"/>
    </row>
    <row r="652" customFormat="false" ht="11.25" hidden="false" customHeight="true" outlineLevel="0" collapsed="false">
      <c r="A652" s="14"/>
      <c r="B652" s="15"/>
      <c r="C652" s="15"/>
      <c r="D652" s="14"/>
      <c r="E652" s="14"/>
      <c r="F652" s="14"/>
      <c r="G652" s="14"/>
      <c r="H652" s="15"/>
      <c r="I652" s="15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  <c r="AR652" s="14"/>
      <c r="AS652" s="14"/>
      <c r="AT652" s="14"/>
      <c r="AU652" s="14"/>
      <c r="AV652" s="14"/>
      <c r="AW652" s="14"/>
      <c r="AX652" s="14"/>
      <c r="AY652" s="14"/>
      <c r="AZ652" s="14"/>
      <c r="BA652" s="14"/>
      <c r="BB652" s="14"/>
      <c r="BC652" s="14"/>
      <c r="BD652" s="14"/>
      <c r="BE652" s="14"/>
      <c r="BF652" s="14"/>
      <c r="BG652" s="14"/>
      <c r="BH652" s="14"/>
      <c r="BI652" s="14"/>
      <c r="BJ652" s="14"/>
      <c r="BK652" s="14"/>
      <c r="BL652" s="14"/>
      <c r="BM652" s="14"/>
      <c r="BN652" s="14"/>
      <c r="BO652" s="14"/>
      <c r="BP652" s="14"/>
      <c r="BQ652" s="14"/>
      <c r="BR652" s="14"/>
      <c r="BS652" s="14"/>
      <c r="BT652" s="14"/>
      <c r="BU652" s="14"/>
      <c r="BV652" s="14"/>
      <c r="BW652" s="14"/>
      <c r="BX652" s="14"/>
      <c r="BY652" s="14"/>
      <c r="BZ652" s="14"/>
      <c r="CA652" s="14"/>
      <c r="CB652" s="14"/>
      <c r="CC652" s="14"/>
      <c r="CD652" s="14"/>
      <c r="CE652" s="14"/>
      <c r="CF652" s="14"/>
      <c r="CG652" s="14"/>
      <c r="CH652" s="14"/>
      <c r="CI652" s="14"/>
      <c r="CJ652" s="14"/>
      <c r="CK652" s="14"/>
      <c r="CL652" s="14"/>
      <c r="CT652" s="14"/>
      <c r="CW652" s="3"/>
      <c r="DG652" s="4"/>
    </row>
    <row r="653" customFormat="false" ht="11.25" hidden="false" customHeight="true" outlineLevel="0" collapsed="false">
      <c r="A653" s="14"/>
      <c r="B653" s="15"/>
      <c r="C653" s="15"/>
      <c r="D653" s="14"/>
      <c r="E653" s="14"/>
      <c r="F653" s="14"/>
      <c r="G653" s="14"/>
      <c r="H653" s="15"/>
      <c r="I653" s="15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/>
      <c r="AV653" s="14"/>
      <c r="AW653" s="14"/>
      <c r="AX653" s="14"/>
      <c r="AY653" s="14"/>
      <c r="AZ653" s="14"/>
      <c r="BA653" s="14"/>
      <c r="BB653" s="14"/>
      <c r="BC653" s="14"/>
      <c r="BD653" s="14"/>
      <c r="BE653" s="14"/>
      <c r="BF653" s="14"/>
      <c r="BG653" s="14"/>
      <c r="BH653" s="14"/>
      <c r="BI653" s="14"/>
      <c r="BJ653" s="14"/>
      <c r="BK653" s="14"/>
      <c r="BL653" s="14"/>
      <c r="BM653" s="14"/>
      <c r="BN653" s="14"/>
      <c r="BO653" s="14"/>
      <c r="BP653" s="14"/>
      <c r="BQ653" s="14"/>
      <c r="BR653" s="14"/>
      <c r="BS653" s="14"/>
      <c r="BT653" s="14"/>
      <c r="BU653" s="14"/>
      <c r="BV653" s="14"/>
      <c r="BW653" s="14"/>
      <c r="BX653" s="14"/>
      <c r="BY653" s="14"/>
      <c r="BZ653" s="14"/>
      <c r="CA653" s="14"/>
      <c r="CB653" s="14"/>
      <c r="CC653" s="14"/>
      <c r="CD653" s="14"/>
      <c r="CE653" s="14"/>
      <c r="CF653" s="14"/>
      <c r="CG653" s="14"/>
      <c r="CH653" s="14"/>
      <c r="CI653" s="14"/>
      <c r="CJ653" s="14"/>
      <c r="CK653" s="14"/>
      <c r="CL653" s="14"/>
      <c r="CT653" s="14"/>
      <c r="CW653" s="3"/>
      <c r="DG653" s="4"/>
    </row>
    <row r="654" customFormat="false" ht="11.25" hidden="false" customHeight="true" outlineLevel="0" collapsed="false">
      <c r="A654" s="14"/>
      <c r="B654" s="15"/>
      <c r="C654" s="15"/>
      <c r="D654" s="14"/>
      <c r="E654" s="14"/>
      <c r="F654" s="14"/>
      <c r="G654" s="14"/>
      <c r="H654" s="15"/>
      <c r="I654" s="15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/>
      <c r="AU654" s="14"/>
      <c r="AV654" s="14"/>
      <c r="AW654" s="14"/>
      <c r="AX654" s="14"/>
      <c r="AY654" s="14"/>
      <c r="AZ654" s="14"/>
      <c r="BA654" s="14"/>
      <c r="BB654" s="14"/>
      <c r="BC654" s="14"/>
      <c r="BD654" s="14"/>
      <c r="BE654" s="14"/>
      <c r="BF654" s="14"/>
      <c r="BG654" s="14"/>
      <c r="BH654" s="14"/>
      <c r="BI654" s="14"/>
      <c r="BJ654" s="14"/>
      <c r="BK654" s="14"/>
      <c r="BL654" s="14"/>
      <c r="BM654" s="14"/>
      <c r="BN654" s="14"/>
      <c r="BO654" s="14"/>
      <c r="BP654" s="14"/>
      <c r="BQ654" s="14"/>
      <c r="BR654" s="14"/>
      <c r="BS654" s="14"/>
      <c r="BT654" s="14"/>
      <c r="BU654" s="14"/>
      <c r="BV654" s="14"/>
      <c r="BW654" s="14"/>
      <c r="BX654" s="14"/>
      <c r="BY654" s="14"/>
      <c r="BZ654" s="14"/>
      <c r="CA654" s="14"/>
      <c r="CB654" s="14"/>
      <c r="CC654" s="14"/>
      <c r="CD654" s="14"/>
      <c r="CE654" s="14"/>
      <c r="CF654" s="14"/>
      <c r="CG654" s="14"/>
      <c r="CH654" s="14"/>
      <c r="CI654" s="14"/>
      <c r="CJ654" s="14"/>
      <c r="CK654" s="14"/>
      <c r="CL654" s="14"/>
      <c r="CT654" s="14"/>
      <c r="CW654" s="3"/>
      <c r="DG654" s="4"/>
    </row>
    <row r="655" customFormat="false" ht="11.25" hidden="false" customHeight="true" outlineLevel="0" collapsed="false">
      <c r="A655" s="14"/>
      <c r="B655" s="15"/>
      <c r="C655" s="15"/>
      <c r="D655" s="14"/>
      <c r="E655" s="14"/>
      <c r="F655" s="14"/>
      <c r="G655" s="14"/>
      <c r="H655" s="15"/>
      <c r="I655" s="15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  <c r="AU655" s="14"/>
      <c r="AV655" s="14"/>
      <c r="AW655" s="14"/>
      <c r="AX655" s="14"/>
      <c r="AY655" s="14"/>
      <c r="AZ655" s="14"/>
      <c r="BA655" s="14"/>
      <c r="BB655" s="14"/>
      <c r="BC655" s="14"/>
      <c r="BD655" s="14"/>
      <c r="BE655" s="14"/>
      <c r="BF655" s="14"/>
      <c r="BG655" s="14"/>
      <c r="BH655" s="14"/>
      <c r="BI655" s="14"/>
      <c r="BJ655" s="14"/>
      <c r="BK655" s="14"/>
      <c r="BL655" s="14"/>
      <c r="BM655" s="14"/>
      <c r="BN655" s="14"/>
      <c r="BO655" s="14"/>
      <c r="BP655" s="14"/>
      <c r="BQ655" s="14"/>
      <c r="BR655" s="14"/>
      <c r="BS655" s="14"/>
      <c r="BT655" s="14"/>
      <c r="BU655" s="14"/>
      <c r="BV655" s="14"/>
      <c r="BW655" s="14"/>
      <c r="BX655" s="14"/>
      <c r="BY655" s="14"/>
      <c r="BZ655" s="14"/>
      <c r="CA655" s="14"/>
      <c r="CB655" s="14"/>
      <c r="CC655" s="14"/>
      <c r="CD655" s="14"/>
      <c r="CE655" s="14"/>
      <c r="CF655" s="14"/>
      <c r="CG655" s="14"/>
      <c r="CH655" s="14"/>
      <c r="CI655" s="14"/>
      <c r="CJ655" s="14"/>
      <c r="CK655" s="14"/>
      <c r="CL655" s="14"/>
      <c r="CT655" s="14"/>
      <c r="CW655" s="3"/>
      <c r="DG655" s="4"/>
    </row>
    <row r="656" customFormat="false" ht="11.25" hidden="false" customHeight="true" outlineLevel="0" collapsed="false">
      <c r="A656" s="14"/>
      <c r="B656" s="15"/>
      <c r="C656" s="15"/>
      <c r="D656" s="14"/>
      <c r="E656" s="14"/>
      <c r="F656" s="14"/>
      <c r="G656" s="14"/>
      <c r="H656" s="15"/>
      <c r="I656" s="15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4"/>
      <c r="AR656" s="14"/>
      <c r="AS656" s="14"/>
      <c r="AT656" s="14"/>
      <c r="AU656" s="14"/>
      <c r="AV656" s="14"/>
      <c r="AW656" s="14"/>
      <c r="AX656" s="14"/>
      <c r="AY656" s="14"/>
      <c r="AZ656" s="14"/>
      <c r="BA656" s="14"/>
      <c r="BB656" s="14"/>
      <c r="BC656" s="14"/>
      <c r="BD656" s="14"/>
      <c r="BE656" s="14"/>
      <c r="BF656" s="14"/>
      <c r="BG656" s="14"/>
      <c r="BH656" s="14"/>
      <c r="BI656" s="14"/>
      <c r="BJ656" s="14"/>
      <c r="BK656" s="14"/>
      <c r="BL656" s="14"/>
      <c r="BM656" s="14"/>
      <c r="BN656" s="14"/>
      <c r="BO656" s="14"/>
      <c r="BP656" s="14"/>
      <c r="BQ656" s="14"/>
      <c r="BR656" s="14"/>
      <c r="BS656" s="14"/>
      <c r="BT656" s="14"/>
      <c r="BU656" s="14"/>
      <c r="BV656" s="14"/>
      <c r="BW656" s="14"/>
      <c r="BX656" s="14"/>
      <c r="BY656" s="14"/>
      <c r="BZ656" s="14"/>
      <c r="CA656" s="14"/>
      <c r="CB656" s="14"/>
      <c r="CC656" s="14"/>
      <c r="CD656" s="14"/>
      <c r="CE656" s="14"/>
      <c r="CF656" s="14"/>
      <c r="CG656" s="14"/>
      <c r="CH656" s="14"/>
      <c r="CI656" s="14"/>
      <c r="CJ656" s="14"/>
      <c r="CK656" s="14"/>
      <c r="CL656" s="14"/>
      <c r="CT656" s="14"/>
      <c r="CW656" s="3"/>
      <c r="DG656" s="4"/>
    </row>
    <row r="657" customFormat="false" ht="11.25" hidden="false" customHeight="true" outlineLevel="0" collapsed="false">
      <c r="A657" s="14"/>
      <c r="B657" s="15"/>
      <c r="C657" s="15"/>
      <c r="D657" s="14"/>
      <c r="E657" s="14"/>
      <c r="F657" s="14"/>
      <c r="G657" s="14"/>
      <c r="H657" s="15"/>
      <c r="I657" s="15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  <c r="AU657" s="14"/>
      <c r="AV657" s="14"/>
      <c r="AW657" s="14"/>
      <c r="AX657" s="14"/>
      <c r="AY657" s="14"/>
      <c r="AZ657" s="14"/>
      <c r="BA657" s="14"/>
      <c r="BB657" s="14"/>
      <c r="BC657" s="14"/>
      <c r="BD657" s="14"/>
      <c r="BE657" s="14"/>
      <c r="BF657" s="14"/>
      <c r="BG657" s="14"/>
      <c r="BH657" s="14"/>
      <c r="BI657" s="14"/>
      <c r="BJ657" s="14"/>
      <c r="BK657" s="14"/>
      <c r="BL657" s="14"/>
      <c r="BM657" s="14"/>
      <c r="BN657" s="14"/>
      <c r="BO657" s="14"/>
      <c r="BP657" s="14"/>
      <c r="BQ657" s="14"/>
      <c r="BR657" s="14"/>
      <c r="BS657" s="14"/>
      <c r="BT657" s="14"/>
      <c r="BU657" s="14"/>
      <c r="BV657" s="14"/>
      <c r="BW657" s="14"/>
      <c r="BX657" s="14"/>
      <c r="BY657" s="14"/>
      <c r="BZ657" s="14"/>
      <c r="CA657" s="14"/>
      <c r="CB657" s="14"/>
      <c r="CC657" s="14"/>
      <c r="CD657" s="14"/>
      <c r="CE657" s="14"/>
      <c r="CF657" s="14"/>
      <c r="CG657" s="14"/>
      <c r="CH657" s="14"/>
      <c r="CI657" s="14"/>
      <c r="CJ657" s="14"/>
      <c r="CK657" s="14"/>
      <c r="CL657" s="14"/>
      <c r="CT657" s="14"/>
      <c r="CW657" s="3"/>
      <c r="DG657" s="4"/>
    </row>
    <row r="658" customFormat="false" ht="11.25" hidden="false" customHeight="true" outlineLevel="0" collapsed="false">
      <c r="A658" s="14"/>
      <c r="B658" s="15"/>
      <c r="C658" s="15"/>
      <c r="D658" s="14"/>
      <c r="E658" s="14"/>
      <c r="F658" s="14"/>
      <c r="G658" s="14"/>
      <c r="H658" s="15"/>
      <c r="I658" s="15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  <c r="AW658" s="14"/>
      <c r="AX658" s="14"/>
      <c r="AY658" s="14"/>
      <c r="AZ658" s="14"/>
      <c r="BA658" s="14"/>
      <c r="BB658" s="14"/>
      <c r="BC658" s="14"/>
      <c r="BD658" s="14"/>
      <c r="BE658" s="14"/>
      <c r="BF658" s="14"/>
      <c r="BG658" s="14"/>
      <c r="BH658" s="14"/>
      <c r="BI658" s="14"/>
      <c r="BJ658" s="14"/>
      <c r="BK658" s="14"/>
      <c r="BL658" s="14"/>
      <c r="BM658" s="14"/>
      <c r="BN658" s="14"/>
      <c r="BO658" s="14"/>
      <c r="BP658" s="14"/>
      <c r="BQ658" s="14"/>
      <c r="BR658" s="14"/>
      <c r="BS658" s="14"/>
      <c r="BT658" s="14"/>
      <c r="BU658" s="14"/>
      <c r="BV658" s="14"/>
      <c r="BW658" s="14"/>
      <c r="BX658" s="14"/>
      <c r="BY658" s="14"/>
      <c r="BZ658" s="14"/>
      <c r="CA658" s="14"/>
      <c r="CB658" s="14"/>
      <c r="CC658" s="14"/>
      <c r="CD658" s="14"/>
      <c r="CE658" s="14"/>
      <c r="CF658" s="14"/>
      <c r="CG658" s="14"/>
      <c r="CH658" s="14"/>
      <c r="CI658" s="14"/>
      <c r="CJ658" s="14"/>
      <c r="CK658" s="14"/>
      <c r="CL658" s="14"/>
      <c r="CT658" s="14"/>
      <c r="CW658" s="3"/>
      <c r="DG658" s="4"/>
    </row>
    <row r="659" customFormat="false" ht="11.25" hidden="false" customHeight="true" outlineLevel="0" collapsed="false">
      <c r="A659" s="14"/>
      <c r="B659" s="15"/>
      <c r="C659" s="15"/>
      <c r="D659" s="14"/>
      <c r="E659" s="14"/>
      <c r="F659" s="14"/>
      <c r="G659" s="14"/>
      <c r="H659" s="15"/>
      <c r="I659" s="15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4"/>
      <c r="AX659" s="14"/>
      <c r="AY659" s="14"/>
      <c r="AZ659" s="14"/>
      <c r="BA659" s="14"/>
      <c r="BB659" s="14"/>
      <c r="BC659" s="14"/>
      <c r="BD659" s="14"/>
      <c r="BE659" s="14"/>
      <c r="BF659" s="14"/>
      <c r="BG659" s="14"/>
      <c r="BH659" s="14"/>
      <c r="BI659" s="14"/>
      <c r="BJ659" s="14"/>
      <c r="BK659" s="14"/>
      <c r="BL659" s="14"/>
      <c r="BM659" s="14"/>
      <c r="BN659" s="14"/>
      <c r="BO659" s="14"/>
      <c r="BP659" s="14"/>
      <c r="BQ659" s="14"/>
      <c r="BR659" s="14"/>
      <c r="BS659" s="14"/>
      <c r="BT659" s="14"/>
      <c r="BU659" s="14"/>
      <c r="BV659" s="14"/>
      <c r="BW659" s="14"/>
      <c r="BX659" s="14"/>
      <c r="BY659" s="14"/>
      <c r="BZ659" s="14"/>
      <c r="CA659" s="14"/>
      <c r="CB659" s="14"/>
      <c r="CC659" s="14"/>
      <c r="CD659" s="14"/>
      <c r="CE659" s="14"/>
      <c r="CF659" s="14"/>
      <c r="CG659" s="14"/>
      <c r="CH659" s="14"/>
      <c r="CI659" s="14"/>
      <c r="CJ659" s="14"/>
      <c r="CK659" s="14"/>
      <c r="CL659" s="14"/>
      <c r="CT659" s="14"/>
      <c r="CW659" s="3"/>
      <c r="DG659" s="4"/>
    </row>
    <row r="660" customFormat="false" ht="11.25" hidden="false" customHeight="true" outlineLevel="0" collapsed="false">
      <c r="A660" s="14"/>
      <c r="B660" s="15"/>
      <c r="C660" s="15"/>
      <c r="D660" s="14"/>
      <c r="E660" s="14"/>
      <c r="F660" s="14"/>
      <c r="G660" s="14"/>
      <c r="H660" s="15"/>
      <c r="I660" s="15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  <c r="AW660" s="14"/>
      <c r="AX660" s="14"/>
      <c r="AY660" s="14"/>
      <c r="AZ660" s="14"/>
      <c r="BA660" s="14"/>
      <c r="BB660" s="14"/>
      <c r="BC660" s="14"/>
      <c r="BD660" s="14"/>
      <c r="BE660" s="14"/>
      <c r="BF660" s="14"/>
      <c r="BG660" s="14"/>
      <c r="BH660" s="14"/>
      <c r="BI660" s="14"/>
      <c r="BJ660" s="14"/>
      <c r="BK660" s="14"/>
      <c r="BL660" s="14"/>
      <c r="BM660" s="14"/>
      <c r="BN660" s="14"/>
      <c r="BO660" s="14"/>
      <c r="BP660" s="14"/>
      <c r="BQ660" s="14"/>
      <c r="BR660" s="14"/>
      <c r="BS660" s="14"/>
      <c r="BT660" s="14"/>
      <c r="BU660" s="14"/>
      <c r="BV660" s="14"/>
      <c r="BW660" s="14"/>
      <c r="BX660" s="14"/>
      <c r="BY660" s="14"/>
      <c r="BZ660" s="14"/>
      <c r="CA660" s="14"/>
      <c r="CB660" s="14"/>
      <c r="CC660" s="14"/>
      <c r="CD660" s="14"/>
      <c r="CE660" s="14"/>
      <c r="CF660" s="14"/>
      <c r="CG660" s="14"/>
      <c r="CH660" s="14"/>
      <c r="CI660" s="14"/>
      <c r="CJ660" s="14"/>
      <c r="CK660" s="14"/>
      <c r="CL660" s="14"/>
      <c r="CT660" s="14"/>
      <c r="CW660" s="3"/>
      <c r="DG660" s="4"/>
    </row>
    <row r="661" customFormat="false" ht="11.25" hidden="false" customHeight="true" outlineLevel="0" collapsed="false">
      <c r="A661" s="14"/>
      <c r="B661" s="15"/>
      <c r="C661" s="15"/>
      <c r="D661" s="14"/>
      <c r="E661" s="14"/>
      <c r="F661" s="14"/>
      <c r="G661" s="14"/>
      <c r="H661" s="15"/>
      <c r="I661" s="15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  <c r="AW661" s="14"/>
      <c r="AX661" s="14"/>
      <c r="AY661" s="14"/>
      <c r="AZ661" s="14"/>
      <c r="BA661" s="14"/>
      <c r="BB661" s="14"/>
      <c r="BC661" s="14"/>
      <c r="BD661" s="14"/>
      <c r="BE661" s="14"/>
      <c r="BF661" s="14"/>
      <c r="BG661" s="14"/>
      <c r="BH661" s="14"/>
      <c r="BI661" s="14"/>
      <c r="BJ661" s="14"/>
      <c r="BK661" s="14"/>
      <c r="BL661" s="14"/>
      <c r="BM661" s="14"/>
      <c r="BN661" s="14"/>
      <c r="BO661" s="14"/>
      <c r="BP661" s="14"/>
      <c r="BQ661" s="14"/>
      <c r="BR661" s="14"/>
      <c r="BS661" s="14"/>
      <c r="BT661" s="14"/>
      <c r="BU661" s="14"/>
      <c r="BV661" s="14"/>
      <c r="BW661" s="14"/>
      <c r="BX661" s="14"/>
      <c r="BY661" s="14"/>
      <c r="BZ661" s="14"/>
      <c r="CA661" s="14"/>
      <c r="CB661" s="14"/>
      <c r="CC661" s="14"/>
      <c r="CD661" s="14"/>
      <c r="CE661" s="14"/>
      <c r="CF661" s="14"/>
      <c r="CG661" s="14"/>
      <c r="CH661" s="14"/>
      <c r="CI661" s="14"/>
      <c r="CJ661" s="14"/>
      <c r="CK661" s="14"/>
      <c r="CL661" s="14"/>
      <c r="CT661" s="14"/>
      <c r="CW661" s="3"/>
      <c r="DG661" s="4"/>
    </row>
    <row r="662" customFormat="false" ht="11.25" hidden="false" customHeight="true" outlineLevel="0" collapsed="false">
      <c r="A662" s="14"/>
      <c r="B662" s="15"/>
      <c r="C662" s="15"/>
      <c r="D662" s="14"/>
      <c r="E662" s="14"/>
      <c r="F662" s="14"/>
      <c r="G662" s="14"/>
      <c r="H662" s="15"/>
      <c r="I662" s="15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14"/>
      <c r="AV662" s="14"/>
      <c r="AW662" s="14"/>
      <c r="AX662" s="14"/>
      <c r="AY662" s="14"/>
      <c r="AZ662" s="14"/>
      <c r="BA662" s="14"/>
      <c r="BB662" s="14"/>
      <c r="BC662" s="14"/>
      <c r="BD662" s="14"/>
      <c r="BE662" s="14"/>
      <c r="BF662" s="14"/>
      <c r="BG662" s="14"/>
      <c r="BH662" s="14"/>
      <c r="BI662" s="14"/>
      <c r="BJ662" s="14"/>
      <c r="BK662" s="14"/>
      <c r="BL662" s="14"/>
      <c r="BM662" s="14"/>
      <c r="BN662" s="14"/>
      <c r="BO662" s="14"/>
      <c r="BP662" s="14"/>
      <c r="BQ662" s="14"/>
      <c r="BR662" s="14"/>
      <c r="BS662" s="14"/>
      <c r="BT662" s="14"/>
      <c r="BU662" s="14"/>
      <c r="BV662" s="14"/>
      <c r="BW662" s="14"/>
      <c r="BX662" s="14"/>
      <c r="BY662" s="14"/>
      <c r="BZ662" s="14"/>
      <c r="CA662" s="14"/>
      <c r="CB662" s="14"/>
      <c r="CC662" s="14"/>
      <c r="CD662" s="14"/>
      <c r="CE662" s="14"/>
      <c r="CF662" s="14"/>
      <c r="CG662" s="14"/>
      <c r="CH662" s="14"/>
      <c r="CI662" s="14"/>
      <c r="CJ662" s="14"/>
      <c r="CK662" s="14"/>
      <c r="CL662" s="14"/>
      <c r="CT662" s="14"/>
      <c r="CW662" s="3"/>
      <c r="DG662" s="4"/>
    </row>
    <row r="663" customFormat="false" ht="11.25" hidden="false" customHeight="true" outlineLevel="0" collapsed="false">
      <c r="A663" s="14"/>
      <c r="B663" s="15"/>
      <c r="C663" s="15"/>
      <c r="D663" s="14"/>
      <c r="E663" s="14"/>
      <c r="F663" s="14"/>
      <c r="G663" s="14"/>
      <c r="H663" s="15"/>
      <c r="I663" s="15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14"/>
      <c r="AV663" s="14"/>
      <c r="AW663" s="14"/>
      <c r="AX663" s="14"/>
      <c r="AY663" s="14"/>
      <c r="AZ663" s="14"/>
      <c r="BA663" s="14"/>
      <c r="BB663" s="14"/>
      <c r="BC663" s="14"/>
      <c r="BD663" s="14"/>
      <c r="BE663" s="14"/>
      <c r="BF663" s="14"/>
      <c r="BG663" s="14"/>
      <c r="BH663" s="14"/>
      <c r="BI663" s="14"/>
      <c r="BJ663" s="14"/>
      <c r="BK663" s="14"/>
      <c r="BL663" s="14"/>
      <c r="BM663" s="14"/>
      <c r="BN663" s="14"/>
      <c r="BO663" s="14"/>
      <c r="BP663" s="14"/>
      <c r="BQ663" s="14"/>
      <c r="BR663" s="14"/>
      <c r="BS663" s="14"/>
      <c r="BT663" s="14"/>
      <c r="BU663" s="14"/>
      <c r="BV663" s="14"/>
      <c r="BW663" s="14"/>
      <c r="BX663" s="14"/>
      <c r="BY663" s="14"/>
      <c r="BZ663" s="14"/>
      <c r="CA663" s="14"/>
      <c r="CB663" s="14"/>
      <c r="CC663" s="14"/>
      <c r="CD663" s="14"/>
      <c r="CE663" s="14"/>
      <c r="CF663" s="14"/>
      <c r="CG663" s="14"/>
      <c r="CH663" s="14"/>
      <c r="CI663" s="14"/>
      <c r="CJ663" s="14"/>
      <c r="CK663" s="14"/>
      <c r="CL663" s="14"/>
      <c r="CT663" s="14"/>
      <c r="CW663" s="3"/>
      <c r="DG663" s="4"/>
    </row>
    <row r="664" customFormat="false" ht="11.25" hidden="false" customHeight="true" outlineLevel="0" collapsed="false">
      <c r="A664" s="14"/>
      <c r="B664" s="15"/>
      <c r="C664" s="15"/>
      <c r="D664" s="14"/>
      <c r="E664" s="14"/>
      <c r="F664" s="14"/>
      <c r="G664" s="14"/>
      <c r="H664" s="15"/>
      <c r="I664" s="15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  <c r="AU664" s="14"/>
      <c r="AV664" s="14"/>
      <c r="AW664" s="14"/>
      <c r="AX664" s="14"/>
      <c r="AY664" s="14"/>
      <c r="AZ664" s="14"/>
      <c r="BA664" s="14"/>
      <c r="BB664" s="14"/>
      <c r="BC664" s="14"/>
      <c r="BD664" s="14"/>
      <c r="BE664" s="14"/>
      <c r="BF664" s="14"/>
      <c r="BG664" s="14"/>
      <c r="BH664" s="14"/>
      <c r="BI664" s="14"/>
      <c r="BJ664" s="14"/>
      <c r="BK664" s="14"/>
      <c r="BL664" s="14"/>
      <c r="BM664" s="14"/>
      <c r="BN664" s="14"/>
      <c r="BO664" s="14"/>
      <c r="BP664" s="14"/>
      <c r="BQ664" s="14"/>
      <c r="BR664" s="14"/>
      <c r="BS664" s="14"/>
      <c r="BT664" s="14"/>
      <c r="BU664" s="14"/>
      <c r="BV664" s="14"/>
      <c r="BW664" s="14"/>
      <c r="BX664" s="14"/>
      <c r="BY664" s="14"/>
      <c r="BZ664" s="14"/>
      <c r="CA664" s="14"/>
      <c r="CB664" s="14"/>
      <c r="CC664" s="14"/>
      <c r="CD664" s="14"/>
      <c r="CE664" s="14"/>
      <c r="CF664" s="14"/>
      <c r="CG664" s="14"/>
      <c r="CH664" s="14"/>
      <c r="CI664" s="14"/>
      <c r="CJ664" s="14"/>
      <c r="CK664" s="14"/>
      <c r="CL664" s="14"/>
      <c r="CT664" s="14"/>
      <c r="CW664" s="3"/>
      <c r="DG664" s="4"/>
    </row>
    <row r="665" customFormat="false" ht="11.25" hidden="false" customHeight="true" outlineLevel="0" collapsed="false">
      <c r="A665" s="14"/>
      <c r="B665" s="15"/>
      <c r="C665" s="15"/>
      <c r="D665" s="14"/>
      <c r="E665" s="14"/>
      <c r="F665" s="14"/>
      <c r="G665" s="14"/>
      <c r="H665" s="15"/>
      <c r="I665" s="15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  <c r="AW665" s="14"/>
      <c r="AX665" s="14"/>
      <c r="AY665" s="14"/>
      <c r="AZ665" s="14"/>
      <c r="BA665" s="14"/>
      <c r="BB665" s="14"/>
      <c r="BC665" s="14"/>
      <c r="BD665" s="14"/>
      <c r="BE665" s="14"/>
      <c r="BF665" s="14"/>
      <c r="BG665" s="14"/>
      <c r="BH665" s="14"/>
      <c r="BI665" s="14"/>
      <c r="BJ665" s="14"/>
      <c r="BK665" s="14"/>
      <c r="BL665" s="14"/>
      <c r="BM665" s="14"/>
      <c r="BN665" s="14"/>
      <c r="BO665" s="14"/>
      <c r="BP665" s="14"/>
      <c r="BQ665" s="14"/>
      <c r="BR665" s="14"/>
      <c r="BS665" s="14"/>
      <c r="BT665" s="14"/>
      <c r="BU665" s="14"/>
      <c r="BV665" s="14"/>
      <c r="BW665" s="14"/>
      <c r="BX665" s="14"/>
      <c r="BY665" s="14"/>
      <c r="BZ665" s="14"/>
      <c r="CA665" s="14"/>
      <c r="CB665" s="14"/>
      <c r="CC665" s="14"/>
      <c r="CD665" s="14"/>
      <c r="CE665" s="14"/>
      <c r="CF665" s="14"/>
      <c r="CG665" s="14"/>
      <c r="CH665" s="14"/>
      <c r="CI665" s="14"/>
      <c r="CJ665" s="14"/>
      <c r="CK665" s="14"/>
      <c r="CL665" s="14"/>
      <c r="CT665" s="14"/>
      <c r="CW665" s="3"/>
      <c r="DG665" s="4"/>
    </row>
    <row r="666" customFormat="false" ht="11.25" hidden="false" customHeight="true" outlineLevel="0" collapsed="false">
      <c r="A666" s="14"/>
      <c r="B666" s="15"/>
      <c r="C666" s="15"/>
      <c r="D666" s="14"/>
      <c r="E666" s="14"/>
      <c r="F666" s="14"/>
      <c r="G666" s="14"/>
      <c r="H666" s="15"/>
      <c r="I666" s="15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/>
      <c r="AU666" s="14"/>
      <c r="AV666" s="14"/>
      <c r="AW666" s="14"/>
      <c r="AX666" s="14"/>
      <c r="AY666" s="14"/>
      <c r="AZ666" s="14"/>
      <c r="BA666" s="14"/>
      <c r="BB666" s="14"/>
      <c r="BC666" s="14"/>
      <c r="BD666" s="14"/>
      <c r="BE666" s="14"/>
      <c r="BF666" s="14"/>
      <c r="BG666" s="14"/>
      <c r="BH666" s="14"/>
      <c r="BI666" s="14"/>
      <c r="BJ666" s="14"/>
      <c r="BK666" s="14"/>
      <c r="BL666" s="14"/>
      <c r="BM666" s="14"/>
      <c r="BN666" s="14"/>
      <c r="BO666" s="14"/>
      <c r="BP666" s="14"/>
      <c r="BQ666" s="14"/>
      <c r="BR666" s="14"/>
      <c r="BS666" s="14"/>
      <c r="BT666" s="14"/>
      <c r="BU666" s="14"/>
      <c r="BV666" s="14"/>
      <c r="BW666" s="14"/>
      <c r="BX666" s="14"/>
      <c r="BY666" s="14"/>
      <c r="BZ666" s="14"/>
      <c r="CA666" s="14"/>
      <c r="CB666" s="14"/>
      <c r="CC666" s="14"/>
      <c r="CD666" s="14"/>
      <c r="CE666" s="14"/>
      <c r="CF666" s="14"/>
      <c r="CG666" s="14"/>
      <c r="CH666" s="14"/>
      <c r="CI666" s="14"/>
      <c r="CJ666" s="14"/>
      <c r="CK666" s="14"/>
      <c r="CL666" s="14"/>
      <c r="CT666" s="14"/>
      <c r="CW666" s="3"/>
      <c r="DG666" s="4"/>
    </row>
    <row r="667" customFormat="false" ht="11.25" hidden="false" customHeight="true" outlineLevel="0" collapsed="false">
      <c r="A667" s="14"/>
      <c r="B667" s="15"/>
      <c r="C667" s="15"/>
      <c r="D667" s="14"/>
      <c r="E667" s="14"/>
      <c r="F667" s="14"/>
      <c r="G667" s="14"/>
      <c r="H667" s="15"/>
      <c r="I667" s="15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  <c r="AW667" s="14"/>
      <c r="AX667" s="14"/>
      <c r="AY667" s="14"/>
      <c r="AZ667" s="14"/>
      <c r="BA667" s="14"/>
      <c r="BB667" s="14"/>
      <c r="BC667" s="14"/>
      <c r="BD667" s="14"/>
      <c r="BE667" s="14"/>
      <c r="BF667" s="14"/>
      <c r="BG667" s="14"/>
      <c r="BH667" s="14"/>
      <c r="BI667" s="14"/>
      <c r="BJ667" s="14"/>
      <c r="BK667" s="14"/>
      <c r="BL667" s="14"/>
      <c r="BM667" s="14"/>
      <c r="BN667" s="14"/>
      <c r="BO667" s="14"/>
      <c r="BP667" s="14"/>
      <c r="BQ667" s="14"/>
      <c r="BR667" s="14"/>
      <c r="BS667" s="14"/>
      <c r="BT667" s="14"/>
      <c r="BU667" s="14"/>
      <c r="BV667" s="14"/>
      <c r="BW667" s="14"/>
      <c r="BX667" s="14"/>
      <c r="BY667" s="14"/>
      <c r="BZ667" s="14"/>
      <c r="CA667" s="14"/>
      <c r="CB667" s="14"/>
      <c r="CC667" s="14"/>
      <c r="CD667" s="14"/>
      <c r="CE667" s="14"/>
      <c r="CF667" s="14"/>
      <c r="CG667" s="14"/>
      <c r="CH667" s="14"/>
      <c r="CI667" s="14"/>
      <c r="CJ667" s="14"/>
      <c r="CK667" s="14"/>
      <c r="CL667" s="14"/>
      <c r="CT667" s="14"/>
      <c r="CW667" s="3"/>
      <c r="DG667" s="4"/>
    </row>
    <row r="668" customFormat="false" ht="11.25" hidden="false" customHeight="true" outlineLevel="0" collapsed="false">
      <c r="A668" s="14"/>
      <c r="B668" s="15"/>
      <c r="C668" s="15"/>
      <c r="D668" s="14"/>
      <c r="E668" s="14"/>
      <c r="F668" s="14"/>
      <c r="G668" s="14"/>
      <c r="H668" s="15"/>
      <c r="I668" s="15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  <c r="AR668" s="14"/>
      <c r="AS668" s="14"/>
      <c r="AT668" s="14"/>
      <c r="AU668" s="14"/>
      <c r="AV668" s="14"/>
      <c r="AW668" s="14"/>
      <c r="AX668" s="14"/>
      <c r="AY668" s="14"/>
      <c r="AZ668" s="14"/>
      <c r="BA668" s="14"/>
      <c r="BB668" s="14"/>
      <c r="BC668" s="14"/>
      <c r="BD668" s="14"/>
      <c r="BE668" s="14"/>
      <c r="BF668" s="14"/>
      <c r="BG668" s="14"/>
      <c r="BH668" s="14"/>
      <c r="BI668" s="14"/>
      <c r="BJ668" s="14"/>
      <c r="BK668" s="14"/>
      <c r="BL668" s="14"/>
      <c r="BM668" s="14"/>
      <c r="BN668" s="14"/>
      <c r="BO668" s="14"/>
      <c r="BP668" s="14"/>
      <c r="BQ668" s="14"/>
      <c r="BR668" s="14"/>
      <c r="BS668" s="14"/>
      <c r="BT668" s="14"/>
      <c r="BU668" s="14"/>
      <c r="BV668" s="14"/>
      <c r="BW668" s="14"/>
      <c r="BX668" s="14"/>
      <c r="BY668" s="14"/>
      <c r="BZ668" s="14"/>
      <c r="CA668" s="14"/>
      <c r="CB668" s="14"/>
      <c r="CC668" s="14"/>
      <c r="CD668" s="14"/>
      <c r="CE668" s="14"/>
      <c r="CF668" s="14"/>
      <c r="CG668" s="14"/>
      <c r="CH668" s="14"/>
      <c r="CI668" s="14"/>
      <c r="CJ668" s="14"/>
      <c r="CK668" s="14"/>
      <c r="CL668" s="14"/>
      <c r="CT668" s="14"/>
      <c r="CW668" s="3"/>
      <c r="DG668" s="4"/>
    </row>
    <row r="669" customFormat="false" ht="11.25" hidden="false" customHeight="true" outlineLevel="0" collapsed="false">
      <c r="A669" s="14"/>
      <c r="B669" s="15"/>
      <c r="C669" s="15"/>
      <c r="D669" s="14"/>
      <c r="E669" s="14"/>
      <c r="F669" s="14"/>
      <c r="G669" s="14"/>
      <c r="H669" s="15"/>
      <c r="I669" s="15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  <c r="AW669" s="14"/>
      <c r="AX669" s="14"/>
      <c r="AY669" s="14"/>
      <c r="AZ669" s="14"/>
      <c r="BA669" s="14"/>
      <c r="BB669" s="14"/>
      <c r="BC669" s="14"/>
      <c r="BD669" s="14"/>
      <c r="BE669" s="14"/>
      <c r="BF669" s="14"/>
      <c r="BG669" s="14"/>
      <c r="BH669" s="14"/>
      <c r="BI669" s="14"/>
      <c r="BJ669" s="14"/>
      <c r="BK669" s="14"/>
      <c r="BL669" s="14"/>
      <c r="BM669" s="14"/>
      <c r="BN669" s="14"/>
      <c r="BO669" s="14"/>
      <c r="BP669" s="14"/>
      <c r="BQ669" s="14"/>
      <c r="BR669" s="14"/>
      <c r="BS669" s="14"/>
      <c r="BT669" s="14"/>
      <c r="BU669" s="14"/>
      <c r="BV669" s="14"/>
      <c r="BW669" s="14"/>
      <c r="BX669" s="14"/>
      <c r="BY669" s="14"/>
      <c r="BZ669" s="14"/>
      <c r="CA669" s="14"/>
      <c r="CB669" s="14"/>
      <c r="CC669" s="14"/>
      <c r="CD669" s="14"/>
      <c r="CE669" s="14"/>
      <c r="CF669" s="14"/>
      <c r="CG669" s="14"/>
      <c r="CH669" s="14"/>
      <c r="CI669" s="14"/>
      <c r="CJ669" s="14"/>
      <c r="CK669" s="14"/>
      <c r="CL669" s="14"/>
      <c r="CT669" s="14"/>
      <c r="CW669" s="3"/>
      <c r="DG669" s="4"/>
    </row>
    <row r="670" customFormat="false" ht="11.25" hidden="false" customHeight="true" outlineLevel="0" collapsed="false">
      <c r="A670" s="14"/>
      <c r="B670" s="15"/>
      <c r="C670" s="15"/>
      <c r="D670" s="14"/>
      <c r="E670" s="14"/>
      <c r="F670" s="14"/>
      <c r="G670" s="14"/>
      <c r="H670" s="15"/>
      <c r="I670" s="15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  <c r="AR670" s="14"/>
      <c r="AS670" s="14"/>
      <c r="AT670" s="14"/>
      <c r="AU670" s="14"/>
      <c r="AV670" s="14"/>
      <c r="AW670" s="14"/>
      <c r="AX670" s="14"/>
      <c r="AY670" s="14"/>
      <c r="AZ670" s="14"/>
      <c r="BA670" s="14"/>
      <c r="BB670" s="14"/>
      <c r="BC670" s="14"/>
      <c r="BD670" s="14"/>
      <c r="BE670" s="14"/>
      <c r="BF670" s="14"/>
      <c r="BG670" s="14"/>
      <c r="BH670" s="14"/>
      <c r="BI670" s="14"/>
      <c r="BJ670" s="14"/>
      <c r="BK670" s="14"/>
      <c r="BL670" s="14"/>
      <c r="BM670" s="14"/>
      <c r="BN670" s="14"/>
      <c r="BO670" s="14"/>
      <c r="BP670" s="14"/>
      <c r="BQ670" s="14"/>
      <c r="BR670" s="14"/>
      <c r="BS670" s="14"/>
      <c r="BT670" s="14"/>
      <c r="BU670" s="14"/>
      <c r="BV670" s="14"/>
      <c r="BW670" s="14"/>
      <c r="BX670" s="14"/>
      <c r="BY670" s="14"/>
      <c r="BZ670" s="14"/>
      <c r="CA670" s="14"/>
      <c r="CB670" s="14"/>
      <c r="CC670" s="14"/>
      <c r="CD670" s="14"/>
      <c r="CE670" s="14"/>
      <c r="CF670" s="14"/>
      <c r="CG670" s="14"/>
      <c r="CH670" s="14"/>
      <c r="CI670" s="14"/>
      <c r="CJ670" s="14"/>
      <c r="CK670" s="14"/>
      <c r="CL670" s="14"/>
      <c r="CT670" s="14"/>
      <c r="CW670" s="3"/>
      <c r="DG670" s="4"/>
    </row>
    <row r="671" customFormat="false" ht="11.25" hidden="false" customHeight="true" outlineLevel="0" collapsed="false">
      <c r="A671" s="14"/>
      <c r="B671" s="15"/>
      <c r="C671" s="15"/>
      <c r="D671" s="14"/>
      <c r="E671" s="14"/>
      <c r="F671" s="14"/>
      <c r="G671" s="14"/>
      <c r="H671" s="15"/>
      <c r="I671" s="15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/>
      <c r="AW671" s="14"/>
      <c r="AX671" s="14"/>
      <c r="AY671" s="14"/>
      <c r="AZ671" s="14"/>
      <c r="BA671" s="14"/>
      <c r="BB671" s="14"/>
      <c r="BC671" s="14"/>
      <c r="BD671" s="14"/>
      <c r="BE671" s="14"/>
      <c r="BF671" s="14"/>
      <c r="BG671" s="14"/>
      <c r="BH671" s="14"/>
      <c r="BI671" s="14"/>
      <c r="BJ671" s="14"/>
      <c r="BK671" s="14"/>
      <c r="BL671" s="14"/>
      <c r="BM671" s="14"/>
      <c r="BN671" s="14"/>
      <c r="BO671" s="14"/>
      <c r="BP671" s="14"/>
      <c r="BQ671" s="14"/>
      <c r="BR671" s="14"/>
      <c r="BS671" s="14"/>
      <c r="BT671" s="14"/>
      <c r="BU671" s="14"/>
      <c r="BV671" s="14"/>
      <c r="BW671" s="14"/>
      <c r="BX671" s="14"/>
      <c r="BY671" s="14"/>
      <c r="BZ671" s="14"/>
      <c r="CA671" s="14"/>
      <c r="CB671" s="14"/>
      <c r="CC671" s="14"/>
      <c r="CD671" s="14"/>
      <c r="CE671" s="14"/>
      <c r="CF671" s="14"/>
      <c r="CG671" s="14"/>
      <c r="CH671" s="14"/>
      <c r="CI671" s="14"/>
      <c r="CJ671" s="14"/>
      <c r="CK671" s="14"/>
      <c r="CL671" s="14"/>
      <c r="CT671" s="14"/>
      <c r="CW671" s="3"/>
      <c r="DG671" s="4"/>
    </row>
    <row r="672" customFormat="false" ht="11.25" hidden="false" customHeight="true" outlineLevel="0" collapsed="false">
      <c r="A672" s="14"/>
      <c r="B672" s="15"/>
      <c r="C672" s="15"/>
      <c r="D672" s="14"/>
      <c r="E672" s="14"/>
      <c r="F672" s="14"/>
      <c r="G672" s="14"/>
      <c r="H672" s="15"/>
      <c r="I672" s="15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/>
      <c r="AU672" s="14"/>
      <c r="AV672" s="14"/>
      <c r="AW672" s="14"/>
      <c r="AX672" s="14"/>
      <c r="AY672" s="14"/>
      <c r="AZ672" s="14"/>
      <c r="BA672" s="14"/>
      <c r="BB672" s="14"/>
      <c r="BC672" s="14"/>
      <c r="BD672" s="14"/>
      <c r="BE672" s="14"/>
      <c r="BF672" s="14"/>
      <c r="BG672" s="14"/>
      <c r="BH672" s="14"/>
      <c r="BI672" s="14"/>
      <c r="BJ672" s="14"/>
      <c r="BK672" s="14"/>
      <c r="BL672" s="14"/>
      <c r="BM672" s="14"/>
      <c r="BN672" s="14"/>
      <c r="BO672" s="14"/>
      <c r="BP672" s="14"/>
      <c r="BQ672" s="14"/>
      <c r="BR672" s="14"/>
      <c r="BS672" s="14"/>
      <c r="BT672" s="14"/>
      <c r="BU672" s="14"/>
      <c r="BV672" s="14"/>
      <c r="BW672" s="14"/>
      <c r="BX672" s="14"/>
      <c r="BY672" s="14"/>
      <c r="BZ672" s="14"/>
      <c r="CA672" s="14"/>
      <c r="CB672" s="14"/>
      <c r="CC672" s="14"/>
      <c r="CD672" s="14"/>
      <c r="CE672" s="14"/>
      <c r="CF672" s="14"/>
      <c r="CG672" s="14"/>
      <c r="CH672" s="14"/>
      <c r="CI672" s="14"/>
      <c r="CJ672" s="14"/>
      <c r="CK672" s="14"/>
      <c r="CL672" s="14"/>
      <c r="CT672" s="14"/>
      <c r="CW672" s="3"/>
      <c r="DG672" s="4"/>
    </row>
    <row r="673" customFormat="false" ht="11.25" hidden="false" customHeight="true" outlineLevel="0" collapsed="false">
      <c r="A673" s="14"/>
      <c r="B673" s="15"/>
      <c r="C673" s="15"/>
      <c r="D673" s="14"/>
      <c r="E673" s="14"/>
      <c r="F673" s="14"/>
      <c r="G673" s="14"/>
      <c r="H673" s="15"/>
      <c r="I673" s="15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4"/>
      <c r="AX673" s="14"/>
      <c r="AY673" s="14"/>
      <c r="AZ673" s="14"/>
      <c r="BA673" s="14"/>
      <c r="BB673" s="14"/>
      <c r="BC673" s="14"/>
      <c r="BD673" s="14"/>
      <c r="BE673" s="14"/>
      <c r="BF673" s="14"/>
      <c r="BG673" s="14"/>
      <c r="BH673" s="14"/>
      <c r="BI673" s="14"/>
      <c r="BJ673" s="14"/>
      <c r="BK673" s="14"/>
      <c r="BL673" s="14"/>
      <c r="BM673" s="14"/>
      <c r="BN673" s="14"/>
      <c r="BO673" s="14"/>
      <c r="BP673" s="14"/>
      <c r="BQ673" s="14"/>
      <c r="BR673" s="14"/>
      <c r="BS673" s="14"/>
      <c r="BT673" s="14"/>
      <c r="BU673" s="14"/>
      <c r="BV673" s="14"/>
      <c r="BW673" s="14"/>
      <c r="BX673" s="14"/>
      <c r="BY673" s="14"/>
      <c r="BZ673" s="14"/>
      <c r="CA673" s="14"/>
      <c r="CB673" s="14"/>
      <c r="CC673" s="14"/>
      <c r="CD673" s="14"/>
      <c r="CE673" s="14"/>
      <c r="CF673" s="14"/>
      <c r="CG673" s="14"/>
      <c r="CH673" s="14"/>
      <c r="CI673" s="14"/>
      <c r="CJ673" s="14"/>
      <c r="CK673" s="14"/>
      <c r="CL673" s="14"/>
      <c r="CT673" s="14"/>
      <c r="CW673" s="3"/>
      <c r="DG673" s="4"/>
    </row>
    <row r="674" customFormat="false" ht="11.25" hidden="false" customHeight="true" outlineLevel="0" collapsed="false">
      <c r="A674" s="14"/>
      <c r="B674" s="15"/>
      <c r="C674" s="15"/>
      <c r="D674" s="14"/>
      <c r="E674" s="14"/>
      <c r="F674" s="14"/>
      <c r="G674" s="14"/>
      <c r="H674" s="15"/>
      <c r="I674" s="15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  <c r="AU674" s="14"/>
      <c r="AV674" s="14"/>
      <c r="AW674" s="14"/>
      <c r="AX674" s="14"/>
      <c r="AY674" s="14"/>
      <c r="AZ674" s="14"/>
      <c r="BA674" s="14"/>
      <c r="BB674" s="14"/>
      <c r="BC674" s="14"/>
      <c r="BD674" s="14"/>
      <c r="BE674" s="14"/>
      <c r="BF674" s="14"/>
      <c r="BG674" s="14"/>
      <c r="BH674" s="14"/>
      <c r="BI674" s="14"/>
      <c r="BJ674" s="14"/>
      <c r="BK674" s="14"/>
      <c r="BL674" s="14"/>
      <c r="BM674" s="14"/>
      <c r="BN674" s="14"/>
      <c r="BO674" s="14"/>
      <c r="BP674" s="14"/>
      <c r="BQ674" s="14"/>
      <c r="BR674" s="14"/>
      <c r="BS674" s="14"/>
      <c r="BT674" s="14"/>
      <c r="BU674" s="14"/>
      <c r="BV674" s="14"/>
      <c r="BW674" s="14"/>
      <c r="BX674" s="14"/>
      <c r="BY674" s="14"/>
      <c r="BZ674" s="14"/>
      <c r="CA674" s="14"/>
      <c r="CB674" s="14"/>
      <c r="CC674" s="14"/>
      <c r="CD674" s="14"/>
      <c r="CE674" s="14"/>
      <c r="CF674" s="14"/>
      <c r="CG674" s="14"/>
      <c r="CH674" s="14"/>
      <c r="CI674" s="14"/>
      <c r="CJ674" s="14"/>
      <c r="CK674" s="14"/>
      <c r="CL674" s="14"/>
      <c r="CT674" s="14"/>
      <c r="CW674" s="3"/>
      <c r="DG674" s="4"/>
    </row>
    <row r="675" customFormat="false" ht="11.25" hidden="false" customHeight="true" outlineLevel="0" collapsed="false">
      <c r="A675" s="14"/>
      <c r="B675" s="15"/>
      <c r="C675" s="15"/>
      <c r="D675" s="14"/>
      <c r="E675" s="14"/>
      <c r="F675" s="14"/>
      <c r="G675" s="14"/>
      <c r="H675" s="15"/>
      <c r="I675" s="15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  <c r="AW675" s="14"/>
      <c r="AX675" s="14"/>
      <c r="AY675" s="14"/>
      <c r="AZ675" s="14"/>
      <c r="BA675" s="14"/>
      <c r="BB675" s="14"/>
      <c r="BC675" s="14"/>
      <c r="BD675" s="14"/>
      <c r="BE675" s="14"/>
      <c r="BF675" s="14"/>
      <c r="BG675" s="14"/>
      <c r="BH675" s="14"/>
      <c r="BI675" s="14"/>
      <c r="BJ675" s="14"/>
      <c r="BK675" s="14"/>
      <c r="BL675" s="14"/>
      <c r="BM675" s="14"/>
      <c r="BN675" s="14"/>
      <c r="BO675" s="14"/>
      <c r="BP675" s="14"/>
      <c r="BQ675" s="14"/>
      <c r="BR675" s="14"/>
      <c r="BS675" s="14"/>
      <c r="BT675" s="14"/>
      <c r="BU675" s="14"/>
      <c r="BV675" s="14"/>
      <c r="BW675" s="14"/>
      <c r="BX675" s="14"/>
      <c r="BY675" s="14"/>
      <c r="BZ675" s="14"/>
      <c r="CA675" s="14"/>
      <c r="CB675" s="14"/>
      <c r="CC675" s="14"/>
      <c r="CD675" s="14"/>
      <c r="CE675" s="14"/>
      <c r="CF675" s="14"/>
      <c r="CG675" s="14"/>
      <c r="CH675" s="14"/>
      <c r="CI675" s="14"/>
      <c r="CJ675" s="14"/>
      <c r="CK675" s="14"/>
      <c r="CL675" s="14"/>
      <c r="CT675" s="14"/>
      <c r="CW675" s="3"/>
      <c r="DG675" s="4"/>
    </row>
    <row r="676" customFormat="false" ht="11.25" hidden="false" customHeight="true" outlineLevel="0" collapsed="false">
      <c r="A676" s="14"/>
      <c r="B676" s="15"/>
      <c r="C676" s="15"/>
      <c r="D676" s="14"/>
      <c r="E676" s="14"/>
      <c r="F676" s="14"/>
      <c r="G676" s="14"/>
      <c r="H676" s="15"/>
      <c r="I676" s="15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  <c r="AR676" s="14"/>
      <c r="AS676" s="14"/>
      <c r="AT676" s="14"/>
      <c r="AU676" s="14"/>
      <c r="AV676" s="14"/>
      <c r="AW676" s="14"/>
      <c r="AX676" s="14"/>
      <c r="AY676" s="14"/>
      <c r="AZ676" s="14"/>
      <c r="BA676" s="14"/>
      <c r="BB676" s="14"/>
      <c r="BC676" s="14"/>
      <c r="BD676" s="14"/>
      <c r="BE676" s="14"/>
      <c r="BF676" s="14"/>
      <c r="BG676" s="14"/>
      <c r="BH676" s="14"/>
      <c r="BI676" s="14"/>
      <c r="BJ676" s="14"/>
      <c r="BK676" s="14"/>
      <c r="BL676" s="14"/>
      <c r="BM676" s="14"/>
      <c r="BN676" s="14"/>
      <c r="BO676" s="14"/>
      <c r="BP676" s="14"/>
      <c r="BQ676" s="14"/>
      <c r="BR676" s="14"/>
      <c r="BS676" s="14"/>
      <c r="BT676" s="14"/>
      <c r="BU676" s="14"/>
      <c r="BV676" s="14"/>
      <c r="BW676" s="14"/>
      <c r="BX676" s="14"/>
      <c r="BY676" s="14"/>
      <c r="BZ676" s="14"/>
      <c r="CA676" s="14"/>
      <c r="CB676" s="14"/>
      <c r="CC676" s="14"/>
      <c r="CD676" s="14"/>
      <c r="CE676" s="14"/>
      <c r="CF676" s="14"/>
      <c r="CG676" s="14"/>
      <c r="CH676" s="14"/>
      <c r="CI676" s="14"/>
      <c r="CJ676" s="14"/>
      <c r="CK676" s="14"/>
      <c r="CL676" s="14"/>
      <c r="CT676" s="14"/>
      <c r="CW676" s="3"/>
      <c r="DG676" s="4"/>
    </row>
    <row r="677" customFormat="false" ht="11.25" hidden="false" customHeight="true" outlineLevel="0" collapsed="false">
      <c r="A677" s="14"/>
      <c r="B677" s="15"/>
      <c r="C677" s="15"/>
      <c r="D677" s="14"/>
      <c r="E677" s="14"/>
      <c r="F677" s="14"/>
      <c r="G677" s="14"/>
      <c r="H677" s="15"/>
      <c r="I677" s="15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14"/>
      <c r="AV677" s="14"/>
      <c r="AW677" s="14"/>
      <c r="AX677" s="14"/>
      <c r="AY677" s="14"/>
      <c r="AZ677" s="14"/>
      <c r="BA677" s="14"/>
      <c r="BB677" s="14"/>
      <c r="BC677" s="14"/>
      <c r="BD677" s="14"/>
      <c r="BE677" s="14"/>
      <c r="BF677" s="14"/>
      <c r="BG677" s="14"/>
      <c r="BH677" s="14"/>
      <c r="BI677" s="14"/>
      <c r="BJ677" s="14"/>
      <c r="BK677" s="14"/>
      <c r="BL677" s="14"/>
      <c r="BM677" s="14"/>
      <c r="BN677" s="14"/>
      <c r="BO677" s="14"/>
      <c r="BP677" s="14"/>
      <c r="BQ677" s="14"/>
      <c r="BR677" s="14"/>
      <c r="BS677" s="14"/>
      <c r="BT677" s="14"/>
      <c r="BU677" s="14"/>
      <c r="BV677" s="14"/>
      <c r="BW677" s="14"/>
      <c r="BX677" s="14"/>
      <c r="BY677" s="14"/>
      <c r="BZ677" s="14"/>
      <c r="CA677" s="14"/>
      <c r="CB677" s="14"/>
      <c r="CC677" s="14"/>
      <c r="CD677" s="14"/>
      <c r="CE677" s="14"/>
      <c r="CF677" s="14"/>
      <c r="CG677" s="14"/>
      <c r="CH677" s="14"/>
      <c r="CI677" s="14"/>
      <c r="CJ677" s="14"/>
      <c r="CK677" s="14"/>
      <c r="CL677" s="14"/>
      <c r="CT677" s="14"/>
      <c r="CW677" s="3"/>
      <c r="DG677" s="4"/>
    </row>
    <row r="678" customFormat="false" ht="11.25" hidden="false" customHeight="true" outlineLevel="0" collapsed="false">
      <c r="A678" s="14"/>
      <c r="B678" s="15"/>
      <c r="C678" s="15"/>
      <c r="D678" s="14"/>
      <c r="E678" s="14"/>
      <c r="F678" s="14"/>
      <c r="G678" s="14"/>
      <c r="H678" s="15"/>
      <c r="I678" s="15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/>
      <c r="AU678" s="14"/>
      <c r="AV678" s="14"/>
      <c r="AW678" s="14"/>
      <c r="AX678" s="14"/>
      <c r="AY678" s="14"/>
      <c r="AZ678" s="14"/>
      <c r="BA678" s="14"/>
      <c r="BB678" s="14"/>
      <c r="BC678" s="14"/>
      <c r="BD678" s="14"/>
      <c r="BE678" s="14"/>
      <c r="BF678" s="14"/>
      <c r="BG678" s="14"/>
      <c r="BH678" s="14"/>
      <c r="BI678" s="14"/>
      <c r="BJ678" s="14"/>
      <c r="BK678" s="14"/>
      <c r="BL678" s="14"/>
      <c r="BM678" s="14"/>
      <c r="BN678" s="14"/>
      <c r="BO678" s="14"/>
      <c r="BP678" s="14"/>
      <c r="BQ678" s="14"/>
      <c r="BR678" s="14"/>
      <c r="BS678" s="14"/>
      <c r="BT678" s="14"/>
      <c r="BU678" s="14"/>
      <c r="BV678" s="14"/>
      <c r="BW678" s="14"/>
      <c r="BX678" s="14"/>
      <c r="BY678" s="14"/>
      <c r="BZ678" s="14"/>
      <c r="CA678" s="14"/>
      <c r="CB678" s="14"/>
      <c r="CC678" s="14"/>
      <c r="CD678" s="14"/>
      <c r="CE678" s="14"/>
      <c r="CF678" s="14"/>
      <c r="CG678" s="14"/>
      <c r="CH678" s="14"/>
      <c r="CI678" s="14"/>
      <c r="CJ678" s="14"/>
      <c r="CK678" s="14"/>
      <c r="CL678" s="14"/>
      <c r="CT678" s="14"/>
      <c r="CW678" s="3"/>
      <c r="DG678" s="4"/>
    </row>
    <row r="679" customFormat="false" ht="11.25" hidden="false" customHeight="true" outlineLevel="0" collapsed="false">
      <c r="A679" s="14"/>
      <c r="B679" s="15"/>
      <c r="C679" s="15"/>
      <c r="D679" s="14"/>
      <c r="E679" s="14"/>
      <c r="F679" s="14"/>
      <c r="G679" s="14"/>
      <c r="H679" s="15"/>
      <c r="I679" s="15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  <c r="AU679" s="14"/>
      <c r="AV679" s="14"/>
      <c r="AW679" s="14"/>
      <c r="AX679" s="14"/>
      <c r="AY679" s="14"/>
      <c r="AZ679" s="14"/>
      <c r="BA679" s="14"/>
      <c r="BB679" s="14"/>
      <c r="BC679" s="14"/>
      <c r="BD679" s="14"/>
      <c r="BE679" s="14"/>
      <c r="BF679" s="14"/>
      <c r="BG679" s="14"/>
      <c r="BH679" s="14"/>
      <c r="BI679" s="14"/>
      <c r="BJ679" s="14"/>
      <c r="BK679" s="14"/>
      <c r="BL679" s="14"/>
      <c r="BM679" s="14"/>
      <c r="BN679" s="14"/>
      <c r="BO679" s="14"/>
      <c r="BP679" s="14"/>
      <c r="BQ679" s="14"/>
      <c r="BR679" s="14"/>
      <c r="BS679" s="14"/>
      <c r="BT679" s="14"/>
      <c r="BU679" s="14"/>
      <c r="BV679" s="14"/>
      <c r="BW679" s="14"/>
      <c r="BX679" s="14"/>
      <c r="BY679" s="14"/>
      <c r="BZ679" s="14"/>
      <c r="CA679" s="14"/>
      <c r="CB679" s="14"/>
      <c r="CC679" s="14"/>
      <c r="CD679" s="14"/>
      <c r="CE679" s="14"/>
      <c r="CF679" s="14"/>
      <c r="CG679" s="14"/>
      <c r="CH679" s="14"/>
      <c r="CI679" s="14"/>
      <c r="CJ679" s="14"/>
      <c r="CK679" s="14"/>
      <c r="CL679" s="14"/>
      <c r="CT679" s="14"/>
      <c r="CW679" s="3"/>
      <c r="DG679" s="4"/>
    </row>
    <row r="680" customFormat="false" ht="11.25" hidden="false" customHeight="true" outlineLevel="0" collapsed="false">
      <c r="A680" s="14"/>
      <c r="B680" s="15"/>
      <c r="C680" s="15"/>
      <c r="D680" s="14"/>
      <c r="E680" s="14"/>
      <c r="F680" s="14"/>
      <c r="G680" s="14"/>
      <c r="H680" s="15"/>
      <c r="I680" s="15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  <c r="AR680" s="14"/>
      <c r="AS680" s="14"/>
      <c r="AT680" s="14"/>
      <c r="AU680" s="14"/>
      <c r="AV680" s="14"/>
      <c r="AW680" s="14"/>
      <c r="AX680" s="14"/>
      <c r="AY680" s="14"/>
      <c r="AZ680" s="14"/>
      <c r="BA680" s="14"/>
      <c r="BB680" s="14"/>
      <c r="BC680" s="14"/>
      <c r="BD680" s="14"/>
      <c r="BE680" s="14"/>
      <c r="BF680" s="14"/>
      <c r="BG680" s="14"/>
      <c r="BH680" s="14"/>
      <c r="BI680" s="14"/>
      <c r="BJ680" s="14"/>
      <c r="BK680" s="14"/>
      <c r="BL680" s="14"/>
      <c r="BM680" s="14"/>
      <c r="BN680" s="14"/>
      <c r="BO680" s="14"/>
      <c r="BP680" s="14"/>
      <c r="BQ680" s="14"/>
      <c r="BR680" s="14"/>
      <c r="BS680" s="14"/>
      <c r="BT680" s="14"/>
      <c r="BU680" s="14"/>
      <c r="BV680" s="14"/>
      <c r="BW680" s="14"/>
      <c r="BX680" s="14"/>
      <c r="BY680" s="14"/>
      <c r="BZ680" s="14"/>
      <c r="CA680" s="14"/>
      <c r="CB680" s="14"/>
      <c r="CC680" s="14"/>
      <c r="CD680" s="14"/>
      <c r="CE680" s="14"/>
      <c r="CF680" s="14"/>
      <c r="CG680" s="14"/>
      <c r="CH680" s="14"/>
      <c r="CI680" s="14"/>
      <c r="CJ680" s="14"/>
      <c r="CK680" s="14"/>
      <c r="CL680" s="14"/>
      <c r="CT680" s="14"/>
      <c r="CW680" s="3"/>
      <c r="DG680" s="4"/>
    </row>
    <row r="681" customFormat="false" ht="11.25" hidden="false" customHeight="true" outlineLevel="0" collapsed="false">
      <c r="A681" s="14"/>
      <c r="B681" s="15"/>
      <c r="C681" s="15"/>
      <c r="D681" s="14"/>
      <c r="E681" s="14"/>
      <c r="F681" s="14"/>
      <c r="G681" s="14"/>
      <c r="H681" s="15"/>
      <c r="I681" s="15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/>
      <c r="AV681" s="14"/>
      <c r="AW681" s="14"/>
      <c r="AX681" s="14"/>
      <c r="AY681" s="14"/>
      <c r="AZ681" s="14"/>
      <c r="BA681" s="14"/>
      <c r="BB681" s="14"/>
      <c r="BC681" s="14"/>
      <c r="BD681" s="14"/>
      <c r="BE681" s="14"/>
      <c r="BF681" s="14"/>
      <c r="BG681" s="14"/>
      <c r="BH681" s="14"/>
      <c r="BI681" s="14"/>
      <c r="BJ681" s="14"/>
      <c r="BK681" s="14"/>
      <c r="BL681" s="14"/>
      <c r="BM681" s="14"/>
      <c r="BN681" s="14"/>
      <c r="BO681" s="14"/>
      <c r="BP681" s="14"/>
      <c r="BQ681" s="14"/>
      <c r="BR681" s="14"/>
      <c r="BS681" s="14"/>
      <c r="BT681" s="14"/>
      <c r="BU681" s="14"/>
      <c r="BV681" s="14"/>
      <c r="BW681" s="14"/>
      <c r="BX681" s="14"/>
      <c r="BY681" s="14"/>
      <c r="BZ681" s="14"/>
      <c r="CA681" s="14"/>
      <c r="CB681" s="14"/>
      <c r="CC681" s="14"/>
      <c r="CD681" s="14"/>
      <c r="CE681" s="14"/>
      <c r="CF681" s="14"/>
      <c r="CG681" s="14"/>
      <c r="CH681" s="14"/>
      <c r="CI681" s="14"/>
      <c r="CJ681" s="14"/>
      <c r="CK681" s="14"/>
      <c r="CL681" s="14"/>
      <c r="CT681" s="14"/>
      <c r="CW681" s="3"/>
      <c r="DG681" s="4"/>
    </row>
    <row r="682" customFormat="false" ht="11.25" hidden="false" customHeight="true" outlineLevel="0" collapsed="false">
      <c r="A682" s="14"/>
      <c r="B682" s="15"/>
      <c r="C682" s="15"/>
      <c r="D682" s="14"/>
      <c r="E682" s="14"/>
      <c r="F682" s="14"/>
      <c r="G682" s="14"/>
      <c r="H682" s="15"/>
      <c r="I682" s="15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  <c r="AR682" s="14"/>
      <c r="AS682" s="14"/>
      <c r="AT682" s="14"/>
      <c r="AU682" s="14"/>
      <c r="AV682" s="14"/>
      <c r="AW682" s="14"/>
      <c r="AX682" s="14"/>
      <c r="AY682" s="14"/>
      <c r="AZ682" s="14"/>
      <c r="BA682" s="14"/>
      <c r="BB682" s="14"/>
      <c r="BC682" s="14"/>
      <c r="BD682" s="14"/>
      <c r="BE682" s="14"/>
      <c r="BF682" s="14"/>
      <c r="BG682" s="14"/>
      <c r="BH682" s="14"/>
      <c r="BI682" s="14"/>
      <c r="BJ682" s="14"/>
      <c r="BK682" s="14"/>
      <c r="BL682" s="14"/>
      <c r="BM682" s="14"/>
      <c r="BN682" s="14"/>
      <c r="BO682" s="14"/>
      <c r="BP682" s="14"/>
      <c r="BQ682" s="14"/>
      <c r="BR682" s="14"/>
      <c r="BS682" s="14"/>
      <c r="BT682" s="14"/>
      <c r="BU682" s="14"/>
      <c r="BV682" s="14"/>
      <c r="BW682" s="14"/>
      <c r="BX682" s="14"/>
      <c r="BY682" s="14"/>
      <c r="BZ682" s="14"/>
      <c r="CA682" s="14"/>
      <c r="CB682" s="14"/>
      <c r="CC682" s="14"/>
      <c r="CD682" s="14"/>
      <c r="CE682" s="14"/>
      <c r="CF682" s="14"/>
      <c r="CG682" s="14"/>
      <c r="CH682" s="14"/>
      <c r="CI682" s="14"/>
      <c r="CJ682" s="14"/>
      <c r="CK682" s="14"/>
      <c r="CL682" s="14"/>
      <c r="CT682" s="14"/>
      <c r="CW682" s="3"/>
      <c r="DG682" s="4"/>
    </row>
    <row r="683" customFormat="false" ht="11.25" hidden="false" customHeight="true" outlineLevel="0" collapsed="false">
      <c r="A683" s="14"/>
      <c r="B683" s="15"/>
      <c r="C683" s="15"/>
      <c r="D683" s="14"/>
      <c r="E683" s="14"/>
      <c r="F683" s="14"/>
      <c r="G683" s="14"/>
      <c r="H683" s="15"/>
      <c r="I683" s="15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4"/>
      <c r="AV683" s="14"/>
      <c r="AW683" s="14"/>
      <c r="AX683" s="14"/>
      <c r="AY683" s="14"/>
      <c r="AZ683" s="14"/>
      <c r="BA683" s="14"/>
      <c r="BB683" s="14"/>
      <c r="BC683" s="14"/>
      <c r="BD683" s="14"/>
      <c r="BE683" s="14"/>
      <c r="BF683" s="14"/>
      <c r="BG683" s="14"/>
      <c r="BH683" s="14"/>
      <c r="BI683" s="14"/>
      <c r="BJ683" s="14"/>
      <c r="BK683" s="14"/>
      <c r="BL683" s="14"/>
      <c r="BM683" s="14"/>
      <c r="BN683" s="14"/>
      <c r="BO683" s="14"/>
      <c r="BP683" s="14"/>
      <c r="BQ683" s="14"/>
      <c r="BR683" s="14"/>
      <c r="BS683" s="14"/>
      <c r="BT683" s="14"/>
      <c r="BU683" s="14"/>
      <c r="BV683" s="14"/>
      <c r="BW683" s="14"/>
      <c r="BX683" s="14"/>
      <c r="BY683" s="14"/>
      <c r="BZ683" s="14"/>
      <c r="CA683" s="14"/>
      <c r="CB683" s="14"/>
      <c r="CC683" s="14"/>
      <c r="CD683" s="14"/>
      <c r="CE683" s="14"/>
      <c r="CF683" s="14"/>
      <c r="CG683" s="14"/>
      <c r="CH683" s="14"/>
      <c r="CI683" s="14"/>
      <c r="CJ683" s="14"/>
      <c r="CK683" s="14"/>
      <c r="CL683" s="14"/>
      <c r="CT683" s="14"/>
      <c r="CW683" s="3"/>
      <c r="DG683" s="4"/>
    </row>
    <row r="684" customFormat="false" ht="11.25" hidden="false" customHeight="true" outlineLevel="0" collapsed="false">
      <c r="A684" s="14"/>
      <c r="B684" s="15"/>
      <c r="C684" s="15"/>
      <c r="D684" s="14"/>
      <c r="E684" s="14"/>
      <c r="F684" s="14"/>
      <c r="G684" s="14"/>
      <c r="H684" s="15"/>
      <c r="I684" s="15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  <c r="AR684" s="14"/>
      <c r="AS684" s="14"/>
      <c r="AT684" s="14"/>
      <c r="AU684" s="14"/>
      <c r="AV684" s="14"/>
      <c r="AW684" s="14"/>
      <c r="AX684" s="14"/>
      <c r="AY684" s="14"/>
      <c r="AZ684" s="14"/>
      <c r="BA684" s="14"/>
      <c r="BB684" s="14"/>
      <c r="BC684" s="14"/>
      <c r="BD684" s="14"/>
      <c r="BE684" s="14"/>
      <c r="BF684" s="14"/>
      <c r="BG684" s="14"/>
      <c r="BH684" s="14"/>
      <c r="BI684" s="14"/>
      <c r="BJ684" s="14"/>
      <c r="BK684" s="14"/>
      <c r="BL684" s="14"/>
      <c r="BM684" s="14"/>
      <c r="BN684" s="14"/>
      <c r="BO684" s="14"/>
      <c r="BP684" s="14"/>
      <c r="BQ684" s="14"/>
      <c r="BR684" s="14"/>
      <c r="BS684" s="14"/>
      <c r="BT684" s="14"/>
      <c r="BU684" s="14"/>
      <c r="BV684" s="14"/>
      <c r="BW684" s="14"/>
      <c r="BX684" s="14"/>
      <c r="BY684" s="14"/>
      <c r="BZ684" s="14"/>
      <c r="CA684" s="14"/>
      <c r="CB684" s="14"/>
      <c r="CC684" s="14"/>
      <c r="CD684" s="14"/>
      <c r="CE684" s="14"/>
      <c r="CF684" s="14"/>
      <c r="CG684" s="14"/>
      <c r="CH684" s="14"/>
      <c r="CI684" s="14"/>
      <c r="CJ684" s="14"/>
      <c r="CK684" s="14"/>
      <c r="CL684" s="14"/>
      <c r="CT684" s="14"/>
      <c r="CW684" s="3"/>
      <c r="DG684" s="4"/>
    </row>
    <row r="685" customFormat="false" ht="11.25" hidden="false" customHeight="true" outlineLevel="0" collapsed="false">
      <c r="A685" s="14"/>
      <c r="B685" s="15"/>
      <c r="C685" s="15"/>
      <c r="D685" s="14"/>
      <c r="E685" s="14"/>
      <c r="F685" s="14"/>
      <c r="G685" s="14"/>
      <c r="H685" s="15"/>
      <c r="I685" s="15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/>
      <c r="AW685" s="14"/>
      <c r="AX685" s="14"/>
      <c r="AY685" s="14"/>
      <c r="AZ685" s="14"/>
      <c r="BA685" s="14"/>
      <c r="BB685" s="14"/>
      <c r="BC685" s="14"/>
      <c r="BD685" s="14"/>
      <c r="BE685" s="14"/>
      <c r="BF685" s="14"/>
      <c r="BG685" s="14"/>
      <c r="BH685" s="14"/>
      <c r="BI685" s="14"/>
      <c r="BJ685" s="14"/>
      <c r="BK685" s="14"/>
      <c r="BL685" s="14"/>
      <c r="BM685" s="14"/>
      <c r="BN685" s="14"/>
      <c r="BO685" s="14"/>
      <c r="BP685" s="14"/>
      <c r="BQ685" s="14"/>
      <c r="BR685" s="14"/>
      <c r="BS685" s="14"/>
      <c r="BT685" s="14"/>
      <c r="BU685" s="14"/>
      <c r="BV685" s="14"/>
      <c r="BW685" s="14"/>
      <c r="BX685" s="14"/>
      <c r="BY685" s="14"/>
      <c r="BZ685" s="14"/>
      <c r="CA685" s="14"/>
      <c r="CB685" s="14"/>
      <c r="CC685" s="14"/>
      <c r="CD685" s="14"/>
      <c r="CE685" s="14"/>
      <c r="CF685" s="14"/>
      <c r="CG685" s="14"/>
      <c r="CH685" s="14"/>
      <c r="CI685" s="14"/>
      <c r="CJ685" s="14"/>
      <c r="CK685" s="14"/>
      <c r="CL685" s="14"/>
      <c r="CT685" s="14"/>
      <c r="CW685" s="3"/>
      <c r="DG685" s="4"/>
    </row>
    <row r="686" customFormat="false" ht="11.25" hidden="false" customHeight="true" outlineLevel="0" collapsed="false">
      <c r="A686" s="14"/>
      <c r="B686" s="15"/>
      <c r="C686" s="15"/>
      <c r="D686" s="14"/>
      <c r="E686" s="14"/>
      <c r="F686" s="14"/>
      <c r="G686" s="14"/>
      <c r="H686" s="15"/>
      <c r="I686" s="15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  <c r="AR686" s="14"/>
      <c r="AS686" s="14"/>
      <c r="AT686" s="14"/>
      <c r="AU686" s="14"/>
      <c r="AV686" s="14"/>
      <c r="AW686" s="14"/>
      <c r="AX686" s="14"/>
      <c r="AY686" s="14"/>
      <c r="AZ686" s="14"/>
      <c r="BA686" s="14"/>
      <c r="BB686" s="14"/>
      <c r="BC686" s="14"/>
      <c r="BD686" s="14"/>
      <c r="BE686" s="14"/>
      <c r="BF686" s="14"/>
      <c r="BG686" s="14"/>
      <c r="BH686" s="14"/>
      <c r="BI686" s="14"/>
      <c r="BJ686" s="14"/>
      <c r="BK686" s="14"/>
      <c r="BL686" s="14"/>
      <c r="BM686" s="14"/>
      <c r="BN686" s="14"/>
      <c r="BO686" s="14"/>
      <c r="BP686" s="14"/>
      <c r="BQ686" s="14"/>
      <c r="BR686" s="14"/>
      <c r="BS686" s="14"/>
      <c r="BT686" s="14"/>
      <c r="BU686" s="14"/>
      <c r="BV686" s="14"/>
      <c r="BW686" s="14"/>
      <c r="BX686" s="14"/>
      <c r="BY686" s="14"/>
      <c r="BZ686" s="14"/>
      <c r="CA686" s="14"/>
      <c r="CB686" s="14"/>
      <c r="CC686" s="14"/>
      <c r="CD686" s="14"/>
      <c r="CE686" s="14"/>
      <c r="CF686" s="14"/>
      <c r="CG686" s="14"/>
      <c r="CH686" s="14"/>
      <c r="CI686" s="14"/>
      <c r="CJ686" s="14"/>
      <c r="CK686" s="14"/>
      <c r="CL686" s="14"/>
      <c r="CT686" s="14"/>
      <c r="CW686" s="3"/>
      <c r="DG686" s="4"/>
    </row>
    <row r="687" customFormat="false" ht="11.25" hidden="false" customHeight="true" outlineLevel="0" collapsed="false">
      <c r="A687" s="14"/>
      <c r="B687" s="15"/>
      <c r="C687" s="15"/>
      <c r="D687" s="14"/>
      <c r="E687" s="14"/>
      <c r="F687" s="14"/>
      <c r="G687" s="14"/>
      <c r="H687" s="15"/>
      <c r="I687" s="15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14"/>
      <c r="AV687" s="14"/>
      <c r="AW687" s="14"/>
      <c r="AX687" s="14"/>
      <c r="AY687" s="14"/>
      <c r="AZ687" s="14"/>
      <c r="BA687" s="14"/>
      <c r="BB687" s="14"/>
      <c r="BC687" s="14"/>
      <c r="BD687" s="14"/>
      <c r="BE687" s="14"/>
      <c r="BF687" s="14"/>
      <c r="BG687" s="14"/>
      <c r="BH687" s="14"/>
      <c r="BI687" s="14"/>
      <c r="BJ687" s="14"/>
      <c r="BK687" s="14"/>
      <c r="BL687" s="14"/>
      <c r="BM687" s="14"/>
      <c r="BN687" s="14"/>
      <c r="BO687" s="14"/>
      <c r="BP687" s="14"/>
      <c r="BQ687" s="14"/>
      <c r="BR687" s="14"/>
      <c r="BS687" s="14"/>
      <c r="BT687" s="14"/>
      <c r="BU687" s="14"/>
      <c r="BV687" s="14"/>
      <c r="BW687" s="14"/>
      <c r="BX687" s="14"/>
      <c r="BY687" s="14"/>
      <c r="BZ687" s="14"/>
      <c r="CA687" s="14"/>
      <c r="CB687" s="14"/>
      <c r="CC687" s="14"/>
      <c r="CD687" s="14"/>
      <c r="CE687" s="14"/>
      <c r="CF687" s="14"/>
      <c r="CG687" s="14"/>
      <c r="CH687" s="14"/>
      <c r="CI687" s="14"/>
      <c r="CJ687" s="14"/>
      <c r="CK687" s="14"/>
      <c r="CL687" s="14"/>
      <c r="CT687" s="14"/>
      <c r="CW687" s="3"/>
      <c r="DG687" s="4"/>
    </row>
    <row r="688" customFormat="false" ht="11.25" hidden="false" customHeight="true" outlineLevel="0" collapsed="false">
      <c r="A688" s="14"/>
      <c r="B688" s="15"/>
      <c r="C688" s="15"/>
      <c r="D688" s="14"/>
      <c r="E688" s="14"/>
      <c r="F688" s="14"/>
      <c r="G688" s="14"/>
      <c r="H688" s="15"/>
      <c r="I688" s="15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  <c r="AU688" s="14"/>
      <c r="AV688" s="14"/>
      <c r="AW688" s="14"/>
      <c r="AX688" s="14"/>
      <c r="AY688" s="14"/>
      <c r="AZ688" s="14"/>
      <c r="BA688" s="14"/>
      <c r="BB688" s="14"/>
      <c r="BC688" s="14"/>
      <c r="BD688" s="14"/>
      <c r="BE688" s="14"/>
      <c r="BF688" s="14"/>
      <c r="BG688" s="14"/>
      <c r="BH688" s="14"/>
      <c r="BI688" s="14"/>
      <c r="BJ688" s="14"/>
      <c r="BK688" s="14"/>
      <c r="BL688" s="14"/>
      <c r="BM688" s="14"/>
      <c r="BN688" s="14"/>
      <c r="BO688" s="14"/>
      <c r="BP688" s="14"/>
      <c r="BQ688" s="14"/>
      <c r="BR688" s="14"/>
      <c r="BS688" s="14"/>
      <c r="BT688" s="14"/>
      <c r="BU688" s="14"/>
      <c r="BV688" s="14"/>
      <c r="BW688" s="14"/>
      <c r="BX688" s="14"/>
      <c r="BY688" s="14"/>
      <c r="BZ688" s="14"/>
      <c r="CA688" s="14"/>
      <c r="CB688" s="14"/>
      <c r="CC688" s="14"/>
      <c r="CD688" s="14"/>
      <c r="CE688" s="14"/>
      <c r="CF688" s="14"/>
      <c r="CG688" s="14"/>
      <c r="CH688" s="14"/>
      <c r="CI688" s="14"/>
      <c r="CJ688" s="14"/>
      <c r="CK688" s="14"/>
      <c r="CL688" s="14"/>
      <c r="CT688" s="14"/>
      <c r="CW688" s="3"/>
      <c r="DG688" s="4"/>
    </row>
    <row r="689" customFormat="false" ht="11.25" hidden="false" customHeight="true" outlineLevel="0" collapsed="false">
      <c r="A689" s="14"/>
      <c r="B689" s="15"/>
      <c r="C689" s="15"/>
      <c r="D689" s="14"/>
      <c r="E689" s="14"/>
      <c r="F689" s="14"/>
      <c r="G689" s="14"/>
      <c r="H689" s="15"/>
      <c r="I689" s="15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14"/>
      <c r="AV689" s="14"/>
      <c r="AW689" s="14"/>
      <c r="AX689" s="14"/>
      <c r="AY689" s="14"/>
      <c r="AZ689" s="14"/>
      <c r="BA689" s="14"/>
      <c r="BB689" s="14"/>
      <c r="BC689" s="14"/>
      <c r="BD689" s="14"/>
      <c r="BE689" s="14"/>
      <c r="BF689" s="14"/>
      <c r="BG689" s="14"/>
      <c r="BH689" s="14"/>
      <c r="BI689" s="14"/>
      <c r="BJ689" s="14"/>
      <c r="BK689" s="14"/>
      <c r="BL689" s="14"/>
      <c r="BM689" s="14"/>
      <c r="BN689" s="14"/>
      <c r="BO689" s="14"/>
      <c r="BP689" s="14"/>
      <c r="BQ689" s="14"/>
      <c r="BR689" s="14"/>
      <c r="BS689" s="14"/>
      <c r="BT689" s="14"/>
      <c r="BU689" s="14"/>
      <c r="BV689" s="14"/>
      <c r="BW689" s="14"/>
      <c r="BX689" s="14"/>
      <c r="BY689" s="14"/>
      <c r="BZ689" s="14"/>
      <c r="CA689" s="14"/>
      <c r="CB689" s="14"/>
      <c r="CC689" s="14"/>
      <c r="CD689" s="14"/>
      <c r="CE689" s="14"/>
      <c r="CF689" s="14"/>
      <c r="CG689" s="14"/>
      <c r="CH689" s="14"/>
      <c r="CI689" s="14"/>
      <c r="CJ689" s="14"/>
      <c r="CK689" s="14"/>
      <c r="CL689" s="14"/>
      <c r="CT689" s="14"/>
      <c r="CW689" s="3"/>
      <c r="DG689" s="4"/>
    </row>
    <row r="690" customFormat="false" ht="11.25" hidden="false" customHeight="true" outlineLevel="0" collapsed="false">
      <c r="A690" s="14"/>
      <c r="B690" s="15"/>
      <c r="C690" s="15"/>
      <c r="D690" s="14"/>
      <c r="E690" s="14"/>
      <c r="F690" s="14"/>
      <c r="G690" s="14"/>
      <c r="H690" s="15"/>
      <c r="I690" s="15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  <c r="AR690" s="14"/>
      <c r="AS690" s="14"/>
      <c r="AT690" s="14"/>
      <c r="AU690" s="14"/>
      <c r="AV690" s="14"/>
      <c r="AW690" s="14"/>
      <c r="AX690" s="14"/>
      <c r="AY690" s="14"/>
      <c r="AZ690" s="14"/>
      <c r="BA690" s="14"/>
      <c r="BB690" s="14"/>
      <c r="BC690" s="14"/>
      <c r="BD690" s="14"/>
      <c r="BE690" s="14"/>
      <c r="BF690" s="14"/>
      <c r="BG690" s="14"/>
      <c r="BH690" s="14"/>
      <c r="BI690" s="14"/>
      <c r="BJ690" s="14"/>
      <c r="BK690" s="14"/>
      <c r="BL690" s="14"/>
      <c r="BM690" s="14"/>
      <c r="BN690" s="14"/>
      <c r="BO690" s="14"/>
      <c r="BP690" s="14"/>
      <c r="BQ690" s="14"/>
      <c r="BR690" s="14"/>
      <c r="BS690" s="14"/>
      <c r="BT690" s="14"/>
      <c r="BU690" s="14"/>
      <c r="BV690" s="14"/>
      <c r="BW690" s="14"/>
      <c r="BX690" s="14"/>
      <c r="BY690" s="14"/>
      <c r="BZ690" s="14"/>
      <c r="CA690" s="14"/>
      <c r="CB690" s="14"/>
      <c r="CC690" s="14"/>
      <c r="CD690" s="14"/>
      <c r="CE690" s="14"/>
      <c r="CF690" s="14"/>
      <c r="CG690" s="14"/>
      <c r="CH690" s="14"/>
      <c r="CI690" s="14"/>
      <c r="CJ690" s="14"/>
      <c r="CK690" s="14"/>
      <c r="CL690" s="14"/>
      <c r="CT690" s="14"/>
      <c r="CW690" s="3"/>
      <c r="DG690" s="4"/>
    </row>
    <row r="691" customFormat="false" ht="11.25" hidden="false" customHeight="true" outlineLevel="0" collapsed="false">
      <c r="A691" s="14"/>
      <c r="B691" s="15"/>
      <c r="C691" s="15"/>
      <c r="D691" s="14"/>
      <c r="E691" s="14"/>
      <c r="F691" s="14"/>
      <c r="G691" s="14"/>
      <c r="H691" s="15"/>
      <c r="I691" s="15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  <c r="AW691" s="14"/>
      <c r="AX691" s="14"/>
      <c r="AY691" s="14"/>
      <c r="AZ691" s="14"/>
      <c r="BA691" s="14"/>
      <c r="BB691" s="14"/>
      <c r="BC691" s="14"/>
      <c r="BD691" s="14"/>
      <c r="BE691" s="14"/>
      <c r="BF691" s="14"/>
      <c r="BG691" s="14"/>
      <c r="BH691" s="14"/>
      <c r="BI691" s="14"/>
      <c r="BJ691" s="14"/>
      <c r="BK691" s="14"/>
      <c r="BL691" s="14"/>
      <c r="BM691" s="14"/>
      <c r="BN691" s="14"/>
      <c r="BO691" s="14"/>
      <c r="BP691" s="14"/>
      <c r="BQ691" s="14"/>
      <c r="BR691" s="14"/>
      <c r="BS691" s="14"/>
      <c r="BT691" s="14"/>
      <c r="BU691" s="14"/>
      <c r="BV691" s="14"/>
      <c r="BW691" s="14"/>
      <c r="BX691" s="14"/>
      <c r="BY691" s="14"/>
      <c r="BZ691" s="14"/>
      <c r="CA691" s="14"/>
      <c r="CB691" s="14"/>
      <c r="CC691" s="14"/>
      <c r="CD691" s="14"/>
      <c r="CE691" s="14"/>
      <c r="CF691" s="14"/>
      <c r="CG691" s="14"/>
      <c r="CH691" s="14"/>
      <c r="CI691" s="14"/>
      <c r="CJ691" s="14"/>
      <c r="CK691" s="14"/>
      <c r="CL691" s="14"/>
      <c r="CT691" s="14"/>
      <c r="CW691" s="3"/>
      <c r="DG691" s="4"/>
    </row>
    <row r="692" customFormat="false" ht="11.25" hidden="false" customHeight="true" outlineLevel="0" collapsed="false">
      <c r="A692" s="14"/>
      <c r="B692" s="15"/>
      <c r="C692" s="15"/>
      <c r="D692" s="14"/>
      <c r="E692" s="14"/>
      <c r="F692" s="14"/>
      <c r="G692" s="14"/>
      <c r="H692" s="15"/>
      <c r="I692" s="15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/>
      <c r="AU692" s="14"/>
      <c r="AV692" s="14"/>
      <c r="AW692" s="14"/>
      <c r="AX692" s="14"/>
      <c r="AY692" s="14"/>
      <c r="AZ692" s="14"/>
      <c r="BA692" s="14"/>
      <c r="BB692" s="14"/>
      <c r="BC692" s="14"/>
      <c r="BD692" s="14"/>
      <c r="BE692" s="14"/>
      <c r="BF692" s="14"/>
      <c r="BG692" s="14"/>
      <c r="BH692" s="14"/>
      <c r="BI692" s="14"/>
      <c r="BJ692" s="14"/>
      <c r="BK692" s="14"/>
      <c r="BL692" s="14"/>
      <c r="BM692" s="14"/>
      <c r="BN692" s="14"/>
      <c r="BO692" s="14"/>
      <c r="BP692" s="14"/>
      <c r="BQ692" s="14"/>
      <c r="BR692" s="14"/>
      <c r="BS692" s="14"/>
      <c r="BT692" s="14"/>
      <c r="BU692" s="14"/>
      <c r="BV692" s="14"/>
      <c r="BW692" s="14"/>
      <c r="BX692" s="14"/>
      <c r="BY692" s="14"/>
      <c r="BZ692" s="14"/>
      <c r="CA692" s="14"/>
      <c r="CB692" s="14"/>
      <c r="CC692" s="14"/>
      <c r="CD692" s="14"/>
      <c r="CE692" s="14"/>
      <c r="CF692" s="14"/>
      <c r="CG692" s="14"/>
      <c r="CH692" s="14"/>
      <c r="CI692" s="14"/>
      <c r="CJ692" s="14"/>
      <c r="CK692" s="14"/>
      <c r="CL692" s="14"/>
      <c r="CT692" s="14"/>
      <c r="CW692" s="3"/>
      <c r="DG692" s="4"/>
    </row>
    <row r="693" customFormat="false" ht="11.25" hidden="false" customHeight="true" outlineLevel="0" collapsed="false">
      <c r="A693" s="14"/>
      <c r="B693" s="15"/>
      <c r="C693" s="15"/>
      <c r="D693" s="14"/>
      <c r="E693" s="14"/>
      <c r="F693" s="14"/>
      <c r="G693" s="14"/>
      <c r="H693" s="15"/>
      <c r="I693" s="15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  <c r="AU693" s="14"/>
      <c r="AV693" s="14"/>
      <c r="AW693" s="14"/>
      <c r="AX693" s="14"/>
      <c r="AY693" s="14"/>
      <c r="AZ693" s="14"/>
      <c r="BA693" s="14"/>
      <c r="BB693" s="14"/>
      <c r="BC693" s="14"/>
      <c r="BD693" s="14"/>
      <c r="BE693" s="14"/>
      <c r="BF693" s="14"/>
      <c r="BG693" s="14"/>
      <c r="BH693" s="14"/>
      <c r="BI693" s="14"/>
      <c r="BJ693" s="14"/>
      <c r="BK693" s="14"/>
      <c r="BL693" s="14"/>
      <c r="BM693" s="14"/>
      <c r="BN693" s="14"/>
      <c r="BO693" s="14"/>
      <c r="BP693" s="14"/>
      <c r="BQ693" s="14"/>
      <c r="BR693" s="14"/>
      <c r="BS693" s="14"/>
      <c r="BT693" s="14"/>
      <c r="BU693" s="14"/>
      <c r="BV693" s="14"/>
      <c r="BW693" s="14"/>
      <c r="BX693" s="14"/>
      <c r="BY693" s="14"/>
      <c r="BZ693" s="14"/>
      <c r="CA693" s="14"/>
      <c r="CB693" s="14"/>
      <c r="CC693" s="14"/>
      <c r="CD693" s="14"/>
      <c r="CE693" s="14"/>
      <c r="CF693" s="14"/>
      <c r="CG693" s="14"/>
      <c r="CH693" s="14"/>
      <c r="CI693" s="14"/>
      <c r="CJ693" s="14"/>
      <c r="CK693" s="14"/>
      <c r="CL693" s="14"/>
      <c r="CT693" s="14"/>
      <c r="CW693" s="3"/>
      <c r="DG693" s="4"/>
    </row>
    <row r="694" customFormat="false" ht="11.25" hidden="false" customHeight="true" outlineLevel="0" collapsed="false">
      <c r="A694" s="14"/>
      <c r="B694" s="15"/>
      <c r="C694" s="15"/>
      <c r="D694" s="14"/>
      <c r="E694" s="14"/>
      <c r="F694" s="14"/>
      <c r="G694" s="14"/>
      <c r="H694" s="15"/>
      <c r="I694" s="15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  <c r="AU694" s="14"/>
      <c r="AV694" s="14"/>
      <c r="AW694" s="14"/>
      <c r="AX694" s="14"/>
      <c r="AY694" s="14"/>
      <c r="AZ694" s="14"/>
      <c r="BA694" s="14"/>
      <c r="BB694" s="14"/>
      <c r="BC694" s="14"/>
      <c r="BD694" s="14"/>
      <c r="BE694" s="14"/>
      <c r="BF694" s="14"/>
      <c r="BG694" s="14"/>
      <c r="BH694" s="14"/>
      <c r="BI694" s="14"/>
      <c r="BJ694" s="14"/>
      <c r="BK694" s="14"/>
      <c r="BL694" s="14"/>
      <c r="BM694" s="14"/>
      <c r="BN694" s="14"/>
      <c r="BO694" s="14"/>
      <c r="BP694" s="14"/>
      <c r="BQ694" s="14"/>
      <c r="BR694" s="14"/>
      <c r="BS694" s="14"/>
      <c r="BT694" s="14"/>
      <c r="BU694" s="14"/>
      <c r="BV694" s="14"/>
      <c r="BW694" s="14"/>
      <c r="BX694" s="14"/>
      <c r="BY694" s="14"/>
      <c r="BZ694" s="14"/>
      <c r="CA694" s="14"/>
      <c r="CB694" s="14"/>
      <c r="CC694" s="14"/>
      <c r="CD694" s="14"/>
      <c r="CE694" s="14"/>
      <c r="CF694" s="14"/>
      <c r="CG694" s="14"/>
      <c r="CH694" s="14"/>
      <c r="CI694" s="14"/>
      <c r="CJ694" s="14"/>
      <c r="CK694" s="14"/>
      <c r="CL694" s="14"/>
      <c r="CT694" s="14"/>
      <c r="CW694" s="3"/>
      <c r="DG694" s="4"/>
    </row>
    <row r="695" customFormat="false" ht="11.25" hidden="false" customHeight="true" outlineLevel="0" collapsed="false">
      <c r="A695" s="14"/>
      <c r="B695" s="15"/>
      <c r="C695" s="15"/>
      <c r="D695" s="14"/>
      <c r="E695" s="14"/>
      <c r="F695" s="14"/>
      <c r="G695" s="14"/>
      <c r="H695" s="15"/>
      <c r="I695" s="15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  <c r="AU695" s="14"/>
      <c r="AV695" s="14"/>
      <c r="AW695" s="14"/>
      <c r="AX695" s="14"/>
      <c r="AY695" s="14"/>
      <c r="AZ695" s="14"/>
      <c r="BA695" s="14"/>
      <c r="BB695" s="14"/>
      <c r="BC695" s="14"/>
      <c r="BD695" s="14"/>
      <c r="BE695" s="14"/>
      <c r="BF695" s="14"/>
      <c r="BG695" s="14"/>
      <c r="BH695" s="14"/>
      <c r="BI695" s="14"/>
      <c r="BJ695" s="14"/>
      <c r="BK695" s="14"/>
      <c r="BL695" s="14"/>
      <c r="BM695" s="14"/>
      <c r="BN695" s="14"/>
      <c r="BO695" s="14"/>
      <c r="BP695" s="14"/>
      <c r="BQ695" s="14"/>
      <c r="BR695" s="14"/>
      <c r="BS695" s="14"/>
      <c r="BT695" s="14"/>
      <c r="BU695" s="14"/>
      <c r="BV695" s="14"/>
      <c r="BW695" s="14"/>
      <c r="BX695" s="14"/>
      <c r="BY695" s="14"/>
      <c r="BZ695" s="14"/>
      <c r="CA695" s="14"/>
      <c r="CB695" s="14"/>
      <c r="CC695" s="14"/>
      <c r="CD695" s="14"/>
      <c r="CE695" s="14"/>
      <c r="CF695" s="14"/>
      <c r="CG695" s="14"/>
      <c r="CH695" s="14"/>
      <c r="CI695" s="14"/>
      <c r="CJ695" s="14"/>
      <c r="CK695" s="14"/>
      <c r="CL695" s="14"/>
      <c r="CT695" s="14"/>
      <c r="CW695" s="3"/>
      <c r="DG695" s="4"/>
    </row>
    <row r="696" customFormat="false" ht="11.25" hidden="false" customHeight="true" outlineLevel="0" collapsed="false">
      <c r="A696" s="14"/>
      <c r="B696" s="15"/>
      <c r="C696" s="15"/>
      <c r="D696" s="14"/>
      <c r="E696" s="14"/>
      <c r="F696" s="14"/>
      <c r="G696" s="14"/>
      <c r="H696" s="15"/>
      <c r="I696" s="15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/>
      <c r="AU696" s="14"/>
      <c r="AV696" s="14"/>
      <c r="AW696" s="14"/>
      <c r="AX696" s="14"/>
      <c r="AY696" s="14"/>
      <c r="AZ696" s="14"/>
      <c r="BA696" s="14"/>
      <c r="BB696" s="14"/>
      <c r="BC696" s="14"/>
      <c r="BD696" s="14"/>
      <c r="BE696" s="14"/>
      <c r="BF696" s="14"/>
      <c r="BG696" s="14"/>
      <c r="BH696" s="14"/>
      <c r="BI696" s="14"/>
      <c r="BJ696" s="14"/>
      <c r="BK696" s="14"/>
      <c r="BL696" s="14"/>
      <c r="BM696" s="14"/>
      <c r="BN696" s="14"/>
      <c r="BO696" s="14"/>
      <c r="BP696" s="14"/>
      <c r="BQ696" s="14"/>
      <c r="BR696" s="14"/>
      <c r="BS696" s="14"/>
      <c r="BT696" s="14"/>
      <c r="BU696" s="14"/>
      <c r="BV696" s="14"/>
      <c r="BW696" s="14"/>
      <c r="BX696" s="14"/>
      <c r="BY696" s="14"/>
      <c r="BZ696" s="14"/>
      <c r="CA696" s="14"/>
      <c r="CB696" s="14"/>
      <c r="CC696" s="14"/>
      <c r="CD696" s="14"/>
      <c r="CE696" s="14"/>
      <c r="CF696" s="14"/>
      <c r="CG696" s="14"/>
      <c r="CH696" s="14"/>
      <c r="CI696" s="14"/>
      <c r="CJ696" s="14"/>
      <c r="CK696" s="14"/>
      <c r="CL696" s="14"/>
      <c r="CT696" s="14"/>
      <c r="CW696" s="3"/>
      <c r="DG696" s="4"/>
    </row>
    <row r="697" customFormat="false" ht="11.25" hidden="false" customHeight="true" outlineLevel="0" collapsed="false">
      <c r="A697" s="14"/>
      <c r="B697" s="15"/>
      <c r="C697" s="15"/>
      <c r="D697" s="14"/>
      <c r="E697" s="14"/>
      <c r="F697" s="14"/>
      <c r="G697" s="14"/>
      <c r="H697" s="15"/>
      <c r="I697" s="15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  <c r="AW697" s="14"/>
      <c r="AX697" s="14"/>
      <c r="AY697" s="14"/>
      <c r="AZ697" s="14"/>
      <c r="BA697" s="14"/>
      <c r="BB697" s="14"/>
      <c r="BC697" s="14"/>
      <c r="BD697" s="14"/>
      <c r="BE697" s="14"/>
      <c r="BF697" s="14"/>
      <c r="BG697" s="14"/>
      <c r="BH697" s="14"/>
      <c r="BI697" s="14"/>
      <c r="BJ697" s="14"/>
      <c r="BK697" s="14"/>
      <c r="BL697" s="14"/>
      <c r="BM697" s="14"/>
      <c r="BN697" s="14"/>
      <c r="BO697" s="14"/>
      <c r="BP697" s="14"/>
      <c r="BQ697" s="14"/>
      <c r="BR697" s="14"/>
      <c r="BS697" s="14"/>
      <c r="BT697" s="14"/>
      <c r="BU697" s="14"/>
      <c r="BV697" s="14"/>
      <c r="BW697" s="14"/>
      <c r="BX697" s="14"/>
      <c r="BY697" s="14"/>
      <c r="BZ697" s="14"/>
      <c r="CA697" s="14"/>
      <c r="CB697" s="14"/>
      <c r="CC697" s="14"/>
      <c r="CD697" s="14"/>
      <c r="CE697" s="14"/>
      <c r="CF697" s="14"/>
      <c r="CG697" s="14"/>
      <c r="CH697" s="14"/>
      <c r="CI697" s="14"/>
      <c r="CJ697" s="14"/>
      <c r="CK697" s="14"/>
      <c r="CL697" s="14"/>
      <c r="CT697" s="14"/>
      <c r="CW697" s="3"/>
      <c r="DG697" s="4"/>
    </row>
    <row r="698" customFormat="false" ht="11.25" hidden="false" customHeight="true" outlineLevel="0" collapsed="false">
      <c r="A698" s="14"/>
      <c r="B698" s="15"/>
      <c r="C698" s="15"/>
      <c r="D698" s="14"/>
      <c r="E698" s="14"/>
      <c r="F698" s="14"/>
      <c r="G698" s="14"/>
      <c r="H698" s="15"/>
      <c r="I698" s="15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  <c r="AU698" s="14"/>
      <c r="AV698" s="14"/>
      <c r="AW698" s="14"/>
      <c r="AX698" s="14"/>
      <c r="AY698" s="14"/>
      <c r="AZ698" s="14"/>
      <c r="BA698" s="14"/>
      <c r="BB698" s="14"/>
      <c r="BC698" s="14"/>
      <c r="BD698" s="14"/>
      <c r="BE698" s="14"/>
      <c r="BF698" s="14"/>
      <c r="BG698" s="14"/>
      <c r="BH698" s="14"/>
      <c r="BI698" s="14"/>
      <c r="BJ698" s="14"/>
      <c r="BK698" s="14"/>
      <c r="BL698" s="14"/>
      <c r="BM698" s="14"/>
      <c r="BN698" s="14"/>
      <c r="BO698" s="14"/>
      <c r="BP698" s="14"/>
      <c r="BQ698" s="14"/>
      <c r="BR698" s="14"/>
      <c r="BS698" s="14"/>
      <c r="BT698" s="14"/>
      <c r="BU698" s="14"/>
      <c r="BV698" s="14"/>
      <c r="BW698" s="14"/>
      <c r="BX698" s="14"/>
      <c r="BY698" s="14"/>
      <c r="BZ698" s="14"/>
      <c r="CA698" s="14"/>
      <c r="CB698" s="14"/>
      <c r="CC698" s="14"/>
      <c r="CD698" s="14"/>
      <c r="CE698" s="14"/>
      <c r="CF698" s="14"/>
      <c r="CG698" s="14"/>
      <c r="CH698" s="14"/>
      <c r="CI698" s="14"/>
      <c r="CJ698" s="14"/>
      <c r="CK698" s="14"/>
      <c r="CL698" s="14"/>
      <c r="CT698" s="14"/>
      <c r="CW698" s="3"/>
      <c r="DG698" s="4"/>
    </row>
    <row r="699" customFormat="false" ht="11.25" hidden="false" customHeight="true" outlineLevel="0" collapsed="false">
      <c r="A699" s="14"/>
      <c r="B699" s="15"/>
      <c r="C699" s="15"/>
      <c r="D699" s="14"/>
      <c r="E699" s="14"/>
      <c r="F699" s="14"/>
      <c r="G699" s="14"/>
      <c r="H699" s="15"/>
      <c r="I699" s="15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4"/>
      <c r="AV699" s="14"/>
      <c r="AW699" s="14"/>
      <c r="AX699" s="14"/>
      <c r="AY699" s="14"/>
      <c r="AZ699" s="14"/>
      <c r="BA699" s="14"/>
      <c r="BB699" s="14"/>
      <c r="BC699" s="14"/>
      <c r="BD699" s="14"/>
      <c r="BE699" s="14"/>
      <c r="BF699" s="14"/>
      <c r="BG699" s="14"/>
      <c r="BH699" s="14"/>
      <c r="BI699" s="14"/>
      <c r="BJ699" s="14"/>
      <c r="BK699" s="14"/>
      <c r="BL699" s="14"/>
      <c r="BM699" s="14"/>
      <c r="BN699" s="14"/>
      <c r="BO699" s="14"/>
      <c r="BP699" s="14"/>
      <c r="BQ699" s="14"/>
      <c r="BR699" s="14"/>
      <c r="BS699" s="14"/>
      <c r="BT699" s="14"/>
      <c r="BU699" s="14"/>
      <c r="BV699" s="14"/>
      <c r="BW699" s="14"/>
      <c r="BX699" s="14"/>
      <c r="BY699" s="14"/>
      <c r="BZ699" s="14"/>
      <c r="CA699" s="14"/>
      <c r="CB699" s="14"/>
      <c r="CC699" s="14"/>
      <c r="CD699" s="14"/>
      <c r="CE699" s="14"/>
      <c r="CF699" s="14"/>
      <c r="CG699" s="14"/>
      <c r="CH699" s="14"/>
      <c r="CI699" s="14"/>
      <c r="CJ699" s="14"/>
      <c r="CK699" s="14"/>
      <c r="CL699" s="14"/>
      <c r="CT699" s="14"/>
      <c r="CW699" s="3"/>
      <c r="DG699" s="4"/>
    </row>
    <row r="700" customFormat="false" ht="11.25" hidden="false" customHeight="true" outlineLevel="0" collapsed="false">
      <c r="A700" s="14"/>
      <c r="B700" s="15"/>
      <c r="C700" s="15"/>
      <c r="D700" s="14"/>
      <c r="E700" s="14"/>
      <c r="F700" s="14"/>
      <c r="G700" s="14"/>
      <c r="H700" s="15"/>
      <c r="I700" s="15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/>
      <c r="AU700" s="14"/>
      <c r="AV700" s="14"/>
      <c r="AW700" s="14"/>
      <c r="AX700" s="14"/>
      <c r="AY700" s="14"/>
      <c r="AZ700" s="14"/>
      <c r="BA700" s="14"/>
      <c r="BB700" s="14"/>
      <c r="BC700" s="14"/>
      <c r="BD700" s="14"/>
      <c r="BE700" s="14"/>
      <c r="BF700" s="14"/>
      <c r="BG700" s="14"/>
      <c r="BH700" s="14"/>
      <c r="BI700" s="14"/>
      <c r="BJ700" s="14"/>
      <c r="BK700" s="14"/>
      <c r="BL700" s="14"/>
      <c r="BM700" s="14"/>
      <c r="BN700" s="14"/>
      <c r="BO700" s="14"/>
      <c r="BP700" s="14"/>
      <c r="BQ700" s="14"/>
      <c r="BR700" s="14"/>
      <c r="BS700" s="14"/>
      <c r="BT700" s="14"/>
      <c r="BU700" s="14"/>
      <c r="BV700" s="14"/>
      <c r="BW700" s="14"/>
      <c r="BX700" s="14"/>
      <c r="BY700" s="14"/>
      <c r="BZ700" s="14"/>
      <c r="CA700" s="14"/>
      <c r="CB700" s="14"/>
      <c r="CC700" s="14"/>
      <c r="CD700" s="14"/>
      <c r="CE700" s="14"/>
      <c r="CF700" s="14"/>
      <c r="CG700" s="14"/>
      <c r="CH700" s="14"/>
      <c r="CI700" s="14"/>
      <c r="CJ700" s="14"/>
      <c r="CK700" s="14"/>
      <c r="CL700" s="14"/>
      <c r="CT700" s="14"/>
      <c r="CW700" s="3"/>
      <c r="DG700" s="4"/>
    </row>
    <row r="701" customFormat="false" ht="11.25" hidden="false" customHeight="true" outlineLevel="0" collapsed="false">
      <c r="A701" s="14"/>
      <c r="B701" s="15"/>
      <c r="C701" s="15"/>
      <c r="D701" s="14"/>
      <c r="E701" s="14"/>
      <c r="F701" s="14"/>
      <c r="G701" s="14"/>
      <c r="H701" s="15"/>
      <c r="I701" s="15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14"/>
      <c r="AX701" s="14"/>
      <c r="AY701" s="14"/>
      <c r="AZ701" s="14"/>
      <c r="BA701" s="14"/>
      <c r="BB701" s="14"/>
      <c r="BC701" s="14"/>
      <c r="BD701" s="14"/>
      <c r="BE701" s="14"/>
      <c r="BF701" s="14"/>
      <c r="BG701" s="14"/>
      <c r="BH701" s="14"/>
      <c r="BI701" s="14"/>
      <c r="BJ701" s="14"/>
      <c r="BK701" s="14"/>
      <c r="BL701" s="14"/>
      <c r="BM701" s="14"/>
      <c r="BN701" s="14"/>
      <c r="BO701" s="14"/>
      <c r="BP701" s="14"/>
      <c r="BQ701" s="14"/>
      <c r="BR701" s="14"/>
      <c r="BS701" s="14"/>
      <c r="BT701" s="14"/>
      <c r="BU701" s="14"/>
      <c r="BV701" s="14"/>
      <c r="BW701" s="14"/>
      <c r="BX701" s="14"/>
      <c r="BY701" s="14"/>
      <c r="BZ701" s="14"/>
      <c r="CA701" s="14"/>
      <c r="CB701" s="14"/>
      <c r="CC701" s="14"/>
      <c r="CD701" s="14"/>
      <c r="CE701" s="14"/>
      <c r="CF701" s="14"/>
      <c r="CG701" s="14"/>
      <c r="CH701" s="14"/>
      <c r="CI701" s="14"/>
      <c r="CJ701" s="14"/>
      <c r="CK701" s="14"/>
      <c r="CL701" s="14"/>
      <c r="CT701" s="14"/>
      <c r="CW701" s="3"/>
      <c r="DG701" s="4"/>
    </row>
    <row r="702" customFormat="false" ht="11.25" hidden="false" customHeight="true" outlineLevel="0" collapsed="false">
      <c r="A702" s="14"/>
      <c r="B702" s="15"/>
      <c r="C702" s="15"/>
      <c r="D702" s="14"/>
      <c r="E702" s="14"/>
      <c r="F702" s="14"/>
      <c r="G702" s="14"/>
      <c r="H702" s="15"/>
      <c r="I702" s="15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  <c r="AU702" s="14"/>
      <c r="AV702" s="14"/>
      <c r="AW702" s="14"/>
      <c r="AX702" s="14"/>
      <c r="AY702" s="14"/>
      <c r="AZ702" s="14"/>
      <c r="BA702" s="14"/>
      <c r="BB702" s="14"/>
      <c r="BC702" s="14"/>
      <c r="BD702" s="14"/>
      <c r="BE702" s="14"/>
      <c r="BF702" s="14"/>
      <c r="BG702" s="14"/>
      <c r="BH702" s="14"/>
      <c r="BI702" s="14"/>
      <c r="BJ702" s="14"/>
      <c r="BK702" s="14"/>
      <c r="BL702" s="14"/>
      <c r="BM702" s="14"/>
      <c r="BN702" s="14"/>
      <c r="BO702" s="14"/>
      <c r="BP702" s="14"/>
      <c r="BQ702" s="14"/>
      <c r="BR702" s="14"/>
      <c r="BS702" s="14"/>
      <c r="BT702" s="14"/>
      <c r="BU702" s="14"/>
      <c r="BV702" s="14"/>
      <c r="BW702" s="14"/>
      <c r="BX702" s="14"/>
      <c r="BY702" s="14"/>
      <c r="BZ702" s="14"/>
      <c r="CA702" s="14"/>
      <c r="CB702" s="14"/>
      <c r="CC702" s="14"/>
      <c r="CD702" s="14"/>
      <c r="CE702" s="14"/>
      <c r="CF702" s="14"/>
      <c r="CG702" s="14"/>
      <c r="CH702" s="14"/>
      <c r="CI702" s="14"/>
      <c r="CJ702" s="14"/>
      <c r="CK702" s="14"/>
      <c r="CL702" s="14"/>
      <c r="CT702" s="14"/>
      <c r="CW702" s="3"/>
      <c r="DG702" s="4"/>
    </row>
    <row r="703" customFormat="false" ht="11.25" hidden="false" customHeight="true" outlineLevel="0" collapsed="false">
      <c r="A703" s="14"/>
      <c r="B703" s="15"/>
      <c r="C703" s="15"/>
      <c r="D703" s="14"/>
      <c r="E703" s="14"/>
      <c r="F703" s="14"/>
      <c r="G703" s="14"/>
      <c r="H703" s="15"/>
      <c r="I703" s="15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4"/>
      <c r="AX703" s="14"/>
      <c r="AY703" s="14"/>
      <c r="AZ703" s="14"/>
      <c r="BA703" s="14"/>
      <c r="BB703" s="14"/>
      <c r="BC703" s="14"/>
      <c r="BD703" s="14"/>
      <c r="BE703" s="14"/>
      <c r="BF703" s="14"/>
      <c r="BG703" s="14"/>
      <c r="BH703" s="14"/>
      <c r="BI703" s="14"/>
      <c r="BJ703" s="14"/>
      <c r="BK703" s="14"/>
      <c r="BL703" s="14"/>
      <c r="BM703" s="14"/>
      <c r="BN703" s="14"/>
      <c r="BO703" s="14"/>
      <c r="BP703" s="14"/>
      <c r="BQ703" s="14"/>
      <c r="BR703" s="14"/>
      <c r="BS703" s="14"/>
      <c r="BT703" s="14"/>
      <c r="BU703" s="14"/>
      <c r="BV703" s="14"/>
      <c r="BW703" s="14"/>
      <c r="BX703" s="14"/>
      <c r="BY703" s="14"/>
      <c r="BZ703" s="14"/>
      <c r="CA703" s="14"/>
      <c r="CB703" s="14"/>
      <c r="CC703" s="14"/>
      <c r="CD703" s="14"/>
      <c r="CE703" s="14"/>
      <c r="CF703" s="14"/>
      <c r="CG703" s="14"/>
      <c r="CH703" s="14"/>
      <c r="CI703" s="14"/>
      <c r="CJ703" s="14"/>
      <c r="CK703" s="14"/>
      <c r="CL703" s="14"/>
      <c r="CT703" s="14"/>
      <c r="CW703" s="3"/>
      <c r="DG703" s="4"/>
    </row>
    <row r="704" customFormat="false" ht="11.25" hidden="false" customHeight="true" outlineLevel="0" collapsed="false">
      <c r="A704" s="14"/>
      <c r="B704" s="15"/>
      <c r="C704" s="15"/>
      <c r="D704" s="14"/>
      <c r="E704" s="14"/>
      <c r="F704" s="14"/>
      <c r="G704" s="14"/>
      <c r="H704" s="15"/>
      <c r="I704" s="15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  <c r="AU704" s="14"/>
      <c r="AV704" s="14"/>
      <c r="AW704" s="14"/>
      <c r="AX704" s="14"/>
      <c r="AY704" s="14"/>
      <c r="AZ704" s="14"/>
      <c r="BA704" s="14"/>
      <c r="BB704" s="14"/>
      <c r="BC704" s="14"/>
      <c r="BD704" s="14"/>
      <c r="BE704" s="14"/>
      <c r="BF704" s="14"/>
      <c r="BG704" s="14"/>
      <c r="BH704" s="14"/>
      <c r="BI704" s="14"/>
      <c r="BJ704" s="14"/>
      <c r="BK704" s="14"/>
      <c r="BL704" s="14"/>
      <c r="BM704" s="14"/>
      <c r="BN704" s="14"/>
      <c r="BO704" s="14"/>
      <c r="BP704" s="14"/>
      <c r="BQ704" s="14"/>
      <c r="BR704" s="14"/>
      <c r="BS704" s="14"/>
      <c r="BT704" s="14"/>
      <c r="BU704" s="14"/>
      <c r="BV704" s="14"/>
      <c r="BW704" s="14"/>
      <c r="BX704" s="14"/>
      <c r="BY704" s="14"/>
      <c r="BZ704" s="14"/>
      <c r="CA704" s="14"/>
      <c r="CB704" s="14"/>
      <c r="CC704" s="14"/>
      <c r="CD704" s="14"/>
      <c r="CE704" s="14"/>
      <c r="CF704" s="14"/>
      <c r="CG704" s="14"/>
      <c r="CH704" s="14"/>
      <c r="CI704" s="14"/>
      <c r="CJ704" s="14"/>
      <c r="CK704" s="14"/>
      <c r="CL704" s="14"/>
      <c r="CT704" s="14"/>
      <c r="CW704" s="3"/>
      <c r="DG704" s="4"/>
    </row>
    <row r="705" customFormat="false" ht="11.25" hidden="false" customHeight="true" outlineLevel="0" collapsed="false">
      <c r="A705" s="14"/>
      <c r="B705" s="15"/>
      <c r="C705" s="15"/>
      <c r="D705" s="14"/>
      <c r="E705" s="14"/>
      <c r="F705" s="14"/>
      <c r="G705" s="14"/>
      <c r="H705" s="15"/>
      <c r="I705" s="15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14"/>
      <c r="AX705" s="14"/>
      <c r="AY705" s="14"/>
      <c r="AZ705" s="14"/>
      <c r="BA705" s="14"/>
      <c r="BB705" s="14"/>
      <c r="BC705" s="14"/>
      <c r="BD705" s="14"/>
      <c r="BE705" s="14"/>
      <c r="BF705" s="14"/>
      <c r="BG705" s="14"/>
      <c r="BH705" s="14"/>
      <c r="BI705" s="14"/>
      <c r="BJ705" s="14"/>
      <c r="BK705" s="14"/>
      <c r="BL705" s="14"/>
      <c r="BM705" s="14"/>
      <c r="BN705" s="14"/>
      <c r="BO705" s="14"/>
      <c r="BP705" s="14"/>
      <c r="BQ705" s="14"/>
      <c r="BR705" s="14"/>
      <c r="BS705" s="14"/>
      <c r="BT705" s="14"/>
      <c r="BU705" s="14"/>
      <c r="BV705" s="14"/>
      <c r="BW705" s="14"/>
      <c r="BX705" s="14"/>
      <c r="BY705" s="14"/>
      <c r="BZ705" s="14"/>
      <c r="CA705" s="14"/>
      <c r="CB705" s="14"/>
      <c r="CC705" s="14"/>
      <c r="CD705" s="14"/>
      <c r="CE705" s="14"/>
      <c r="CF705" s="14"/>
      <c r="CG705" s="14"/>
      <c r="CH705" s="14"/>
      <c r="CI705" s="14"/>
      <c r="CJ705" s="14"/>
      <c r="CK705" s="14"/>
      <c r="CL705" s="14"/>
      <c r="CT705" s="14"/>
      <c r="CW705" s="3"/>
      <c r="DG705" s="4"/>
    </row>
    <row r="706" customFormat="false" ht="11.25" hidden="false" customHeight="true" outlineLevel="0" collapsed="false">
      <c r="A706" s="14"/>
      <c r="B706" s="15"/>
      <c r="C706" s="15"/>
      <c r="D706" s="14"/>
      <c r="E706" s="14"/>
      <c r="F706" s="14"/>
      <c r="G706" s="14"/>
      <c r="H706" s="15"/>
      <c r="I706" s="15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  <c r="AR706" s="14"/>
      <c r="AS706" s="14"/>
      <c r="AT706" s="14"/>
      <c r="AU706" s="14"/>
      <c r="AV706" s="14"/>
      <c r="AW706" s="14"/>
      <c r="AX706" s="14"/>
      <c r="AY706" s="14"/>
      <c r="AZ706" s="14"/>
      <c r="BA706" s="14"/>
      <c r="BB706" s="14"/>
      <c r="BC706" s="14"/>
      <c r="BD706" s="14"/>
      <c r="BE706" s="14"/>
      <c r="BF706" s="14"/>
      <c r="BG706" s="14"/>
      <c r="BH706" s="14"/>
      <c r="BI706" s="14"/>
      <c r="BJ706" s="14"/>
      <c r="BK706" s="14"/>
      <c r="BL706" s="14"/>
      <c r="BM706" s="14"/>
      <c r="BN706" s="14"/>
      <c r="BO706" s="14"/>
      <c r="BP706" s="14"/>
      <c r="BQ706" s="14"/>
      <c r="BR706" s="14"/>
      <c r="BS706" s="14"/>
      <c r="BT706" s="14"/>
      <c r="BU706" s="14"/>
      <c r="BV706" s="14"/>
      <c r="BW706" s="14"/>
      <c r="BX706" s="14"/>
      <c r="BY706" s="14"/>
      <c r="BZ706" s="14"/>
      <c r="CA706" s="14"/>
      <c r="CB706" s="14"/>
      <c r="CC706" s="14"/>
      <c r="CD706" s="14"/>
      <c r="CE706" s="14"/>
      <c r="CF706" s="14"/>
      <c r="CG706" s="14"/>
      <c r="CH706" s="14"/>
      <c r="CI706" s="14"/>
      <c r="CJ706" s="14"/>
      <c r="CK706" s="14"/>
      <c r="CL706" s="14"/>
      <c r="CT706" s="14"/>
      <c r="CW706" s="3"/>
      <c r="DG706" s="4"/>
    </row>
    <row r="707" customFormat="false" ht="11.25" hidden="false" customHeight="true" outlineLevel="0" collapsed="false">
      <c r="A707" s="14"/>
      <c r="B707" s="15"/>
      <c r="C707" s="15"/>
      <c r="D707" s="14"/>
      <c r="E707" s="14"/>
      <c r="F707" s="14"/>
      <c r="G707" s="14"/>
      <c r="H707" s="15"/>
      <c r="I707" s="15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  <c r="AW707" s="14"/>
      <c r="AX707" s="14"/>
      <c r="AY707" s="14"/>
      <c r="AZ707" s="14"/>
      <c r="BA707" s="14"/>
      <c r="BB707" s="14"/>
      <c r="BC707" s="14"/>
      <c r="BD707" s="14"/>
      <c r="BE707" s="14"/>
      <c r="BF707" s="14"/>
      <c r="BG707" s="14"/>
      <c r="BH707" s="14"/>
      <c r="BI707" s="14"/>
      <c r="BJ707" s="14"/>
      <c r="BK707" s="14"/>
      <c r="BL707" s="14"/>
      <c r="BM707" s="14"/>
      <c r="BN707" s="14"/>
      <c r="BO707" s="14"/>
      <c r="BP707" s="14"/>
      <c r="BQ707" s="14"/>
      <c r="BR707" s="14"/>
      <c r="BS707" s="14"/>
      <c r="BT707" s="14"/>
      <c r="BU707" s="14"/>
      <c r="BV707" s="14"/>
      <c r="BW707" s="14"/>
      <c r="BX707" s="14"/>
      <c r="BY707" s="14"/>
      <c r="BZ707" s="14"/>
      <c r="CA707" s="14"/>
      <c r="CB707" s="14"/>
      <c r="CC707" s="14"/>
      <c r="CD707" s="14"/>
      <c r="CE707" s="14"/>
      <c r="CF707" s="14"/>
      <c r="CG707" s="14"/>
      <c r="CH707" s="14"/>
      <c r="CI707" s="14"/>
      <c r="CJ707" s="14"/>
      <c r="CK707" s="14"/>
      <c r="CL707" s="14"/>
      <c r="CT707" s="14"/>
      <c r="CW707" s="3"/>
      <c r="DG707" s="4"/>
    </row>
    <row r="708" customFormat="false" ht="11.25" hidden="false" customHeight="true" outlineLevel="0" collapsed="false">
      <c r="A708" s="14"/>
      <c r="B708" s="15"/>
      <c r="C708" s="15"/>
      <c r="D708" s="14"/>
      <c r="E708" s="14"/>
      <c r="F708" s="14"/>
      <c r="G708" s="14"/>
      <c r="H708" s="15"/>
      <c r="I708" s="15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/>
      <c r="AU708" s="14"/>
      <c r="AV708" s="14"/>
      <c r="AW708" s="14"/>
      <c r="AX708" s="14"/>
      <c r="AY708" s="14"/>
      <c r="AZ708" s="14"/>
      <c r="BA708" s="14"/>
      <c r="BB708" s="14"/>
      <c r="BC708" s="14"/>
      <c r="BD708" s="14"/>
      <c r="BE708" s="14"/>
      <c r="BF708" s="14"/>
      <c r="BG708" s="14"/>
      <c r="BH708" s="14"/>
      <c r="BI708" s="14"/>
      <c r="BJ708" s="14"/>
      <c r="BK708" s="14"/>
      <c r="BL708" s="14"/>
      <c r="BM708" s="14"/>
      <c r="BN708" s="14"/>
      <c r="BO708" s="14"/>
      <c r="BP708" s="14"/>
      <c r="BQ708" s="14"/>
      <c r="BR708" s="14"/>
      <c r="BS708" s="14"/>
      <c r="BT708" s="14"/>
      <c r="BU708" s="14"/>
      <c r="BV708" s="14"/>
      <c r="BW708" s="14"/>
      <c r="BX708" s="14"/>
      <c r="BY708" s="14"/>
      <c r="BZ708" s="14"/>
      <c r="CA708" s="14"/>
      <c r="CB708" s="14"/>
      <c r="CC708" s="14"/>
      <c r="CD708" s="14"/>
      <c r="CE708" s="14"/>
      <c r="CF708" s="14"/>
      <c r="CG708" s="14"/>
      <c r="CH708" s="14"/>
      <c r="CI708" s="14"/>
      <c r="CJ708" s="14"/>
      <c r="CK708" s="14"/>
      <c r="CL708" s="14"/>
      <c r="CT708" s="14"/>
      <c r="CW708" s="3"/>
      <c r="DG708" s="4"/>
    </row>
    <row r="709" customFormat="false" ht="11.25" hidden="false" customHeight="true" outlineLevel="0" collapsed="false">
      <c r="A709" s="14"/>
      <c r="B709" s="15"/>
      <c r="C709" s="15"/>
      <c r="D709" s="14"/>
      <c r="E709" s="14"/>
      <c r="F709" s="14"/>
      <c r="G709" s="14"/>
      <c r="H709" s="15"/>
      <c r="I709" s="15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14"/>
      <c r="AX709" s="14"/>
      <c r="AY709" s="14"/>
      <c r="AZ709" s="14"/>
      <c r="BA709" s="14"/>
      <c r="BB709" s="14"/>
      <c r="BC709" s="14"/>
      <c r="BD709" s="14"/>
      <c r="BE709" s="14"/>
      <c r="BF709" s="14"/>
      <c r="BG709" s="14"/>
      <c r="BH709" s="14"/>
      <c r="BI709" s="14"/>
      <c r="BJ709" s="14"/>
      <c r="BK709" s="14"/>
      <c r="BL709" s="14"/>
      <c r="BM709" s="14"/>
      <c r="BN709" s="14"/>
      <c r="BO709" s="14"/>
      <c r="BP709" s="14"/>
      <c r="BQ709" s="14"/>
      <c r="BR709" s="14"/>
      <c r="BS709" s="14"/>
      <c r="BT709" s="14"/>
      <c r="BU709" s="14"/>
      <c r="BV709" s="14"/>
      <c r="BW709" s="14"/>
      <c r="BX709" s="14"/>
      <c r="BY709" s="14"/>
      <c r="BZ709" s="14"/>
      <c r="CA709" s="14"/>
      <c r="CB709" s="14"/>
      <c r="CC709" s="14"/>
      <c r="CD709" s="14"/>
      <c r="CE709" s="14"/>
      <c r="CF709" s="14"/>
      <c r="CG709" s="14"/>
      <c r="CH709" s="14"/>
      <c r="CI709" s="14"/>
      <c r="CJ709" s="14"/>
      <c r="CK709" s="14"/>
      <c r="CL709" s="14"/>
      <c r="CT709" s="14"/>
      <c r="CW709" s="3"/>
      <c r="DG709" s="4"/>
    </row>
    <row r="710" customFormat="false" ht="11.25" hidden="false" customHeight="true" outlineLevel="0" collapsed="false">
      <c r="A710" s="14"/>
      <c r="B710" s="15"/>
      <c r="C710" s="15"/>
      <c r="D710" s="14"/>
      <c r="E710" s="14"/>
      <c r="F710" s="14"/>
      <c r="G710" s="14"/>
      <c r="H710" s="15"/>
      <c r="I710" s="15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  <c r="AR710" s="14"/>
      <c r="AS710" s="14"/>
      <c r="AT710" s="14"/>
      <c r="AU710" s="14"/>
      <c r="AV710" s="14"/>
      <c r="AW710" s="14"/>
      <c r="AX710" s="14"/>
      <c r="AY710" s="14"/>
      <c r="AZ710" s="14"/>
      <c r="BA710" s="14"/>
      <c r="BB710" s="14"/>
      <c r="BC710" s="14"/>
      <c r="BD710" s="14"/>
      <c r="BE710" s="14"/>
      <c r="BF710" s="14"/>
      <c r="BG710" s="14"/>
      <c r="BH710" s="14"/>
      <c r="BI710" s="14"/>
      <c r="BJ710" s="14"/>
      <c r="BK710" s="14"/>
      <c r="BL710" s="14"/>
      <c r="BM710" s="14"/>
      <c r="BN710" s="14"/>
      <c r="BO710" s="14"/>
      <c r="BP710" s="14"/>
      <c r="BQ710" s="14"/>
      <c r="BR710" s="14"/>
      <c r="BS710" s="14"/>
      <c r="BT710" s="14"/>
      <c r="BU710" s="14"/>
      <c r="BV710" s="14"/>
      <c r="BW710" s="14"/>
      <c r="BX710" s="14"/>
      <c r="BY710" s="14"/>
      <c r="BZ710" s="14"/>
      <c r="CA710" s="14"/>
      <c r="CB710" s="14"/>
      <c r="CC710" s="14"/>
      <c r="CD710" s="14"/>
      <c r="CE710" s="14"/>
      <c r="CF710" s="14"/>
      <c r="CG710" s="14"/>
      <c r="CH710" s="14"/>
      <c r="CI710" s="14"/>
      <c r="CJ710" s="14"/>
      <c r="CK710" s="14"/>
      <c r="CL710" s="14"/>
      <c r="CT710" s="14"/>
      <c r="CW710" s="3"/>
      <c r="DG710" s="4"/>
    </row>
    <row r="711" customFormat="false" ht="11.25" hidden="false" customHeight="true" outlineLevel="0" collapsed="false">
      <c r="A711" s="14"/>
      <c r="B711" s="15"/>
      <c r="C711" s="15"/>
      <c r="D711" s="14"/>
      <c r="E711" s="14"/>
      <c r="F711" s="14"/>
      <c r="G711" s="14"/>
      <c r="H711" s="15"/>
      <c r="I711" s="15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  <c r="AW711" s="14"/>
      <c r="AX711" s="14"/>
      <c r="AY711" s="14"/>
      <c r="AZ711" s="14"/>
      <c r="BA711" s="14"/>
      <c r="BB711" s="14"/>
      <c r="BC711" s="14"/>
      <c r="BD711" s="14"/>
      <c r="BE711" s="14"/>
      <c r="BF711" s="14"/>
      <c r="BG711" s="14"/>
      <c r="BH711" s="14"/>
      <c r="BI711" s="14"/>
      <c r="BJ711" s="14"/>
      <c r="BK711" s="14"/>
      <c r="BL711" s="14"/>
      <c r="BM711" s="14"/>
      <c r="BN711" s="14"/>
      <c r="BO711" s="14"/>
      <c r="BP711" s="14"/>
      <c r="BQ711" s="14"/>
      <c r="BR711" s="14"/>
      <c r="BS711" s="14"/>
      <c r="BT711" s="14"/>
      <c r="BU711" s="14"/>
      <c r="BV711" s="14"/>
      <c r="BW711" s="14"/>
      <c r="BX711" s="14"/>
      <c r="BY711" s="14"/>
      <c r="BZ711" s="14"/>
      <c r="CA711" s="14"/>
      <c r="CB711" s="14"/>
      <c r="CC711" s="14"/>
      <c r="CD711" s="14"/>
      <c r="CE711" s="14"/>
      <c r="CF711" s="14"/>
      <c r="CG711" s="14"/>
      <c r="CH711" s="14"/>
      <c r="CI711" s="14"/>
      <c r="CJ711" s="14"/>
      <c r="CK711" s="14"/>
      <c r="CL711" s="14"/>
      <c r="CT711" s="14"/>
      <c r="CW711" s="3"/>
      <c r="DG711" s="4"/>
    </row>
    <row r="712" customFormat="false" ht="11.25" hidden="false" customHeight="true" outlineLevel="0" collapsed="false">
      <c r="A712" s="14"/>
      <c r="B712" s="15"/>
      <c r="C712" s="15"/>
      <c r="D712" s="14"/>
      <c r="E712" s="14"/>
      <c r="F712" s="14"/>
      <c r="G712" s="14"/>
      <c r="H712" s="15"/>
      <c r="I712" s="15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  <c r="AS712" s="14"/>
      <c r="AT712" s="14"/>
      <c r="AU712" s="14"/>
      <c r="AV712" s="14"/>
      <c r="AW712" s="14"/>
      <c r="AX712" s="14"/>
      <c r="AY712" s="14"/>
      <c r="AZ712" s="14"/>
      <c r="BA712" s="14"/>
      <c r="BB712" s="14"/>
      <c r="BC712" s="14"/>
      <c r="BD712" s="14"/>
      <c r="BE712" s="14"/>
      <c r="BF712" s="14"/>
      <c r="BG712" s="14"/>
      <c r="BH712" s="14"/>
      <c r="BI712" s="14"/>
      <c r="BJ712" s="14"/>
      <c r="BK712" s="14"/>
      <c r="BL712" s="14"/>
      <c r="BM712" s="14"/>
      <c r="BN712" s="14"/>
      <c r="BO712" s="14"/>
      <c r="BP712" s="14"/>
      <c r="BQ712" s="14"/>
      <c r="BR712" s="14"/>
      <c r="BS712" s="14"/>
      <c r="BT712" s="14"/>
      <c r="BU712" s="14"/>
      <c r="BV712" s="14"/>
      <c r="BW712" s="14"/>
      <c r="BX712" s="14"/>
      <c r="BY712" s="14"/>
      <c r="BZ712" s="14"/>
      <c r="CA712" s="14"/>
      <c r="CB712" s="14"/>
      <c r="CC712" s="14"/>
      <c r="CD712" s="14"/>
      <c r="CE712" s="14"/>
      <c r="CF712" s="14"/>
      <c r="CG712" s="14"/>
      <c r="CH712" s="14"/>
      <c r="CI712" s="14"/>
      <c r="CJ712" s="14"/>
      <c r="CK712" s="14"/>
      <c r="CL712" s="14"/>
      <c r="CT712" s="14"/>
      <c r="CW712" s="3"/>
      <c r="DG712" s="4"/>
    </row>
    <row r="713" customFormat="false" ht="11.25" hidden="false" customHeight="true" outlineLevel="0" collapsed="false">
      <c r="A713" s="14"/>
      <c r="B713" s="15"/>
      <c r="C713" s="15"/>
      <c r="D713" s="14"/>
      <c r="E713" s="14"/>
      <c r="F713" s="14"/>
      <c r="G713" s="14"/>
      <c r="H713" s="15"/>
      <c r="I713" s="15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  <c r="AW713" s="14"/>
      <c r="AX713" s="14"/>
      <c r="AY713" s="14"/>
      <c r="AZ713" s="14"/>
      <c r="BA713" s="14"/>
      <c r="BB713" s="14"/>
      <c r="BC713" s="14"/>
      <c r="BD713" s="14"/>
      <c r="BE713" s="14"/>
      <c r="BF713" s="14"/>
      <c r="BG713" s="14"/>
      <c r="BH713" s="14"/>
      <c r="BI713" s="14"/>
      <c r="BJ713" s="14"/>
      <c r="BK713" s="14"/>
      <c r="BL713" s="14"/>
      <c r="BM713" s="14"/>
      <c r="BN713" s="14"/>
      <c r="BO713" s="14"/>
      <c r="BP713" s="14"/>
      <c r="BQ713" s="14"/>
      <c r="BR713" s="14"/>
      <c r="BS713" s="14"/>
      <c r="BT713" s="14"/>
      <c r="BU713" s="14"/>
      <c r="BV713" s="14"/>
      <c r="BW713" s="14"/>
      <c r="BX713" s="14"/>
      <c r="BY713" s="14"/>
      <c r="BZ713" s="14"/>
      <c r="CA713" s="14"/>
      <c r="CB713" s="14"/>
      <c r="CC713" s="14"/>
      <c r="CD713" s="14"/>
      <c r="CE713" s="14"/>
      <c r="CF713" s="14"/>
      <c r="CG713" s="14"/>
      <c r="CH713" s="14"/>
      <c r="CI713" s="14"/>
      <c r="CJ713" s="14"/>
      <c r="CK713" s="14"/>
      <c r="CL713" s="14"/>
      <c r="CT713" s="14"/>
      <c r="CW713" s="3"/>
      <c r="DG713" s="4"/>
    </row>
    <row r="714" customFormat="false" ht="11.25" hidden="false" customHeight="true" outlineLevel="0" collapsed="false">
      <c r="A714" s="14"/>
      <c r="B714" s="15"/>
      <c r="C714" s="15"/>
      <c r="D714" s="14"/>
      <c r="E714" s="14"/>
      <c r="F714" s="14"/>
      <c r="G714" s="14"/>
      <c r="H714" s="15"/>
      <c r="I714" s="15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  <c r="AU714" s="14"/>
      <c r="AV714" s="14"/>
      <c r="AW714" s="14"/>
      <c r="AX714" s="14"/>
      <c r="AY714" s="14"/>
      <c r="AZ714" s="14"/>
      <c r="BA714" s="14"/>
      <c r="BB714" s="14"/>
      <c r="BC714" s="14"/>
      <c r="BD714" s="14"/>
      <c r="BE714" s="14"/>
      <c r="BF714" s="14"/>
      <c r="BG714" s="14"/>
      <c r="BH714" s="14"/>
      <c r="BI714" s="14"/>
      <c r="BJ714" s="14"/>
      <c r="BK714" s="14"/>
      <c r="BL714" s="14"/>
      <c r="BM714" s="14"/>
      <c r="BN714" s="14"/>
      <c r="BO714" s="14"/>
      <c r="BP714" s="14"/>
      <c r="BQ714" s="14"/>
      <c r="BR714" s="14"/>
      <c r="BS714" s="14"/>
      <c r="BT714" s="14"/>
      <c r="BU714" s="14"/>
      <c r="BV714" s="14"/>
      <c r="BW714" s="14"/>
      <c r="BX714" s="14"/>
      <c r="BY714" s="14"/>
      <c r="BZ714" s="14"/>
      <c r="CA714" s="14"/>
      <c r="CB714" s="14"/>
      <c r="CC714" s="14"/>
      <c r="CD714" s="14"/>
      <c r="CE714" s="14"/>
      <c r="CF714" s="14"/>
      <c r="CG714" s="14"/>
      <c r="CH714" s="14"/>
      <c r="CI714" s="14"/>
      <c r="CJ714" s="14"/>
      <c r="CK714" s="14"/>
      <c r="CL714" s="14"/>
      <c r="CT714" s="14"/>
      <c r="CW714" s="3"/>
      <c r="DG714" s="4"/>
    </row>
    <row r="715" customFormat="false" ht="11.25" hidden="false" customHeight="true" outlineLevel="0" collapsed="false">
      <c r="A715" s="14"/>
      <c r="B715" s="15"/>
      <c r="C715" s="15"/>
      <c r="D715" s="14"/>
      <c r="E715" s="14"/>
      <c r="F715" s="14"/>
      <c r="G715" s="14"/>
      <c r="H715" s="15"/>
      <c r="I715" s="15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14"/>
      <c r="AX715" s="14"/>
      <c r="AY715" s="14"/>
      <c r="AZ715" s="14"/>
      <c r="BA715" s="14"/>
      <c r="BB715" s="14"/>
      <c r="BC715" s="14"/>
      <c r="BD715" s="14"/>
      <c r="BE715" s="14"/>
      <c r="BF715" s="14"/>
      <c r="BG715" s="14"/>
      <c r="BH715" s="14"/>
      <c r="BI715" s="14"/>
      <c r="BJ715" s="14"/>
      <c r="BK715" s="14"/>
      <c r="BL715" s="14"/>
      <c r="BM715" s="14"/>
      <c r="BN715" s="14"/>
      <c r="BO715" s="14"/>
      <c r="BP715" s="14"/>
      <c r="BQ715" s="14"/>
      <c r="BR715" s="14"/>
      <c r="BS715" s="14"/>
      <c r="BT715" s="14"/>
      <c r="BU715" s="14"/>
      <c r="BV715" s="14"/>
      <c r="BW715" s="14"/>
      <c r="BX715" s="14"/>
      <c r="BY715" s="14"/>
      <c r="BZ715" s="14"/>
      <c r="CA715" s="14"/>
      <c r="CB715" s="14"/>
      <c r="CC715" s="14"/>
      <c r="CD715" s="14"/>
      <c r="CE715" s="14"/>
      <c r="CF715" s="14"/>
      <c r="CG715" s="14"/>
      <c r="CH715" s="14"/>
      <c r="CI715" s="14"/>
      <c r="CJ715" s="14"/>
      <c r="CK715" s="14"/>
      <c r="CL715" s="14"/>
      <c r="CT715" s="14"/>
      <c r="CW715" s="3"/>
      <c r="DG715" s="4"/>
    </row>
    <row r="716" customFormat="false" ht="11.25" hidden="false" customHeight="true" outlineLevel="0" collapsed="false">
      <c r="A716" s="14"/>
      <c r="B716" s="15"/>
      <c r="C716" s="15"/>
      <c r="D716" s="14"/>
      <c r="E716" s="14"/>
      <c r="F716" s="14"/>
      <c r="G716" s="14"/>
      <c r="H716" s="15"/>
      <c r="I716" s="15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  <c r="AU716" s="14"/>
      <c r="AV716" s="14"/>
      <c r="AW716" s="14"/>
      <c r="AX716" s="14"/>
      <c r="AY716" s="14"/>
      <c r="AZ716" s="14"/>
      <c r="BA716" s="14"/>
      <c r="BB716" s="14"/>
      <c r="BC716" s="14"/>
      <c r="BD716" s="14"/>
      <c r="BE716" s="14"/>
      <c r="BF716" s="14"/>
      <c r="BG716" s="14"/>
      <c r="BH716" s="14"/>
      <c r="BI716" s="14"/>
      <c r="BJ716" s="14"/>
      <c r="BK716" s="14"/>
      <c r="BL716" s="14"/>
      <c r="BM716" s="14"/>
      <c r="BN716" s="14"/>
      <c r="BO716" s="14"/>
      <c r="BP716" s="14"/>
      <c r="BQ716" s="14"/>
      <c r="BR716" s="14"/>
      <c r="BS716" s="14"/>
      <c r="BT716" s="14"/>
      <c r="BU716" s="14"/>
      <c r="BV716" s="14"/>
      <c r="BW716" s="14"/>
      <c r="BX716" s="14"/>
      <c r="BY716" s="14"/>
      <c r="BZ716" s="14"/>
      <c r="CA716" s="14"/>
      <c r="CB716" s="14"/>
      <c r="CC716" s="14"/>
      <c r="CD716" s="14"/>
      <c r="CE716" s="14"/>
      <c r="CF716" s="14"/>
      <c r="CG716" s="14"/>
      <c r="CH716" s="14"/>
      <c r="CI716" s="14"/>
      <c r="CJ716" s="14"/>
      <c r="CK716" s="14"/>
      <c r="CL716" s="14"/>
      <c r="CT716" s="14"/>
      <c r="CW716" s="3"/>
      <c r="DG716" s="4"/>
    </row>
    <row r="717" customFormat="false" ht="11.25" hidden="false" customHeight="true" outlineLevel="0" collapsed="false">
      <c r="A717" s="14"/>
      <c r="B717" s="15"/>
      <c r="C717" s="15"/>
      <c r="D717" s="14"/>
      <c r="E717" s="14"/>
      <c r="F717" s="14"/>
      <c r="G717" s="14"/>
      <c r="H717" s="15"/>
      <c r="I717" s="15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14"/>
      <c r="AX717" s="14"/>
      <c r="AY717" s="14"/>
      <c r="AZ717" s="14"/>
      <c r="BA717" s="14"/>
      <c r="BB717" s="14"/>
      <c r="BC717" s="14"/>
      <c r="BD717" s="14"/>
      <c r="BE717" s="14"/>
      <c r="BF717" s="14"/>
      <c r="BG717" s="14"/>
      <c r="BH717" s="14"/>
      <c r="BI717" s="14"/>
      <c r="BJ717" s="14"/>
      <c r="BK717" s="14"/>
      <c r="BL717" s="14"/>
      <c r="BM717" s="14"/>
      <c r="BN717" s="14"/>
      <c r="BO717" s="14"/>
      <c r="BP717" s="14"/>
      <c r="BQ717" s="14"/>
      <c r="BR717" s="14"/>
      <c r="BS717" s="14"/>
      <c r="BT717" s="14"/>
      <c r="BU717" s="14"/>
      <c r="BV717" s="14"/>
      <c r="BW717" s="14"/>
      <c r="BX717" s="14"/>
      <c r="BY717" s="14"/>
      <c r="BZ717" s="14"/>
      <c r="CA717" s="14"/>
      <c r="CB717" s="14"/>
      <c r="CC717" s="14"/>
      <c r="CD717" s="14"/>
      <c r="CE717" s="14"/>
      <c r="CF717" s="14"/>
      <c r="CG717" s="14"/>
      <c r="CH717" s="14"/>
      <c r="CI717" s="14"/>
      <c r="CJ717" s="14"/>
      <c r="CK717" s="14"/>
      <c r="CL717" s="14"/>
      <c r="CT717" s="14"/>
      <c r="CW717" s="3"/>
      <c r="DG717" s="4"/>
    </row>
    <row r="718" customFormat="false" ht="11.25" hidden="false" customHeight="true" outlineLevel="0" collapsed="false">
      <c r="A718" s="14"/>
      <c r="B718" s="15"/>
      <c r="C718" s="15"/>
      <c r="D718" s="14"/>
      <c r="E718" s="14"/>
      <c r="F718" s="14"/>
      <c r="G718" s="14"/>
      <c r="H718" s="15"/>
      <c r="I718" s="15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/>
      <c r="AU718" s="14"/>
      <c r="AV718" s="14"/>
      <c r="AW718" s="14"/>
      <c r="AX718" s="14"/>
      <c r="AY718" s="14"/>
      <c r="AZ718" s="14"/>
      <c r="BA718" s="14"/>
      <c r="BB718" s="14"/>
      <c r="BC718" s="14"/>
      <c r="BD718" s="14"/>
      <c r="BE718" s="14"/>
      <c r="BF718" s="14"/>
      <c r="BG718" s="14"/>
      <c r="BH718" s="14"/>
      <c r="BI718" s="14"/>
      <c r="BJ718" s="14"/>
      <c r="BK718" s="14"/>
      <c r="BL718" s="14"/>
      <c r="BM718" s="14"/>
      <c r="BN718" s="14"/>
      <c r="BO718" s="14"/>
      <c r="BP718" s="14"/>
      <c r="BQ718" s="14"/>
      <c r="BR718" s="14"/>
      <c r="BS718" s="14"/>
      <c r="BT718" s="14"/>
      <c r="BU718" s="14"/>
      <c r="BV718" s="14"/>
      <c r="BW718" s="14"/>
      <c r="BX718" s="14"/>
      <c r="BY718" s="14"/>
      <c r="BZ718" s="14"/>
      <c r="CA718" s="14"/>
      <c r="CB718" s="14"/>
      <c r="CC718" s="14"/>
      <c r="CD718" s="14"/>
      <c r="CE718" s="14"/>
      <c r="CF718" s="14"/>
      <c r="CG718" s="14"/>
      <c r="CH718" s="14"/>
      <c r="CI718" s="14"/>
      <c r="CJ718" s="14"/>
      <c r="CK718" s="14"/>
      <c r="CL718" s="14"/>
      <c r="CT718" s="14"/>
      <c r="CW718" s="3"/>
      <c r="DG718" s="4"/>
    </row>
    <row r="719" customFormat="false" ht="11.25" hidden="false" customHeight="true" outlineLevel="0" collapsed="false">
      <c r="A719" s="14"/>
      <c r="B719" s="15"/>
      <c r="C719" s="15"/>
      <c r="D719" s="14"/>
      <c r="E719" s="14"/>
      <c r="F719" s="14"/>
      <c r="G719" s="14"/>
      <c r="H719" s="15"/>
      <c r="I719" s="15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4"/>
      <c r="AX719" s="14"/>
      <c r="AY719" s="14"/>
      <c r="AZ719" s="14"/>
      <c r="BA719" s="14"/>
      <c r="BB719" s="14"/>
      <c r="BC719" s="14"/>
      <c r="BD719" s="14"/>
      <c r="BE719" s="14"/>
      <c r="BF719" s="14"/>
      <c r="BG719" s="14"/>
      <c r="BH719" s="14"/>
      <c r="BI719" s="14"/>
      <c r="BJ719" s="14"/>
      <c r="BK719" s="14"/>
      <c r="BL719" s="14"/>
      <c r="BM719" s="14"/>
      <c r="BN719" s="14"/>
      <c r="BO719" s="14"/>
      <c r="BP719" s="14"/>
      <c r="BQ719" s="14"/>
      <c r="BR719" s="14"/>
      <c r="BS719" s="14"/>
      <c r="BT719" s="14"/>
      <c r="BU719" s="14"/>
      <c r="BV719" s="14"/>
      <c r="BW719" s="14"/>
      <c r="BX719" s="14"/>
      <c r="BY719" s="14"/>
      <c r="BZ719" s="14"/>
      <c r="CA719" s="14"/>
      <c r="CB719" s="14"/>
      <c r="CC719" s="14"/>
      <c r="CD719" s="14"/>
      <c r="CE719" s="14"/>
      <c r="CF719" s="14"/>
      <c r="CG719" s="14"/>
      <c r="CH719" s="14"/>
      <c r="CI719" s="14"/>
      <c r="CJ719" s="14"/>
      <c r="CK719" s="14"/>
      <c r="CL719" s="14"/>
      <c r="CT719" s="14"/>
      <c r="CW719" s="3"/>
      <c r="DG719" s="4"/>
    </row>
    <row r="720" customFormat="false" ht="11.25" hidden="false" customHeight="true" outlineLevel="0" collapsed="false">
      <c r="A720" s="14"/>
      <c r="B720" s="15"/>
      <c r="C720" s="15"/>
      <c r="D720" s="14"/>
      <c r="E720" s="14"/>
      <c r="F720" s="14"/>
      <c r="G720" s="14"/>
      <c r="H720" s="15"/>
      <c r="I720" s="15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  <c r="AU720" s="14"/>
      <c r="AV720" s="14"/>
      <c r="AW720" s="14"/>
      <c r="AX720" s="14"/>
      <c r="AY720" s="14"/>
      <c r="AZ720" s="14"/>
      <c r="BA720" s="14"/>
      <c r="BB720" s="14"/>
      <c r="BC720" s="14"/>
      <c r="BD720" s="14"/>
      <c r="BE720" s="14"/>
      <c r="BF720" s="14"/>
      <c r="BG720" s="14"/>
      <c r="BH720" s="14"/>
      <c r="BI720" s="14"/>
      <c r="BJ720" s="14"/>
      <c r="BK720" s="14"/>
      <c r="BL720" s="14"/>
      <c r="BM720" s="14"/>
      <c r="BN720" s="14"/>
      <c r="BO720" s="14"/>
      <c r="BP720" s="14"/>
      <c r="BQ720" s="14"/>
      <c r="BR720" s="14"/>
      <c r="BS720" s="14"/>
      <c r="BT720" s="14"/>
      <c r="BU720" s="14"/>
      <c r="BV720" s="14"/>
      <c r="BW720" s="14"/>
      <c r="BX720" s="14"/>
      <c r="BY720" s="14"/>
      <c r="BZ720" s="14"/>
      <c r="CA720" s="14"/>
      <c r="CB720" s="14"/>
      <c r="CC720" s="14"/>
      <c r="CD720" s="14"/>
      <c r="CE720" s="14"/>
      <c r="CF720" s="14"/>
      <c r="CG720" s="14"/>
      <c r="CH720" s="14"/>
      <c r="CI720" s="14"/>
      <c r="CJ720" s="14"/>
      <c r="CK720" s="14"/>
      <c r="CL720" s="14"/>
      <c r="CT720" s="14"/>
      <c r="CW720" s="3"/>
      <c r="DG720" s="4"/>
    </row>
    <row r="721" customFormat="false" ht="11.25" hidden="false" customHeight="true" outlineLevel="0" collapsed="false">
      <c r="A721" s="14"/>
      <c r="B721" s="15"/>
      <c r="C721" s="15"/>
      <c r="D721" s="14"/>
      <c r="E721" s="14"/>
      <c r="F721" s="14"/>
      <c r="G721" s="14"/>
      <c r="H721" s="15"/>
      <c r="I721" s="15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14"/>
      <c r="AV721" s="14"/>
      <c r="AW721" s="14"/>
      <c r="AX721" s="14"/>
      <c r="AY721" s="14"/>
      <c r="AZ721" s="14"/>
      <c r="BA721" s="14"/>
      <c r="BB721" s="14"/>
      <c r="BC721" s="14"/>
      <c r="BD721" s="14"/>
      <c r="BE721" s="14"/>
      <c r="BF721" s="14"/>
      <c r="BG721" s="14"/>
      <c r="BH721" s="14"/>
      <c r="BI721" s="14"/>
      <c r="BJ721" s="14"/>
      <c r="BK721" s="14"/>
      <c r="BL721" s="14"/>
      <c r="BM721" s="14"/>
      <c r="BN721" s="14"/>
      <c r="BO721" s="14"/>
      <c r="BP721" s="14"/>
      <c r="BQ721" s="14"/>
      <c r="BR721" s="14"/>
      <c r="BS721" s="14"/>
      <c r="BT721" s="14"/>
      <c r="BU721" s="14"/>
      <c r="BV721" s="14"/>
      <c r="BW721" s="14"/>
      <c r="BX721" s="14"/>
      <c r="BY721" s="14"/>
      <c r="BZ721" s="14"/>
      <c r="CA721" s="14"/>
      <c r="CB721" s="14"/>
      <c r="CC721" s="14"/>
      <c r="CD721" s="14"/>
      <c r="CE721" s="14"/>
      <c r="CF721" s="14"/>
      <c r="CG721" s="14"/>
      <c r="CH721" s="14"/>
      <c r="CI721" s="14"/>
      <c r="CJ721" s="14"/>
      <c r="CK721" s="14"/>
      <c r="CL721" s="14"/>
      <c r="CT721" s="14"/>
      <c r="CW721" s="3"/>
      <c r="DG721" s="4"/>
    </row>
    <row r="722" customFormat="false" ht="11.25" hidden="false" customHeight="true" outlineLevel="0" collapsed="false">
      <c r="A722" s="14"/>
      <c r="B722" s="15"/>
      <c r="C722" s="15"/>
      <c r="D722" s="14"/>
      <c r="E722" s="14"/>
      <c r="F722" s="14"/>
      <c r="G722" s="14"/>
      <c r="H722" s="15"/>
      <c r="I722" s="15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  <c r="AU722" s="14"/>
      <c r="AV722" s="14"/>
      <c r="AW722" s="14"/>
      <c r="AX722" s="14"/>
      <c r="AY722" s="14"/>
      <c r="AZ722" s="14"/>
      <c r="BA722" s="14"/>
      <c r="BB722" s="14"/>
      <c r="BC722" s="14"/>
      <c r="BD722" s="14"/>
      <c r="BE722" s="14"/>
      <c r="BF722" s="14"/>
      <c r="BG722" s="14"/>
      <c r="BH722" s="14"/>
      <c r="BI722" s="14"/>
      <c r="BJ722" s="14"/>
      <c r="BK722" s="14"/>
      <c r="BL722" s="14"/>
      <c r="BM722" s="14"/>
      <c r="BN722" s="14"/>
      <c r="BO722" s="14"/>
      <c r="BP722" s="14"/>
      <c r="BQ722" s="14"/>
      <c r="BR722" s="14"/>
      <c r="BS722" s="14"/>
      <c r="BT722" s="14"/>
      <c r="BU722" s="14"/>
      <c r="BV722" s="14"/>
      <c r="BW722" s="14"/>
      <c r="BX722" s="14"/>
      <c r="BY722" s="14"/>
      <c r="BZ722" s="14"/>
      <c r="CA722" s="14"/>
      <c r="CB722" s="14"/>
      <c r="CC722" s="14"/>
      <c r="CD722" s="14"/>
      <c r="CE722" s="14"/>
      <c r="CF722" s="14"/>
      <c r="CG722" s="14"/>
      <c r="CH722" s="14"/>
      <c r="CI722" s="14"/>
      <c r="CJ722" s="14"/>
      <c r="CK722" s="14"/>
      <c r="CL722" s="14"/>
      <c r="CT722" s="14"/>
      <c r="CW722" s="3"/>
      <c r="DG722" s="4"/>
    </row>
    <row r="723" customFormat="false" ht="11.25" hidden="false" customHeight="true" outlineLevel="0" collapsed="false">
      <c r="A723" s="14"/>
      <c r="B723" s="15"/>
      <c r="C723" s="15"/>
      <c r="D723" s="14"/>
      <c r="E723" s="14"/>
      <c r="F723" s="14"/>
      <c r="G723" s="14"/>
      <c r="H723" s="15"/>
      <c r="I723" s="15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4"/>
      <c r="AX723" s="14"/>
      <c r="AY723" s="14"/>
      <c r="AZ723" s="14"/>
      <c r="BA723" s="14"/>
      <c r="BB723" s="14"/>
      <c r="BC723" s="14"/>
      <c r="BD723" s="14"/>
      <c r="BE723" s="14"/>
      <c r="BF723" s="14"/>
      <c r="BG723" s="14"/>
      <c r="BH723" s="14"/>
      <c r="BI723" s="14"/>
      <c r="BJ723" s="14"/>
      <c r="BK723" s="14"/>
      <c r="BL723" s="14"/>
      <c r="BM723" s="14"/>
      <c r="BN723" s="14"/>
      <c r="BO723" s="14"/>
      <c r="BP723" s="14"/>
      <c r="BQ723" s="14"/>
      <c r="BR723" s="14"/>
      <c r="BS723" s="14"/>
      <c r="BT723" s="14"/>
      <c r="BU723" s="14"/>
      <c r="BV723" s="14"/>
      <c r="BW723" s="14"/>
      <c r="BX723" s="14"/>
      <c r="BY723" s="14"/>
      <c r="BZ723" s="14"/>
      <c r="CA723" s="14"/>
      <c r="CB723" s="14"/>
      <c r="CC723" s="14"/>
      <c r="CD723" s="14"/>
      <c r="CE723" s="14"/>
      <c r="CF723" s="14"/>
      <c r="CG723" s="14"/>
      <c r="CH723" s="14"/>
      <c r="CI723" s="14"/>
      <c r="CJ723" s="14"/>
      <c r="CK723" s="14"/>
      <c r="CL723" s="14"/>
      <c r="CT723" s="14"/>
      <c r="CW723" s="3"/>
      <c r="DG723" s="4"/>
    </row>
    <row r="724" customFormat="false" ht="11.25" hidden="false" customHeight="true" outlineLevel="0" collapsed="false">
      <c r="A724" s="14"/>
      <c r="B724" s="15"/>
      <c r="C724" s="15"/>
      <c r="D724" s="14"/>
      <c r="E724" s="14"/>
      <c r="F724" s="14"/>
      <c r="G724" s="14"/>
      <c r="H724" s="15"/>
      <c r="I724" s="15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  <c r="AU724" s="14"/>
      <c r="AV724" s="14"/>
      <c r="AW724" s="14"/>
      <c r="AX724" s="14"/>
      <c r="AY724" s="14"/>
      <c r="AZ724" s="14"/>
      <c r="BA724" s="14"/>
      <c r="BB724" s="14"/>
      <c r="BC724" s="14"/>
      <c r="BD724" s="14"/>
      <c r="BE724" s="14"/>
      <c r="BF724" s="14"/>
      <c r="BG724" s="14"/>
      <c r="BH724" s="14"/>
      <c r="BI724" s="14"/>
      <c r="BJ724" s="14"/>
      <c r="BK724" s="14"/>
      <c r="BL724" s="14"/>
      <c r="BM724" s="14"/>
      <c r="BN724" s="14"/>
      <c r="BO724" s="14"/>
      <c r="BP724" s="14"/>
      <c r="BQ724" s="14"/>
      <c r="BR724" s="14"/>
      <c r="BS724" s="14"/>
      <c r="BT724" s="14"/>
      <c r="BU724" s="14"/>
      <c r="BV724" s="14"/>
      <c r="BW724" s="14"/>
      <c r="BX724" s="14"/>
      <c r="BY724" s="14"/>
      <c r="BZ724" s="14"/>
      <c r="CA724" s="14"/>
      <c r="CB724" s="14"/>
      <c r="CC724" s="14"/>
      <c r="CD724" s="14"/>
      <c r="CE724" s="14"/>
      <c r="CF724" s="14"/>
      <c r="CG724" s="14"/>
      <c r="CH724" s="14"/>
      <c r="CI724" s="14"/>
      <c r="CJ724" s="14"/>
      <c r="CK724" s="14"/>
      <c r="CL724" s="14"/>
      <c r="CT724" s="14"/>
      <c r="CW724" s="3"/>
      <c r="DG724" s="4"/>
    </row>
    <row r="725" customFormat="false" ht="11.25" hidden="false" customHeight="true" outlineLevel="0" collapsed="false">
      <c r="A725" s="14"/>
      <c r="B725" s="15"/>
      <c r="C725" s="15"/>
      <c r="D725" s="14"/>
      <c r="E725" s="14"/>
      <c r="F725" s="14"/>
      <c r="G725" s="14"/>
      <c r="H725" s="15"/>
      <c r="I725" s="15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  <c r="AW725" s="14"/>
      <c r="AX725" s="14"/>
      <c r="AY725" s="14"/>
      <c r="AZ725" s="14"/>
      <c r="BA725" s="14"/>
      <c r="BB725" s="14"/>
      <c r="BC725" s="14"/>
      <c r="BD725" s="14"/>
      <c r="BE725" s="14"/>
      <c r="BF725" s="14"/>
      <c r="BG725" s="14"/>
      <c r="BH725" s="14"/>
      <c r="BI725" s="14"/>
      <c r="BJ725" s="14"/>
      <c r="BK725" s="14"/>
      <c r="BL725" s="14"/>
      <c r="BM725" s="14"/>
      <c r="BN725" s="14"/>
      <c r="BO725" s="14"/>
      <c r="BP725" s="14"/>
      <c r="BQ725" s="14"/>
      <c r="BR725" s="14"/>
      <c r="BS725" s="14"/>
      <c r="BT725" s="14"/>
      <c r="BU725" s="14"/>
      <c r="BV725" s="14"/>
      <c r="BW725" s="14"/>
      <c r="BX725" s="14"/>
      <c r="BY725" s="14"/>
      <c r="BZ725" s="14"/>
      <c r="CA725" s="14"/>
      <c r="CB725" s="14"/>
      <c r="CC725" s="14"/>
      <c r="CD725" s="14"/>
      <c r="CE725" s="14"/>
      <c r="CF725" s="14"/>
      <c r="CG725" s="14"/>
      <c r="CH725" s="14"/>
      <c r="CI725" s="14"/>
      <c r="CJ725" s="14"/>
      <c r="CK725" s="14"/>
      <c r="CL725" s="14"/>
      <c r="CT725" s="14"/>
      <c r="CW725" s="3"/>
      <c r="DG725" s="4"/>
    </row>
    <row r="726" customFormat="false" ht="11.25" hidden="false" customHeight="true" outlineLevel="0" collapsed="false">
      <c r="A726" s="14"/>
      <c r="B726" s="15"/>
      <c r="C726" s="15"/>
      <c r="D726" s="14"/>
      <c r="E726" s="14"/>
      <c r="F726" s="14"/>
      <c r="G726" s="14"/>
      <c r="H726" s="15"/>
      <c r="I726" s="15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4"/>
      <c r="AS726" s="14"/>
      <c r="AT726" s="14"/>
      <c r="AU726" s="14"/>
      <c r="AV726" s="14"/>
      <c r="AW726" s="14"/>
      <c r="AX726" s="14"/>
      <c r="AY726" s="14"/>
      <c r="AZ726" s="14"/>
      <c r="BA726" s="14"/>
      <c r="BB726" s="14"/>
      <c r="BC726" s="14"/>
      <c r="BD726" s="14"/>
      <c r="BE726" s="14"/>
      <c r="BF726" s="14"/>
      <c r="BG726" s="14"/>
      <c r="BH726" s="14"/>
      <c r="BI726" s="14"/>
      <c r="BJ726" s="14"/>
      <c r="BK726" s="14"/>
      <c r="BL726" s="14"/>
      <c r="BM726" s="14"/>
      <c r="BN726" s="14"/>
      <c r="BO726" s="14"/>
      <c r="BP726" s="14"/>
      <c r="BQ726" s="14"/>
      <c r="BR726" s="14"/>
      <c r="BS726" s="14"/>
      <c r="BT726" s="14"/>
      <c r="BU726" s="14"/>
      <c r="BV726" s="14"/>
      <c r="BW726" s="14"/>
      <c r="BX726" s="14"/>
      <c r="BY726" s="14"/>
      <c r="BZ726" s="14"/>
      <c r="CA726" s="14"/>
      <c r="CB726" s="14"/>
      <c r="CC726" s="14"/>
      <c r="CD726" s="14"/>
      <c r="CE726" s="14"/>
      <c r="CF726" s="14"/>
      <c r="CG726" s="14"/>
      <c r="CH726" s="14"/>
      <c r="CI726" s="14"/>
      <c r="CJ726" s="14"/>
      <c r="CK726" s="14"/>
      <c r="CL726" s="14"/>
      <c r="CT726" s="14"/>
      <c r="CW726" s="3"/>
      <c r="DG726" s="4"/>
    </row>
    <row r="727" customFormat="false" ht="11.25" hidden="false" customHeight="true" outlineLevel="0" collapsed="false">
      <c r="A727" s="14"/>
      <c r="B727" s="15"/>
      <c r="C727" s="15"/>
      <c r="D727" s="14"/>
      <c r="E727" s="14"/>
      <c r="F727" s="14"/>
      <c r="G727" s="14"/>
      <c r="H727" s="15"/>
      <c r="I727" s="15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4"/>
      <c r="AX727" s="14"/>
      <c r="AY727" s="14"/>
      <c r="AZ727" s="14"/>
      <c r="BA727" s="14"/>
      <c r="BB727" s="14"/>
      <c r="BC727" s="14"/>
      <c r="BD727" s="14"/>
      <c r="BE727" s="14"/>
      <c r="BF727" s="14"/>
      <c r="BG727" s="14"/>
      <c r="BH727" s="14"/>
      <c r="BI727" s="14"/>
      <c r="BJ727" s="14"/>
      <c r="BK727" s="14"/>
      <c r="BL727" s="14"/>
      <c r="BM727" s="14"/>
      <c r="BN727" s="14"/>
      <c r="BO727" s="14"/>
      <c r="BP727" s="14"/>
      <c r="BQ727" s="14"/>
      <c r="BR727" s="14"/>
      <c r="BS727" s="14"/>
      <c r="BT727" s="14"/>
      <c r="BU727" s="14"/>
      <c r="BV727" s="14"/>
      <c r="BW727" s="14"/>
      <c r="BX727" s="14"/>
      <c r="BY727" s="14"/>
      <c r="BZ727" s="14"/>
      <c r="CA727" s="14"/>
      <c r="CB727" s="14"/>
      <c r="CC727" s="14"/>
      <c r="CD727" s="14"/>
      <c r="CE727" s="14"/>
      <c r="CF727" s="14"/>
      <c r="CG727" s="14"/>
      <c r="CH727" s="14"/>
      <c r="CI727" s="14"/>
      <c r="CJ727" s="14"/>
      <c r="CK727" s="14"/>
      <c r="CL727" s="14"/>
      <c r="CT727" s="14"/>
      <c r="CW727" s="3"/>
      <c r="DG727" s="4"/>
    </row>
    <row r="728" customFormat="false" ht="11.25" hidden="false" customHeight="true" outlineLevel="0" collapsed="false">
      <c r="A728" s="14"/>
      <c r="B728" s="15"/>
      <c r="C728" s="15"/>
      <c r="D728" s="14"/>
      <c r="E728" s="14"/>
      <c r="F728" s="14"/>
      <c r="G728" s="14"/>
      <c r="H728" s="15"/>
      <c r="I728" s="15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  <c r="AU728" s="14"/>
      <c r="AV728" s="14"/>
      <c r="AW728" s="14"/>
      <c r="AX728" s="14"/>
      <c r="AY728" s="14"/>
      <c r="AZ728" s="14"/>
      <c r="BA728" s="14"/>
      <c r="BB728" s="14"/>
      <c r="BC728" s="14"/>
      <c r="BD728" s="14"/>
      <c r="BE728" s="14"/>
      <c r="BF728" s="14"/>
      <c r="BG728" s="14"/>
      <c r="BH728" s="14"/>
      <c r="BI728" s="14"/>
      <c r="BJ728" s="14"/>
      <c r="BK728" s="14"/>
      <c r="BL728" s="14"/>
      <c r="BM728" s="14"/>
      <c r="BN728" s="14"/>
      <c r="BO728" s="14"/>
      <c r="BP728" s="14"/>
      <c r="BQ728" s="14"/>
      <c r="BR728" s="14"/>
      <c r="BS728" s="14"/>
      <c r="BT728" s="14"/>
      <c r="BU728" s="14"/>
      <c r="BV728" s="14"/>
      <c r="BW728" s="14"/>
      <c r="BX728" s="14"/>
      <c r="BY728" s="14"/>
      <c r="BZ728" s="14"/>
      <c r="CA728" s="14"/>
      <c r="CB728" s="14"/>
      <c r="CC728" s="14"/>
      <c r="CD728" s="14"/>
      <c r="CE728" s="14"/>
      <c r="CF728" s="14"/>
      <c r="CG728" s="14"/>
      <c r="CH728" s="14"/>
      <c r="CI728" s="14"/>
      <c r="CJ728" s="14"/>
      <c r="CK728" s="14"/>
      <c r="CL728" s="14"/>
      <c r="CT728" s="14"/>
      <c r="CW728" s="3"/>
      <c r="DG728" s="4"/>
    </row>
    <row r="729" customFormat="false" ht="11.25" hidden="false" customHeight="true" outlineLevel="0" collapsed="false">
      <c r="A729" s="14"/>
      <c r="B729" s="15"/>
      <c r="C729" s="15"/>
      <c r="D729" s="14"/>
      <c r="E729" s="14"/>
      <c r="F729" s="14"/>
      <c r="G729" s="14"/>
      <c r="H729" s="15"/>
      <c r="I729" s="15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  <c r="AW729" s="14"/>
      <c r="AX729" s="14"/>
      <c r="AY729" s="14"/>
      <c r="AZ729" s="14"/>
      <c r="BA729" s="14"/>
      <c r="BB729" s="14"/>
      <c r="BC729" s="14"/>
      <c r="BD729" s="14"/>
      <c r="BE729" s="14"/>
      <c r="BF729" s="14"/>
      <c r="BG729" s="14"/>
      <c r="BH729" s="14"/>
      <c r="BI729" s="14"/>
      <c r="BJ729" s="14"/>
      <c r="BK729" s="14"/>
      <c r="BL729" s="14"/>
      <c r="BM729" s="14"/>
      <c r="BN729" s="14"/>
      <c r="BO729" s="14"/>
      <c r="BP729" s="14"/>
      <c r="BQ729" s="14"/>
      <c r="BR729" s="14"/>
      <c r="BS729" s="14"/>
      <c r="BT729" s="14"/>
      <c r="BU729" s="14"/>
      <c r="BV729" s="14"/>
      <c r="BW729" s="14"/>
      <c r="BX729" s="14"/>
      <c r="BY729" s="14"/>
      <c r="BZ729" s="14"/>
      <c r="CA729" s="14"/>
      <c r="CB729" s="14"/>
      <c r="CC729" s="14"/>
      <c r="CD729" s="14"/>
      <c r="CE729" s="14"/>
      <c r="CF729" s="14"/>
      <c r="CG729" s="14"/>
      <c r="CH729" s="14"/>
      <c r="CI729" s="14"/>
      <c r="CJ729" s="14"/>
      <c r="CK729" s="14"/>
      <c r="CL729" s="14"/>
      <c r="CT729" s="14"/>
      <c r="CW729" s="3"/>
      <c r="DG729" s="4"/>
    </row>
    <row r="730" customFormat="false" ht="11.25" hidden="false" customHeight="true" outlineLevel="0" collapsed="false">
      <c r="A730" s="14"/>
      <c r="B730" s="15"/>
      <c r="C730" s="15"/>
      <c r="D730" s="14"/>
      <c r="E730" s="14"/>
      <c r="F730" s="14"/>
      <c r="G730" s="14"/>
      <c r="H730" s="15"/>
      <c r="I730" s="15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  <c r="AU730" s="14"/>
      <c r="AV730" s="14"/>
      <c r="AW730" s="14"/>
      <c r="AX730" s="14"/>
      <c r="AY730" s="14"/>
      <c r="AZ730" s="14"/>
      <c r="BA730" s="14"/>
      <c r="BB730" s="14"/>
      <c r="BC730" s="14"/>
      <c r="BD730" s="14"/>
      <c r="BE730" s="14"/>
      <c r="BF730" s="14"/>
      <c r="BG730" s="14"/>
      <c r="BH730" s="14"/>
      <c r="BI730" s="14"/>
      <c r="BJ730" s="14"/>
      <c r="BK730" s="14"/>
      <c r="BL730" s="14"/>
      <c r="BM730" s="14"/>
      <c r="BN730" s="14"/>
      <c r="BO730" s="14"/>
      <c r="BP730" s="14"/>
      <c r="BQ730" s="14"/>
      <c r="BR730" s="14"/>
      <c r="BS730" s="14"/>
      <c r="BT730" s="14"/>
      <c r="BU730" s="14"/>
      <c r="BV730" s="14"/>
      <c r="BW730" s="14"/>
      <c r="BX730" s="14"/>
      <c r="BY730" s="14"/>
      <c r="BZ730" s="14"/>
      <c r="CA730" s="14"/>
      <c r="CB730" s="14"/>
      <c r="CC730" s="14"/>
      <c r="CD730" s="14"/>
      <c r="CE730" s="14"/>
      <c r="CF730" s="14"/>
      <c r="CG730" s="14"/>
      <c r="CH730" s="14"/>
      <c r="CI730" s="14"/>
      <c r="CJ730" s="14"/>
      <c r="CK730" s="14"/>
      <c r="CL730" s="14"/>
      <c r="CT730" s="14"/>
      <c r="CW730" s="3"/>
      <c r="DG730" s="4"/>
    </row>
    <row r="731" customFormat="false" ht="11.25" hidden="false" customHeight="true" outlineLevel="0" collapsed="false">
      <c r="A731" s="14"/>
      <c r="B731" s="15"/>
      <c r="C731" s="15"/>
      <c r="D731" s="14"/>
      <c r="E731" s="14"/>
      <c r="F731" s="14"/>
      <c r="G731" s="14"/>
      <c r="H731" s="15"/>
      <c r="I731" s="15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/>
      <c r="AW731" s="14"/>
      <c r="AX731" s="14"/>
      <c r="AY731" s="14"/>
      <c r="AZ731" s="14"/>
      <c r="BA731" s="14"/>
      <c r="BB731" s="14"/>
      <c r="BC731" s="14"/>
      <c r="BD731" s="14"/>
      <c r="BE731" s="14"/>
      <c r="BF731" s="14"/>
      <c r="BG731" s="14"/>
      <c r="BH731" s="14"/>
      <c r="BI731" s="14"/>
      <c r="BJ731" s="14"/>
      <c r="BK731" s="14"/>
      <c r="BL731" s="14"/>
      <c r="BM731" s="14"/>
      <c r="BN731" s="14"/>
      <c r="BO731" s="14"/>
      <c r="BP731" s="14"/>
      <c r="BQ731" s="14"/>
      <c r="BR731" s="14"/>
      <c r="BS731" s="14"/>
      <c r="BT731" s="14"/>
      <c r="BU731" s="14"/>
      <c r="BV731" s="14"/>
      <c r="BW731" s="14"/>
      <c r="BX731" s="14"/>
      <c r="BY731" s="14"/>
      <c r="BZ731" s="14"/>
      <c r="CA731" s="14"/>
      <c r="CB731" s="14"/>
      <c r="CC731" s="14"/>
      <c r="CD731" s="14"/>
      <c r="CE731" s="14"/>
      <c r="CF731" s="14"/>
      <c r="CG731" s="14"/>
      <c r="CH731" s="14"/>
      <c r="CI731" s="14"/>
      <c r="CJ731" s="14"/>
      <c r="CK731" s="14"/>
      <c r="CL731" s="14"/>
      <c r="CT731" s="14"/>
      <c r="CW731" s="3"/>
      <c r="DG731" s="4"/>
    </row>
    <row r="732" customFormat="false" ht="11.25" hidden="false" customHeight="true" outlineLevel="0" collapsed="false">
      <c r="A732" s="14"/>
      <c r="B732" s="15"/>
      <c r="C732" s="15"/>
      <c r="D732" s="14"/>
      <c r="E732" s="14"/>
      <c r="F732" s="14"/>
      <c r="G732" s="14"/>
      <c r="H732" s="15"/>
      <c r="I732" s="15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  <c r="AS732" s="14"/>
      <c r="AT732" s="14"/>
      <c r="AU732" s="14"/>
      <c r="AV732" s="14"/>
      <c r="AW732" s="14"/>
      <c r="AX732" s="14"/>
      <c r="AY732" s="14"/>
      <c r="AZ732" s="14"/>
      <c r="BA732" s="14"/>
      <c r="BB732" s="14"/>
      <c r="BC732" s="14"/>
      <c r="BD732" s="14"/>
      <c r="BE732" s="14"/>
      <c r="BF732" s="14"/>
      <c r="BG732" s="14"/>
      <c r="BH732" s="14"/>
      <c r="BI732" s="14"/>
      <c r="BJ732" s="14"/>
      <c r="BK732" s="14"/>
      <c r="BL732" s="14"/>
      <c r="BM732" s="14"/>
      <c r="BN732" s="14"/>
      <c r="BO732" s="14"/>
      <c r="BP732" s="14"/>
      <c r="BQ732" s="14"/>
      <c r="BR732" s="14"/>
      <c r="BS732" s="14"/>
      <c r="BT732" s="14"/>
      <c r="BU732" s="14"/>
      <c r="BV732" s="14"/>
      <c r="BW732" s="14"/>
      <c r="BX732" s="14"/>
      <c r="BY732" s="14"/>
      <c r="BZ732" s="14"/>
      <c r="CA732" s="14"/>
      <c r="CB732" s="14"/>
      <c r="CC732" s="14"/>
      <c r="CD732" s="14"/>
      <c r="CE732" s="14"/>
      <c r="CF732" s="14"/>
      <c r="CG732" s="14"/>
      <c r="CH732" s="14"/>
      <c r="CI732" s="14"/>
      <c r="CJ732" s="14"/>
      <c r="CK732" s="14"/>
      <c r="CL732" s="14"/>
      <c r="CT732" s="14"/>
      <c r="CW732" s="3"/>
      <c r="DG732" s="4"/>
    </row>
    <row r="733" customFormat="false" ht="11.25" hidden="false" customHeight="true" outlineLevel="0" collapsed="false">
      <c r="A733" s="14"/>
      <c r="B733" s="15"/>
      <c r="C733" s="15"/>
      <c r="D733" s="14"/>
      <c r="E733" s="14"/>
      <c r="F733" s="14"/>
      <c r="G733" s="14"/>
      <c r="H733" s="15"/>
      <c r="I733" s="15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14"/>
      <c r="AX733" s="14"/>
      <c r="AY733" s="14"/>
      <c r="AZ733" s="14"/>
      <c r="BA733" s="14"/>
      <c r="BB733" s="14"/>
      <c r="BC733" s="14"/>
      <c r="BD733" s="14"/>
      <c r="BE733" s="14"/>
      <c r="BF733" s="14"/>
      <c r="BG733" s="14"/>
      <c r="BH733" s="14"/>
      <c r="BI733" s="14"/>
      <c r="BJ733" s="14"/>
      <c r="BK733" s="14"/>
      <c r="BL733" s="14"/>
      <c r="BM733" s="14"/>
      <c r="BN733" s="14"/>
      <c r="BO733" s="14"/>
      <c r="BP733" s="14"/>
      <c r="BQ733" s="14"/>
      <c r="BR733" s="14"/>
      <c r="BS733" s="14"/>
      <c r="BT733" s="14"/>
      <c r="BU733" s="14"/>
      <c r="BV733" s="14"/>
      <c r="BW733" s="14"/>
      <c r="BX733" s="14"/>
      <c r="BY733" s="14"/>
      <c r="BZ733" s="14"/>
      <c r="CA733" s="14"/>
      <c r="CB733" s="14"/>
      <c r="CC733" s="14"/>
      <c r="CD733" s="14"/>
      <c r="CE733" s="14"/>
      <c r="CF733" s="14"/>
      <c r="CG733" s="14"/>
      <c r="CH733" s="14"/>
      <c r="CI733" s="14"/>
      <c r="CJ733" s="14"/>
      <c r="CK733" s="14"/>
      <c r="CL733" s="14"/>
      <c r="CT733" s="14"/>
      <c r="CW733" s="3"/>
      <c r="DG733" s="4"/>
    </row>
    <row r="734" customFormat="false" ht="11.25" hidden="false" customHeight="true" outlineLevel="0" collapsed="false">
      <c r="A734" s="14"/>
      <c r="B734" s="15"/>
      <c r="C734" s="15"/>
      <c r="D734" s="14"/>
      <c r="E734" s="14"/>
      <c r="F734" s="14"/>
      <c r="G734" s="14"/>
      <c r="H734" s="15"/>
      <c r="I734" s="15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  <c r="AU734" s="14"/>
      <c r="AV734" s="14"/>
      <c r="AW734" s="14"/>
      <c r="AX734" s="14"/>
      <c r="AY734" s="14"/>
      <c r="AZ734" s="14"/>
      <c r="BA734" s="14"/>
      <c r="BB734" s="14"/>
      <c r="BC734" s="14"/>
      <c r="BD734" s="14"/>
      <c r="BE734" s="14"/>
      <c r="BF734" s="14"/>
      <c r="BG734" s="14"/>
      <c r="BH734" s="14"/>
      <c r="BI734" s="14"/>
      <c r="BJ734" s="14"/>
      <c r="BK734" s="14"/>
      <c r="BL734" s="14"/>
      <c r="BM734" s="14"/>
      <c r="BN734" s="14"/>
      <c r="BO734" s="14"/>
      <c r="BP734" s="14"/>
      <c r="BQ734" s="14"/>
      <c r="BR734" s="14"/>
      <c r="BS734" s="14"/>
      <c r="BT734" s="14"/>
      <c r="BU734" s="14"/>
      <c r="BV734" s="14"/>
      <c r="BW734" s="14"/>
      <c r="BX734" s="14"/>
      <c r="BY734" s="14"/>
      <c r="BZ734" s="14"/>
      <c r="CA734" s="14"/>
      <c r="CB734" s="14"/>
      <c r="CC734" s="14"/>
      <c r="CD734" s="14"/>
      <c r="CE734" s="14"/>
      <c r="CF734" s="14"/>
      <c r="CG734" s="14"/>
      <c r="CH734" s="14"/>
      <c r="CI734" s="14"/>
      <c r="CJ734" s="14"/>
      <c r="CK734" s="14"/>
      <c r="CL734" s="14"/>
      <c r="CT734" s="14"/>
      <c r="CW734" s="3"/>
      <c r="DG734" s="4"/>
    </row>
    <row r="735" customFormat="false" ht="11.25" hidden="false" customHeight="true" outlineLevel="0" collapsed="false">
      <c r="A735" s="14"/>
      <c r="B735" s="15"/>
      <c r="C735" s="15"/>
      <c r="D735" s="14"/>
      <c r="E735" s="14"/>
      <c r="F735" s="14"/>
      <c r="G735" s="14"/>
      <c r="H735" s="15"/>
      <c r="I735" s="15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4"/>
      <c r="AX735" s="14"/>
      <c r="AY735" s="14"/>
      <c r="AZ735" s="14"/>
      <c r="BA735" s="14"/>
      <c r="BB735" s="14"/>
      <c r="BC735" s="14"/>
      <c r="BD735" s="14"/>
      <c r="BE735" s="14"/>
      <c r="BF735" s="14"/>
      <c r="BG735" s="14"/>
      <c r="BH735" s="14"/>
      <c r="BI735" s="14"/>
      <c r="BJ735" s="14"/>
      <c r="BK735" s="14"/>
      <c r="BL735" s="14"/>
      <c r="BM735" s="14"/>
      <c r="BN735" s="14"/>
      <c r="BO735" s="14"/>
      <c r="BP735" s="14"/>
      <c r="BQ735" s="14"/>
      <c r="BR735" s="14"/>
      <c r="BS735" s="14"/>
      <c r="BT735" s="14"/>
      <c r="BU735" s="14"/>
      <c r="BV735" s="14"/>
      <c r="BW735" s="14"/>
      <c r="BX735" s="14"/>
      <c r="BY735" s="14"/>
      <c r="BZ735" s="14"/>
      <c r="CA735" s="14"/>
      <c r="CB735" s="14"/>
      <c r="CC735" s="14"/>
      <c r="CD735" s="14"/>
      <c r="CE735" s="14"/>
      <c r="CF735" s="14"/>
      <c r="CG735" s="14"/>
      <c r="CH735" s="14"/>
      <c r="CI735" s="14"/>
      <c r="CJ735" s="14"/>
      <c r="CK735" s="14"/>
      <c r="CL735" s="14"/>
      <c r="CT735" s="14"/>
      <c r="CW735" s="3"/>
      <c r="DG735" s="4"/>
    </row>
    <row r="736" customFormat="false" ht="11.25" hidden="false" customHeight="true" outlineLevel="0" collapsed="false">
      <c r="A736" s="14"/>
      <c r="B736" s="15"/>
      <c r="C736" s="15"/>
      <c r="D736" s="14"/>
      <c r="E736" s="14"/>
      <c r="F736" s="14"/>
      <c r="G736" s="14"/>
      <c r="H736" s="15"/>
      <c r="I736" s="15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  <c r="AU736" s="14"/>
      <c r="AV736" s="14"/>
      <c r="AW736" s="14"/>
      <c r="AX736" s="14"/>
      <c r="AY736" s="14"/>
      <c r="AZ736" s="14"/>
      <c r="BA736" s="14"/>
      <c r="BB736" s="14"/>
      <c r="BC736" s="14"/>
      <c r="BD736" s="14"/>
      <c r="BE736" s="14"/>
      <c r="BF736" s="14"/>
      <c r="BG736" s="14"/>
      <c r="BH736" s="14"/>
      <c r="BI736" s="14"/>
      <c r="BJ736" s="14"/>
      <c r="BK736" s="14"/>
      <c r="BL736" s="14"/>
      <c r="BM736" s="14"/>
      <c r="BN736" s="14"/>
      <c r="BO736" s="14"/>
      <c r="BP736" s="14"/>
      <c r="BQ736" s="14"/>
      <c r="BR736" s="14"/>
      <c r="BS736" s="14"/>
      <c r="BT736" s="14"/>
      <c r="BU736" s="14"/>
      <c r="BV736" s="14"/>
      <c r="BW736" s="14"/>
      <c r="BX736" s="14"/>
      <c r="BY736" s="14"/>
      <c r="BZ736" s="14"/>
      <c r="CA736" s="14"/>
      <c r="CB736" s="14"/>
      <c r="CC736" s="14"/>
      <c r="CD736" s="14"/>
      <c r="CE736" s="14"/>
      <c r="CF736" s="14"/>
      <c r="CG736" s="14"/>
      <c r="CH736" s="14"/>
      <c r="CI736" s="14"/>
      <c r="CJ736" s="14"/>
      <c r="CK736" s="14"/>
      <c r="CL736" s="14"/>
      <c r="CT736" s="14"/>
      <c r="CW736" s="3"/>
      <c r="DG736" s="4"/>
    </row>
    <row r="737" customFormat="false" ht="11.25" hidden="false" customHeight="true" outlineLevel="0" collapsed="false">
      <c r="A737" s="14"/>
      <c r="B737" s="15"/>
      <c r="C737" s="15"/>
      <c r="D737" s="14"/>
      <c r="E737" s="14"/>
      <c r="F737" s="14"/>
      <c r="G737" s="14"/>
      <c r="H737" s="15"/>
      <c r="I737" s="15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4"/>
      <c r="AX737" s="14"/>
      <c r="AY737" s="14"/>
      <c r="AZ737" s="14"/>
      <c r="BA737" s="14"/>
      <c r="BB737" s="14"/>
      <c r="BC737" s="14"/>
      <c r="BD737" s="14"/>
      <c r="BE737" s="14"/>
      <c r="BF737" s="14"/>
      <c r="BG737" s="14"/>
      <c r="BH737" s="14"/>
      <c r="BI737" s="14"/>
      <c r="BJ737" s="14"/>
      <c r="BK737" s="14"/>
      <c r="BL737" s="14"/>
      <c r="BM737" s="14"/>
      <c r="BN737" s="14"/>
      <c r="BO737" s="14"/>
      <c r="BP737" s="14"/>
      <c r="BQ737" s="14"/>
      <c r="BR737" s="14"/>
      <c r="BS737" s="14"/>
      <c r="BT737" s="14"/>
      <c r="BU737" s="14"/>
      <c r="BV737" s="14"/>
      <c r="BW737" s="14"/>
      <c r="BX737" s="14"/>
      <c r="BY737" s="14"/>
      <c r="BZ737" s="14"/>
      <c r="CA737" s="14"/>
      <c r="CB737" s="14"/>
      <c r="CC737" s="14"/>
      <c r="CD737" s="14"/>
      <c r="CE737" s="14"/>
      <c r="CF737" s="14"/>
      <c r="CG737" s="14"/>
      <c r="CH737" s="14"/>
      <c r="CI737" s="14"/>
      <c r="CJ737" s="14"/>
      <c r="CK737" s="14"/>
      <c r="CL737" s="14"/>
      <c r="CT737" s="14"/>
      <c r="CW737" s="3"/>
      <c r="DG737" s="4"/>
    </row>
    <row r="738" customFormat="false" ht="11.25" hidden="false" customHeight="true" outlineLevel="0" collapsed="false">
      <c r="A738" s="14"/>
      <c r="B738" s="15"/>
      <c r="C738" s="15"/>
      <c r="D738" s="14"/>
      <c r="E738" s="14"/>
      <c r="F738" s="14"/>
      <c r="G738" s="14"/>
      <c r="H738" s="15"/>
      <c r="I738" s="15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  <c r="AW738" s="14"/>
      <c r="AX738" s="14"/>
      <c r="AY738" s="14"/>
      <c r="AZ738" s="14"/>
      <c r="BA738" s="14"/>
      <c r="BB738" s="14"/>
      <c r="BC738" s="14"/>
      <c r="BD738" s="14"/>
      <c r="BE738" s="14"/>
      <c r="BF738" s="14"/>
      <c r="BG738" s="14"/>
      <c r="BH738" s="14"/>
      <c r="BI738" s="14"/>
      <c r="BJ738" s="14"/>
      <c r="BK738" s="14"/>
      <c r="BL738" s="14"/>
      <c r="BM738" s="14"/>
      <c r="BN738" s="14"/>
      <c r="BO738" s="14"/>
      <c r="BP738" s="14"/>
      <c r="BQ738" s="14"/>
      <c r="BR738" s="14"/>
      <c r="BS738" s="14"/>
      <c r="BT738" s="14"/>
      <c r="BU738" s="14"/>
      <c r="BV738" s="14"/>
      <c r="BW738" s="14"/>
      <c r="BX738" s="14"/>
      <c r="BY738" s="14"/>
      <c r="BZ738" s="14"/>
      <c r="CA738" s="14"/>
      <c r="CB738" s="14"/>
      <c r="CC738" s="14"/>
      <c r="CD738" s="14"/>
      <c r="CE738" s="14"/>
      <c r="CF738" s="14"/>
      <c r="CG738" s="14"/>
      <c r="CH738" s="14"/>
      <c r="CI738" s="14"/>
      <c r="CJ738" s="14"/>
      <c r="CK738" s="14"/>
      <c r="CL738" s="14"/>
      <c r="CT738" s="14"/>
      <c r="CW738" s="3"/>
      <c r="DG738" s="4"/>
    </row>
    <row r="739" customFormat="false" ht="11.25" hidden="false" customHeight="true" outlineLevel="0" collapsed="false">
      <c r="A739" s="14"/>
      <c r="B739" s="15"/>
      <c r="C739" s="15"/>
      <c r="D739" s="14"/>
      <c r="E739" s="14"/>
      <c r="F739" s="14"/>
      <c r="G739" s="14"/>
      <c r="H739" s="15"/>
      <c r="I739" s="15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4"/>
      <c r="AX739" s="14"/>
      <c r="AY739" s="14"/>
      <c r="AZ739" s="14"/>
      <c r="BA739" s="14"/>
      <c r="BB739" s="14"/>
      <c r="BC739" s="14"/>
      <c r="BD739" s="14"/>
      <c r="BE739" s="14"/>
      <c r="BF739" s="14"/>
      <c r="BG739" s="14"/>
      <c r="BH739" s="14"/>
      <c r="BI739" s="14"/>
      <c r="BJ739" s="14"/>
      <c r="BK739" s="14"/>
      <c r="BL739" s="14"/>
      <c r="BM739" s="14"/>
      <c r="BN739" s="14"/>
      <c r="BO739" s="14"/>
      <c r="BP739" s="14"/>
      <c r="BQ739" s="14"/>
      <c r="BR739" s="14"/>
      <c r="BS739" s="14"/>
      <c r="BT739" s="14"/>
      <c r="BU739" s="14"/>
      <c r="BV739" s="14"/>
      <c r="BW739" s="14"/>
      <c r="BX739" s="14"/>
      <c r="BY739" s="14"/>
      <c r="BZ739" s="14"/>
      <c r="CA739" s="14"/>
      <c r="CB739" s="14"/>
      <c r="CC739" s="14"/>
      <c r="CD739" s="14"/>
      <c r="CE739" s="14"/>
      <c r="CF739" s="14"/>
      <c r="CG739" s="14"/>
      <c r="CH739" s="14"/>
      <c r="CI739" s="14"/>
      <c r="CJ739" s="14"/>
      <c r="CK739" s="14"/>
      <c r="CL739" s="14"/>
      <c r="CT739" s="14"/>
      <c r="CW739" s="3"/>
      <c r="DG739" s="4"/>
    </row>
    <row r="740" customFormat="false" ht="11.25" hidden="false" customHeight="true" outlineLevel="0" collapsed="false">
      <c r="A740" s="14"/>
      <c r="B740" s="15"/>
      <c r="C740" s="15"/>
      <c r="D740" s="14"/>
      <c r="E740" s="14"/>
      <c r="F740" s="14"/>
      <c r="G740" s="14"/>
      <c r="H740" s="15"/>
      <c r="I740" s="15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  <c r="AU740" s="14"/>
      <c r="AV740" s="14"/>
      <c r="AW740" s="14"/>
      <c r="AX740" s="14"/>
      <c r="AY740" s="14"/>
      <c r="AZ740" s="14"/>
      <c r="BA740" s="14"/>
      <c r="BB740" s="14"/>
      <c r="BC740" s="14"/>
      <c r="BD740" s="14"/>
      <c r="BE740" s="14"/>
      <c r="BF740" s="14"/>
      <c r="BG740" s="14"/>
      <c r="BH740" s="14"/>
      <c r="BI740" s="14"/>
      <c r="BJ740" s="14"/>
      <c r="BK740" s="14"/>
      <c r="BL740" s="14"/>
      <c r="BM740" s="14"/>
      <c r="BN740" s="14"/>
      <c r="BO740" s="14"/>
      <c r="BP740" s="14"/>
      <c r="BQ740" s="14"/>
      <c r="BR740" s="14"/>
      <c r="BS740" s="14"/>
      <c r="BT740" s="14"/>
      <c r="BU740" s="14"/>
      <c r="BV740" s="14"/>
      <c r="BW740" s="14"/>
      <c r="BX740" s="14"/>
      <c r="BY740" s="14"/>
      <c r="BZ740" s="14"/>
      <c r="CA740" s="14"/>
      <c r="CB740" s="14"/>
      <c r="CC740" s="14"/>
      <c r="CD740" s="14"/>
      <c r="CE740" s="14"/>
      <c r="CF740" s="14"/>
      <c r="CG740" s="14"/>
      <c r="CH740" s="14"/>
      <c r="CI740" s="14"/>
      <c r="CJ740" s="14"/>
      <c r="CK740" s="14"/>
      <c r="CL740" s="14"/>
      <c r="CT740" s="14"/>
      <c r="CW740" s="3"/>
      <c r="DG740" s="4"/>
    </row>
    <row r="741" customFormat="false" ht="11.25" hidden="false" customHeight="true" outlineLevel="0" collapsed="false">
      <c r="A741" s="14"/>
      <c r="B741" s="15"/>
      <c r="C741" s="15"/>
      <c r="D741" s="14"/>
      <c r="E741" s="14"/>
      <c r="F741" s="14"/>
      <c r="G741" s="14"/>
      <c r="H741" s="15"/>
      <c r="I741" s="15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14"/>
      <c r="AX741" s="14"/>
      <c r="AY741" s="14"/>
      <c r="AZ741" s="14"/>
      <c r="BA741" s="14"/>
      <c r="BB741" s="14"/>
      <c r="BC741" s="14"/>
      <c r="BD741" s="14"/>
      <c r="BE741" s="14"/>
      <c r="BF741" s="14"/>
      <c r="BG741" s="14"/>
      <c r="BH741" s="14"/>
      <c r="BI741" s="14"/>
      <c r="BJ741" s="14"/>
      <c r="BK741" s="14"/>
      <c r="BL741" s="14"/>
      <c r="BM741" s="14"/>
      <c r="BN741" s="14"/>
      <c r="BO741" s="14"/>
      <c r="BP741" s="14"/>
      <c r="BQ741" s="14"/>
      <c r="BR741" s="14"/>
      <c r="BS741" s="14"/>
      <c r="BT741" s="14"/>
      <c r="BU741" s="14"/>
      <c r="BV741" s="14"/>
      <c r="BW741" s="14"/>
      <c r="BX741" s="14"/>
      <c r="BY741" s="14"/>
      <c r="BZ741" s="14"/>
      <c r="CA741" s="14"/>
      <c r="CB741" s="14"/>
      <c r="CC741" s="14"/>
      <c r="CD741" s="14"/>
      <c r="CE741" s="14"/>
      <c r="CF741" s="14"/>
      <c r="CG741" s="14"/>
      <c r="CH741" s="14"/>
      <c r="CI741" s="14"/>
      <c r="CJ741" s="14"/>
      <c r="CK741" s="14"/>
      <c r="CL741" s="14"/>
      <c r="CT741" s="14"/>
      <c r="CW741" s="3"/>
      <c r="DG741" s="4"/>
    </row>
    <row r="742" customFormat="false" ht="11.25" hidden="false" customHeight="true" outlineLevel="0" collapsed="false">
      <c r="A742" s="14"/>
      <c r="B742" s="15"/>
      <c r="C742" s="15"/>
      <c r="D742" s="14"/>
      <c r="E742" s="14"/>
      <c r="F742" s="14"/>
      <c r="G742" s="14"/>
      <c r="H742" s="15"/>
      <c r="I742" s="15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  <c r="AU742" s="14"/>
      <c r="AV742" s="14"/>
      <c r="AW742" s="14"/>
      <c r="AX742" s="14"/>
      <c r="AY742" s="14"/>
      <c r="AZ742" s="14"/>
      <c r="BA742" s="14"/>
      <c r="BB742" s="14"/>
      <c r="BC742" s="14"/>
      <c r="BD742" s="14"/>
      <c r="BE742" s="14"/>
      <c r="BF742" s="14"/>
      <c r="BG742" s="14"/>
      <c r="BH742" s="14"/>
      <c r="BI742" s="14"/>
      <c r="BJ742" s="14"/>
      <c r="BK742" s="14"/>
      <c r="BL742" s="14"/>
      <c r="BM742" s="14"/>
      <c r="BN742" s="14"/>
      <c r="BO742" s="14"/>
      <c r="BP742" s="14"/>
      <c r="BQ742" s="14"/>
      <c r="BR742" s="14"/>
      <c r="BS742" s="14"/>
      <c r="BT742" s="14"/>
      <c r="BU742" s="14"/>
      <c r="BV742" s="14"/>
      <c r="BW742" s="14"/>
      <c r="BX742" s="14"/>
      <c r="BY742" s="14"/>
      <c r="BZ742" s="14"/>
      <c r="CA742" s="14"/>
      <c r="CB742" s="14"/>
      <c r="CC742" s="14"/>
      <c r="CD742" s="14"/>
      <c r="CE742" s="14"/>
      <c r="CF742" s="14"/>
      <c r="CG742" s="14"/>
      <c r="CH742" s="14"/>
      <c r="CI742" s="14"/>
      <c r="CJ742" s="14"/>
      <c r="CK742" s="14"/>
      <c r="CL742" s="14"/>
      <c r="CT742" s="14"/>
      <c r="CW742" s="3"/>
      <c r="DG742" s="4"/>
    </row>
    <row r="743" customFormat="false" ht="11.25" hidden="false" customHeight="true" outlineLevel="0" collapsed="false">
      <c r="A743" s="14"/>
      <c r="B743" s="15"/>
      <c r="C743" s="15"/>
      <c r="D743" s="14"/>
      <c r="E743" s="14"/>
      <c r="F743" s="14"/>
      <c r="G743" s="14"/>
      <c r="H743" s="15"/>
      <c r="I743" s="15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14"/>
      <c r="AX743" s="14"/>
      <c r="AY743" s="14"/>
      <c r="AZ743" s="14"/>
      <c r="BA743" s="14"/>
      <c r="BB743" s="14"/>
      <c r="BC743" s="14"/>
      <c r="BD743" s="14"/>
      <c r="BE743" s="14"/>
      <c r="BF743" s="14"/>
      <c r="BG743" s="14"/>
      <c r="BH743" s="14"/>
      <c r="BI743" s="14"/>
      <c r="BJ743" s="14"/>
      <c r="BK743" s="14"/>
      <c r="BL743" s="14"/>
      <c r="BM743" s="14"/>
      <c r="BN743" s="14"/>
      <c r="BO743" s="14"/>
      <c r="BP743" s="14"/>
      <c r="BQ743" s="14"/>
      <c r="BR743" s="14"/>
      <c r="BS743" s="14"/>
      <c r="BT743" s="14"/>
      <c r="BU743" s="14"/>
      <c r="BV743" s="14"/>
      <c r="BW743" s="14"/>
      <c r="BX743" s="14"/>
      <c r="BY743" s="14"/>
      <c r="BZ743" s="14"/>
      <c r="CA743" s="14"/>
      <c r="CB743" s="14"/>
      <c r="CC743" s="14"/>
      <c r="CD743" s="14"/>
      <c r="CE743" s="14"/>
      <c r="CF743" s="14"/>
      <c r="CG743" s="14"/>
      <c r="CH743" s="14"/>
      <c r="CI743" s="14"/>
      <c r="CJ743" s="14"/>
      <c r="CK743" s="14"/>
      <c r="CL743" s="14"/>
      <c r="CT743" s="14"/>
      <c r="CW743" s="3"/>
      <c r="DG743" s="4"/>
    </row>
    <row r="744" customFormat="false" ht="11.25" hidden="false" customHeight="true" outlineLevel="0" collapsed="false">
      <c r="A744" s="14"/>
      <c r="B744" s="15"/>
      <c r="C744" s="15"/>
      <c r="D744" s="14"/>
      <c r="E744" s="14"/>
      <c r="F744" s="14"/>
      <c r="G744" s="14"/>
      <c r="H744" s="15"/>
      <c r="I744" s="15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  <c r="AT744" s="14"/>
      <c r="AU744" s="14"/>
      <c r="AV744" s="14"/>
      <c r="AW744" s="14"/>
      <c r="AX744" s="14"/>
      <c r="AY744" s="14"/>
      <c r="AZ744" s="14"/>
      <c r="BA744" s="14"/>
      <c r="BB744" s="14"/>
      <c r="BC744" s="14"/>
      <c r="BD744" s="14"/>
      <c r="BE744" s="14"/>
      <c r="BF744" s="14"/>
      <c r="BG744" s="14"/>
      <c r="BH744" s="14"/>
      <c r="BI744" s="14"/>
      <c r="BJ744" s="14"/>
      <c r="BK744" s="14"/>
      <c r="BL744" s="14"/>
      <c r="BM744" s="14"/>
      <c r="BN744" s="14"/>
      <c r="BO744" s="14"/>
      <c r="BP744" s="14"/>
      <c r="BQ744" s="14"/>
      <c r="BR744" s="14"/>
      <c r="BS744" s="14"/>
      <c r="BT744" s="14"/>
      <c r="BU744" s="14"/>
      <c r="BV744" s="14"/>
      <c r="BW744" s="14"/>
      <c r="BX744" s="14"/>
      <c r="BY744" s="14"/>
      <c r="BZ744" s="14"/>
      <c r="CA744" s="14"/>
      <c r="CB744" s="14"/>
      <c r="CC744" s="14"/>
      <c r="CD744" s="14"/>
      <c r="CE744" s="14"/>
      <c r="CF744" s="14"/>
      <c r="CG744" s="14"/>
      <c r="CH744" s="14"/>
      <c r="CI744" s="14"/>
      <c r="CJ744" s="14"/>
      <c r="CK744" s="14"/>
      <c r="CL744" s="14"/>
      <c r="CT744" s="14"/>
      <c r="CW744" s="3"/>
      <c r="DG744" s="4"/>
    </row>
    <row r="745" customFormat="false" ht="11.25" hidden="false" customHeight="true" outlineLevel="0" collapsed="false">
      <c r="A745" s="14"/>
      <c r="B745" s="15"/>
      <c r="C745" s="15"/>
      <c r="D745" s="14"/>
      <c r="E745" s="14"/>
      <c r="F745" s="14"/>
      <c r="G745" s="14"/>
      <c r="H745" s="15"/>
      <c r="I745" s="15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14"/>
      <c r="AV745" s="14"/>
      <c r="AW745" s="14"/>
      <c r="AX745" s="14"/>
      <c r="AY745" s="14"/>
      <c r="AZ745" s="14"/>
      <c r="BA745" s="14"/>
      <c r="BB745" s="14"/>
      <c r="BC745" s="14"/>
      <c r="BD745" s="14"/>
      <c r="BE745" s="14"/>
      <c r="BF745" s="14"/>
      <c r="BG745" s="14"/>
      <c r="BH745" s="14"/>
      <c r="BI745" s="14"/>
      <c r="BJ745" s="14"/>
      <c r="BK745" s="14"/>
      <c r="BL745" s="14"/>
      <c r="BM745" s="14"/>
      <c r="BN745" s="14"/>
      <c r="BO745" s="14"/>
      <c r="BP745" s="14"/>
      <c r="BQ745" s="14"/>
      <c r="BR745" s="14"/>
      <c r="BS745" s="14"/>
      <c r="BT745" s="14"/>
      <c r="BU745" s="14"/>
      <c r="BV745" s="14"/>
      <c r="BW745" s="14"/>
      <c r="BX745" s="14"/>
      <c r="BY745" s="14"/>
      <c r="BZ745" s="14"/>
      <c r="CA745" s="14"/>
      <c r="CB745" s="14"/>
      <c r="CC745" s="14"/>
      <c r="CD745" s="14"/>
      <c r="CE745" s="14"/>
      <c r="CF745" s="14"/>
      <c r="CG745" s="14"/>
      <c r="CH745" s="14"/>
      <c r="CI745" s="14"/>
      <c r="CJ745" s="14"/>
      <c r="CK745" s="14"/>
      <c r="CL745" s="14"/>
      <c r="CT745" s="14"/>
      <c r="CW745" s="3"/>
      <c r="DG745" s="4"/>
    </row>
    <row r="746" customFormat="false" ht="11.25" hidden="false" customHeight="true" outlineLevel="0" collapsed="false">
      <c r="A746" s="14"/>
      <c r="B746" s="15"/>
      <c r="C746" s="15"/>
      <c r="D746" s="14"/>
      <c r="E746" s="14"/>
      <c r="F746" s="14"/>
      <c r="G746" s="14"/>
      <c r="H746" s="15"/>
      <c r="I746" s="15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/>
      <c r="AU746" s="14"/>
      <c r="AV746" s="14"/>
      <c r="AW746" s="14"/>
      <c r="AX746" s="14"/>
      <c r="AY746" s="14"/>
      <c r="AZ746" s="14"/>
      <c r="BA746" s="14"/>
      <c r="BB746" s="14"/>
      <c r="BC746" s="14"/>
      <c r="BD746" s="14"/>
      <c r="BE746" s="14"/>
      <c r="BF746" s="14"/>
      <c r="BG746" s="14"/>
      <c r="BH746" s="14"/>
      <c r="BI746" s="14"/>
      <c r="BJ746" s="14"/>
      <c r="BK746" s="14"/>
      <c r="BL746" s="14"/>
      <c r="BM746" s="14"/>
      <c r="BN746" s="14"/>
      <c r="BO746" s="14"/>
      <c r="BP746" s="14"/>
      <c r="BQ746" s="14"/>
      <c r="BR746" s="14"/>
      <c r="BS746" s="14"/>
      <c r="BT746" s="14"/>
      <c r="BU746" s="14"/>
      <c r="BV746" s="14"/>
      <c r="BW746" s="14"/>
      <c r="BX746" s="14"/>
      <c r="BY746" s="14"/>
      <c r="BZ746" s="14"/>
      <c r="CA746" s="14"/>
      <c r="CB746" s="14"/>
      <c r="CC746" s="14"/>
      <c r="CD746" s="14"/>
      <c r="CE746" s="14"/>
      <c r="CF746" s="14"/>
      <c r="CG746" s="14"/>
      <c r="CH746" s="14"/>
      <c r="CI746" s="14"/>
      <c r="CJ746" s="14"/>
      <c r="CK746" s="14"/>
      <c r="CL746" s="14"/>
      <c r="CT746" s="14"/>
      <c r="CW746" s="3"/>
      <c r="DG746" s="4"/>
    </row>
    <row r="747" customFormat="false" ht="11.25" hidden="false" customHeight="true" outlineLevel="0" collapsed="false">
      <c r="A747" s="14"/>
      <c r="B747" s="15"/>
      <c r="C747" s="15"/>
      <c r="D747" s="14"/>
      <c r="E747" s="14"/>
      <c r="F747" s="14"/>
      <c r="G747" s="14"/>
      <c r="H747" s="15"/>
      <c r="I747" s="15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14"/>
      <c r="AV747" s="14"/>
      <c r="AW747" s="14"/>
      <c r="AX747" s="14"/>
      <c r="AY747" s="14"/>
      <c r="AZ747" s="14"/>
      <c r="BA747" s="14"/>
      <c r="BB747" s="14"/>
      <c r="BC747" s="14"/>
      <c r="BD747" s="14"/>
      <c r="BE747" s="14"/>
      <c r="BF747" s="14"/>
      <c r="BG747" s="14"/>
      <c r="BH747" s="14"/>
      <c r="BI747" s="14"/>
      <c r="BJ747" s="14"/>
      <c r="BK747" s="14"/>
      <c r="BL747" s="14"/>
      <c r="BM747" s="14"/>
      <c r="BN747" s="14"/>
      <c r="BO747" s="14"/>
      <c r="BP747" s="14"/>
      <c r="BQ747" s="14"/>
      <c r="BR747" s="14"/>
      <c r="BS747" s="14"/>
      <c r="BT747" s="14"/>
      <c r="BU747" s="14"/>
      <c r="BV747" s="14"/>
      <c r="BW747" s="14"/>
      <c r="BX747" s="14"/>
      <c r="BY747" s="14"/>
      <c r="BZ747" s="14"/>
      <c r="CA747" s="14"/>
      <c r="CB747" s="14"/>
      <c r="CC747" s="14"/>
      <c r="CD747" s="14"/>
      <c r="CE747" s="14"/>
      <c r="CF747" s="14"/>
      <c r="CG747" s="14"/>
      <c r="CH747" s="14"/>
      <c r="CI747" s="14"/>
      <c r="CJ747" s="14"/>
      <c r="CK747" s="14"/>
      <c r="CL747" s="14"/>
      <c r="CT747" s="14"/>
      <c r="CW747" s="3"/>
      <c r="DG747" s="4"/>
    </row>
    <row r="748" customFormat="false" ht="11.25" hidden="false" customHeight="true" outlineLevel="0" collapsed="false">
      <c r="A748" s="14"/>
      <c r="B748" s="15"/>
      <c r="C748" s="15"/>
      <c r="D748" s="14"/>
      <c r="E748" s="14"/>
      <c r="F748" s="14"/>
      <c r="G748" s="14"/>
      <c r="H748" s="15"/>
      <c r="I748" s="15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  <c r="AS748" s="14"/>
      <c r="AT748" s="14"/>
      <c r="AU748" s="14"/>
      <c r="AV748" s="14"/>
      <c r="AW748" s="14"/>
      <c r="AX748" s="14"/>
      <c r="AY748" s="14"/>
      <c r="AZ748" s="14"/>
      <c r="BA748" s="14"/>
      <c r="BB748" s="14"/>
      <c r="BC748" s="14"/>
      <c r="BD748" s="14"/>
      <c r="BE748" s="14"/>
      <c r="BF748" s="14"/>
      <c r="BG748" s="14"/>
      <c r="BH748" s="14"/>
      <c r="BI748" s="14"/>
      <c r="BJ748" s="14"/>
      <c r="BK748" s="14"/>
      <c r="BL748" s="14"/>
      <c r="BM748" s="14"/>
      <c r="BN748" s="14"/>
      <c r="BO748" s="14"/>
      <c r="BP748" s="14"/>
      <c r="BQ748" s="14"/>
      <c r="BR748" s="14"/>
      <c r="BS748" s="14"/>
      <c r="BT748" s="14"/>
      <c r="BU748" s="14"/>
      <c r="BV748" s="14"/>
      <c r="BW748" s="14"/>
      <c r="BX748" s="14"/>
      <c r="BY748" s="14"/>
      <c r="BZ748" s="14"/>
      <c r="CA748" s="14"/>
      <c r="CB748" s="14"/>
      <c r="CC748" s="14"/>
      <c r="CD748" s="14"/>
      <c r="CE748" s="14"/>
      <c r="CF748" s="14"/>
      <c r="CG748" s="14"/>
      <c r="CH748" s="14"/>
      <c r="CI748" s="14"/>
      <c r="CJ748" s="14"/>
      <c r="CK748" s="14"/>
      <c r="CL748" s="14"/>
      <c r="CT748" s="14"/>
      <c r="CW748" s="3"/>
      <c r="DG748" s="4"/>
    </row>
    <row r="749" customFormat="false" ht="11.25" hidden="false" customHeight="true" outlineLevel="0" collapsed="false">
      <c r="A749" s="14"/>
      <c r="B749" s="15"/>
      <c r="C749" s="15"/>
      <c r="D749" s="14"/>
      <c r="E749" s="14"/>
      <c r="F749" s="14"/>
      <c r="G749" s="14"/>
      <c r="H749" s="15"/>
      <c r="I749" s="15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14"/>
      <c r="AX749" s="14"/>
      <c r="AY749" s="14"/>
      <c r="AZ749" s="14"/>
      <c r="BA749" s="14"/>
      <c r="BB749" s="14"/>
      <c r="BC749" s="14"/>
      <c r="BD749" s="14"/>
      <c r="BE749" s="14"/>
      <c r="BF749" s="14"/>
      <c r="BG749" s="14"/>
      <c r="BH749" s="14"/>
      <c r="BI749" s="14"/>
      <c r="BJ749" s="14"/>
      <c r="BK749" s="14"/>
      <c r="BL749" s="14"/>
      <c r="BM749" s="14"/>
      <c r="BN749" s="14"/>
      <c r="BO749" s="14"/>
      <c r="BP749" s="14"/>
      <c r="BQ749" s="14"/>
      <c r="BR749" s="14"/>
      <c r="BS749" s="14"/>
      <c r="BT749" s="14"/>
      <c r="BU749" s="14"/>
      <c r="BV749" s="14"/>
      <c r="BW749" s="14"/>
      <c r="BX749" s="14"/>
      <c r="BY749" s="14"/>
      <c r="BZ749" s="14"/>
      <c r="CA749" s="14"/>
      <c r="CB749" s="14"/>
      <c r="CC749" s="14"/>
      <c r="CD749" s="14"/>
      <c r="CE749" s="14"/>
      <c r="CF749" s="14"/>
      <c r="CG749" s="14"/>
      <c r="CH749" s="14"/>
      <c r="CI749" s="14"/>
      <c r="CJ749" s="14"/>
      <c r="CK749" s="14"/>
      <c r="CL749" s="14"/>
      <c r="CT749" s="14"/>
      <c r="CW749" s="3"/>
      <c r="DG749" s="4"/>
    </row>
    <row r="750" customFormat="false" ht="11.25" hidden="false" customHeight="true" outlineLevel="0" collapsed="false">
      <c r="A750" s="14"/>
      <c r="B750" s="15"/>
      <c r="C750" s="15"/>
      <c r="D750" s="14"/>
      <c r="E750" s="14"/>
      <c r="F750" s="14"/>
      <c r="G750" s="14"/>
      <c r="H750" s="15"/>
      <c r="I750" s="15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/>
      <c r="AU750" s="14"/>
      <c r="AV750" s="14"/>
      <c r="AW750" s="14"/>
      <c r="AX750" s="14"/>
      <c r="AY750" s="14"/>
      <c r="AZ750" s="14"/>
      <c r="BA750" s="14"/>
      <c r="BB750" s="14"/>
      <c r="BC750" s="14"/>
      <c r="BD750" s="14"/>
      <c r="BE750" s="14"/>
      <c r="BF750" s="14"/>
      <c r="BG750" s="14"/>
      <c r="BH750" s="14"/>
      <c r="BI750" s="14"/>
      <c r="BJ750" s="14"/>
      <c r="BK750" s="14"/>
      <c r="BL750" s="14"/>
      <c r="BM750" s="14"/>
      <c r="BN750" s="14"/>
      <c r="BO750" s="14"/>
      <c r="BP750" s="14"/>
      <c r="BQ750" s="14"/>
      <c r="BR750" s="14"/>
      <c r="BS750" s="14"/>
      <c r="BT750" s="14"/>
      <c r="BU750" s="14"/>
      <c r="BV750" s="14"/>
      <c r="BW750" s="14"/>
      <c r="BX750" s="14"/>
      <c r="BY750" s="14"/>
      <c r="BZ750" s="14"/>
      <c r="CA750" s="14"/>
      <c r="CB750" s="14"/>
      <c r="CC750" s="14"/>
      <c r="CD750" s="14"/>
      <c r="CE750" s="14"/>
      <c r="CF750" s="14"/>
      <c r="CG750" s="14"/>
      <c r="CH750" s="14"/>
      <c r="CI750" s="14"/>
      <c r="CJ750" s="14"/>
      <c r="CK750" s="14"/>
      <c r="CL750" s="14"/>
      <c r="CT750" s="14"/>
      <c r="CW750" s="3"/>
      <c r="DG750" s="4"/>
    </row>
    <row r="751" customFormat="false" ht="11.25" hidden="false" customHeight="true" outlineLevel="0" collapsed="false">
      <c r="A751" s="14"/>
      <c r="B751" s="15"/>
      <c r="C751" s="15"/>
      <c r="D751" s="14"/>
      <c r="E751" s="14"/>
      <c r="F751" s="14"/>
      <c r="G751" s="14"/>
      <c r="H751" s="15"/>
      <c r="I751" s="15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/>
      <c r="AW751" s="14"/>
      <c r="AX751" s="14"/>
      <c r="AY751" s="14"/>
      <c r="AZ751" s="14"/>
      <c r="BA751" s="14"/>
      <c r="BB751" s="14"/>
      <c r="BC751" s="14"/>
      <c r="BD751" s="14"/>
      <c r="BE751" s="14"/>
      <c r="BF751" s="14"/>
      <c r="BG751" s="14"/>
      <c r="BH751" s="14"/>
      <c r="BI751" s="14"/>
      <c r="BJ751" s="14"/>
      <c r="BK751" s="14"/>
      <c r="BL751" s="14"/>
      <c r="BM751" s="14"/>
      <c r="BN751" s="14"/>
      <c r="BO751" s="14"/>
      <c r="BP751" s="14"/>
      <c r="BQ751" s="14"/>
      <c r="BR751" s="14"/>
      <c r="BS751" s="14"/>
      <c r="BT751" s="14"/>
      <c r="BU751" s="14"/>
      <c r="BV751" s="14"/>
      <c r="BW751" s="14"/>
      <c r="BX751" s="14"/>
      <c r="BY751" s="14"/>
      <c r="BZ751" s="14"/>
      <c r="CA751" s="14"/>
      <c r="CB751" s="14"/>
      <c r="CC751" s="14"/>
      <c r="CD751" s="14"/>
      <c r="CE751" s="14"/>
      <c r="CF751" s="14"/>
      <c r="CG751" s="14"/>
      <c r="CH751" s="14"/>
      <c r="CI751" s="14"/>
      <c r="CJ751" s="14"/>
      <c r="CK751" s="14"/>
      <c r="CL751" s="14"/>
      <c r="CT751" s="14"/>
      <c r="CW751" s="3"/>
      <c r="DG751" s="4"/>
    </row>
    <row r="752" customFormat="false" ht="11.25" hidden="false" customHeight="true" outlineLevel="0" collapsed="false">
      <c r="A752" s="14"/>
      <c r="B752" s="15"/>
      <c r="C752" s="15"/>
      <c r="D752" s="14"/>
      <c r="E752" s="14"/>
      <c r="F752" s="14"/>
      <c r="G752" s="14"/>
      <c r="H752" s="15"/>
      <c r="I752" s="15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  <c r="AU752" s="14"/>
      <c r="AV752" s="14"/>
      <c r="AW752" s="14"/>
      <c r="AX752" s="14"/>
      <c r="AY752" s="14"/>
      <c r="AZ752" s="14"/>
      <c r="BA752" s="14"/>
      <c r="BB752" s="14"/>
      <c r="BC752" s="14"/>
      <c r="BD752" s="14"/>
      <c r="BE752" s="14"/>
      <c r="BF752" s="14"/>
      <c r="BG752" s="14"/>
      <c r="BH752" s="14"/>
      <c r="BI752" s="14"/>
      <c r="BJ752" s="14"/>
      <c r="BK752" s="14"/>
      <c r="BL752" s="14"/>
      <c r="BM752" s="14"/>
      <c r="BN752" s="14"/>
      <c r="BO752" s="14"/>
      <c r="BP752" s="14"/>
      <c r="BQ752" s="14"/>
      <c r="BR752" s="14"/>
      <c r="BS752" s="14"/>
      <c r="BT752" s="14"/>
      <c r="BU752" s="14"/>
      <c r="BV752" s="14"/>
      <c r="BW752" s="14"/>
      <c r="BX752" s="14"/>
      <c r="BY752" s="14"/>
      <c r="BZ752" s="14"/>
      <c r="CA752" s="14"/>
      <c r="CB752" s="14"/>
      <c r="CC752" s="14"/>
      <c r="CD752" s="14"/>
      <c r="CE752" s="14"/>
      <c r="CF752" s="14"/>
      <c r="CG752" s="14"/>
      <c r="CH752" s="14"/>
      <c r="CI752" s="14"/>
      <c r="CJ752" s="14"/>
      <c r="CK752" s="14"/>
      <c r="CL752" s="14"/>
      <c r="CT752" s="14"/>
      <c r="CW752" s="3"/>
      <c r="DG752" s="4"/>
    </row>
    <row r="753" customFormat="false" ht="11.25" hidden="false" customHeight="true" outlineLevel="0" collapsed="false">
      <c r="A753" s="14"/>
      <c r="B753" s="15"/>
      <c r="C753" s="15"/>
      <c r="D753" s="14"/>
      <c r="E753" s="14"/>
      <c r="F753" s="14"/>
      <c r="G753" s="14"/>
      <c r="H753" s="15"/>
      <c r="I753" s="15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  <c r="AW753" s="14"/>
      <c r="AX753" s="14"/>
      <c r="AY753" s="14"/>
      <c r="AZ753" s="14"/>
      <c r="BA753" s="14"/>
      <c r="BB753" s="14"/>
      <c r="BC753" s="14"/>
      <c r="BD753" s="14"/>
      <c r="BE753" s="14"/>
      <c r="BF753" s="14"/>
      <c r="BG753" s="14"/>
      <c r="BH753" s="14"/>
      <c r="BI753" s="14"/>
      <c r="BJ753" s="14"/>
      <c r="BK753" s="14"/>
      <c r="BL753" s="14"/>
      <c r="BM753" s="14"/>
      <c r="BN753" s="14"/>
      <c r="BO753" s="14"/>
      <c r="BP753" s="14"/>
      <c r="BQ753" s="14"/>
      <c r="BR753" s="14"/>
      <c r="BS753" s="14"/>
      <c r="BT753" s="14"/>
      <c r="BU753" s="14"/>
      <c r="BV753" s="14"/>
      <c r="BW753" s="14"/>
      <c r="BX753" s="14"/>
      <c r="BY753" s="14"/>
      <c r="BZ753" s="14"/>
      <c r="CA753" s="14"/>
      <c r="CB753" s="14"/>
      <c r="CC753" s="14"/>
      <c r="CD753" s="14"/>
      <c r="CE753" s="14"/>
      <c r="CF753" s="14"/>
      <c r="CG753" s="14"/>
      <c r="CH753" s="14"/>
      <c r="CI753" s="14"/>
      <c r="CJ753" s="14"/>
      <c r="CK753" s="14"/>
      <c r="CL753" s="14"/>
      <c r="CT753" s="14"/>
      <c r="CW753" s="3"/>
      <c r="DG753" s="4"/>
    </row>
    <row r="754" customFormat="false" ht="11.25" hidden="false" customHeight="true" outlineLevel="0" collapsed="false">
      <c r="A754" s="14"/>
      <c r="B754" s="15"/>
      <c r="C754" s="15"/>
      <c r="D754" s="14"/>
      <c r="E754" s="14"/>
      <c r="F754" s="14"/>
      <c r="G754" s="14"/>
      <c r="H754" s="15"/>
      <c r="I754" s="15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  <c r="AU754" s="14"/>
      <c r="AV754" s="14"/>
      <c r="AW754" s="14"/>
      <c r="AX754" s="14"/>
      <c r="AY754" s="14"/>
      <c r="AZ754" s="14"/>
      <c r="BA754" s="14"/>
      <c r="BB754" s="14"/>
      <c r="BC754" s="14"/>
      <c r="BD754" s="14"/>
      <c r="BE754" s="14"/>
      <c r="BF754" s="14"/>
      <c r="BG754" s="14"/>
      <c r="BH754" s="14"/>
      <c r="BI754" s="14"/>
      <c r="BJ754" s="14"/>
      <c r="BK754" s="14"/>
      <c r="BL754" s="14"/>
      <c r="BM754" s="14"/>
      <c r="BN754" s="14"/>
      <c r="BO754" s="14"/>
      <c r="BP754" s="14"/>
      <c r="BQ754" s="14"/>
      <c r="BR754" s="14"/>
      <c r="BS754" s="14"/>
      <c r="BT754" s="14"/>
      <c r="BU754" s="14"/>
      <c r="BV754" s="14"/>
      <c r="BW754" s="14"/>
      <c r="BX754" s="14"/>
      <c r="BY754" s="14"/>
      <c r="BZ754" s="14"/>
      <c r="CA754" s="14"/>
      <c r="CB754" s="14"/>
      <c r="CC754" s="14"/>
      <c r="CD754" s="14"/>
      <c r="CE754" s="14"/>
      <c r="CF754" s="14"/>
      <c r="CG754" s="14"/>
      <c r="CH754" s="14"/>
      <c r="CI754" s="14"/>
      <c r="CJ754" s="14"/>
      <c r="CK754" s="14"/>
      <c r="CL754" s="14"/>
      <c r="CT754" s="14"/>
      <c r="CW754" s="3"/>
      <c r="DG754" s="4"/>
    </row>
    <row r="755" customFormat="false" ht="11.25" hidden="false" customHeight="true" outlineLevel="0" collapsed="false">
      <c r="A755" s="14"/>
      <c r="B755" s="15"/>
      <c r="C755" s="15"/>
      <c r="D755" s="14"/>
      <c r="E755" s="14"/>
      <c r="F755" s="14"/>
      <c r="G755" s="14"/>
      <c r="H755" s="15"/>
      <c r="I755" s="15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14"/>
      <c r="AV755" s="14"/>
      <c r="AW755" s="14"/>
      <c r="AX755" s="14"/>
      <c r="AY755" s="14"/>
      <c r="AZ755" s="14"/>
      <c r="BA755" s="14"/>
      <c r="BB755" s="14"/>
      <c r="BC755" s="14"/>
      <c r="BD755" s="14"/>
      <c r="BE755" s="14"/>
      <c r="BF755" s="14"/>
      <c r="BG755" s="14"/>
      <c r="BH755" s="14"/>
      <c r="BI755" s="14"/>
      <c r="BJ755" s="14"/>
      <c r="BK755" s="14"/>
      <c r="BL755" s="14"/>
      <c r="BM755" s="14"/>
      <c r="BN755" s="14"/>
      <c r="BO755" s="14"/>
      <c r="BP755" s="14"/>
      <c r="BQ755" s="14"/>
      <c r="BR755" s="14"/>
      <c r="BS755" s="14"/>
      <c r="BT755" s="14"/>
      <c r="BU755" s="14"/>
      <c r="BV755" s="14"/>
      <c r="BW755" s="14"/>
      <c r="BX755" s="14"/>
      <c r="BY755" s="14"/>
      <c r="BZ755" s="14"/>
      <c r="CA755" s="14"/>
      <c r="CB755" s="14"/>
      <c r="CC755" s="14"/>
      <c r="CD755" s="14"/>
      <c r="CE755" s="14"/>
      <c r="CF755" s="14"/>
      <c r="CG755" s="14"/>
      <c r="CH755" s="14"/>
      <c r="CI755" s="14"/>
      <c r="CJ755" s="14"/>
      <c r="CK755" s="14"/>
      <c r="CL755" s="14"/>
      <c r="CT755" s="14"/>
      <c r="CW755" s="3"/>
      <c r="DG755" s="4"/>
    </row>
    <row r="756" customFormat="false" ht="11.25" hidden="false" customHeight="true" outlineLevel="0" collapsed="false">
      <c r="A756" s="14"/>
      <c r="B756" s="15"/>
      <c r="C756" s="15"/>
      <c r="D756" s="14"/>
      <c r="E756" s="14"/>
      <c r="F756" s="14"/>
      <c r="G756" s="14"/>
      <c r="H756" s="15"/>
      <c r="I756" s="15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  <c r="AU756" s="14"/>
      <c r="AV756" s="14"/>
      <c r="AW756" s="14"/>
      <c r="AX756" s="14"/>
      <c r="AY756" s="14"/>
      <c r="AZ756" s="14"/>
      <c r="BA756" s="14"/>
      <c r="BB756" s="14"/>
      <c r="BC756" s="14"/>
      <c r="BD756" s="14"/>
      <c r="BE756" s="14"/>
      <c r="BF756" s="14"/>
      <c r="BG756" s="14"/>
      <c r="BH756" s="14"/>
      <c r="BI756" s="14"/>
      <c r="BJ756" s="14"/>
      <c r="BK756" s="14"/>
      <c r="BL756" s="14"/>
      <c r="BM756" s="14"/>
      <c r="BN756" s="14"/>
      <c r="BO756" s="14"/>
      <c r="BP756" s="14"/>
      <c r="BQ756" s="14"/>
      <c r="BR756" s="14"/>
      <c r="BS756" s="14"/>
      <c r="BT756" s="14"/>
      <c r="BU756" s="14"/>
      <c r="BV756" s="14"/>
      <c r="BW756" s="14"/>
      <c r="BX756" s="14"/>
      <c r="BY756" s="14"/>
      <c r="BZ756" s="14"/>
      <c r="CA756" s="14"/>
      <c r="CB756" s="14"/>
      <c r="CC756" s="14"/>
      <c r="CD756" s="14"/>
      <c r="CE756" s="14"/>
      <c r="CF756" s="14"/>
      <c r="CG756" s="14"/>
      <c r="CH756" s="14"/>
      <c r="CI756" s="14"/>
      <c r="CJ756" s="14"/>
      <c r="CK756" s="14"/>
      <c r="CL756" s="14"/>
      <c r="CT756" s="14"/>
      <c r="CW756" s="3"/>
      <c r="DG756" s="4"/>
    </row>
    <row r="757" customFormat="false" ht="11.25" hidden="false" customHeight="true" outlineLevel="0" collapsed="false">
      <c r="A757" s="14"/>
      <c r="B757" s="15"/>
      <c r="C757" s="15"/>
      <c r="D757" s="14"/>
      <c r="E757" s="14"/>
      <c r="F757" s="14"/>
      <c r="G757" s="14"/>
      <c r="H757" s="15"/>
      <c r="I757" s="15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/>
      <c r="AY757" s="14"/>
      <c r="AZ757" s="14"/>
      <c r="BA757" s="14"/>
      <c r="BB757" s="14"/>
      <c r="BC757" s="14"/>
      <c r="BD757" s="14"/>
      <c r="BE757" s="14"/>
      <c r="BF757" s="14"/>
      <c r="BG757" s="14"/>
      <c r="BH757" s="14"/>
      <c r="BI757" s="14"/>
      <c r="BJ757" s="14"/>
      <c r="BK757" s="14"/>
      <c r="BL757" s="14"/>
      <c r="BM757" s="14"/>
      <c r="BN757" s="14"/>
      <c r="BO757" s="14"/>
      <c r="BP757" s="14"/>
      <c r="BQ757" s="14"/>
      <c r="BR757" s="14"/>
      <c r="BS757" s="14"/>
      <c r="BT757" s="14"/>
      <c r="BU757" s="14"/>
      <c r="BV757" s="14"/>
      <c r="BW757" s="14"/>
      <c r="BX757" s="14"/>
      <c r="BY757" s="14"/>
      <c r="BZ757" s="14"/>
      <c r="CA757" s="14"/>
      <c r="CB757" s="14"/>
      <c r="CC757" s="14"/>
      <c r="CD757" s="14"/>
      <c r="CE757" s="14"/>
      <c r="CF757" s="14"/>
      <c r="CG757" s="14"/>
      <c r="CH757" s="14"/>
      <c r="CI757" s="14"/>
      <c r="CJ757" s="14"/>
      <c r="CK757" s="14"/>
      <c r="CL757" s="14"/>
      <c r="CT757" s="14"/>
      <c r="CW757" s="3"/>
      <c r="DG757" s="4"/>
    </row>
    <row r="758" customFormat="false" ht="11.25" hidden="false" customHeight="true" outlineLevel="0" collapsed="false">
      <c r="A758" s="14"/>
      <c r="B758" s="15"/>
      <c r="C758" s="15"/>
      <c r="D758" s="14"/>
      <c r="E758" s="14"/>
      <c r="F758" s="14"/>
      <c r="G758" s="14"/>
      <c r="H758" s="15"/>
      <c r="I758" s="15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/>
      <c r="AV758" s="14"/>
      <c r="AW758" s="14"/>
      <c r="AX758" s="14"/>
      <c r="AY758" s="14"/>
      <c r="AZ758" s="14"/>
      <c r="BA758" s="14"/>
      <c r="BB758" s="14"/>
      <c r="BC758" s="14"/>
      <c r="BD758" s="14"/>
      <c r="BE758" s="14"/>
      <c r="BF758" s="14"/>
      <c r="BG758" s="14"/>
      <c r="BH758" s="14"/>
      <c r="BI758" s="14"/>
      <c r="BJ758" s="14"/>
      <c r="BK758" s="14"/>
      <c r="BL758" s="14"/>
      <c r="BM758" s="14"/>
      <c r="BN758" s="14"/>
      <c r="BO758" s="14"/>
      <c r="BP758" s="14"/>
      <c r="BQ758" s="14"/>
      <c r="BR758" s="14"/>
      <c r="BS758" s="14"/>
      <c r="BT758" s="14"/>
      <c r="BU758" s="14"/>
      <c r="BV758" s="14"/>
      <c r="BW758" s="14"/>
      <c r="BX758" s="14"/>
      <c r="BY758" s="14"/>
      <c r="BZ758" s="14"/>
      <c r="CA758" s="14"/>
      <c r="CB758" s="14"/>
      <c r="CC758" s="14"/>
      <c r="CD758" s="14"/>
      <c r="CE758" s="14"/>
      <c r="CF758" s="14"/>
      <c r="CG758" s="14"/>
      <c r="CH758" s="14"/>
      <c r="CI758" s="14"/>
      <c r="CJ758" s="14"/>
      <c r="CK758" s="14"/>
      <c r="CL758" s="14"/>
      <c r="CT758" s="14"/>
      <c r="CW758" s="3"/>
      <c r="DG758" s="4"/>
    </row>
    <row r="759" customFormat="false" ht="11.25" hidden="false" customHeight="true" outlineLevel="0" collapsed="false">
      <c r="A759" s="14"/>
      <c r="B759" s="15"/>
      <c r="C759" s="15"/>
      <c r="D759" s="14"/>
      <c r="E759" s="14"/>
      <c r="F759" s="14"/>
      <c r="G759" s="14"/>
      <c r="H759" s="15"/>
      <c r="I759" s="15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4"/>
      <c r="AX759" s="14"/>
      <c r="AY759" s="14"/>
      <c r="AZ759" s="14"/>
      <c r="BA759" s="14"/>
      <c r="BB759" s="14"/>
      <c r="BC759" s="14"/>
      <c r="BD759" s="14"/>
      <c r="BE759" s="14"/>
      <c r="BF759" s="14"/>
      <c r="BG759" s="14"/>
      <c r="BH759" s="14"/>
      <c r="BI759" s="14"/>
      <c r="BJ759" s="14"/>
      <c r="BK759" s="14"/>
      <c r="BL759" s="14"/>
      <c r="BM759" s="14"/>
      <c r="BN759" s="14"/>
      <c r="BO759" s="14"/>
      <c r="BP759" s="14"/>
      <c r="BQ759" s="14"/>
      <c r="BR759" s="14"/>
      <c r="BS759" s="14"/>
      <c r="BT759" s="14"/>
      <c r="BU759" s="14"/>
      <c r="BV759" s="14"/>
      <c r="BW759" s="14"/>
      <c r="BX759" s="14"/>
      <c r="BY759" s="14"/>
      <c r="BZ759" s="14"/>
      <c r="CA759" s="14"/>
      <c r="CB759" s="14"/>
      <c r="CC759" s="14"/>
      <c r="CD759" s="14"/>
      <c r="CE759" s="14"/>
      <c r="CF759" s="14"/>
      <c r="CG759" s="14"/>
      <c r="CH759" s="14"/>
      <c r="CI759" s="14"/>
      <c r="CJ759" s="14"/>
      <c r="CK759" s="14"/>
      <c r="CL759" s="14"/>
      <c r="CT759" s="14"/>
      <c r="CW759" s="3"/>
      <c r="DG759" s="4"/>
    </row>
    <row r="760" customFormat="false" ht="11.25" hidden="false" customHeight="true" outlineLevel="0" collapsed="false">
      <c r="A760" s="14"/>
      <c r="B760" s="15"/>
      <c r="C760" s="15"/>
      <c r="D760" s="14"/>
      <c r="E760" s="14"/>
      <c r="F760" s="14"/>
      <c r="G760" s="14"/>
      <c r="H760" s="15"/>
      <c r="I760" s="15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14"/>
      <c r="AV760" s="14"/>
      <c r="AW760" s="14"/>
      <c r="AX760" s="14"/>
      <c r="AY760" s="14"/>
      <c r="AZ760" s="14"/>
      <c r="BA760" s="14"/>
      <c r="BB760" s="14"/>
      <c r="BC760" s="14"/>
      <c r="BD760" s="14"/>
      <c r="BE760" s="14"/>
      <c r="BF760" s="14"/>
      <c r="BG760" s="14"/>
      <c r="BH760" s="14"/>
      <c r="BI760" s="14"/>
      <c r="BJ760" s="14"/>
      <c r="BK760" s="14"/>
      <c r="BL760" s="14"/>
      <c r="BM760" s="14"/>
      <c r="BN760" s="14"/>
      <c r="BO760" s="14"/>
      <c r="BP760" s="14"/>
      <c r="BQ760" s="14"/>
      <c r="BR760" s="14"/>
      <c r="BS760" s="14"/>
      <c r="BT760" s="14"/>
      <c r="BU760" s="14"/>
      <c r="BV760" s="14"/>
      <c r="BW760" s="14"/>
      <c r="BX760" s="14"/>
      <c r="BY760" s="14"/>
      <c r="BZ760" s="14"/>
      <c r="CA760" s="14"/>
      <c r="CB760" s="14"/>
      <c r="CC760" s="14"/>
      <c r="CD760" s="14"/>
      <c r="CE760" s="14"/>
      <c r="CF760" s="14"/>
      <c r="CG760" s="14"/>
      <c r="CH760" s="14"/>
      <c r="CI760" s="14"/>
      <c r="CJ760" s="14"/>
      <c r="CK760" s="14"/>
      <c r="CL760" s="14"/>
      <c r="CT760" s="14"/>
      <c r="CW760" s="3"/>
      <c r="DG760" s="4"/>
    </row>
    <row r="761" customFormat="false" ht="11.25" hidden="false" customHeight="true" outlineLevel="0" collapsed="false">
      <c r="A761" s="14"/>
      <c r="B761" s="15"/>
      <c r="C761" s="15"/>
      <c r="D761" s="14"/>
      <c r="E761" s="14"/>
      <c r="F761" s="14"/>
      <c r="G761" s="14"/>
      <c r="H761" s="15"/>
      <c r="I761" s="15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  <c r="AX761" s="14"/>
      <c r="AY761" s="14"/>
      <c r="AZ761" s="14"/>
      <c r="BA761" s="14"/>
      <c r="BB761" s="14"/>
      <c r="BC761" s="14"/>
      <c r="BD761" s="14"/>
      <c r="BE761" s="14"/>
      <c r="BF761" s="14"/>
      <c r="BG761" s="14"/>
      <c r="BH761" s="14"/>
      <c r="BI761" s="14"/>
      <c r="BJ761" s="14"/>
      <c r="BK761" s="14"/>
      <c r="BL761" s="14"/>
      <c r="BM761" s="14"/>
      <c r="BN761" s="14"/>
      <c r="BO761" s="14"/>
      <c r="BP761" s="14"/>
      <c r="BQ761" s="14"/>
      <c r="BR761" s="14"/>
      <c r="BS761" s="14"/>
      <c r="BT761" s="14"/>
      <c r="BU761" s="14"/>
      <c r="BV761" s="14"/>
      <c r="BW761" s="14"/>
      <c r="BX761" s="14"/>
      <c r="BY761" s="14"/>
      <c r="BZ761" s="14"/>
      <c r="CA761" s="14"/>
      <c r="CB761" s="14"/>
      <c r="CC761" s="14"/>
      <c r="CD761" s="14"/>
      <c r="CE761" s="14"/>
      <c r="CF761" s="14"/>
      <c r="CG761" s="14"/>
      <c r="CH761" s="14"/>
      <c r="CI761" s="14"/>
      <c r="CJ761" s="14"/>
      <c r="CK761" s="14"/>
      <c r="CL761" s="14"/>
      <c r="CT761" s="14"/>
      <c r="CW761" s="3"/>
      <c r="DG761" s="4"/>
    </row>
    <row r="762" customFormat="false" ht="11.25" hidden="false" customHeight="true" outlineLevel="0" collapsed="false">
      <c r="A762" s="14"/>
      <c r="B762" s="15"/>
      <c r="C762" s="15"/>
      <c r="D762" s="14"/>
      <c r="E762" s="14"/>
      <c r="F762" s="14"/>
      <c r="G762" s="14"/>
      <c r="H762" s="15"/>
      <c r="I762" s="15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14"/>
      <c r="AX762" s="14"/>
      <c r="AY762" s="14"/>
      <c r="AZ762" s="14"/>
      <c r="BA762" s="14"/>
      <c r="BB762" s="14"/>
      <c r="BC762" s="14"/>
      <c r="BD762" s="14"/>
      <c r="BE762" s="14"/>
      <c r="BF762" s="14"/>
      <c r="BG762" s="14"/>
      <c r="BH762" s="14"/>
      <c r="BI762" s="14"/>
      <c r="BJ762" s="14"/>
      <c r="BK762" s="14"/>
      <c r="BL762" s="14"/>
      <c r="BM762" s="14"/>
      <c r="BN762" s="14"/>
      <c r="BO762" s="14"/>
      <c r="BP762" s="14"/>
      <c r="BQ762" s="14"/>
      <c r="BR762" s="14"/>
      <c r="BS762" s="14"/>
      <c r="BT762" s="14"/>
      <c r="BU762" s="14"/>
      <c r="BV762" s="14"/>
      <c r="BW762" s="14"/>
      <c r="BX762" s="14"/>
      <c r="BY762" s="14"/>
      <c r="BZ762" s="14"/>
      <c r="CA762" s="14"/>
      <c r="CB762" s="14"/>
      <c r="CC762" s="14"/>
      <c r="CD762" s="14"/>
      <c r="CE762" s="14"/>
      <c r="CF762" s="14"/>
      <c r="CG762" s="14"/>
      <c r="CH762" s="14"/>
      <c r="CI762" s="14"/>
      <c r="CJ762" s="14"/>
      <c r="CK762" s="14"/>
      <c r="CL762" s="14"/>
      <c r="CT762" s="14"/>
      <c r="CW762" s="3"/>
      <c r="DG762" s="4"/>
    </row>
    <row r="763" customFormat="false" ht="11.25" hidden="false" customHeight="true" outlineLevel="0" collapsed="false">
      <c r="A763" s="14"/>
      <c r="B763" s="15"/>
      <c r="C763" s="15"/>
      <c r="D763" s="14"/>
      <c r="E763" s="14"/>
      <c r="F763" s="14"/>
      <c r="G763" s="14"/>
      <c r="H763" s="15"/>
      <c r="I763" s="15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  <c r="AX763" s="14"/>
      <c r="AY763" s="14"/>
      <c r="AZ763" s="14"/>
      <c r="BA763" s="14"/>
      <c r="BB763" s="14"/>
      <c r="BC763" s="14"/>
      <c r="BD763" s="14"/>
      <c r="BE763" s="14"/>
      <c r="BF763" s="14"/>
      <c r="BG763" s="14"/>
      <c r="BH763" s="14"/>
      <c r="BI763" s="14"/>
      <c r="BJ763" s="14"/>
      <c r="BK763" s="14"/>
      <c r="BL763" s="14"/>
      <c r="BM763" s="14"/>
      <c r="BN763" s="14"/>
      <c r="BO763" s="14"/>
      <c r="BP763" s="14"/>
      <c r="BQ763" s="14"/>
      <c r="BR763" s="14"/>
      <c r="BS763" s="14"/>
      <c r="BT763" s="14"/>
      <c r="BU763" s="14"/>
      <c r="BV763" s="14"/>
      <c r="BW763" s="14"/>
      <c r="BX763" s="14"/>
      <c r="BY763" s="14"/>
      <c r="BZ763" s="14"/>
      <c r="CA763" s="14"/>
      <c r="CB763" s="14"/>
      <c r="CC763" s="14"/>
      <c r="CD763" s="14"/>
      <c r="CE763" s="14"/>
      <c r="CF763" s="14"/>
      <c r="CG763" s="14"/>
      <c r="CH763" s="14"/>
      <c r="CI763" s="14"/>
      <c r="CJ763" s="14"/>
      <c r="CK763" s="14"/>
      <c r="CL763" s="14"/>
      <c r="CT763" s="14"/>
      <c r="CW763" s="3"/>
      <c r="DG763" s="4"/>
    </row>
    <row r="764" customFormat="false" ht="11.25" hidden="false" customHeight="true" outlineLevel="0" collapsed="false">
      <c r="A764" s="14"/>
      <c r="B764" s="15"/>
      <c r="C764" s="15"/>
      <c r="D764" s="14"/>
      <c r="E764" s="14"/>
      <c r="F764" s="14"/>
      <c r="G764" s="14"/>
      <c r="H764" s="15"/>
      <c r="I764" s="15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14"/>
      <c r="AX764" s="14"/>
      <c r="AY764" s="14"/>
      <c r="AZ764" s="14"/>
      <c r="BA764" s="14"/>
      <c r="BB764" s="14"/>
      <c r="BC764" s="14"/>
      <c r="BD764" s="14"/>
      <c r="BE764" s="14"/>
      <c r="BF764" s="14"/>
      <c r="BG764" s="14"/>
      <c r="BH764" s="14"/>
      <c r="BI764" s="14"/>
      <c r="BJ764" s="14"/>
      <c r="BK764" s="14"/>
      <c r="BL764" s="14"/>
      <c r="BM764" s="14"/>
      <c r="BN764" s="14"/>
      <c r="BO764" s="14"/>
      <c r="BP764" s="14"/>
      <c r="BQ764" s="14"/>
      <c r="BR764" s="14"/>
      <c r="BS764" s="14"/>
      <c r="BT764" s="14"/>
      <c r="BU764" s="14"/>
      <c r="BV764" s="14"/>
      <c r="BW764" s="14"/>
      <c r="BX764" s="14"/>
      <c r="BY764" s="14"/>
      <c r="BZ764" s="14"/>
      <c r="CA764" s="14"/>
      <c r="CB764" s="14"/>
      <c r="CC764" s="14"/>
      <c r="CD764" s="14"/>
      <c r="CE764" s="14"/>
      <c r="CF764" s="14"/>
      <c r="CG764" s="14"/>
      <c r="CH764" s="14"/>
      <c r="CI764" s="14"/>
      <c r="CJ764" s="14"/>
      <c r="CK764" s="14"/>
      <c r="CL764" s="14"/>
      <c r="CT764" s="14"/>
      <c r="CW764" s="3"/>
      <c r="DG764" s="4"/>
    </row>
    <row r="765" customFormat="false" ht="11.25" hidden="false" customHeight="true" outlineLevel="0" collapsed="false">
      <c r="A765" s="14"/>
      <c r="B765" s="15"/>
      <c r="C765" s="15"/>
      <c r="D765" s="14"/>
      <c r="E765" s="14"/>
      <c r="F765" s="14"/>
      <c r="G765" s="14"/>
      <c r="H765" s="15"/>
      <c r="I765" s="15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4"/>
      <c r="AX765" s="14"/>
      <c r="AY765" s="14"/>
      <c r="AZ765" s="14"/>
      <c r="BA765" s="14"/>
      <c r="BB765" s="14"/>
      <c r="BC765" s="14"/>
      <c r="BD765" s="14"/>
      <c r="BE765" s="14"/>
      <c r="BF765" s="14"/>
      <c r="BG765" s="14"/>
      <c r="BH765" s="14"/>
      <c r="BI765" s="14"/>
      <c r="BJ765" s="14"/>
      <c r="BK765" s="14"/>
      <c r="BL765" s="14"/>
      <c r="BM765" s="14"/>
      <c r="BN765" s="14"/>
      <c r="BO765" s="14"/>
      <c r="BP765" s="14"/>
      <c r="BQ765" s="14"/>
      <c r="BR765" s="14"/>
      <c r="BS765" s="14"/>
      <c r="BT765" s="14"/>
      <c r="BU765" s="14"/>
      <c r="BV765" s="14"/>
      <c r="BW765" s="14"/>
      <c r="BX765" s="14"/>
      <c r="BY765" s="14"/>
      <c r="BZ765" s="14"/>
      <c r="CA765" s="14"/>
      <c r="CB765" s="14"/>
      <c r="CC765" s="14"/>
      <c r="CD765" s="14"/>
      <c r="CE765" s="14"/>
      <c r="CF765" s="14"/>
      <c r="CG765" s="14"/>
      <c r="CH765" s="14"/>
      <c r="CI765" s="14"/>
      <c r="CJ765" s="14"/>
      <c r="CK765" s="14"/>
      <c r="CL765" s="14"/>
      <c r="CT765" s="14"/>
      <c r="CW765" s="3"/>
      <c r="DG765" s="4"/>
    </row>
    <row r="766" customFormat="false" ht="11.25" hidden="false" customHeight="true" outlineLevel="0" collapsed="false">
      <c r="A766" s="14"/>
      <c r="B766" s="15"/>
      <c r="C766" s="15"/>
      <c r="D766" s="14"/>
      <c r="E766" s="14"/>
      <c r="F766" s="14"/>
      <c r="G766" s="14"/>
      <c r="H766" s="15"/>
      <c r="I766" s="15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  <c r="AU766" s="14"/>
      <c r="AV766" s="14"/>
      <c r="AW766" s="14"/>
      <c r="AX766" s="14"/>
      <c r="AY766" s="14"/>
      <c r="AZ766" s="14"/>
      <c r="BA766" s="14"/>
      <c r="BB766" s="14"/>
      <c r="BC766" s="14"/>
      <c r="BD766" s="14"/>
      <c r="BE766" s="14"/>
      <c r="BF766" s="14"/>
      <c r="BG766" s="14"/>
      <c r="BH766" s="14"/>
      <c r="BI766" s="14"/>
      <c r="BJ766" s="14"/>
      <c r="BK766" s="14"/>
      <c r="BL766" s="14"/>
      <c r="BM766" s="14"/>
      <c r="BN766" s="14"/>
      <c r="BO766" s="14"/>
      <c r="BP766" s="14"/>
      <c r="BQ766" s="14"/>
      <c r="BR766" s="14"/>
      <c r="BS766" s="14"/>
      <c r="BT766" s="14"/>
      <c r="BU766" s="14"/>
      <c r="BV766" s="14"/>
      <c r="BW766" s="14"/>
      <c r="BX766" s="14"/>
      <c r="BY766" s="14"/>
      <c r="BZ766" s="14"/>
      <c r="CA766" s="14"/>
      <c r="CB766" s="14"/>
      <c r="CC766" s="14"/>
      <c r="CD766" s="14"/>
      <c r="CE766" s="14"/>
      <c r="CF766" s="14"/>
      <c r="CG766" s="14"/>
      <c r="CH766" s="14"/>
      <c r="CI766" s="14"/>
      <c r="CJ766" s="14"/>
      <c r="CK766" s="14"/>
      <c r="CL766" s="14"/>
      <c r="CT766" s="14"/>
      <c r="CW766" s="3"/>
      <c r="DG766" s="4"/>
    </row>
    <row r="767" customFormat="false" ht="11.25" hidden="false" customHeight="true" outlineLevel="0" collapsed="false">
      <c r="A767" s="14"/>
      <c r="B767" s="15"/>
      <c r="C767" s="15"/>
      <c r="D767" s="14"/>
      <c r="E767" s="14"/>
      <c r="F767" s="14"/>
      <c r="G767" s="14"/>
      <c r="H767" s="15"/>
      <c r="I767" s="15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4"/>
      <c r="AX767" s="14"/>
      <c r="AY767" s="14"/>
      <c r="AZ767" s="14"/>
      <c r="BA767" s="14"/>
      <c r="BB767" s="14"/>
      <c r="BC767" s="14"/>
      <c r="BD767" s="14"/>
      <c r="BE767" s="14"/>
      <c r="BF767" s="14"/>
      <c r="BG767" s="14"/>
      <c r="BH767" s="14"/>
      <c r="BI767" s="14"/>
      <c r="BJ767" s="14"/>
      <c r="BK767" s="14"/>
      <c r="BL767" s="14"/>
      <c r="BM767" s="14"/>
      <c r="BN767" s="14"/>
      <c r="BO767" s="14"/>
      <c r="BP767" s="14"/>
      <c r="BQ767" s="14"/>
      <c r="BR767" s="14"/>
      <c r="BS767" s="14"/>
      <c r="BT767" s="14"/>
      <c r="BU767" s="14"/>
      <c r="BV767" s="14"/>
      <c r="BW767" s="14"/>
      <c r="BX767" s="14"/>
      <c r="BY767" s="14"/>
      <c r="BZ767" s="14"/>
      <c r="CA767" s="14"/>
      <c r="CB767" s="14"/>
      <c r="CC767" s="14"/>
      <c r="CD767" s="14"/>
      <c r="CE767" s="14"/>
      <c r="CF767" s="14"/>
      <c r="CG767" s="14"/>
      <c r="CH767" s="14"/>
      <c r="CI767" s="14"/>
      <c r="CJ767" s="14"/>
      <c r="CK767" s="14"/>
      <c r="CL767" s="14"/>
      <c r="CT767" s="14"/>
      <c r="CW767" s="3"/>
      <c r="DG767" s="4"/>
    </row>
    <row r="768" customFormat="false" ht="11.25" hidden="false" customHeight="true" outlineLevel="0" collapsed="false">
      <c r="A768" s="14"/>
      <c r="B768" s="15"/>
      <c r="C768" s="15"/>
      <c r="D768" s="14"/>
      <c r="E768" s="14"/>
      <c r="F768" s="14"/>
      <c r="G768" s="14"/>
      <c r="H768" s="15"/>
      <c r="I768" s="15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14"/>
      <c r="AX768" s="14"/>
      <c r="AY768" s="14"/>
      <c r="AZ768" s="14"/>
      <c r="BA768" s="14"/>
      <c r="BB768" s="14"/>
      <c r="BC768" s="14"/>
      <c r="BD768" s="14"/>
      <c r="BE768" s="14"/>
      <c r="BF768" s="14"/>
      <c r="BG768" s="14"/>
      <c r="BH768" s="14"/>
      <c r="BI768" s="14"/>
      <c r="BJ768" s="14"/>
      <c r="BK768" s="14"/>
      <c r="BL768" s="14"/>
      <c r="BM768" s="14"/>
      <c r="BN768" s="14"/>
      <c r="BO768" s="14"/>
      <c r="BP768" s="14"/>
      <c r="BQ768" s="14"/>
      <c r="BR768" s="14"/>
      <c r="BS768" s="14"/>
      <c r="BT768" s="14"/>
      <c r="BU768" s="14"/>
      <c r="BV768" s="14"/>
      <c r="BW768" s="14"/>
      <c r="BX768" s="14"/>
      <c r="BY768" s="14"/>
      <c r="BZ768" s="14"/>
      <c r="CA768" s="14"/>
      <c r="CB768" s="14"/>
      <c r="CC768" s="14"/>
      <c r="CD768" s="14"/>
      <c r="CE768" s="14"/>
      <c r="CF768" s="14"/>
      <c r="CG768" s="14"/>
      <c r="CH768" s="14"/>
      <c r="CI768" s="14"/>
      <c r="CJ768" s="14"/>
      <c r="CK768" s="14"/>
      <c r="CL768" s="14"/>
      <c r="CT768" s="14"/>
      <c r="CW768" s="3"/>
      <c r="DG768" s="4"/>
    </row>
    <row r="769" customFormat="false" ht="11.25" hidden="false" customHeight="true" outlineLevel="0" collapsed="false">
      <c r="A769" s="14"/>
      <c r="B769" s="15"/>
      <c r="C769" s="15"/>
      <c r="D769" s="14"/>
      <c r="E769" s="14"/>
      <c r="F769" s="14"/>
      <c r="G769" s="14"/>
      <c r="H769" s="15"/>
      <c r="I769" s="15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4"/>
      <c r="AX769" s="14"/>
      <c r="AY769" s="14"/>
      <c r="AZ769" s="14"/>
      <c r="BA769" s="14"/>
      <c r="BB769" s="14"/>
      <c r="BC769" s="14"/>
      <c r="BD769" s="14"/>
      <c r="BE769" s="14"/>
      <c r="BF769" s="14"/>
      <c r="BG769" s="14"/>
      <c r="BH769" s="14"/>
      <c r="BI769" s="14"/>
      <c r="BJ769" s="14"/>
      <c r="BK769" s="14"/>
      <c r="BL769" s="14"/>
      <c r="BM769" s="14"/>
      <c r="BN769" s="14"/>
      <c r="BO769" s="14"/>
      <c r="BP769" s="14"/>
      <c r="BQ769" s="14"/>
      <c r="BR769" s="14"/>
      <c r="BS769" s="14"/>
      <c r="BT769" s="14"/>
      <c r="BU769" s="14"/>
      <c r="BV769" s="14"/>
      <c r="BW769" s="14"/>
      <c r="BX769" s="14"/>
      <c r="BY769" s="14"/>
      <c r="BZ769" s="14"/>
      <c r="CA769" s="14"/>
      <c r="CB769" s="14"/>
      <c r="CC769" s="14"/>
      <c r="CD769" s="14"/>
      <c r="CE769" s="14"/>
      <c r="CF769" s="14"/>
      <c r="CG769" s="14"/>
      <c r="CH769" s="14"/>
      <c r="CI769" s="14"/>
      <c r="CJ769" s="14"/>
      <c r="CK769" s="14"/>
      <c r="CL769" s="14"/>
      <c r="CT769" s="14"/>
      <c r="CW769" s="3"/>
      <c r="DG769" s="4"/>
    </row>
    <row r="770" customFormat="false" ht="11.25" hidden="false" customHeight="true" outlineLevel="0" collapsed="false">
      <c r="A770" s="14"/>
      <c r="B770" s="15"/>
      <c r="C770" s="15"/>
      <c r="D770" s="14"/>
      <c r="E770" s="14"/>
      <c r="F770" s="14"/>
      <c r="G770" s="14"/>
      <c r="H770" s="15"/>
      <c r="I770" s="15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  <c r="AU770" s="14"/>
      <c r="AV770" s="14"/>
      <c r="AW770" s="14"/>
      <c r="AX770" s="14"/>
      <c r="AY770" s="14"/>
      <c r="AZ770" s="14"/>
      <c r="BA770" s="14"/>
      <c r="BB770" s="14"/>
      <c r="BC770" s="14"/>
      <c r="BD770" s="14"/>
      <c r="BE770" s="14"/>
      <c r="BF770" s="14"/>
      <c r="BG770" s="14"/>
      <c r="BH770" s="14"/>
      <c r="BI770" s="14"/>
      <c r="BJ770" s="14"/>
      <c r="BK770" s="14"/>
      <c r="BL770" s="14"/>
      <c r="BM770" s="14"/>
      <c r="BN770" s="14"/>
      <c r="BO770" s="14"/>
      <c r="BP770" s="14"/>
      <c r="BQ770" s="14"/>
      <c r="BR770" s="14"/>
      <c r="BS770" s="14"/>
      <c r="BT770" s="14"/>
      <c r="BU770" s="14"/>
      <c r="BV770" s="14"/>
      <c r="BW770" s="14"/>
      <c r="BX770" s="14"/>
      <c r="BY770" s="14"/>
      <c r="BZ770" s="14"/>
      <c r="CA770" s="14"/>
      <c r="CB770" s="14"/>
      <c r="CC770" s="14"/>
      <c r="CD770" s="14"/>
      <c r="CE770" s="14"/>
      <c r="CF770" s="14"/>
      <c r="CG770" s="14"/>
      <c r="CH770" s="14"/>
      <c r="CI770" s="14"/>
      <c r="CJ770" s="14"/>
      <c r="CK770" s="14"/>
      <c r="CL770" s="14"/>
      <c r="CT770" s="14"/>
      <c r="CW770" s="3"/>
      <c r="DG770" s="4"/>
    </row>
    <row r="771" customFormat="false" ht="11.25" hidden="false" customHeight="true" outlineLevel="0" collapsed="false">
      <c r="A771" s="14"/>
      <c r="B771" s="15"/>
      <c r="C771" s="15"/>
      <c r="D771" s="14"/>
      <c r="E771" s="14"/>
      <c r="F771" s="14"/>
      <c r="G771" s="14"/>
      <c r="H771" s="15"/>
      <c r="I771" s="15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4"/>
      <c r="AX771" s="14"/>
      <c r="AY771" s="14"/>
      <c r="AZ771" s="14"/>
      <c r="BA771" s="14"/>
      <c r="BB771" s="14"/>
      <c r="BC771" s="14"/>
      <c r="BD771" s="14"/>
      <c r="BE771" s="14"/>
      <c r="BF771" s="14"/>
      <c r="BG771" s="14"/>
      <c r="BH771" s="14"/>
      <c r="BI771" s="14"/>
      <c r="BJ771" s="14"/>
      <c r="BK771" s="14"/>
      <c r="BL771" s="14"/>
      <c r="BM771" s="14"/>
      <c r="BN771" s="14"/>
      <c r="BO771" s="14"/>
      <c r="BP771" s="14"/>
      <c r="BQ771" s="14"/>
      <c r="BR771" s="14"/>
      <c r="BS771" s="14"/>
      <c r="BT771" s="14"/>
      <c r="BU771" s="14"/>
      <c r="BV771" s="14"/>
      <c r="BW771" s="14"/>
      <c r="BX771" s="14"/>
      <c r="BY771" s="14"/>
      <c r="BZ771" s="14"/>
      <c r="CA771" s="14"/>
      <c r="CB771" s="14"/>
      <c r="CC771" s="14"/>
      <c r="CD771" s="14"/>
      <c r="CE771" s="14"/>
      <c r="CF771" s="14"/>
      <c r="CG771" s="14"/>
      <c r="CH771" s="14"/>
      <c r="CI771" s="14"/>
      <c r="CJ771" s="14"/>
      <c r="CK771" s="14"/>
      <c r="CL771" s="14"/>
      <c r="CT771" s="14"/>
      <c r="CW771" s="3"/>
      <c r="DG771" s="4"/>
    </row>
    <row r="772" customFormat="false" ht="11.25" hidden="false" customHeight="true" outlineLevel="0" collapsed="false">
      <c r="A772" s="14"/>
      <c r="B772" s="15"/>
      <c r="C772" s="15"/>
      <c r="D772" s="14"/>
      <c r="E772" s="14"/>
      <c r="F772" s="14"/>
      <c r="G772" s="14"/>
      <c r="H772" s="15"/>
      <c r="I772" s="15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14"/>
      <c r="AV772" s="14"/>
      <c r="AW772" s="14"/>
      <c r="AX772" s="14"/>
      <c r="AY772" s="14"/>
      <c r="AZ772" s="14"/>
      <c r="BA772" s="14"/>
      <c r="BB772" s="14"/>
      <c r="BC772" s="14"/>
      <c r="BD772" s="14"/>
      <c r="BE772" s="14"/>
      <c r="BF772" s="14"/>
      <c r="BG772" s="14"/>
      <c r="BH772" s="14"/>
      <c r="BI772" s="14"/>
      <c r="BJ772" s="14"/>
      <c r="BK772" s="14"/>
      <c r="BL772" s="14"/>
      <c r="BM772" s="14"/>
      <c r="BN772" s="14"/>
      <c r="BO772" s="14"/>
      <c r="BP772" s="14"/>
      <c r="BQ772" s="14"/>
      <c r="BR772" s="14"/>
      <c r="BS772" s="14"/>
      <c r="BT772" s="14"/>
      <c r="BU772" s="14"/>
      <c r="BV772" s="14"/>
      <c r="BW772" s="14"/>
      <c r="BX772" s="14"/>
      <c r="BY772" s="14"/>
      <c r="BZ772" s="14"/>
      <c r="CA772" s="14"/>
      <c r="CB772" s="14"/>
      <c r="CC772" s="14"/>
      <c r="CD772" s="14"/>
      <c r="CE772" s="14"/>
      <c r="CF772" s="14"/>
      <c r="CG772" s="14"/>
      <c r="CH772" s="14"/>
      <c r="CI772" s="14"/>
      <c r="CJ772" s="14"/>
      <c r="CK772" s="14"/>
      <c r="CL772" s="14"/>
      <c r="CT772" s="14"/>
      <c r="CW772" s="3"/>
      <c r="DG772" s="4"/>
    </row>
    <row r="773" customFormat="false" ht="11.25" hidden="false" customHeight="true" outlineLevel="0" collapsed="false">
      <c r="A773" s="14"/>
      <c r="B773" s="15"/>
      <c r="C773" s="15"/>
      <c r="D773" s="14"/>
      <c r="E773" s="14"/>
      <c r="F773" s="14"/>
      <c r="G773" s="14"/>
      <c r="H773" s="15"/>
      <c r="I773" s="15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4"/>
      <c r="AX773" s="14"/>
      <c r="AY773" s="14"/>
      <c r="AZ773" s="14"/>
      <c r="BA773" s="14"/>
      <c r="BB773" s="14"/>
      <c r="BC773" s="14"/>
      <c r="BD773" s="14"/>
      <c r="BE773" s="14"/>
      <c r="BF773" s="14"/>
      <c r="BG773" s="14"/>
      <c r="BH773" s="14"/>
      <c r="BI773" s="14"/>
      <c r="BJ773" s="14"/>
      <c r="BK773" s="14"/>
      <c r="BL773" s="14"/>
      <c r="BM773" s="14"/>
      <c r="BN773" s="14"/>
      <c r="BO773" s="14"/>
      <c r="BP773" s="14"/>
      <c r="BQ773" s="14"/>
      <c r="BR773" s="14"/>
      <c r="BS773" s="14"/>
      <c r="BT773" s="14"/>
      <c r="BU773" s="14"/>
      <c r="BV773" s="14"/>
      <c r="BW773" s="14"/>
      <c r="BX773" s="14"/>
      <c r="BY773" s="14"/>
      <c r="BZ773" s="14"/>
      <c r="CA773" s="14"/>
      <c r="CB773" s="14"/>
      <c r="CC773" s="14"/>
      <c r="CD773" s="14"/>
      <c r="CE773" s="14"/>
      <c r="CF773" s="14"/>
      <c r="CG773" s="14"/>
      <c r="CH773" s="14"/>
      <c r="CI773" s="14"/>
      <c r="CJ773" s="14"/>
      <c r="CK773" s="14"/>
      <c r="CL773" s="14"/>
      <c r="CT773" s="14"/>
      <c r="CW773" s="3"/>
      <c r="DG773" s="4"/>
    </row>
    <row r="774" customFormat="false" ht="11.25" hidden="false" customHeight="true" outlineLevel="0" collapsed="false">
      <c r="A774" s="14"/>
      <c r="B774" s="15"/>
      <c r="C774" s="15"/>
      <c r="D774" s="14"/>
      <c r="E774" s="14"/>
      <c r="F774" s="14"/>
      <c r="G774" s="14"/>
      <c r="H774" s="15"/>
      <c r="I774" s="15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14"/>
      <c r="AV774" s="14"/>
      <c r="AW774" s="14"/>
      <c r="AX774" s="14"/>
      <c r="AY774" s="14"/>
      <c r="AZ774" s="14"/>
      <c r="BA774" s="14"/>
      <c r="BB774" s="14"/>
      <c r="BC774" s="14"/>
      <c r="BD774" s="14"/>
      <c r="BE774" s="14"/>
      <c r="BF774" s="14"/>
      <c r="BG774" s="14"/>
      <c r="BH774" s="14"/>
      <c r="BI774" s="14"/>
      <c r="BJ774" s="14"/>
      <c r="BK774" s="14"/>
      <c r="BL774" s="14"/>
      <c r="BM774" s="14"/>
      <c r="BN774" s="14"/>
      <c r="BO774" s="14"/>
      <c r="BP774" s="14"/>
      <c r="BQ774" s="14"/>
      <c r="BR774" s="14"/>
      <c r="BS774" s="14"/>
      <c r="BT774" s="14"/>
      <c r="BU774" s="14"/>
      <c r="BV774" s="14"/>
      <c r="BW774" s="14"/>
      <c r="BX774" s="14"/>
      <c r="BY774" s="14"/>
      <c r="BZ774" s="14"/>
      <c r="CA774" s="14"/>
      <c r="CB774" s="14"/>
      <c r="CC774" s="14"/>
      <c r="CD774" s="14"/>
      <c r="CE774" s="14"/>
      <c r="CF774" s="14"/>
      <c r="CG774" s="14"/>
      <c r="CH774" s="14"/>
      <c r="CI774" s="14"/>
      <c r="CJ774" s="14"/>
      <c r="CK774" s="14"/>
      <c r="CL774" s="14"/>
      <c r="CT774" s="14"/>
      <c r="CW774" s="3"/>
      <c r="DG774" s="4"/>
    </row>
    <row r="775" customFormat="false" ht="11.25" hidden="false" customHeight="true" outlineLevel="0" collapsed="false">
      <c r="A775" s="14"/>
      <c r="B775" s="15"/>
      <c r="C775" s="15"/>
      <c r="D775" s="14"/>
      <c r="E775" s="14"/>
      <c r="F775" s="14"/>
      <c r="G775" s="14"/>
      <c r="H775" s="15"/>
      <c r="I775" s="15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4"/>
      <c r="AX775" s="14"/>
      <c r="AY775" s="14"/>
      <c r="AZ775" s="14"/>
      <c r="BA775" s="14"/>
      <c r="BB775" s="14"/>
      <c r="BC775" s="14"/>
      <c r="BD775" s="14"/>
      <c r="BE775" s="14"/>
      <c r="BF775" s="14"/>
      <c r="BG775" s="14"/>
      <c r="BH775" s="14"/>
      <c r="BI775" s="14"/>
      <c r="BJ775" s="14"/>
      <c r="BK775" s="14"/>
      <c r="BL775" s="14"/>
      <c r="BM775" s="14"/>
      <c r="BN775" s="14"/>
      <c r="BO775" s="14"/>
      <c r="BP775" s="14"/>
      <c r="BQ775" s="14"/>
      <c r="BR775" s="14"/>
      <c r="BS775" s="14"/>
      <c r="BT775" s="14"/>
      <c r="BU775" s="14"/>
      <c r="BV775" s="14"/>
      <c r="BW775" s="14"/>
      <c r="BX775" s="14"/>
      <c r="BY775" s="14"/>
      <c r="BZ775" s="14"/>
      <c r="CA775" s="14"/>
      <c r="CB775" s="14"/>
      <c r="CC775" s="14"/>
      <c r="CD775" s="14"/>
      <c r="CE775" s="14"/>
      <c r="CF775" s="14"/>
      <c r="CG775" s="14"/>
      <c r="CH775" s="14"/>
      <c r="CI775" s="14"/>
      <c r="CJ775" s="14"/>
      <c r="CK775" s="14"/>
      <c r="CL775" s="14"/>
      <c r="CT775" s="14"/>
      <c r="CW775" s="3"/>
      <c r="DG775" s="4"/>
    </row>
    <row r="776" customFormat="false" ht="11.25" hidden="false" customHeight="true" outlineLevel="0" collapsed="false">
      <c r="A776" s="14"/>
      <c r="B776" s="15"/>
      <c r="C776" s="15"/>
      <c r="D776" s="14"/>
      <c r="E776" s="14"/>
      <c r="F776" s="14"/>
      <c r="G776" s="14"/>
      <c r="H776" s="15"/>
      <c r="I776" s="15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  <c r="AW776" s="14"/>
      <c r="AX776" s="14"/>
      <c r="AY776" s="14"/>
      <c r="AZ776" s="14"/>
      <c r="BA776" s="14"/>
      <c r="BB776" s="14"/>
      <c r="BC776" s="14"/>
      <c r="BD776" s="14"/>
      <c r="BE776" s="14"/>
      <c r="BF776" s="14"/>
      <c r="BG776" s="14"/>
      <c r="BH776" s="14"/>
      <c r="BI776" s="14"/>
      <c r="BJ776" s="14"/>
      <c r="BK776" s="14"/>
      <c r="BL776" s="14"/>
      <c r="BM776" s="14"/>
      <c r="BN776" s="14"/>
      <c r="BO776" s="14"/>
      <c r="BP776" s="14"/>
      <c r="BQ776" s="14"/>
      <c r="BR776" s="14"/>
      <c r="BS776" s="14"/>
      <c r="BT776" s="14"/>
      <c r="BU776" s="14"/>
      <c r="BV776" s="14"/>
      <c r="BW776" s="14"/>
      <c r="BX776" s="14"/>
      <c r="BY776" s="14"/>
      <c r="BZ776" s="14"/>
      <c r="CA776" s="14"/>
      <c r="CB776" s="14"/>
      <c r="CC776" s="14"/>
      <c r="CD776" s="14"/>
      <c r="CE776" s="14"/>
      <c r="CF776" s="14"/>
      <c r="CG776" s="14"/>
      <c r="CH776" s="14"/>
      <c r="CI776" s="14"/>
      <c r="CJ776" s="14"/>
      <c r="CK776" s="14"/>
      <c r="CL776" s="14"/>
      <c r="CT776" s="14"/>
      <c r="CW776" s="3"/>
      <c r="DG776" s="4"/>
    </row>
    <row r="777" customFormat="false" ht="11.25" hidden="false" customHeight="true" outlineLevel="0" collapsed="false">
      <c r="A777" s="14"/>
      <c r="B777" s="15"/>
      <c r="C777" s="15"/>
      <c r="D777" s="14"/>
      <c r="E777" s="14"/>
      <c r="F777" s="14"/>
      <c r="G777" s="14"/>
      <c r="H777" s="15"/>
      <c r="I777" s="15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4"/>
      <c r="AX777" s="14"/>
      <c r="AY777" s="14"/>
      <c r="AZ777" s="14"/>
      <c r="BA777" s="14"/>
      <c r="BB777" s="14"/>
      <c r="BC777" s="14"/>
      <c r="BD777" s="14"/>
      <c r="BE777" s="14"/>
      <c r="BF777" s="14"/>
      <c r="BG777" s="14"/>
      <c r="BH777" s="14"/>
      <c r="BI777" s="14"/>
      <c r="BJ777" s="14"/>
      <c r="BK777" s="14"/>
      <c r="BL777" s="14"/>
      <c r="BM777" s="14"/>
      <c r="BN777" s="14"/>
      <c r="BO777" s="14"/>
      <c r="BP777" s="14"/>
      <c r="BQ777" s="14"/>
      <c r="BR777" s="14"/>
      <c r="BS777" s="14"/>
      <c r="BT777" s="14"/>
      <c r="BU777" s="14"/>
      <c r="BV777" s="14"/>
      <c r="BW777" s="14"/>
      <c r="BX777" s="14"/>
      <c r="BY777" s="14"/>
      <c r="BZ777" s="14"/>
      <c r="CA777" s="14"/>
      <c r="CB777" s="14"/>
      <c r="CC777" s="14"/>
      <c r="CD777" s="14"/>
      <c r="CE777" s="14"/>
      <c r="CF777" s="14"/>
      <c r="CG777" s="14"/>
      <c r="CH777" s="14"/>
      <c r="CI777" s="14"/>
      <c r="CJ777" s="14"/>
      <c r="CK777" s="14"/>
      <c r="CL777" s="14"/>
      <c r="CT777" s="14"/>
      <c r="CW777" s="3"/>
      <c r="DG777" s="4"/>
    </row>
    <row r="778" customFormat="false" ht="11.25" hidden="false" customHeight="true" outlineLevel="0" collapsed="false">
      <c r="A778" s="14"/>
      <c r="B778" s="15"/>
      <c r="C778" s="15"/>
      <c r="D778" s="14"/>
      <c r="E778" s="14"/>
      <c r="F778" s="14"/>
      <c r="G778" s="14"/>
      <c r="H778" s="15"/>
      <c r="I778" s="15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  <c r="AU778" s="14"/>
      <c r="AV778" s="14"/>
      <c r="AW778" s="14"/>
      <c r="AX778" s="14"/>
      <c r="AY778" s="14"/>
      <c r="AZ778" s="14"/>
      <c r="BA778" s="14"/>
      <c r="BB778" s="14"/>
      <c r="BC778" s="14"/>
      <c r="BD778" s="14"/>
      <c r="BE778" s="14"/>
      <c r="BF778" s="14"/>
      <c r="BG778" s="14"/>
      <c r="BH778" s="14"/>
      <c r="BI778" s="14"/>
      <c r="BJ778" s="14"/>
      <c r="BK778" s="14"/>
      <c r="BL778" s="14"/>
      <c r="BM778" s="14"/>
      <c r="BN778" s="14"/>
      <c r="BO778" s="14"/>
      <c r="BP778" s="14"/>
      <c r="BQ778" s="14"/>
      <c r="BR778" s="14"/>
      <c r="BS778" s="14"/>
      <c r="BT778" s="14"/>
      <c r="BU778" s="14"/>
      <c r="BV778" s="14"/>
      <c r="BW778" s="14"/>
      <c r="BX778" s="14"/>
      <c r="BY778" s="14"/>
      <c r="BZ778" s="14"/>
      <c r="CA778" s="14"/>
      <c r="CB778" s="14"/>
      <c r="CC778" s="14"/>
      <c r="CD778" s="14"/>
      <c r="CE778" s="14"/>
      <c r="CF778" s="14"/>
      <c r="CG778" s="14"/>
      <c r="CH778" s="14"/>
      <c r="CI778" s="14"/>
      <c r="CJ778" s="14"/>
      <c r="CK778" s="14"/>
      <c r="CL778" s="14"/>
      <c r="CT778" s="14"/>
      <c r="CW778" s="3"/>
      <c r="DG778" s="4"/>
    </row>
    <row r="779" customFormat="false" ht="11.25" hidden="false" customHeight="true" outlineLevel="0" collapsed="false">
      <c r="A779" s="14"/>
      <c r="B779" s="15"/>
      <c r="C779" s="15"/>
      <c r="D779" s="14"/>
      <c r="E779" s="14"/>
      <c r="F779" s="14"/>
      <c r="G779" s="14"/>
      <c r="H779" s="15"/>
      <c r="I779" s="15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4"/>
      <c r="AX779" s="14"/>
      <c r="AY779" s="14"/>
      <c r="AZ779" s="14"/>
      <c r="BA779" s="14"/>
      <c r="BB779" s="14"/>
      <c r="BC779" s="14"/>
      <c r="BD779" s="14"/>
      <c r="BE779" s="14"/>
      <c r="BF779" s="14"/>
      <c r="BG779" s="14"/>
      <c r="BH779" s="14"/>
      <c r="BI779" s="14"/>
      <c r="BJ779" s="14"/>
      <c r="BK779" s="14"/>
      <c r="BL779" s="14"/>
      <c r="BM779" s="14"/>
      <c r="BN779" s="14"/>
      <c r="BO779" s="14"/>
      <c r="BP779" s="14"/>
      <c r="BQ779" s="14"/>
      <c r="BR779" s="14"/>
      <c r="BS779" s="14"/>
      <c r="BT779" s="14"/>
      <c r="BU779" s="14"/>
      <c r="BV779" s="14"/>
      <c r="BW779" s="14"/>
      <c r="BX779" s="14"/>
      <c r="BY779" s="14"/>
      <c r="BZ779" s="14"/>
      <c r="CA779" s="14"/>
      <c r="CB779" s="14"/>
      <c r="CC779" s="14"/>
      <c r="CD779" s="14"/>
      <c r="CE779" s="14"/>
      <c r="CF779" s="14"/>
      <c r="CG779" s="14"/>
      <c r="CH779" s="14"/>
      <c r="CI779" s="14"/>
      <c r="CJ779" s="14"/>
      <c r="CK779" s="14"/>
      <c r="CL779" s="14"/>
      <c r="CT779" s="14"/>
      <c r="CW779" s="3"/>
      <c r="DG779" s="4"/>
    </row>
    <row r="780" customFormat="false" ht="11.25" hidden="false" customHeight="true" outlineLevel="0" collapsed="false">
      <c r="A780" s="14"/>
      <c r="B780" s="15"/>
      <c r="C780" s="15"/>
      <c r="D780" s="14"/>
      <c r="E780" s="14"/>
      <c r="F780" s="14"/>
      <c r="G780" s="14"/>
      <c r="H780" s="15"/>
      <c r="I780" s="15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  <c r="AU780" s="14"/>
      <c r="AV780" s="14"/>
      <c r="AW780" s="14"/>
      <c r="AX780" s="14"/>
      <c r="AY780" s="14"/>
      <c r="AZ780" s="14"/>
      <c r="BA780" s="14"/>
      <c r="BB780" s="14"/>
      <c r="BC780" s="14"/>
      <c r="BD780" s="14"/>
      <c r="BE780" s="14"/>
      <c r="BF780" s="14"/>
      <c r="BG780" s="14"/>
      <c r="BH780" s="14"/>
      <c r="BI780" s="14"/>
      <c r="BJ780" s="14"/>
      <c r="BK780" s="14"/>
      <c r="BL780" s="14"/>
      <c r="BM780" s="14"/>
      <c r="BN780" s="14"/>
      <c r="BO780" s="14"/>
      <c r="BP780" s="14"/>
      <c r="BQ780" s="14"/>
      <c r="BR780" s="14"/>
      <c r="BS780" s="14"/>
      <c r="BT780" s="14"/>
      <c r="BU780" s="14"/>
      <c r="BV780" s="14"/>
      <c r="BW780" s="14"/>
      <c r="BX780" s="14"/>
      <c r="BY780" s="14"/>
      <c r="BZ780" s="14"/>
      <c r="CA780" s="14"/>
      <c r="CB780" s="14"/>
      <c r="CC780" s="14"/>
      <c r="CD780" s="14"/>
      <c r="CE780" s="14"/>
      <c r="CF780" s="14"/>
      <c r="CG780" s="14"/>
      <c r="CH780" s="14"/>
      <c r="CI780" s="14"/>
      <c r="CJ780" s="14"/>
      <c r="CK780" s="14"/>
      <c r="CL780" s="14"/>
      <c r="CT780" s="14"/>
      <c r="CW780" s="3"/>
      <c r="DG780" s="4"/>
    </row>
    <row r="781" customFormat="false" ht="11.25" hidden="false" customHeight="true" outlineLevel="0" collapsed="false">
      <c r="A781" s="14"/>
      <c r="B781" s="15"/>
      <c r="C781" s="15"/>
      <c r="D781" s="14"/>
      <c r="E781" s="14"/>
      <c r="F781" s="14"/>
      <c r="G781" s="14"/>
      <c r="H781" s="15"/>
      <c r="I781" s="15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4"/>
      <c r="AX781" s="14"/>
      <c r="AY781" s="14"/>
      <c r="AZ781" s="14"/>
      <c r="BA781" s="14"/>
      <c r="BB781" s="14"/>
      <c r="BC781" s="14"/>
      <c r="BD781" s="14"/>
      <c r="BE781" s="14"/>
      <c r="BF781" s="14"/>
      <c r="BG781" s="14"/>
      <c r="BH781" s="14"/>
      <c r="BI781" s="14"/>
      <c r="BJ781" s="14"/>
      <c r="BK781" s="14"/>
      <c r="BL781" s="14"/>
      <c r="BM781" s="14"/>
      <c r="BN781" s="14"/>
      <c r="BO781" s="14"/>
      <c r="BP781" s="14"/>
      <c r="BQ781" s="14"/>
      <c r="BR781" s="14"/>
      <c r="BS781" s="14"/>
      <c r="BT781" s="14"/>
      <c r="BU781" s="14"/>
      <c r="BV781" s="14"/>
      <c r="BW781" s="14"/>
      <c r="BX781" s="14"/>
      <c r="BY781" s="14"/>
      <c r="BZ781" s="14"/>
      <c r="CA781" s="14"/>
      <c r="CB781" s="14"/>
      <c r="CC781" s="14"/>
      <c r="CD781" s="14"/>
      <c r="CE781" s="14"/>
      <c r="CF781" s="14"/>
      <c r="CG781" s="14"/>
      <c r="CH781" s="14"/>
      <c r="CI781" s="14"/>
      <c r="CJ781" s="14"/>
      <c r="CK781" s="14"/>
      <c r="CL781" s="14"/>
      <c r="CT781" s="14"/>
      <c r="CW781" s="3"/>
      <c r="DG781" s="4"/>
    </row>
    <row r="782" customFormat="false" ht="11.25" hidden="false" customHeight="true" outlineLevel="0" collapsed="false">
      <c r="A782" s="14"/>
      <c r="B782" s="15"/>
      <c r="C782" s="15"/>
      <c r="D782" s="14"/>
      <c r="E782" s="14"/>
      <c r="F782" s="14"/>
      <c r="G782" s="14"/>
      <c r="H782" s="15"/>
      <c r="I782" s="15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/>
      <c r="AW782" s="14"/>
      <c r="AX782" s="14"/>
      <c r="AY782" s="14"/>
      <c r="AZ782" s="14"/>
      <c r="BA782" s="14"/>
      <c r="BB782" s="14"/>
      <c r="BC782" s="14"/>
      <c r="BD782" s="14"/>
      <c r="BE782" s="14"/>
      <c r="BF782" s="14"/>
      <c r="BG782" s="14"/>
      <c r="BH782" s="14"/>
      <c r="BI782" s="14"/>
      <c r="BJ782" s="14"/>
      <c r="BK782" s="14"/>
      <c r="BL782" s="14"/>
      <c r="BM782" s="14"/>
      <c r="BN782" s="14"/>
      <c r="BO782" s="14"/>
      <c r="BP782" s="14"/>
      <c r="BQ782" s="14"/>
      <c r="BR782" s="14"/>
      <c r="BS782" s="14"/>
      <c r="BT782" s="14"/>
      <c r="BU782" s="14"/>
      <c r="BV782" s="14"/>
      <c r="BW782" s="14"/>
      <c r="BX782" s="14"/>
      <c r="BY782" s="14"/>
      <c r="BZ782" s="14"/>
      <c r="CA782" s="14"/>
      <c r="CB782" s="14"/>
      <c r="CC782" s="14"/>
      <c r="CD782" s="14"/>
      <c r="CE782" s="14"/>
      <c r="CF782" s="14"/>
      <c r="CG782" s="14"/>
      <c r="CH782" s="14"/>
      <c r="CI782" s="14"/>
      <c r="CJ782" s="14"/>
      <c r="CK782" s="14"/>
      <c r="CL782" s="14"/>
      <c r="CT782" s="14"/>
      <c r="CW782" s="3"/>
      <c r="DG782" s="4"/>
    </row>
    <row r="783" customFormat="false" ht="11.25" hidden="false" customHeight="true" outlineLevel="0" collapsed="false">
      <c r="A783" s="14"/>
      <c r="B783" s="15"/>
      <c r="C783" s="15"/>
      <c r="D783" s="14"/>
      <c r="E783" s="14"/>
      <c r="F783" s="14"/>
      <c r="G783" s="14"/>
      <c r="H783" s="15"/>
      <c r="I783" s="15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4"/>
      <c r="AX783" s="14"/>
      <c r="AY783" s="14"/>
      <c r="AZ783" s="14"/>
      <c r="BA783" s="14"/>
      <c r="BB783" s="14"/>
      <c r="BC783" s="14"/>
      <c r="BD783" s="14"/>
      <c r="BE783" s="14"/>
      <c r="BF783" s="14"/>
      <c r="BG783" s="14"/>
      <c r="BH783" s="14"/>
      <c r="BI783" s="14"/>
      <c r="BJ783" s="14"/>
      <c r="BK783" s="14"/>
      <c r="BL783" s="14"/>
      <c r="BM783" s="14"/>
      <c r="BN783" s="14"/>
      <c r="BO783" s="14"/>
      <c r="BP783" s="14"/>
      <c r="BQ783" s="14"/>
      <c r="BR783" s="14"/>
      <c r="BS783" s="14"/>
      <c r="BT783" s="14"/>
      <c r="BU783" s="14"/>
      <c r="BV783" s="14"/>
      <c r="BW783" s="14"/>
      <c r="BX783" s="14"/>
      <c r="BY783" s="14"/>
      <c r="BZ783" s="14"/>
      <c r="CA783" s="14"/>
      <c r="CB783" s="14"/>
      <c r="CC783" s="14"/>
      <c r="CD783" s="14"/>
      <c r="CE783" s="14"/>
      <c r="CF783" s="14"/>
      <c r="CG783" s="14"/>
      <c r="CH783" s="14"/>
      <c r="CI783" s="14"/>
      <c r="CJ783" s="14"/>
      <c r="CK783" s="14"/>
      <c r="CL783" s="14"/>
      <c r="CT783" s="14"/>
      <c r="CW783" s="3"/>
      <c r="DG783" s="4"/>
    </row>
    <row r="784" customFormat="false" ht="11.25" hidden="false" customHeight="true" outlineLevel="0" collapsed="false">
      <c r="A784" s="14"/>
      <c r="B784" s="15"/>
      <c r="C784" s="15"/>
      <c r="D784" s="14"/>
      <c r="E784" s="14"/>
      <c r="F784" s="14"/>
      <c r="G784" s="14"/>
      <c r="H784" s="15"/>
      <c r="I784" s="15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AT784" s="14"/>
      <c r="AU784" s="14"/>
      <c r="AV784" s="14"/>
      <c r="AW784" s="14"/>
      <c r="AX784" s="14"/>
      <c r="AY784" s="14"/>
      <c r="AZ784" s="14"/>
      <c r="BA784" s="14"/>
      <c r="BB784" s="14"/>
      <c r="BC784" s="14"/>
      <c r="BD784" s="14"/>
      <c r="BE784" s="14"/>
      <c r="BF784" s="14"/>
      <c r="BG784" s="14"/>
      <c r="BH784" s="14"/>
      <c r="BI784" s="14"/>
      <c r="BJ784" s="14"/>
      <c r="BK784" s="14"/>
      <c r="BL784" s="14"/>
      <c r="BM784" s="14"/>
      <c r="BN784" s="14"/>
      <c r="BO784" s="14"/>
      <c r="BP784" s="14"/>
      <c r="BQ784" s="14"/>
      <c r="BR784" s="14"/>
      <c r="BS784" s="14"/>
      <c r="BT784" s="14"/>
      <c r="BU784" s="14"/>
      <c r="BV784" s="14"/>
      <c r="BW784" s="14"/>
      <c r="BX784" s="14"/>
      <c r="BY784" s="14"/>
      <c r="BZ784" s="14"/>
      <c r="CA784" s="14"/>
      <c r="CB784" s="14"/>
      <c r="CC784" s="14"/>
      <c r="CD784" s="14"/>
      <c r="CE784" s="14"/>
      <c r="CF784" s="14"/>
      <c r="CG784" s="14"/>
      <c r="CH784" s="14"/>
      <c r="CI784" s="14"/>
      <c r="CJ784" s="14"/>
      <c r="CK784" s="14"/>
      <c r="CL784" s="14"/>
      <c r="CT784" s="14"/>
      <c r="CW784" s="3"/>
      <c r="DG784" s="4"/>
    </row>
    <row r="785" customFormat="false" ht="11.25" hidden="false" customHeight="true" outlineLevel="0" collapsed="false">
      <c r="A785" s="14"/>
      <c r="B785" s="15"/>
      <c r="C785" s="15"/>
      <c r="D785" s="14"/>
      <c r="E785" s="14"/>
      <c r="F785" s="14"/>
      <c r="G785" s="14"/>
      <c r="H785" s="15"/>
      <c r="I785" s="15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  <c r="AU785" s="14"/>
      <c r="AV785" s="14"/>
      <c r="AW785" s="14"/>
      <c r="AX785" s="14"/>
      <c r="AY785" s="14"/>
      <c r="AZ785" s="14"/>
      <c r="BA785" s="14"/>
      <c r="BB785" s="14"/>
      <c r="BC785" s="14"/>
      <c r="BD785" s="14"/>
      <c r="BE785" s="14"/>
      <c r="BF785" s="14"/>
      <c r="BG785" s="14"/>
      <c r="BH785" s="14"/>
      <c r="BI785" s="14"/>
      <c r="BJ785" s="14"/>
      <c r="BK785" s="14"/>
      <c r="BL785" s="14"/>
      <c r="BM785" s="14"/>
      <c r="BN785" s="14"/>
      <c r="BO785" s="14"/>
      <c r="BP785" s="14"/>
      <c r="BQ785" s="14"/>
      <c r="BR785" s="14"/>
      <c r="BS785" s="14"/>
      <c r="BT785" s="14"/>
      <c r="BU785" s="14"/>
      <c r="BV785" s="14"/>
      <c r="BW785" s="14"/>
      <c r="BX785" s="14"/>
      <c r="BY785" s="14"/>
      <c r="BZ785" s="14"/>
      <c r="CA785" s="14"/>
      <c r="CB785" s="14"/>
      <c r="CC785" s="14"/>
      <c r="CD785" s="14"/>
      <c r="CE785" s="14"/>
      <c r="CF785" s="14"/>
      <c r="CG785" s="14"/>
      <c r="CH785" s="14"/>
      <c r="CI785" s="14"/>
      <c r="CJ785" s="14"/>
      <c r="CK785" s="14"/>
      <c r="CL785" s="14"/>
      <c r="CT785" s="14"/>
      <c r="CW785" s="3"/>
      <c r="DG785" s="4"/>
    </row>
    <row r="786" customFormat="false" ht="11.25" hidden="false" customHeight="true" outlineLevel="0" collapsed="false">
      <c r="A786" s="14"/>
      <c r="B786" s="15"/>
      <c r="C786" s="15"/>
      <c r="D786" s="14"/>
      <c r="E786" s="14"/>
      <c r="F786" s="14"/>
      <c r="G786" s="14"/>
      <c r="H786" s="15"/>
      <c r="I786" s="15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  <c r="AU786" s="14"/>
      <c r="AV786" s="14"/>
      <c r="AW786" s="14"/>
      <c r="AX786" s="14"/>
      <c r="AY786" s="14"/>
      <c r="AZ786" s="14"/>
      <c r="BA786" s="14"/>
      <c r="BB786" s="14"/>
      <c r="BC786" s="14"/>
      <c r="BD786" s="14"/>
      <c r="BE786" s="14"/>
      <c r="BF786" s="14"/>
      <c r="BG786" s="14"/>
      <c r="BH786" s="14"/>
      <c r="BI786" s="14"/>
      <c r="BJ786" s="14"/>
      <c r="BK786" s="14"/>
      <c r="BL786" s="14"/>
      <c r="BM786" s="14"/>
      <c r="BN786" s="14"/>
      <c r="BO786" s="14"/>
      <c r="BP786" s="14"/>
      <c r="BQ786" s="14"/>
      <c r="BR786" s="14"/>
      <c r="BS786" s="14"/>
      <c r="BT786" s="14"/>
      <c r="BU786" s="14"/>
      <c r="BV786" s="14"/>
      <c r="BW786" s="14"/>
      <c r="BX786" s="14"/>
      <c r="BY786" s="14"/>
      <c r="BZ786" s="14"/>
      <c r="CA786" s="14"/>
      <c r="CB786" s="14"/>
      <c r="CC786" s="14"/>
      <c r="CD786" s="14"/>
      <c r="CE786" s="14"/>
      <c r="CF786" s="14"/>
      <c r="CG786" s="14"/>
      <c r="CH786" s="14"/>
      <c r="CI786" s="14"/>
      <c r="CJ786" s="14"/>
      <c r="CK786" s="14"/>
      <c r="CL786" s="14"/>
      <c r="CT786" s="14"/>
      <c r="CW786" s="3"/>
      <c r="DG786" s="4"/>
    </row>
    <row r="787" customFormat="false" ht="11.25" hidden="false" customHeight="true" outlineLevel="0" collapsed="false">
      <c r="A787" s="14"/>
      <c r="B787" s="15"/>
      <c r="C787" s="15"/>
      <c r="D787" s="14"/>
      <c r="E787" s="14"/>
      <c r="F787" s="14"/>
      <c r="G787" s="14"/>
      <c r="H787" s="15"/>
      <c r="I787" s="15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4"/>
      <c r="AX787" s="14"/>
      <c r="AY787" s="14"/>
      <c r="AZ787" s="14"/>
      <c r="BA787" s="14"/>
      <c r="BB787" s="14"/>
      <c r="BC787" s="14"/>
      <c r="BD787" s="14"/>
      <c r="BE787" s="14"/>
      <c r="BF787" s="14"/>
      <c r="BG787" s="14"/>
      <c r="BH787" s="14"/>
      <c r="BI787" s="14"/>
      <c r="BJ787" s="14"/>
      <c r="BK787" s="14"/>
      <c r="BL787" s="14"/>
      <c r="BM787" s="14"/>
      <c r="BN787" s="14"/>
      <c r="BO787" s="14"/>
      <c r="BP787" s="14"/>
      <c r="BQ787" s="14"/>
      <c r="BR787" s="14"/>
      <c r="BS787" s="14"/>
      <c r="BT787" s="14"/>
      <c r="BU787" s="14"/>
      <c r="BV787" s="14"/>
      <c r="BW787" s="14"/>
      <c r="BX787" s="14"/>
      <c r="BY787" s="14"/>
      <c r="BZ787" s="14"/>
      <c r="CA787" s="14"/>
      <c r="CB787" s="14"/>
      <c r="CC787" s="14"/>
      <c r="CD787" s="14"/>
      <c r="CE787" s="14"/>
      <c r="CF787" s="14"/>
      <c r="CG787" s="14"/>
      <c r="CH787" s="14"/>
      <c r="CI787" s="14"/>
      <c r="CJ787" s="14"/>
      <c r="CK787" s="14"/>
      <c r="CL787" s="14"/>
      <c r="CT787" s="14"/>
      <c r="CW787" s="3"/>
      <c r="DG787" s="4"/>
    </row>
    <row r="788" customFormat="false" ht="11.25" hidden="false" customHeight="true" outlineLevel="0" collapsed="false">
      <c r="A788" s="14"/>
      <c r="B788" s="15"/>
      <c r="C788" s="15"/>
      <c r="D788" s="14"/>
      <c r="E788" s="14"/>
      <c r="F788" s="14"/>
      <c r="G788" s="14"/>
      <c r="H788" s="15"/>
      <c r="I788" s="15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14"/>
      <c r="AV788" s="14"/>
      <c r="AW788" s="14"/>
      <c r="AX788" s="14"/>
      <c r="AY788" s="14"/>
      <c r="AZ788" s="14"/>
      <c r="BA788" s="14"/>
      <c r="BB788" s="14"/>
      <c r="BC788" s="14"/>
      <c r="BD788" s="14"/>
      <c r="BE788" s="14"/>
      <c r="BF788" s="14"/>
      <c r="BG788" s="14"/>
      <c r="BH788" s="14"/>
      <c r="BI788" s="14"/>
      <c r="BJ788" s="14"/>
      <c r="BK788" s="14"/>
      <c r="BL788" s="14"/>
      <c r="BM788" s="14"/>
      <c r="BN788" s="14"/>
      <c r="BO788" s="14"/>
      <c r="BP788" s="14"/>
      <c r="BQ788" s="14"/>
      <c r="BR788" s="14"/>
      <c r="BS788" s="14"/>
      <c r="BT788" s="14"/>
      <c r="BU788" s="14"/>
      <c r="BV788" s="14"/>
      <c r="BW788" s="14"/>
      <c r="BX788" s="14"/>
      <c r="BY788" s="14"/>
      <c r="BZ788" s="14"/>
      <c r="CA788" s="14"/>
      <c r="CB788" s="14"/>
      <c r="CC788" s="14"/>
      <c r="CD788" s="14"/>
      <c r="CE788" s="14"/>
      <c r="CF788" s="14"/>
      <c r="CG788" s="14"/>
      <c r="CH788" s="14"/>
      <c r="CI788" s="14"/>
      <c r="CJ788" s="14"/>
      <c r="CK788" s="14"/>
      <c r="CL788" s="14"/>
      <c r="CT788" s="14"/>
      <c r="CW788" s="3"/>
      <c r="DG788" s="4"/>
    </row>
    <row r="789" customFormat="false" ht="11.25" hidden="false" customHeight="true" outlineLevel="0" collapsed="false">
      <c r="A789" s="14"/>
      <c r="B789" s="15"/>
      <c r="C789" s="15"/>
      <c r="D789" s="14"/>
      <c r="E789" s="14"/>
      <c r="F789" s="14"/>
      <c r="G789" s="14"/>
      <c r="H789" s="15"/>
      <c r="I789" s="15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  <c r="AW789" s="14"/>
      <c r="AX789" s="14"/>
      <c r="AY789" s="14"/>
      <c r="AZ789" s="14"/>
      <c r="BA789" s="14"/>
      <c r="BB789" s="14"/>
      <c r="BC789" s="14"/>
      <c r="BD789" s="14"/>
      <c r="BE789" s="14"/>
      <c r="BF789" s="14"/>
      <c r="BG789" s="14"/>
      <c r="BH789" s="14"/>
      <c r="BI789" s="14"/>
      <c r="BJ789" s="14"/>
      <c r="BK789" s="14"/>
      <c r="BL789" s="14"/>
      <c r="BM789" s="14"/>
      <c r="BN789" s="14"/>
      <c r="BO789" s="14"/>
      <c r="BP789" s="14"/>
      <c r="BQ789" s="14"/>
      <c r="BR789" s="14"/>
      <c r="BS789" s="14"/>
      <c r="BT789" s="14"/>
      <c r="BU789" s="14"/>
      <c r="BV789" s="14"/>
      <c r="BW789" s="14"/>
      <c r="BX789" s="14"/>
      <c r="BY789" s="14"/>
      <c r="BZ789" s="14"/>
      <c r="CA789" s="14"/>
      <c r="CB789" s="14"/>
      <c r="CC789" s="14"/>
      <c r="CD789" s="14"/>
      <c r="CE789" s="14"/>
      <c r="CF789" s="14"/>
      <c r="CG789" s="14"/>
      <c r="CH789" s="14"/>
      <c r="CI789" s="14"/>
      <c r="CJ789" s="14"/>
      <c r="CK789" s="14"/>
      <c r="CL789" s="14"/>
      <c r="CT789" s="14"/>
      <c r="CW789" s="3"/>
      <c r="DG789" s="4"/>
    </row>
    <row r="790" customFormat="false" ht="11.25" hidden="false" customHeight="true" outlineLevel="0" collapsed="false">
      <c r="A790" s="14"/>
      <c r="B790" s="15"/>
      <c r="C790" s="15"/>
      <c r="D790" s="14"/>
      <c r="E790" s="14"/>
      <c r="F790" s="14"/>
      <c r="G790" s="14"/>
      <c r="H790" s="15"/>
      <c r="I790" s="15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  <c r="AU790" s="14"/>
      <c r="AV790" s="14"/>
      <c r="AW790" s="14"/>
      <c r="AX790" s="14"/>
      <c r="AY790" s="14"/>
      <c r="AZ790" s="14"/>
      <c r="BA790" s="14"/>
      <c r="BB790" s="14"/>
      <c r="BC790" s="14"/>
      <c r="BD790" s="14"/>
      <c r="BE790" s="14"/>
      <c r="BF790" s="14"/>
      <c r="BG790" s="14"/>
      <c r="BH790" s="14"/>
      <c r="BI790" s="14"/>
      <c r="BJ790" s="14"/>
      <c r="BK790" s="14"/>
      <c r="BL790" s="14"/>
      <c r="BM790" s="14"/>
      <c r="BN790" s="14"/>
      <c r="BO790" s="14"/>
      <c r="BP790" s="14"/>
      <c r="BQ790" s="14"/>
      <c r="BR790" s="14"/>
      <c r="BS790" s="14"/>
      <c r="BT790" s="14"/>
      <c r="BU790" s="14"/>
      <c r="BV790" s="14"/>
      <c r="BW790" s="14"/>
      <c r="BX790" s="14"/>
      <c r="BY790" s="14"/>
      <c r="BZ790" s="14"/>
      <c r="CA790" s="14"/>
      <c r="CB790" s="14"/>
      <c r="CC790" s="14"/>
      <c r="CD790" s="14"/>
      <c r="CE790" s="14"/>
      <c r="CF790" s="14"/>
      <c r="CG790" s="14"/>
      <c r="CH790" s="14"/>
      <c r="CI790" s="14"/>
      <c r="CJ790" s="14"/>
      <c r="CK790" s="14"/>
      <c r="CL790" s="14"/>
      <c r="CT790" s="14"/>
      <c r="CW790" s="3"/>
      <c r="DG790" s="4"/>
    </row>
    <row r="791" customFormat="false" ht="11.25" hidden="false" customHeight="true" outlineLevel="0" collapsed="false">
      <c r="A791" s="14"/>
      <c r="B791" s="15"/>
      <c r="C791" s="15"/>
      <c r="D791" s="14"/>
      <c r="E791" s="14"/>
      <c r="F791" s="14"/>
      <c r="G791" s="14"/>
      <c r="H791" s="15"/>
      <c r="I791" s="15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14"/>
      <c r="AX791" s="14"/>
      <c r="AY791" s="14"/>
      <c r="AZ791" s="14"/>
      <c r="BA791" s="14"/>
      <c r="BB791" s="14"/>
      <c r="BC791" s="14"/>
      <c r="BD791" s="14"/>
      <c r="BE791" s="14"/>
      <c r="BF791" s="14"/>
      <c r="BG791" s="14"/>
      <c r="BH791" s="14"/>
      <c r="BI791" s="14"/>
      <c r="BJ791" s="14"/>
      <c r="BK791" s="14"/>
      <c r="BL791" s="14"/>
      <c r="BM791" s="14"/>
      <c r="BN791" s="14"/>
      <c r="BO791" s="14"/>
      <c r="BP791" s="14"/>
      <c r="BQ791" s="14"/>
      <c r="BR791" s="14"/>
      <c r="BS791" s="14"/>
      <c r="BT791" s="14"/>
      <c r="BU791" s="14"/>
      <c r="BV791" s="14"/>
      <c r="BW791" s="14"/>
      <c r="BX791" s="14"/>
      <c r="BY791" s="14"/>
      <c r="BZ791" s="14"/>
      <c r="CA791" s="14"/>
      <c r="CB791" s="14"/>
      <c r="CC791" s="14"/>
      <c r="CD791" s="14"/>
      <c r="CE791" s="14"/>
      <c r="CF791" s="14"/>
      <c r="CG791" s="14"/>
      <c r="CH791" s="14"/>
      <c r="CI791" s="14"/>
      <c r="CJ791" s="14"/>
      <c r="CK791" s="14"/>
      <c r="CL791" s="14"/>
      <c r="CT791" s="14"/>
      <c r="CW791" s="3"/>
      <c r="DG791" s="4"/>
    </row>
    <row r="792" customFormat="false" ht="11.25" hidden="false" customHeight="true" outlineLevel="0" collapsed="false">
      <c r="A792" s="14"/>
      <c r="B792" s="15"/>
      <c r="C792" s="15"/>
      <c r="D792" s="14"/>
      <c r="E792" s="14"/>
      <c r="F792" s="14"/>
      <c r="G792" s="14"/>
      <c r="H792" s="15"/>
      <c r="I792" s="15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14"/>
      <c r="AV792" s="14"/>
      <c r="AW792" s="14"/>
      <c r="AX792" s="14"/>
      <c r="AY792" s="14"/>
      <c r="AZ792" s="14"/>
      <c r="BA792" s="14"/>
      <c r="BB792" s="14"/>
      <c r="BC792" s="14"/>
      <c r="BD792" s="14"/>
      <c r="BE792" s="14"/>
      <c r="BF792" s="14"/>
      <c r="BG792" s="14"/>
      <c r="BH792" s="14"/>
      <c r="BI792" s="14"/>
      <c r="BJ792" s="14"/>
      <c r="BK792" s="14"/>
      <c r="BL792" s="14"/>
      <c r="BM792" s="14"/>
      <c r="BN792" s="14"/>
      <c r="BO792" s="14"/>
      <c r="BP792" s="14"/>
      <c r="BQ792" s="14"/>
      <c r="BR792" s="14"/>
      <c r="BS792" s="14"/>
      <c r="BT792" s="14"/>
      <c r="BU792" s="14"/>
      <c r="BV792" s="14"/>
      <c r="BW792" s="14"/>
      <c r="BX792" s="14"/>
      <c r="BY792" s="14"/>
      <c r="BZ792" s="14"/>
      <c r="CA792" s="14"/>
      <c r="CB792" s="14"/>
      <c r="CC792" s="14"/>
      <c r="CD792" s="14"/>
      <c r="CE792" s="14"/>
      <c r="CF792" s="14"/>
      <c r="CG792" s="14"/>
      <c r="CH792" s="14"/>
      <c r="CI792" s="14"/>
      <c r="CJ792" s="14"/>
      <c r="CK792" s="14"/>
      <c r="CL792" s="14"/>
      <c r="CT792" s="14"/>
      <c r="CW792" s="3"/>
      <c r="DG792" s="4"/>
    </row>
    <row r="793" customFormat="false" ht="11.25" hidden="false" customHeight="true" outlineLevel="0" collapsed="false">
      <c r="A793" s="14"/>
      <c r="B793" s="15"/>
      <c r="C793" s="15"/>
      <c r="D793" s="14"/>
      <c r="E793" s="14"/>
      <c r="F793" s="14"/>
      <c r="G793" s="14"/>
      <c r="H793" s="15"/>
      <c r="I793" s="15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  <c r="AX793" s="14"/>
      <c r="AY793" s="14"/>
      <c r="AZ793" s="14"/>
      <c r="BA793" s="14"/>
      <c r="BB793" s="14"/>
      <c r="BC793" s="14"/>
      <c r="BD793" s="14"/>
      <c r="BE793" s="14"/>
      <c r="BF793" s="14"/>
      <c r="BG793" s="14"/>
      <c r="BH793" s="14"/>
      <c r="BI793" s="14"/>
      <c r="BJ793" s="14"/>
      <c r="BK793" s="14"/>
      <c r="BL793" s="14"/>
      <c r="BM793" s="14"/>
      <c r="BN793" s="14"/>
      <c r="BO793" s="14"/>
      <c r="BP793" s="14"/>
      <c r="BQ793" s="14"/>
      <c r="BR793" s="14"/>
      <c r="BS793" s="14"/>
      <c r="BT793" s="14"/>
      <c r="BU793" s="14"/>
      <c r="BV793" s="14"/>
      <c r="BW793" s="14"/>
      <c r="BX793" s="14"/>
      <c r="BY793" s="14"/>
      <c r="BZ793" s="14"/>
      <c r="CA793" s="14"/>
      <c r="CB793" s="14"/>
      <c r="CC793" s="14"/>
      <c r="CD793" s="14"/>
      <c r="CE793" s="14"/>
      <c r="CF793" s="14"/>
      <c r="CG793" s="14"/>
      <c r="CH793" s="14"/>
      <c r="CI793" s="14"/>
      <c r="CJ793" s="14"/>
      <c r="CK793" s="14"/>
      <c r="CL793" s="14"/>
      <c r="CT793" s="14"/>
      <c r="CW793" s="3"/>
      <c r="DG793" s="4"/>
    </row>
    <row r="794" customFormat="false" ht="11.25" hidden="false" customHeight="true" outlineLevel="0" collapsed="false">
      <c r="A794" s="14"/>
      <c r="B794" s="15"/>
      <c r="C794" s="15"/>
      <c r="D794" s="14"/>
      <c r="E794" s="14"/>
      <c r="F794" s="14"/>
      <c r="G794" s="14"/>
      <c r="H794" s="15"/>
      <c r="I794" s="15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/>
      <c r="AV794" s="14"/>
      <c r="AW794" s="14"/>
      <c r="AX794" s="14"/>
      <c r="AY794" s="14"/>
      <c r="AZ794" s="14"/>
      <c r="BA794" s="14"/>
      <c r="BB794" s="14"/>
      <c r="BC794" s="14"/>
      <c r="BD794" s="14"/>
      <c r="BE794" s="14"/>
      <c r="BF794" s="14"/>
      <c r="BG794" s="14"/>
      <c r="BH794" s="14"/>
      <c r="BI794" s="14"/>
      <c r="BJ794" s="14"/>
      <c r="BK794" s="14"/>
      <c r="BL794" s="14"/>
      <c r="BM794" s="14"/>
      <c r="BN794" s="14"/>
      <c r="BO794" s="14"/>
      <c r="BP794" s="14"/>
      <c r="BQ794" s="14"/>
      <c r="BR794" s="14"/>
      <c r="BS794" s="14"/>
      <c r="BT794" s="14"/>
      <c r="BU794" s="14"/>
      <c r="BV794" s="14"/>
      <c r="BW794" s="14"/>
      <c r="BX794" s="14"/>
      <c r="BY794" s="14"/>
      <c r="BZ794" s="14"/>
      <c r="CA794" s="14"/>
      <c r="CB794" s="14"/>
      <c r="CC794" s="14"/>
      <c r="CD794" s="14"/>
      <c r="CE794" s="14"/>
      <c r="CF794" s="14"/>
      <c r="CG794" s="14"/>
      <c r="CH794" s="14"/>
      <c r="CI794" s="14"/>
      <c r="CJ794" s="14"/>
      <c r="CK794" s="14"/>
      <c r="CL794" s="14"/>
      <c r="CT794" s="14"/>
      <c r="CW794" s="3"/>
      <c r="DG794" s="4"/>
    </row>
    <row r="795" customFormat="false" ht="11.25" hidden="false" customHeight="true" outlineLevel="0" collapsed="false">
      <c r="A795" s="14"/>
      <c r="B795" s="15"/>
      <c r="C795" s="15"/>
      <c r="D795" s="14"/>
      <c r="E795" s="14"/>
      <c r="F795" s="14"/>
      <c r="G795" s="14"/>
      <c r="H795" s="15"/>
      <c r="I795" s="15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  <c r="AX795" s="14"/>
      <c r="AY795" s="14"/>
      <c r="AZ795" s="14"/>
      <c r="BA795" s="14"/>
      <c r="BB795" s="14"/>
      <c r="BC795" s="14"/>
      <c r="BD795" s="14"/>
      <c r="BE795" s="14"/>
      <c r="BF795" s="14"/>
      <c r="BG795" s="14"/>
      <c r="BH795" s="14"/>
      <c r="BI795" s="14"/>
      <c r="BJ795" s="14"/>
      <c r="BK795" s="14"/>
      <c r="BL795" s="14"/>
      <c r="BM795" s="14"/>
      <c r="BN795" s="14"/>
      <c r="BO795" s="14"/>
      <c r="BP795" s="14"/>
      <c r="BQ795" s="14"/>
      <c r="BR795" s="14"/>
      <c r="BS795" s="14"/>
      <c r="BT795" s="14"/>
      <c r="BU795" s="14"/>
      <c r="BV795" s="14"/>
      <c r="BW795" s="14"/>
      <c r="BX795" s="14"/>
      <c r="BY795" s="14"/>
      <c r="BZ795" s="14"/>
      <c r="CA795" s="14"/>
      <c r="CB795" s="14"/>
      <c r="CC795" s="14"/>
      <c r="CD795" s="14"/>
      <c r="CE795" s="14"/>
      <c r="CF795" s="14"/>
      <c r="CG795" s="14"/>
      <c r="CH795" s="14"/>
      <c r="CI795" s="14"/>
      <c r="CJ795" s="14"/>
      <c r="CK795" s="14"/>
      <c r="CL795" s="14"/>
      <c r="CT795" s="14"/>
      <c r="CW795" s="3"/>
      <c r="DG795" s="4"/>
    </row>
    <row r="796" customFormat="false" ht="11.25" hidden="false" customHeight="true" outlineLevel="0" collapsed="false">
      <c r="A796" s="14"/>
      <c r="B796" s="15"/>
      <c r="C796" s="15"/>
      <c r="D796" s="14"/>
      <c r="E796" s="14"/>
      <c r="F796" s="14"/>
      <c r="G796" s="14"/>
      <c r="H796" s="15"/>
      <c r="I796" s="15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  <c r="AU796" s="14"/>
      <c r="AV796" s="14"/>
      <c r="AW796" s="14"/>
      <c r="AX796" s="14"/>
      <c r="AY796" s="14"/>
      <c r="AZ796" s="14"/>
      <c r="BA796" s="14"/>
      <c r="BB796" s="14"/>
      <c r="BC796" s="14"/>
      <c r="BD796" s="14"/>
      <c r="BE796" s="14"/>
      <c r="BF796" s="14"/>
      <c r="BG796" s="14"/>
      <c r="BH796" s="14"/>
      <c r="BI796" s="14"/>
      <c r="BJ796" s="14"/>
      <c r="BK796" s="14"/>
      <c r="BL796" s="14"/>
      <c r="BM796" s="14"/>
      <c r="BN796" s="14"/>
      <c r="BO796" s="14"/>
      <c r="BP796" s="14"/>
      <c r="BQ796" s="14"/>
      <c r="BR796" s="14"/>
      <c r="BS796" s="14"/>
      <c r="BT796" s="14"/>
      <c r="BU796" s="14"/>
      <c r="BV796" s="14"/>
      <c r="BW796" s="14"/>
      <c r="BX796" s="14"/>
      <c r="BY796" s="14"/>
      <c r="BZ796" s="14"/>
      <c r="CA796" s="14"/>
      <c r="CB796" s="14"/>
      <c r="CC796" s="14"/>
      <c r="CD796" s="14"/>
      <c r="CE796" s="14"/>
      <c r="CF796" s="14"/>
      <c r="CG796" s="14"/>
      <c r="CH796" s="14"/>
      <c r="CI796" s="14"/>
      <c r="CJ796" s="14"/>
      <c r="CK796" s="14"/>
      <c r="CL796" s="14"/>
      <c r="CT796" s="14"/>
      <c r="CW796" s="3"/>
      <c r="DG796" s="4"/>
    </row>
    <row r="797" customFormat="false" ht="11.25" hidden="false" customHeight="true" outlineLevel="0" collapsed="false">
      <c r="A797" s="14"/>
      <c r="B797" s="15"/>
      <c r="C797" s="15"/>
      <c r="D797" s="14"/>
      <c r="E797" s="14"/>
      <c r="F797" s="14"/>
      <c r="G797" s="14"/>
      <c r="H797" s="15"/>
      <c r="I797" s="15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14"/>
      <c r="AX797" s="14"/>
      <c r="AY797" s="14"/>
      <c r="AZ797" s="14"/>
      <c r="BA797" s="14"/>
      <c r="BB797" s="14"/>
      <c r="BC797" s="14"/>
      <c r="BD797" s="14"/>
      <c r="BE797" s="14"/>
      <c r="BF797" s="14"/>
      <c r="BG797" s="14"/>
      <c r="BH797" s="14"/>
      <c r="BI797" s="14"/>
      <c r="BJ797" s="14"/>
      <c r="BK797" s="14"/>
      <c r="BL797" s="14"/>
      <c r="BM797" s="14"/>
      <c r="BN797" s="14"/>
      <c r="BO797" s="14"/>
      <c r="BP797" s="14"/>
      <c r="BQ797" s="14"/>
      <c r="BR797" s="14"/>
      <c r="BS797" s="14"/>
      <c r="BT797" s="14"/>
      <c r="BU797" s="14"/>
      <c r="BV797" s="14"/>
      <c r="BW797" s="14"/>
      <c r="BX797" s="14"/>
      <c r="BY797" s="14"/>
      <c r="BZ797" s="14"/>
      <c r="CA797" s="14"/>
      <c r="CB797" s="14"/>
      <c r="CC797" s="14"/>
      <c r="CD797" s="14"/>
      <c r="CE797" s="14"/>
      <c r="CF797" s="14"/>
      <c r="CG797" s="14"/>
      <c r="CH797" s="14"/>
      <c r="CI797" s="14"/>
      <c r="CJ797" s="14"/>
      <c r="CK797" s="14"/>
      <c r="CL797" s="14"/>
      <c r="CT797" s="14"/>
      <c r="CW797" s="3"/>
      <c r="DG797" s="4"/>
    </row>
    <row r="798" customFormat="false" ht="11.25" hidden="false" customHeight="true" outlineLevel="0" collapsed="false">
      <c r="A798" s="14"/>
      <c r="B798" s="15"/>
      <c r="C798" s="15"/>
      <c r="D798" s="14"/>
      <c r="E798" s="14"/>
      <c r="F798" s="14"/>
      <c r="G798" s="14"/>
      <c r="H798" s="15"/>
      <c r="I798" s="15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  <c r="AU798" s="14"/>
      <c r="AV798" s="14"/>
      <c r="AW798" s="14"/>
      <c r="AX798" s="14"/>
      <c r="AY798" s="14"/>
      <c r="AZ798" s="14"/>
      <c r="BA798" s="14"/>
      <c r="BB798" s="14"/>
      <c r="BC798" s="14"/>
      <c r="BD798" s="14"/>
      <c r="BE798" s="14"/>
      <c r="BF798" s="14"/>
      <c r="BG798" s="14"/>
      <c r="BH798" s="14"/>
      <c r="BI798" s="14"/>
      <c r="BJ798" s="14"/>
      <c r="BK798" s="14"/>
      <c r="BL798" s="14"/>
      <c r="BM798" s="14"/>
      <c r="BN798" s="14"/>
      <c r="BO798" s="14"/>
      <c r="BP798" s="14"/>
      <c r="BQ798" s="14"/>
      <c r="BR798" s="14"/>
      <c r="BS798" s="14"/>
      <c r="BT798" s="14"/>
      <c r="BU798" s="14"/>
      <c r="BV798" s="14"/>
      <c r="BW798" s="14"/>
      <c r="BX798" s="14"/>
      <c r="BY798" s="14"/>
      <c r="BZ798" s="14"/>
      <c r="CA798" s="14"/>
      <c r="CB798" s="14"/>
      <c r="CC798" s="14"/>
      <c r="CD798" s="14"/>
      <c r="CE798" s="14"/>
      <c r="CF798" s="14"/>
      <c r="CG798" s="14"/>
      <c r="CH798" s="14"/>
      <c r="CI798" s="14"/>
      <c r="CJ798" s="14"/>
      <c r="CK798" s="14"/>
      <c r="CL798" s="14"/>
      <c r="CT798" s="14"/>
      <c r="CW798" s="3"/>
      <c r="DG798" s="4"/>
    </row>
    <row r="799" customFormat="false" ht="11.25" hidden="false" customHeight="true" outlineLevel="0" collapsed="false">
      <c r="A799" s="14"/>
      <c r="B799" s="15"/>
      <c r="C799" s="15"/>
      <c r="D799" s="14"/>
      <c r="E799" s="14"/>
      <c r="F799" s="14"/>
      <c r="G799" s="14"/>
      <c r="H799" s="15"/>
      <c r="I799" s="15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4"/>
      <c r="AX799" s="14"/>
      <c r="AY799" s="14"/>
      <c r="AZ799" s="14"/>
      <c r="BA799" s="14"/>
      <c r="BB799" s="14"/>
      <c r="BC799" s="14"/>
      <c r="BD799" s="14"/>
      <c r="BE799" s="14"/>
      <c r="BF799" s="14"/>
      <c r="BG799" s="14"/>
      <c r="BH799" s="14"/>
      <c r="BI799" s="14"/>
      <c r="BJ799" s="14"/>
      <c r="BK799" s="14"/>
      <c r="BL799" s="14"/>
      <c r="BM799" s="14"/>
      <c r="BN799" s="14"/>
      <c r="BO799" s="14"/>
      <c r="BP799" s="14"/>
      <c r="BQ799" s="14"/>
      <c r="BR799" s="14"/>
      <c r="BS799" s="14"/>
      <c r="BT799" s="14"/>
      <c r="BU799" s="14"/>
      <c r="BV799" s="14"/>
      <c r="BW799" s="14"/>
      <c r="BX799" s="14"/>
      <c r="BY799" s="14"/>
      <c r="BZ799" s="14"/>
      <c r="CA799" s="14"/>
      <c r="CB799" s="14"/>
      <c r="CC799" s="14"/>
      <c r="CD799" s="14"/>
      <c r="CE799" s="14"/>
      <c r="CF799" s="14"/>
      <c r="CG799" s="14"/>
      <c r="CH799" s="14"/>
      <c r="CI799" s="14"/>
      <c r="CJ799" s="14"/>
      <c r="CK799" s="14"/>
      <c r="CL799" s="14"/>
      <c r="CT799" s="14"/>
      <c r="CW799" s="3"/>
      <c r="DG799" s="4"/>
    </row>
    <row r="800" customFormat="false" ht="11.25" hidden="false" customHeight="true" outlineLevel="0" collapsed="false">
      <c r="A800" s="14"/>
      <c r="B800" s="15"/>
      <c r="C800" s="15"/>
      <c r="D800" s="14"/>
      <c r="E800" s="14"/>
      <c r="F800" s="14"/>
      <c r="G800" s="14"/>
      <c r="H800" s="15"/>
      <c r="I800" s="15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14"/>
      <c r="AV800" s="14"/>
      <c r="AW800" s="14"/>
      <c r="AX800" s="14"/>
      <c r="AY800" s="14"/>
      <c r="AZ800" s="14"/>
      <c r="BA800" s="14"/>
      <c r="BB800" s="14"/>
      <c r="BC800" s="14"/>
      <c r="BD800" s="14"/>
      <c r="BE800" s="14"/>
      <c r="BF800" s="14"/>
      <c r="BG800" s="14"/>
      <c r="BH800" s="14"/>
      <c r="BI800" s="14"/>
      <c r="BJ800" s="14"/>
      <c r="BK800" s="14"/>
      <c r="BL800" s="14"/>
      <c r="BM800" s="14"/>
      <c r="BN800" s="14"/>
      <c r="BO800" s="14"/>
      <c r="BP800" s="14"/>
      <c r="BQ800" s="14"/>
      <c r="BR800" s="14"/>
      <c r="BS800" s="14"/>
      <c r="BT800" s="14"/>
      <c r="BU800" s="14"/>
      <c r="BV800" s="14"/>
      <c r="BW800" s="14"/>
      <c r="BX800" s="14"/>
      <c r="BY800" s="14"/>
      <c r="BZ800" s="14"/>
      <c r="CA800" s="14"/>
      <c r="CB800" s="14"/>
      <c r="CC800" s="14"/>
      <c r="CD800" s="14"/>
      <c r="CE800" s="14"/>
      <c r="CF800" s="14"/>
      <c r="CG800" s="14"/>
      <c r="CH800" s="14"/>
      <c r="CI800" s="14"/>
      <c r="CJ800" s="14"/>
      <c r="CK800" s="14"/>
      <c r="CL800" s="14"/>
      <c r="CT800" s="14"/>
      <c r="CW800" s="3"/>
      <c r="DG800" s="4"/>
    </row>
    <row r="801" customFormat="false" ht="11.25" hidden="false" customHeight="true" outlineLevel="0" collapsed="false">
      <c r="A801" s="14"/>
      <c r="B801" s="15"/>
      <c r="C801" s="15"/>
      <c r="D801" s="14"/>
      <c r="E801" s="14"/>
      <c r="F801" s="14"/>
      <c r="G801" s="14"/>
      <c r="H801" s="15"/>
      <c r="I801" s="15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4"/>
      <c r="AX801" s="14"/>
      <c r="AY801" s="14"/>
      <c r="AZ801" s="14"/>
      <c r="BA801" s="14"/>
      <c r="BB801" s="14"/>
      <c r="BC801" s="14"/>
      <c r="BD801" s="14"/>
      <c r="BE801" s="14"/>
      <c r="BF801" s="14"/>
      <c r="BG801" s="14"/>
      <c r="BH801" s="14"/>
      <c r="BI801" s="14"/>
      <c r="BJ801" s="14"/>
      <c r="BK801" s="14"/>
      <c r="BL801" s="14"/>
      <c r="BM801" s="14"/>
      <c r="BN801" s="14"/>
      <c r="BO801" s="14"/>
      <c r="BP801" s="14"/>
      <c r="BQ801" s="14"/>
      <c r="BR801" s="14"/>
      <c r="BS801" s="14"/>
      <c r="BT801" s="14"/>
      <c r="BU801" s="14"/>
      <c r="BV801" s="14"/>
      <c r="BW801" s="14"/>
      <c r="BX801" s="14"/>
      <c r="BY801" s="14"/>
      <c r="BZ801" s="14"/>
      <c r="CA801" s="14"/>
      <c r="CB801" s="14"/>
      <c r="CC801" s="14"/>
      <c r="CD801" s="14"/>
      <c r="CE801" s="14"/>
      <c r="CF801" s="14"/>
      <c r="CG801" s="14"/>
      <c r="CH801" s="14"/>
      <c r="CI801" s="14"/>
      <c r="CJ801" s="14"/>
      <c r="CK801" s="14"/>
      <c r="CL801" s="14"/>
      <c r="CT801" s="14"/>
      <c r="CW801" s="3"/>
      <c r="DG801" s="4"/>
    </row>
    <row r="802" customFormat="false" ht="11.25" hidden="false" customHeight="true" outlineLevel="0" collapsed="false">
      <c r="A802" s="14"/>
      <c r="B802" s="15"/>
      <c r="C802" s="15"/>
      <c r="D802" s="14"/>
      <c r="E802" s="14"/>
      <c r="F802" s="14"/>
      <c r="G802" s="14"/>
      <c r="H802" s="15"/>
      <c r="I802" s="15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  <c r="AW802" s="14"/>
      <c r="AX802" s="14"/>
      <c r="AY802" s="14"/>
      <c r="AZ802" s="14"/>
      <c r="BA802" s="14"/>
      <c r="BB802" s="14"/>
      <c r="BC802" s="14"/>
      <c r="BD802" s="14"/>
      <c r="BE802" s="14"/>
      <c r="BF802" s="14"/>
      <c r="BG802" s="14"/>
      <c r="BH802" s="14"/>
      <c r="BI802" s="14"/>
      <c r="BJ802" s="14"/>
      <c r="BK802" s="14"/>
      <c r="BL802" s="14"/>
      <c r="BM802" s="14"/>
      <c r="BN802" s="14"/>
      <c r="BO802" s="14"/>
      <c r="BP802" s="14"/>
      <c r="BQ802" s="14"/>
      <c r="BR802" s="14"/>
      <c r="BS802" s="14"/>
      <c r="BT802" s="14"/>
      <c r="BU802" s="14"/>
      <c r="BV802" s="14"/>
      <c r="BW802" s="14"/>
      <c r="BX802" s="14"/>
      <c r="BY802" s="14"/>
      <c r="BZ802" s="14"/>
      <c r="CA802" s="14"/>
      <c r="CB802" s="14"/>
      <c r="CC802" s="14"/>
      <c r="CD802" s="14"/>
      <c r="CE802" s="14"/>
      <c r="CF802" s="14"/>
      <c r="CG802" s="14"/>
      <c r="CH802" s="14"/>
      <c r="CI802" s="14"/>
      <c r="CJ802" s="14"/>
      <c r="CK802" s="14"/>
      <c r="CL802" s="14"/>
      <c r="CT802" s="14"/>
      <c r="CW802" s="3"/>
      <c r="DG802" s="4"/>
    </row>
    <row r="803" customFormat="false" ht="11.25" hidden="false" customHeight="true" outlineLevel="0" collapsed="false">
      <c r="A803" s="14"/>
      <c r="B803" s="15"/>
      <c r="C803" s="15"/>
      <c r="D803" s="14"/>
      <c r="E803" s="14"/>
      <c r="F803" s="14"/>
      <c r="G803" s="14"/>
      <c r="H803" s="15"/>
      <c r="I803" s="15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4"/>
      <c r="AX803" s="14"/>
      <c r="AY803" s="14"/>
      <c r="AZ803" s="14"/>
      <c r="BA803" s="14"/>
      <c r="BB803" s="14"/>
      <c r="BC803" s="14"/>
      <c r="BD803" s="14"/>
      <c r="BE803" s="14"/>
      <c r="BF803" s="14"/>
      <c r="BG803" s="14"/>
      <c r="BH803" s="14"/>
      <c r="BI803" s="14"/>
      <c r="BJ803" s="14"/>
      <c r="BK803" s="14"/>
      <c r="BL803" s="14"/>
      <c r="BM803" s="14"/>
      <c r="BN803" s="14"/>
      <c r="BO803" s="14"/>
      <c r="BP803" s="14"/>
      <c r="BQ803" s="14"/>
      <c r="BR803" s="14"/>
      <c r="BS803" s="14"/>
      <c r="BT803" s="14"/>
      <c r="BU803" s="14"/>
      <c r="BV803" s="14"/>
      <c r="BW803" s="14"/>
      <c r="BX803" s="14"/>
      <c r="BY803" s="14"/>
      <c r="BZ803" s="14"/>
      <c r="CA803" s="14"/>
      <c r="CB803" s="14"/>
      <c r="CC803" s="14"/>
      <c r="CD803" s="14"/>
      <c r="CE803" s="14"/>
      <c r="CF803" s="14"/>
      <c r="CG803" s="14"/>
      <c r="CH803" s="14"/>
      <c r="CI803" s="14"/>
      <c r="CJ803" s="14"/>
      <c r="CK803" s="14"/>
      <c r="CL803" s="14"/>
      <c r="CT803" s="14"/>
      <c r="CW803" s="3"/>
      <c r="DG803" s="4"/>
    </row>
    <row r="804" customFormat="false" ht="11.25" hidden="false" customHeight="true" outlineLevel="0" collapsed="false">
      <c r="A804" s="14"/>
      <c r="B804" s="15"/>
      <c r="C804" s="15"/>
      <c r="D804" s="14"/>
      <c r="E804" s="14"/>
      <c r="F804" s="14"/>
      <c r="G804" s="14"/>
      <c r="H804" s="15"/>
      <c r="I804" s="15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  <c r="AU804" s="14"/>
      <c r="AV804" s="14"/>
      <c r="AW804" s="14"/>
      <c r="AX804" s="14"/>
      <c r="AY804" s="14"/>
      <c r="AZ804" s="14"/>
      <c r="BA804" s="14"/>
      <c r="BB804" s="14"/>
      <c r="BC804" s="14"/>
      <c r="BD804" s="14"/>
      <c r="BE804" s="14"/>
      <c r="BF804" s="14"/>
      <c r="BG804" s="14"/>
      <c r="BH804" s="14"/>
      <c r="BI804" s="14"/>
      <c r="BJ804" s="14"/>
      <c r="BK804" s="14"/>
      <c r="BL804" s="14"/>
      <c r="BM804" s="14"/>
      <c r="BN804" s="14"/>
      <c r="BO804" s="14"/>
      <c r="BP804" s="14"/>
      <c r="BQ804" s="14"/>
      <c r="BR804" s="14"/>
      <c r="BS804" s="14"/>
      <c r="BT804" s="14"/>
      <c r="BU804" s="14"/>
      <c r="BV804" s="14"/>
      <c r="BW804" s="14"/>
      <c r="BX804" s="14"/>
      <c r="BY804" s="14"/>
      <c r="BZ804" s="14"/>
      <c r="CA804" s="14"/>
      <c r="CB804" s="14"/>
      <c r="CC804" s="14"/>
      <c r="CD804" s="14"/>
      <c r="CE804" s="14"/>
      <c r="CF804" s="14"/>
      <c r="CG804" s="14"/>
      <c r="CH804" s="14"/>
      <c r="CI804" s="14"/>
      <c r="CJ804" s="14"/>
      <c r="CK804" s="14"/>
      <c r="CL804" s="14"/>
      <c r="CT804" s="14"/>
      <c r="CW804" s="3"/>
      <c r="DG804" s="4"/>
    </row>
    <row r="805" customFormat="false" ht="11.25" hidden="false" customHeight="true" outlineLevel="0" collapsed="false">
      <c r="A805" s="14"/>
      <c r="B805" s="15"/>
      <c r="C805" s="15"/>
      <c r="D805" s="14"/>
      <c r="E805" s="14"/>
      <c r="F805" s="14"/>
      <c r="G805" s="14"/>
      <c r="H805" s="15"/>
      <c r="I805" s="15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4"/>
      <c r="AX805" s="14"/>
      <c r="AY805" s="14"/>
      <c r="AZ805" s="14"/>
      <c r="BA805" s="14"/>
      <c r="BB805" s="14"/>
      <c r="BC805" s="14"/>
      <c r="BD805" s="14"/>
      <c r="BE805" s="14"/>
      <c r="BF805" s="14"/>
      <c r="BG805" s="14"/>
      <c r="BH805" s="14"/>
      <c r="BI805" s="14"/>
      <c r="BJ805" s="14"/>
      <c r="BK805" s="14"/>
      <c r="BL805" s="14"/>
      <c r="BM805" s="14"/>
      <c r="BN805" s="14"/>
      <c r="BO805" s="14"/>
      <c r="BP805" s="14"/>
      <c r="BQ805" s="14"/>
      <c r="BR805" s="14"/>
      <c r="BS805" s="14"/>
      <c r="BT805" s="14"/>
      <c r="BU805" s="14"/>
      <c r="BV805" s="14"/>
      <c r="BW805" s="14"/>
      <c r="BX805" s="14"/>
      <c r="BY805" s="14"/>
      <c r="BZ805" s="14"/>
      <c r="CA805" s="14"/>
      <c r="CB805" s="14"/>
      <c r="CC805" s="14"/>
      <c r="CD805" s="14"/>
      <c r="CE805" s="14"/>
      <c r="CF805" s="14"/>
      <c r="CG805" s="14"/>
      <c r="CH805" s="14"/>
      <c r="CI805" s="14"/>
      <c r="CJ805" s="14"/>
      <c r="CK805" s="14"/>
      <c r="CL805" s="14"/>
      <c r="CT805" s="14"/>
      <c r="CW805" s="3"/>
      <c r="DG805" s="4"/>
    </row>
    <row r="806" customFormat="false" ht="11.25" hidden="false" customHeight="true" outlineLevel="0" collapsed="false">
      <c r="A806" s="14"/>
      <c r="B806" s="15"/>
      <c r="C806" s="15"/>
      <c r="D806" s="14"/>
      <c r="E806" s="14"/>
      <c r="F806" s="14"/>
      <c r="G806" s="14"/>
      <c r="H806" s="15"/>
      <c r="I806" s="15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14"/>
      <c r="AV806" s="14"/>
      <c r="AW806" s="14"/>
      <c r="AX806" s="14"/>
      <c r="AY806" s="14"/>
      <c r="AZ806" s="14"/>
      <c r="BA806" s="14"/>
      <c r="BB806" s="14"/>
      <c r="BC806" s="14"/>
      <c r="BD806" s="14"/>
      <c r="BE806" s="14"/>
      <c r="BF806" s="14"/>
      <c r="BG806" s="14"/>
      <c r="BH806" s="14"/>
      <c r="BI806" s="14"/>
      <c r="BJ806" s="14"/>
      <c r="BK806" s="14"/>
      <c r="BL806" s="14"/>
      <c r="BM806" s="14"/>
      <c r="BN806" s="14"/>
      <c r="BO806" s="14"/>
      <c r="BP806" s="14"/>
      <c r="BQ806" s="14"/>
      <c r="BR806" s="14"/>
      <c r="BS806" s="14"/>
      <c r="BT806" s="14"/>
      <c r="BU806" s="14"/>
      <c r="BV806" s="14"/>
      <c r="BW806" s="14"/>
      <c r="BX806" s="14"/>
      <c r="BY806" s="14"/>
      <c r="BZ806" s="14"/>
      <c r="CA806" s="14"/>
      <c r="CB806" s="14"/>
      <c r="CC806" s="14"/>
      <c r="CD806" s="14"/>
      <c r="CE806" s="14"/>
      <c r="CF806" s="14"/>
      <c r="CG806" s="14"/>
      <c r="CH806" s="14"/>
      <c r="CI806" s="14"/>
      <c r="CJ806" s="14"/>
      <c r="CK806" s="14"/>
      <c r="CL806" s="14"/>
      <c r="CT806" s="14"/>
      <c r="CW806" s="3"/>
      <c r="DG806" s="4"/>
    </row>
    <row r="807" customFormat="false" ht="11.25" hidden="false" customHeight="true" outlineLevel="0" collapsed="false">
      <c r="A807" s="14"/>
      <c r="B807" s="15"/>
      <c r="C807" s="15"/>
      <c r="D807" s="14"/>
      <c r="E807" s="14"/>
      <c r="F807" s="14"/>
      <c r="G807" s="14"/>
      <c r="H807" s="15"/>
      <c r="I807" s="15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14"/>
      <c r="AX807" s="14"/>
      <c r="AY807" s="14"/>
      <c r="AZ807" s="14"/>
      <c r="BA807" s="14"/>
      <c r="BB807" s="14"/>
      <c r="BC807" s="14"/>
      <c r="BD807" s="14"/>
      <c r="BE807" s="14"/>
      <c r="BF807" s="14"/>
      <c r="BG807" s="14"/>
      <c r="BH807" s="14"/>
      <c r="BI807" s="14"/>
      <c r="BJ807" s="14"/>
      <c r="BK807" s="14"/>
      <c r="BL807" s="14"/>
      <c r="BM807" s="14"/>
      <c r="BN807" s="14"/>
      <c r="BO807" s="14"/>
      <c r="BP807" s="14"/>
      <c r="BQ807" s="14"/>
      <c r="BR807" s="14"/>
      <c r="BS807" s="14"/>
      <c r="BT807" s="14"/>
      <c r="BU807" s="14"/>
      <c r="BV807" s="14"/>
      <c r="BW807" s="14"/>
      <c r="BX807" s="14"/>
      <c r="BY807" s="14"/>
      <c r="BZ807" s="14"/>
      <c r="CA807" s="14"/>
      <c r="CB807" s="14"/>
      <c r="CC807" s="14"/>
      <c r="CD807" s="14"/>
      <c r="CE807" s="14"/>
      <c r="CF807" s="14"/>
      <c r="CG807" s="14"/>
      <c r="CH807" s="14"/>
      <c r="CI807" s="14"/>
      <c r="CJ807" s="14"/>
      <c r="CK807" s="14"/>
      <c r="CL807" s="14"/>
      <c r="CT807" s="14"/>
      <c r="CW807" s="3"/>
      <c r="DG807" s="4"/>
    </row>
    <row r="808" customFormat="false" ht="11.25" hidden="false" customHeight="true" outlineLevel="0" collapsed="false">
      <c r="A808" s="14"/>
      <c r="B808" s="15"/>
      <c r="C808" s="15"/>
      <c r="D808" s="14"/>
      <c r="E808" s="14"/>
      <c r="F808" s="14"/>
      <c r="G808" s="14"/>
      <c r="H808" s="15"/>
      <c r="I808" s="15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  <c r="AW808" s="14"/>
      <c r="AX808" s="14"/>
      <c r="AY808" s="14"/>
      <c r="AZ808" s="14"/>
      <c r="BA808" s="14"/>
      <c r="BB808" s="14"/>
      <c r="BC808" s="14"/>
      <c r="BD808" s="14"/>
      <c r="BE808" s="14"/>
      <c r="BF808" s="14"/>
      <c r="BG808" s="14"/>
      <c r="BH808" s="14"/>
      <c r="BI808" s="14"/>
      <c r="BJ808" s="14"/>
      <c r="BK808" s="14"/>
      <c r="BL808" s="14"/>
      <c r="BM808" s="14"/>
      <c r="BN808" s="14"/>
      <c r="BO808" s="14"/>
      <c r="BP808" s="14"/>
      <c r="BQ808" s="14"/>
      <c r="BR808" s="14"/>
      <c r="BS808" s="14"/>
      <c r="BT808" s="14"/>
      <c r="BU808" s="14"/>
      <c r="BV808" s="14"/>
      <c r="BW808" s="14"/>
      <c r="BX808" s="14"/>
      <c r="BY808" s="14"/>
      <c r="BZ808" s="14"/>
      <c r="CA808" s="14"/>
      <c r="CB808" s="14"/>
      <c r="CC808" s="14"/>
      <c r="CD808" s="14"/>
      <c r="CE808" s="14"/>
      <c r="CF808" s="14"/>
      <c r="CG808" s="14"/>
      <c r="CH808" s="14"/>
      <c r="CI808" s="14"/>
      <c r="CJ808" s="14"/>
      <c r="CK808" s="14"/>
      <c r="CL808" s="14"/>
      <c r="CT808" s="14"/>
      <c r="CW808" s="3"/>
      <c r="DG808" s="4"/>
    </row>
    <row r="809" customFormat="false" ht="11.25" hidden="false" customHeight="true" outlineLevel="0" collapsed="false">
      <c r="A809" s="14"/>
      <c r="B809" s="15"/>
      <c r="C809" s="15"/>
      <c r="D809" s="14"/>
      <c r="E809" s="14"/>
      <c r="F809" s="14"/>
      <c r="G809" s="14"/>
      <c r="H809" s="15"/>
      <c r="I809" s="15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4"/>
      <c r="AX809" s="14"/>
      <c r="AY809" s="14"/>
      <c r="AZ809" s="14"/>
      <c r="BA809" s="14"/>
      <c r="BB809" s="14"/>
      <c r="BC809" s="14"/>
      <c r="BD809" s="14"/>
      <c r="BE809" s="14"/>
      <c r="BF809" s="14"/>
      <c r="BG809" s="14"/>
      <c r="BH809" s="14"/>
      <c r="BI809" s="14"/>
      <c r="BJ809" s="14"/>
      <c r="BK809" s="14"/>
      <c r="BL809" s="14"/>
      <c r="BM809" s="14"/>
      <c r="BN809" s="14"/>
      <c r="BO809" s="14"/>
      <c r="BP809" s="14"/>
      <c r="BQ809" s="14"/>
      <c r="BR809" s="14"/>
      <c r="BS809" s="14"/>
      <c r="BT809" s="14"/>
      <c r="BU809" s="14"/>
      <c r="BV809" s="14"/>
      <c r="BW809" s="14"/>
      <c r="BX809" s="14"/>
      <c r="BY809" s="14"/>
      <c r="BZ809" s="14"/>
      <c r="CA809" s="14"/>
      <c r="CB809" s="14"/>
      <c r="CC809" s="14"/>
      <c r="CD809" s="14"/>
      <c r="CE809" s="14"/>
      <c r="CF809" s="14"/>
      <c r="CG809" s="14"/>
      <c r="CH809" s="14"/>
      <c r="CI809" s="14"/>
      <c r="CJ809" s="14"/>
      <c r="CK809" s="14"/>
      <c r="CL809" s="14"/>
      <c r="CT809" s="14"/>
      <c r="CW809" s="3"/>
      <c r="DG809" s="4"/>
    </row>
    <row r="810" customFormat="false" ht="11.25" hidden="false" customHeight="true" outlineLevel="0" collapsed="false">
      <c r="A810" s="14"/>
      <c r="B810" s="15"/>
      <c r="C810" s="15"/>
      <c r="D810" s="14"/>
      <c r="E810" s="14"/>
      <c r="F810" s="14"/>
      <c r="G810" s="14"/>
      <c r="H810" s="15"/>
      <c r="I810" s="15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  <c r="AU810" s="14"/>
      <c r="AV810" s="14"/>
      <c r="AW810" s="14"/>
      <c r="AX810" s="14"/>
      <c r="AY810" s="14"/>
      <c r="AZ810" s="14"/>
      <c r="BA810" s="14"/>
      <c r="BB810" s="14"/>
      <c r="BC810" s="14"/>
      <c r="BD810" s="14"/>
      <c r="BE810" s="14"/>
      <c r="BF810" s="14"/>
      <c r="BG810" s="14"/>
      <c r="BH810" s="14"/>
      <c r="BI810" s="14"/>
      <c r="BJ810" s="14"/>
      <c r="BK810" s="14"/>
      <c r="BL810" s="14"/>
      <c r="BM810" s="14"/>
      <c r="BN810" s="14"/>
      <c r="BO810" s="14"/>
      <c r="BP810" s="14"/>
      <c r="BQ810" s="14"/>
      <c r="BR810" s="14"/>
      <c r="BS810" s="14"/>
      <c r="BT810" s="14"/>
      <c r="BU810" s="14"/>
      <c r="BV810" s="14"/>
      <c r="BW810" s="14"/>
      <c r="BX810" s="14"/>
      <c r="BY810" s="14"/>
      <c r="BZ810" s="14"/>
      <c r="CA810" s="14"/>
      <c r="CB810" s="14"/>
      <c r="CC810" s="14"/>
      <c r="CD810" s="14"/>
      <c r="CE810" s="14"/>
      <c r="CF810" s="14"/>
      <c r="CG810" s="14"/>
      <c r="CH810" s="14"/>
      <c r="CI810" s="14"/>
      <c r="CJ810" s="14"/>
      <c r="CK810" s="14"/>
      <c r="CL810" s="14"/>
      <c r="CT810" s="14"/>
      <c r="CW810" s="3"/>
      <c r="DG810" s="4"/>
    </row>
    <row r="811" customFormat="false" ht="11.25" hidden="false" customHeight="true" outlineLevel="0" collapsed="false">
      <c r="A811" s="14"/>
      <c r="B811" s="15"/>
      <c r="C811" s="15"/>
      <c r="D811" s="14"/>
      <c r="E811" s="14"/>
      <c r="F811" s="14"/>
      <c r="G811" s="14"/>
      <c r="H811" s="15"/>
      <c r="I811" s="15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4"/>
      <c r="AX811" s="14"/>
      <c r="AY811" s="14"/>
      <c r="AZ811" s="14"/>
      <c r="BA811" s="14"/>
      <c r="BB811" s="14"/>
      <c r="BC811" s="14"/>
      <c r="BD811" s="14"/>
      <c r="BE811" s="14"/>
      <c r="BF811" s="14"/>
      <c r="BG811" s="14"/>
      <c r="BH811" s="14"/>
      <c r="BI811" s="14"/>
      <c r="BJ811" s="14"/>
      <c r="BK811" s="14"/>
      <c r="BL811" s="14"/>
      <c r="BM811" s="14"/>
      <c r="BN811" s="14"/>
      <c r="BO811" s="14"/>
      <c r="BP811" s="14"/>
      <c r="BQ811" s="14"/>
      <c r="BR811" s="14"/>
      <c r="BS811" s="14"/>
      <c r="BT811" s="14"/>
      <c r="BU811" s="14"/>
      <c r="BV811" s="14"/>
      <c r="BW811" s="14"/>
      <c r="BX811" s="14"/>
      <c r="BY811" s="14"/>
      <c r="BZ811" s="14"/>
      <c r="CA811" s="14"/>
      <c r="CB811" s="14"/>
      <c r="CC811" s="14"/>
      <c r="CD811" s="14"/>
      <c r="CE811" s="14"/>
      <c r="CF811" s="14"/>
      <c r="CG811" s="14"/>
      <c r="CH811" s="14"/>
      <c r="CI811" s="14"/>
      <c r="CJ811" s="14"/>
      <c r="CK811" s="14"/>
      <c r="CL811" s="14"/>
      <c r="CT811" s="14"/>
      <c r="CW811" s="3"/>
      <c r="DG811" s="4"/>
    </row>
    <row r="812" customFormat="false" ht="11.25" hidden="false" customHeight="true" outlineLevel="0" collapsed="false">
      <c r="A812" s="14"/>
      <c r="B812" s="15"/>
      <c r="C812" s="15"/>
      <c r="D812" s="14"/>
      <c r="E812" s="14"/>
      <c r="F812" s="14"/>
      <c r="G812" s="14"/>
      <c r="H812" s="15"/>
      <c r="I812" s="15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/>
      <c r="AU812" s="14"/>
      <c r="AV812" s="14"/>
      <c r="AW812" s="14"/>
      <c r="AX812" s="14"/>
      <c r="AY812" s="14"/>
      <c r="AZ812" s="14"/>
      <c r="BA812" s="14"/>
      <c r="BB812" s="14"/>
      <c r="BC812" s="14"/>
      <c r="BD812" s="14"/>
      <c r="BE812" s="14"/>
      <c r="BF812" s="14"/>
      <c r="BG812" s="14"/>
      <c r="BH812" s="14"/>
      <c r="BI812" s="14"/>
      <c r="BJ812" s="14"/>
      <c r="BK812" s="14"/>
      <c r="BL812" s="14"/>
      <c r="BM812" s="14"/>
      <c r="BN812" s="14"/>
      <c r="BO812" s="14"/>
      <c r="BP812" s="14"/>
      <c r="BQ812" s="14"/>
      <c r="BR812" s="14"/>
      <c r="BS812" s="14"/>
      <c r="BT812" s="14"/>
      <c r="BU812" s="14"/>
      <c r="BV812" s="14"/>
      <c r="BW812" s="14"/>
      <c r="BX812" s="14"/>
      <c r="BY812" s="14"/>
      <c r="BZ812" s="14"/>
      <c r="CA812" s="14"/>
      <c r="CB812" s="14"/>
      <c r="CC812" s="14"/>
      <c r="CD812" s="14"/>
      <c r="CE812" s="14"/>
      <c r="CF812" s="14"/>
      <c r="CG812" s="14"/>
      <c r="CH812" s="14"/>
      <c r="CI812" s="14"/>
      <c r="CJ812" s="14"/>
      <c r="CK812" s="14"/>
      <c r="CL812" s="14"/>
      <c r="CT812" s="14"/>
      <c r="CW812" s="3"/>
      <c r="DG812" s="4"/>
    </row>
    <row r="813" customFormat="false" ht="11.25" hidden="false" customHeight="true" outlineLevel="0" collapsed="false">
      <c r="A813" s="14"/>
      <c r="B813" s="15"/>
      <c r="C813" s="15"/>
      <c r="D813" s="14"/>
      <c r="E813" s="14"/>
      <c r="F813" s="14"/>
      <c r="G813" s="14"/>
      <c r="H813" s="15"/>
      <c r="I813" s="15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14"/>
      <c r="AX813" s="14"/>
      <c r="AY813" s="14"/>
      <c r="AZ813" s="14"/>
      <c r="BA813" s="14"/>
      <c r="BB813" s="14"/>
      <c r="BC813" s="14"/>
      <c r="BD813" s="14"/>
      <c r="BE813" s="14"/>
      <c r="BF813" s="14"/>
      <c r="BG813" s="14"/>
      <c r="BH813" s="14"/>
      <c r="BI813" s="14"/>
      <c r="BJ813" s="14"/>
      <c r="BK813" s="14"/>
      <c r="BL813" s="14"/>
      <c r="BM813" s="14"/>
      <c r="BN813" s="14"/>
      <c r="BO813" s="14"/>
      <c r="BP813" s="14"/>
      <c r="BQ813" s="14"/>
      <c r="BR813" s="14"/>
      <c r="BS813" s="14"/>
      <c r="BT813" s="14"/>
      <c r="BU813" s="14"/>
      <c r="BV813" s="14"/>
      <c r="BW813" s="14"/>
      <c r="BX813" s="14"/>
      <c r="BY813" s="14"/>
      <c r="BZ813" s="14"/>
      <c r="CA813" s="14"/>
      <c r="CB813" s="14"/>
      <c r="CC813" s="14"/>
      <c r="CD813" s="14"/>
      <c r="CE813" s="14"/>
      <c r="CF813" s="14"/>
      <c r="CG813" s="14"/>
      <c r="CH813" s="14"/>
      <c r="CI813" s="14"/>
      <c r="CJ813" s="14"/>
      <c r="CK813" s="14"/>
      <c r="CL813" s="14"/>
      <c r="CT813" s="14"/>
      <c r="CW813" s="3"/>
      <c r="DG813" s="4"/>
    </row>
    <row r="814" customFormat="false" ht="11.25" hidden="false" customHeight="true" outlineLevel="0" collapsed="false">
      <c r="A814" s="14"/>
      <c r="B814" s="15"/>
      <c r="C814" s="15"/>
      <c r="D814" s="14"/>
      <c r="E814" s="14"/>
      <c r="F814" s="14"/>
      <c r="G814" s="14"/>
      <c r="H814" s="15"/>
      <c r="I814" s="15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  <c r="AU814" s="14"/>
      <c r="AV814" s="14"/>
      <c r="AW814" s="14"/>
      <c r="AX814" s="14"/>
      <c r="AY814" s="14"/>
      <c r="AZ814" s="14"/>
      <c r="BA814" s="14"/>
      <c r="BB814" s="14"/>
      <c r="BC814" s="14"/>
      <c r="BD814" s="14"/>
      <c r="BE814" s="14"/>
      <c r="BF814" s="14"/>
      <c r="BG814" s="14"/>
      <c r="BH814" s="14"/>
      <c r="BI814" s="14"/>
      <c r="BJ814" s="14"/>
      <c r="BK814" s="14"/>
      <c r="BL814" s="14"/>
      <c r="BM814" s="14"/>
      <c r="BN814" s="14"/>
      <c r="BO814" s="14"/>
      <c r="BP814" s="14"/>
      <c r="BQ814" s="14"/>
      <c r="BR814" s="14"/>
      <c r="BS814" s="14"/>
      <c r="BT814" s="14"/>
      <c r="BU814" s="14"/>
      <c r="BV814" s="14"/>
      <c r="BW814" s="14"/>
      <c r="BX814" s="14"/>
      <c r="BY814" s="14"/>
      <c r="BZ814" s="14"/>
      <c r="CA814" s="14"/>
      <c r="CB814" s="14"/>
      <c r="CC814" s="14"/>
      <c r="CD814" s="14"/>
      <c r="CE814" s="14"/>
      <c r="CF814" s="14"/>
      <c r="CG814" s="14"/>
      <c r="CH814" s="14"/>
      <c r="CI814" s="14"/>
      <c r="CJ814" s="14"/>
      <c r="CK814" s="14"/>
      <c r="CL814" s="14"/>
      <c r="CT814" s="14"/>
      <c r="CW814" s="3"/>
      <c r="DG814" s="4"/>
    </row>
    <row r="815" customFormat="false" ht="11.25" hidden="false" customHeight="true" outlineLevel="0" collapsed="false">
      <c r="A815" s="14"/>
      <c r="B815" s="15"/>
      <c r="C815" s="15"/>
      <c r="D815" s="14"/>
      <c r="E815" s="14"/>
      <c r="F815" s="14"/>
      <c r="G815" s="14"/>
      <c r="H815" s="15"/>
      <c r="I815" s="15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4"/>
      <c r="AX815" s="14"/>
      <c r="AY815" s="14"/>
      <c r="AZ815" s="14"/>
      <c r="BA815" s="14"/>
      <c r="BB815" s="14"/>
      <c r="BC815" s="14"/>
      <c r="BD815" s="14"/>
      <c r="BE815" s="14"/>
      <c r="BF815" s="14"/>
      <c r="BG815" s="14"/>
      <c r="BH815" s="14"/>
      <c r="BI815" s="14"/>
      <c r="BJ815" s="14"/>
      <c r="BK815" s="14"/>
      <c r="BL815" s="14"/>
      <c r="BM815" s="14"/>
      <c r="BN815" s="14"/>
      <c r="BO815" s="14"/>
      <c r="BP815" s="14"/>
      <c r="BQ815" s="14"/>
      <c r="BR815" s="14"/>
      <c r="BS815" s="14"/>
      <c r="BT815" s="14"/>
      <c r="BU815" s="14"/>
      <c r="BV815" s="14"/>
      <c r="BW815" s="14"/>
      <c r="BX815" s="14"/>
      <c r="BY815" s="14"/>
      <c r="BZ815" s="14"/>
      <c r="CA815" s="14"/>
      <c r="CB815" s="14"/>
      <c r="CC815" s="14"/>
      <c r="CD815" s="14"/>
      <c r="CE815" s="14"/>
      <c r="CF815" s="14"/>
      <c r="CG815" s="14"/>
      <c r="CH815" s="14"/>
      <c r="CI815" s="14"/>
      <c r="CJ815" s="14"/>
      <c r="CK815" s="14"/>
      <c r="CL815" s="14"/>
      <c r="CT815" s="14"/>
      <c r="CW815" s="3"/>
      <c r="DG815" s="4"/>
    </row>
    <row r="816" customFormat="false" ht="11.25" hidden="false" customHeight="true" outlineLevel="0" collapsed="false">
      <c r="A816" s="14"/>
      <c r="B816" s="15"/>
      <c r="C816" s="15"/>
      <c r="D816" s="14"/>
      <c r="E816" s="14"/>
      <c r="F816" s="14"/>
      <c r="G816" s="14"/>
      <c r="H816" s="15"/>
      <c r="I816" s="15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  <c r="AU816" s="14"/>
      <c r="AV816" s="14"/>
      <c r="AW816" s="14"/>
      <c r="AX816" s="14"/>
      <c r="AY816" s="14"/>
      <c r="AZ816" s="14"/>
      <c r="BA816" s="14"/>
      <c r="BB816" s="14"/>
      <c r="BC816" s="14"/>
      <c r="BD816" s="14"/>
      <c r="BE816" s="14"/>
      <c r="BF816" s="14"/>
      <c r="BG816" s="14"/>
      <c r="BH816" s="14"/>
      <c r="BI816" s="14"/>
      <c r="BJ816" s="14"/>
      <c r="BK816" s="14"/>
      <c r="BL816" s="14"/>
      <c r="BM816" s="14"/>
      <c r="BN816" s="14"/>
      <c r="BO816" s="14"/>
      <c r="BP816" s="14"/>
      <c r="BQ816" s="14"/>
      <c r="BR816" s="14"/>
      <c r="BS816" s="14"/>
      <c r="BT816" s="14"/>
      <c r="BU816" s="14"/>
      <c r="BV816" s="14"/>
      <c r="BW816" s="14"/>
      <c r="BX816" s="14"/>
      <c r="BY816" s="14"/>
      <c r="BZ816" s="14"/>
      <c r="CA816" s="14"/>
      <c r="CB816" s="14"/>
      <c r="CC816" s="14"/>
      <c r="CD816" s="14"/>
      <c r="CE816" s="14"/>
      <c r="CF816" s="14"/>
      <c r="CG816" s="14"/>
      <c r="CH816" s="14"/>
      <c r="CI816" s="14"/>
      <c r="CJ816" s="14"/>
      <c r="CK816" s="14"/>
      <c r="CL816" s="14"/>
      <c r="CT816" s="14"/>
      <c r="CW816" s="3"/>
      <c r="DG816" s="4"/>
    </row>
    <row r="817" customFormat="false" ht="11.25" hidden="false" customHeight="true" outlineLevel="0" collapsed="false">
      <c r="A817" s="14"/>
      <c r="B817" s="15"/>
      <c r="C817" s="15"/>
      <c r="D817" s="14"/>
      <c r="E817" s="14"/>
      <c r="F817" s="14"/>
      <c r="G817" s="14"/>
      <c r="H817" s="15"/>
      <c r="I817" s="15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4"/>
      <c r="AX817" s="14"/>
      <c r="AY817" s="14"/>
      <c r="AZ817" s="14"/>
      <c r="BA817" s="14"/>
      <c r="BB817" s="14"/>
      <c r="BC817" s="14"/>
      <c r="BD817" s="14"/>
      <c r="BE817" s="14"/>
      <c r="BF817" s="14"/>
      <c r="BG817" s="14"/>
      <c r="BH817" s="14"/>
      <c r="BI817" s="14"/>
      <c r="BJ817" s="14"/>
      <c r="BK817" s="14"/>
      <c r="BL817" s="14"/>
      <c r="BM817" s="14"/>
      <c r="BN817" s="14"/>
      <c r="BO817" s="14"/>
      <c r="BP817" s="14"/>
      <c r="BQ817" s="14"/>
      <c r="BR817" s="14"/>
      <c r="BS817" s="14"/>
      <c r="BT817" s="14"/>
      <c r="BU817" s="14"/>
      <c r="BV817" s="14"/>
      <c r="BW817" s="14"/>
      <c r="BX817" s="14"/>
      <c r="BY817" s="14"/>
      <c r="BZ817" s="14"/>
      <c r="CA817" s="14"/>
      <c r="CB817" s="14"/>
      <c r="CC817" s="14"/>
      <c r="CD817" s="14"/>
      <c r="CE817" s="14"/>
      <c r="CF817" s="14"/>
      <c r="CG817" s="14"/>
      <c r="CH817" s="14"/>
      <c r="CI817" s="14"/>
      <c r="CJ817" s="14"/>
      <c r="CK817" s="14"/>
      <c r="CL817" s="14"/>
      <c r="CT817" s="14"/>
      <c r="CW817" s="3"/>
      <c r="DG817" s="4"/>
    </row>
    <row r="818" customFormat="false" ht="11.25" hidden="false" customHeight="true" outlineLevel="0" collapsed="false">
      <c r="A818" s="14"/>
      <c r="B818" s="15"/>
      <c r="C818" s="15"/>
      <c r="D818" s="14"/>
      <c r="E818" s="14"/>
      <c r="F818" s="14"/>
      <c r="G818" s="14"/>
      <c r="H818" s="15"/>
      <c r="I818" s="15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  <c r="AU818" s="14"/>
      <c r="AV818" s="14"/>
      <c r="AW818" s="14"/>
      <c r="AX818" s="14"/>
      <c r="AY818" s="14"/>
      <c r="AZ818" s="14"/>
      <c r="BA818" s="14"/>
      <c r="BB818" s="14"/>
      <c r="BC818" s="14"/>
      <c r="BD818" s="14"/>
      <c r="BE818" s="14"/>
      <c r="BF818" s="14"/>
      <c r="BG818" s="14"/>
      <c r="BH818" s="14"/>
      <c r="BI818" s="14"/>
      <c r="BJ818" s="14"/>
      <c r="BK818" s="14"/>
      <c r="BL818" s="14"/>
      <c r="BM818" s="14"/>
      <c r="BN818" s="14"/>
      <c r="BO818" s="14"/>
      <c r="BP818" s="14"/>
      <c r="BQ818" s="14"/>
      <c r="BR818" s="14"/>
      <c r="BS818" s="14"/>
      <c r="BT818" s="14"/>
      <c r="BU818" s="14"/>
      <c r="BV818" s="14"/>
      <c r="BW818" s="14"/>
      <c r="BX818" s="14"/>
      <c r="BY818" s="14"/>
      <c r="BZ818" s="14"/>
      <c r="CA818" s="14"/>
      <c r="CB818" s="14"/>
      <c r="CC818" s="14"/>
      <c r="CD818" s="14"/>
      <c r="CE818" s="14"/>
      <c r="CF818" s="14"/>
      <c r="CG818" s="14"/>
      <c r="CH818" s="14"/>
      <c r="CI818" s="14"/>
      <c r="CJ818" s="14"/>
      <c r="CK818" s="14"/>
      <c r="CL818" s="14"/>
      <c r="CT818" s="14"/>
      <c r="CW818" s="3"/>
      <c r="DG818" s="4"/>
    </row>
    <row r="819" customFormat="false" ht="11.25" hidden="false" customHeight="true" outlineLevel="0" collapsed="false">
      <c r="A819" s="14"/>
      <c r="B819" s="15"/>
      <c r="C819" s="15"/>
      <c r="D819" s="14"/>
      <c r="E819" s="14"/>
      <c r="F819" s="14"/>
      <c r="G819" s="14"/>
      <c r="H819" s="15"/>
      <c r="I819" s="15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14"/>
      <c r="AX819" s="14"/>
      <c r="AY819" s="14"/>
      <c r="AZ819" s="14"/>
      <c r="BA819" s="14"/>
      <c r="BB819" s="14"/>
      <c r="BC819" s="14"/>
      <c r="BD819" s="14"/>
      <c r="BE819" s="14"/>
      <c r="BF819" s="14"/>
      <c r="BG819" s="14"/>
      <c r="BH819" s="14"/>
      <c r="BI819" s="14"/>
      <c r="BJ819" s="14"/>
      <c r="BK819" s="14"/>
      <c r="BL819" s="14"/>
      <c r="BM819" s="14"/>
      <c r="BN819" s="14"/>
      <c r="BO819" s="14"/>
      <c r="BP819" s="14"/>
      <c r="BQ819" s="14"/>
      <c r="BR819" s="14"/>
      <c r="BS819" s="14"/>
      <c r="BT819" s="14"/>
      <c r="BU819" s="14"/>
      <c r="BV819" s="14"/>
      <c r="BW819" s="14"/>
      <c r="BX819" s="14"/>
      <c r="BY819" s="14"/>
      <c r="BZ819" s="14"/>
      <c r="CA819" s="14"/>
      <c r="CB819" s="14"/>
      <c r="CC819" s="14"/>
      <c r="CD819" s="14"/>
      <c r="CE819" s="14"/>
      <c r="CF819" s="14"/>
      <c r="CG819" s="14"/>
      <c r="CH819" s="14"/>
      <c r="CI819" s="14"/>
      <c r="CJ819" s="14"/>
      <c r="CK819" s="14"/>
      <c r="CL819" s="14"/>
      <c r="CT819" s="14"/>
      <c r="CW819" s="3"/>
      <c r="DG819" s="4"/>
    </row>
    <row r="820" customFormat="false" ht="11.25" hidden="false" customHeight="true" outlineLevel="0" collapsed="false">
      <c r="A820" s="14"/>
      <c r="B820" s="15"/>
      <c r="C820" s="15"/>
      <c r="D820" s="14"/>
      <c r="E820" s="14"/>
      <c r="F820" s="14"/>
      <c r="G820" s="14"/>
      <c r="H820" s="15"/>
      <c r="I820" s="15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  <c r="AU820" s="14"/>
      <c r="AV820" s="14"/>
      <c r="AW820" s="14"/>
      <c r="AX820" s="14"/>
      <c r="AY820" s="14"/>
      <c r="AZ820" s="14"/>
      <c r="BA820" s="14"/>
      <c r="BB820" s="14"/>
      <c r="BC820" s="14"/>
      <c r="BD820" s="14"/>
      <c r="BE820" s="14"/>
      <c r="BF820" s="14"/>
      <c r="BG820" s="14"/>
      <c r="BH820" s="14"/>
      <c r="BI820" s="14"/>
      <c r="BJ820" s="14"/>
      <c r="BK820" s="14"/>
      <c r="BL820" s="14"/>
      <c r="BM820" s="14"/>
      <c r="BN820" s="14"/>
      <c r="BO820" s="14"/>
      <c r="BP820" s="14"/>
      <c r="BQ820" s="14"/>
      <c r="BR820" s="14"/>
      <c r="BS820" s="14"/>
      <c r="BT820" s="14"/>
      <c r="BU820" s="14"/>
      <c r="BV820" s="14"/>
      <c r="BW820" s="14"/>
      <c r="BX820" s="14"/>
      <c r="BY820" s="14"/>
      <c r="BZ820" s="14"/>
      <c r="CA820" s="14"/>
      <c r="CB820" s="14"/>
      <c r="CC820" s="14"/>
      <c r="CD820" s="14"/>
      <c r="CE820" s="14"/>
      <c r="CF820" s="14"/>
      <c r="CG820" s="14"/>
      <c r="CH820" s="14"/>
      <c r="CI820" s="14"/>
      <c r="CJ820" s="14"/>
      <c r="CK820" s="14"/>
      <c r="CL820" s="14"/>
      <c r="CT820" s="14"/>
      <c r="CW820" s="3"/>
      <c r="DG820" s="4"/>
    </row>
    <row r="821" customFormat="false" ht="11.25" hidden="false" customHeight="true" outlineLevel="0" collapsed="false">
      <c r="A821" s="14"/>
      <c r="B821" s="15"/>
      <c r="C821" s="15"/>
      <c r="D821" s="14"/>
      <c r="E821" s="14"/>
      <c r="F821" s="14"/>
      <c r="G821" s="14"/>
      <c r="H821" s="15"/>
      <c r="I821" s="15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4"/>
      <c r="AX821" s="14"/>
      <c r="AY821" s="14"/>
      <c r="AZ821" s="14"/>
      <c r="BA821" s="14"/>
      <c r="BB821" s="14"/>
      <c r="BC821" s="14"/>
      <c r="BD821" s="14"/>
      <c r="BE821" s="14"/>
      <c r="BF821" s="14"/>
      <c r="BG821" s="14"/>
      <c r="BH821" s="14"/>
      <c r="BI821" s="14"/>
      <c r="BJ821" s="14"/>
      <c r="BK821" s="14"/>
      <c r="BL821" s="14"/>
      <c r="BM821" s="14"/>
      <c r="BN821" s="14"/>
      <c r="BO821" s="14"/>
      <c r="BP821" s="14"/>
      <c r="BQ821" s="14"/>
      <c r="BR821" s="14"/>
      <c r="BS821" s="14"/>
      <c r="BT821" s="14"/>
      <c r="BU821" s="14"/>
      <c r="BV821" s="14"/>
      <c r="BW821" s="14"/>
      <c r="BX821" s="14"/>
      <c r="BY821" s="14"/>
      <c r="BZ821" s="14"/>
      <c r="CA821" s="14"/>
      <c r="CB821" s="14"/>
      <c r="CC821" s="14"/>
      <c r="CD821" s="14"/>
      <c r="CE821" s="14"/>
      <c r="CF821" s="14"/>
      <c r="CG821" s="14"/>
      <c r="CH821" s="14"/>
      <c r="CI821" s="14"/>
      <c r="CJ821" s="14"/>
      <c r="CK821" s="14"/>
      <c r="CL821" s="14"/>
      <c r="CT821" s="14"/>
      <c r="CW821" s="3"/>
      <c r="DG821" s="4"/>
    </row>
    <row r="822" customFormat="false" ht="11.25" hidden="false" customHeight="true" outlineLevel="0" collapsed="false">
      <c r="A822" s="14"/>
      <c r="B822" s="15"/>
      <c r="C822" s="15"/>
      <c r="D822" s="14"/>
      <c r="E822" s="14"/>
      <c r="F822" s="14"/>
      <c r="G822" s="14"/>
      <c r="H822" s="15"/>
      <c r="I822" s="15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  <c r="AU822" s="14"/>
      <c r="AV822" s="14"/>
      <c r="AW822" s="14"/>
      <c r="AX822" s="14"/>
      <c r="AY822" s="14"/>
      <c r="AZ822" s="14"/>
      <c r="BA822" s="14"/>
      <c r="BB822" s="14"/>
      <c r="BC822" s="14"/>
      <c r="BD822" s="14"/>
      <c r="BE822" s="14"/>
      <c r="BF822" s="14"/>
      <c r="BG822" s="14"/>
      <c r="BH822" s="14"/>
      <c r="BI822" s="14"/>
      <c r="BJ822" s="14"/>
      <c r="BK822" s="14"/>
      <c r="BL822" s="14"/>
      <c r="BM822" s="14"/>
      <c r="BN822" s="14"/>
      <c r="BO822" s="14"/>
      <c r="BP822" s="14"/>
      <c r="BQ822" s="14"/>
      <c r="BR822" s="14"/>
      <c r="BS822" s="14"/>
      <c r="BT822" s="14"/>
      <c r="BU822" s="14"/>
      <c r="BV822" s="14"/>
      <c r="BW822" s="14"/>
      <c r="BX822" s="14"/>
      <c r="BY822" s="14"/>
      <c r="BZ822" s="14"/>
      <c r="CA822" s="14"/>
      <c r="CB822" s="14"/>
      <c r="CC822" s="14"/>
      <c r="CD822" s="14"/>
      <c r="CE822" s="14"/>
      <c r="CF822" s="14"/>
      <c r="CG822" s="14"/>
      <c r="CH822" s="14"/>
      <c r="CI822" s="14"/>
      <c r="CJ822" s="14"/>
      <c r="CK822" s="14"/>
      <c r="CL822" s="14"/>
      <c r="CT822" s="14"/>
      <c r="CW822" s="3"/>
      <c r="DG822" s="4"/>
    </row>
    <row r="823" customFormat="false" ht="11.25" hidden="false" customHeight="true" outlineLevel="0" collapsed="false">
      <c r="A823" s="14"/>
      <c r="B823" s="15"/>
      <c r="C823" s="15"/>
      <c r="D823" s="14"/>
      <c r="E823" s="14"/>
      <c r="F823" s="14"/>
      <c r="G823" s="14"/>
      <c r="H823" s="15"/>
      <c r="I823" s="15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  <c r="AW823" s="14"/>
      <c r="AX823" s="14"/>
      <c r="AY823" s="14"/>
      <c r="AZ823" s="14"/>
      <c r="BA823" s="14"/>
      <c r="BB823" s="14"/>
      <c r="BC823" s="14"/>
      <c r="BD823" s="14"/>
      <c r="BE823" s="14"/>
      <c r="BF823" s="14"/>
      <c r="BG823" s="14"/>
      <c r="BH823" s="14"/>
      <c r="BI823" s="14"/>
      <c r="BJ823" s="14"/>
      <c r="BK823" s="14"/>
      <c r="BL823" s="14"/>
      <c r="BM823" s="14"/>
      <c r="BN823" s="14"/>
      <c r="BO823" s="14"/>
      <c r="BP823" s="14"/>
      <c r="BQ823" s="14"/>
      <c r="BR823" s="14"/>
      <c r="BS823" s="14"/>
      <c r="BT823" s="14"/>
      <c r="BU823" s="14"/>
      <c r="BV823" s="14"/>
      <c r="BW823" s="14"/>
      <c r="BX823" s="14"/>
      <c r="BY823" s="14"/>
      <c r="BZ823" s="14"/>
      <c r="CA823" s="14"/>
      <c r="CB823" s="14"/>
      <c r="CC823" s="14"/>
      <c r="CD823" s="14"/>
      <c r="CE823" s="14"/>
      <c r="CF823" s="14"/>
      <c r="CG823" s="14"/>
      <c r="CH823" s="14"/>
      <c r="CI823" s="14"/>
      <c r="CJ823" s="14"/>
      <c r="CK823" s="14"/>
      <c r="CL823" s="14"/>
      <c r="CT823" s="14"/>
      <c r="CW823" s="3"/>
      <c r="DG823" s="4"/>
    </row>
    <row r="824" customFormat="false" ht="11.25" hidden="false" customHeight="true" outlineLevel="0" collapsed="false">
      <c r="A824" s="14"/>
      <c r="B824" s="15"/>
      <c r="C824" s="15"/>
      <c r="D824" s="14"/>
      <c r="E824" s="14"/>
      <c r="F824" s="14"/>
      <c r="G824" s="14"/>
      <c r="H824" s="15"/>
      <c r="I824" s="15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  <c r="AU824" s="14"/>
      <c r="AV824" s="14"/>
      <c r="AW824" s="14"/>
      <c r="AX824" s="14"/>
      <c r="AY824" s="14"/>
      <c r="AZ824" s="14"/>
      <c r="BA824" s="14"/>
      <c r="BB824" s="14"/>
      <c r="BC824" s="14"/>
      <c r="BD824" s="14"/>
      <c r="BE824" s="14"/>
      <c r="BF824" s="14"/>
      <c r="BG824" s="14"/>
      <c r="BH824" s="14"/>
      <c r="BI824" s="14"/>
      <c r="BJ824" s="14"/>
      <c r="BK824" s="14"/>
      <c r="BL824" s="14"/>
      <c r="BM824" s="14"/>
      <c r="BN824" s="14"/>
      <c r="BO824" s="14"/>
      <c r="BP824" s="14"/>
      <c r="BQ824" s="14"/>
      <c r="BR824" s="14"/>
      <c r="BS824" s="14"/>
      <c r="BT824" s="14"/>
      <c r="BU824" s="14"/>
      <c r="BV824" s="14"/>
      <c r="BW824" s="14"/>
      <c r="BX824" s="14"/>
      <c r="BY824" s="14"/>
      <c r="BZ824" s="14"/>
      <c r="CA824" s="14"/>
      <c r="CB824" s="14"/>
      <c r="CC824" s="14"/>
      <c r="CD824" s="14"/>
      <c r="CE824" s="14"/>
      <c r="CF824" s="14"/>
      <c r="CG824" s="14"/>
      <c r="CH824" s="14"/>
      <c r="CI824" s="14"/>
      <c r="CJ824" s="14"/>
      <c r="CK824" s="14"/>
      <c r="CL824" s="14"/>
      <c r="CT824" s="14"/>
      <c r="CW824" s="3"/>
      <c r="DG824" s="4"/>
    </row>
    <row r="825" customFormat="false" ht="11.25" hidden="false" customHeight="true" outlineLevel="0" collapsed="false">
      <c r="A825" s="14"/>
      <c r="B825" s="15"/>
      <c r="C825" s="15"/>
      <c r="D825" s="14"/>
      <c r="E825" s="14"/>
      <c r="F825" s="14"/>
      <c r="G825" s="14"/>
      <c r="H825" s="15"/>
      <c r="I825" s="15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4"/>
      <c r="AX825" s="14"/>
      <c r="AY825" s="14"/>
      <c r="AZ825" s="14"/>
      <c r="BA825" s="14"/>
      <c r="BB825" s="14"/>
      <c r="BC825" s="14"/>
      <c r="BD825" s="14"/>
      <c r="BE825" s="14"/>
      <c r="BF825" s="14"/>
      <c r="BG825" s="14"/>
      <c r="BH825" s="14"/>
      <c r="BI825" s="14"/>
      <c r="BJ825" s="14"/>
      <c r="BK825" s="14"/>
      <c r="BL825" s="14"/>
      <c r="BM825" s="14"/>
      <c r="BN825" s="14"/>
      <c r="BO825" s="14"/>
      <c r="BP825" s="14"/>
      <c r="BQ825" s="14"/>
      <c r="BR825" s="14"/>
      <c r="BS825" s="14"/>
      <c r="BT825" s="14"/>
      <c r="BU825" s="14"/>
      <c r="BV825" s="14"/>
      <c r="BW825" s="14"/>
      <c r="BX825" s="14"/>
      <c r="BY825" s="14"/>
      <c r="BZ825" s="14"/>
      <c r="CA825" s="14"/>
      <c r="CB825" s="14"/>
      <c r="CC825" s="14"/>
      <c r="CD825" s="14"/>
      <c r="CE825" s="14"/>
      <c r="CF825" s="14"/>
      <c r="CG825" s="14"/>
      <c r="CH825" s="14"/>
      <c r="CI825" s="14"/>
      <c r="CJ825" s="14"/>
      <c r="CK825" s="14"/>
      <c r="CL825" s="14"/>
      <c r="CT825" s="14"/>
      <c r="CW825" s="3"/>
      <c r="DG825" s="4"/>
    </row>
    <row r="826" customFormat="false" ht="11.25" hidden="false" customHeight="true" outlineLevel="0" collapsed="false">
      <c r="A826" s="14"/>
      <c r="B826" s="15"/>
      <c r="C826" s="15"/>
      <c r="D826" s="14"/>
      <c r="E826" s="14"/>
      <c r="F826" s="14"/>
      <c r="G826" s="14"/>
      <c r="H826" s="15"/>
      <c r="I826" s="15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  <c r="AU826" s="14"/>
      <c r="AV826" s="14"/>
      <c r="AW826" s="14"/>
      <c r="AX826" s="14"/>
      <c r="AY826" s="14"/>
      <c r="AZ826" s="14"/>
      <c r="BA826" s="14"/>
      <c r="BB826" s="14"/>
      <c r="BC826" s="14"/>
      <c r="BD826" s="14"/>
      <c r="BE826" s="14"/>
      <c r="BF826" s="14"/>
      <c r="BG826" s="14"/>
      <c r="BH826" s="14"/>
      <c r="BI826" s="14"/>
      <c r="BJ826" s="14"/>
      <c r="BK826" s="14"/>
      <c r="BL826" s="14"/>
      <c r="BM826" s="14"/>
      <c r="BN826" s="14"/>
      <c r="BO826" s="14"/>
      <c r="BP826" s="14"/>
      <c r="BQ826" s="14"/>
      <c r="BR826" s="14"/>
      <c r="BS826" s="14"/>
      <c r="BT826" s="14"/>
      <c r="BU826" s="14"/>
      <c r="BV826" s="14"/>
      <c r="BW826" s="14"/>
      <c r="BX826" s="14"/>
      <c r="BY826" s="14"/>
      <c r="BZ826" s="14"/>
      <c r="CA826" s="14"/>
      <c r="CB826" s="14"/>
      <c r="CC826" s="14"/>
      <c r="CD826" s="14"/>
      <c r="CE826" s="14"/>
      <c r="CF826" s="14"/>
      <c r="CG826" s="14"/>
      <c r="CH826" s="14"/>
      <c r="CI826" s="14"/>
      <c r="CJ826" s="14"/>
      <c r="CK826" s="14"/>
      <c r="CL826" s="14"/>
      <c r="CT826" s="14"/>
      <c r="CW826" s="3"/>
      <c r="DG826" s="4"/>
    </row>
    <row r="827" customFormat="false" ht="11.25" hidden="false" customHeight="true" outlineLevel="0" collapsed="false">
      <c r="A827" s="14"/>
      <c r="B827" s="15"/>
      <c r="C827" s="15"/>
      <c r="D827" s="14"/>
      <c r="E827" s="14"/>
      <c r="F827" s="14"/>
      <c r="G827" s="14"/>
      <c r="H827" s="15"/>
      <c r="I827" s="15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4"/>
      <c r="AX827" s="14"/>
      <c r="AY827" s="14"/>
      <c r="AZ827" s="14"/>
      <c r="BA827" s="14"/>
      <c r="BB827" s="14"/>
      <c r="BC827" s="14"/>
      <c r="BD827" s="14"/>
      <c r="BE827" s="14"/>
      <c r="BF827" s="14"/>
      <c r="BG827" s="14"/>
      <c r="BH827" s="14"/>
      <c r="BI827" s="14"/>
      <c r="BJ827" s="14"/>
      <c r="BK827" s="14"/>
      <c r="BL827" s="14"/>
      <c r="BM827" s="14"/>
      <c r="BN827" s="14"/>
      <c r="BO827" s="14"/>
      <c r="BP827" s="14"/>
      <c r="BQ827" s="14"/>
      <c r="BR827" s="14"/>
      <c r="BS827" s="14"/>
      <c r="BT827" s="14"/>
      <c r="BU827" s="14"/>
      <c r="BV827" s="14"/>
      <c r="BW827" s="14"/>
      <c r="BX827" s="14"/>
      <c r="BY827" s="14"/>
      <c r="BZ827" s="14"/>
      <c r="CA827" s="14"/>
      <c r="CB827" s="14"/>
      <c r="CC827" s="14"/>
      <c r="CD827" s="14"/>
      <c r="CE827" s="14"/>
      <c r="CF827" s="14"/>
      <c r="CG827" s="14"/>
      <c r="CH827" s="14"/>
      <c r="CI827" s="14"/>
      <c r="CJ827" s="14"/>
      <c r="CK827" s="14"/>
      <c r="CL827" s="14"/>
      <c r="CT827" s="14"/>
      <c r="CW827" s="3"/>
      <c r="DG827" s="4"/>
    </row>
    <row r="828" customFormat="false" ht="11.25" hidden="false" customHeight="true" outlineLevel="0" collapsed="false">
      <c r="A828" s="14"/>
      <c r="B828" s="15"/>
      <c r="C828" s="15"/>
      <c r="D828" s="14"/>
      <c r="E828" s="14"/>
      <c r="F828" s="14"/>
      <c r="G828" s="14"/>
      <c r="H828" s="15"/>
      <c r="I828" s="15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  <c r="AU828" s="14"/>
      <c r="AV828" s="14"/>
      <c r="AW828" s="14"/>
      <c r="AX828" s="14"/>
      <c r="AY828" s="14"/>
      <c r="AZ828" s="14"/>
      <c r="BA828" s="14"/>
      <c r="BB828" s="14"/>
      <c r="BC828" s="14"/>
      <c r="BD828" s="14"/>
      <c r="BE828" s="14"/>
      <c r="BF828" s="14"/>
      <c r="BG828" s="14"/>
      <c r="BH828" s="14"/>
      <c r="BI828" s="14"/>
      <c r="BJ828" s="14"/>
      <c r="BK828" s="14"/>
      <c r="BL828" s="14"/>
      <c r="BM828" s="14"/>
      <c r="BN828" s="14"/>
      <c r="BO828" s="14"/>
      <c r="BP828" s="14"/>
      <c r="BQ828" s="14"/>
      <c r="BR828" s="14"/>
      <c r="BS828" s="14"/>
      <c r="BT828" s="14"/>
      <c r="BU828" s="14"/>
      <c r="BV828" s="14"/>
      <c r="BW828" s="14"/>
      <c r="BX828" s="14"/>
      <c r="BY828" s="14"/>
      <c r="BZ828" s="14"/>
      <c r="CA828" s="14"/>
      <c r="CB828" s="14"/>
      <c r="CC828" s="14"/>
      <c r="CD828" s="14"/>
      <c r="CE828" s="14"/>
      <c r="CF828" s="14"/>
      <c r="CG828" s="14"/>
      <c r="CH828" s="14"/>
      <c r="CI828" s="14"/>
      <c r="CJ828" s="14"/>
      <c r="CK828" s="14"/>
      <c r="CL828" s="14"/>
      <c r="CT828" s="14"/>
      <c r="CW828" s="3"/>
      <c r="DG828" s="4"/>
    </row>
    <row r="829" customFormat="false" ht="11.25" hidden="false" customHeight="true" outlineLevel="0" collapsed="false">
      <c r="A829" s="14"/>
      <c r="B829" s="15"/>
      <c r="C829" s="15"/>
      <c r="D829" s="14"/>
      <c r="E829" s="14"/>
      <c r="F829" s="14"/>
      <c r="G829" s="14"/>
      <c r="H829" s="15"/>
      <c r="I829" s="15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4"/>
      <c r="AX829" s="14"/>
      <c r="AY829" s="14"/>
      <c r="AZ829" s="14"/>
      <c r="BA829" s="14"/>
      <c r="BB829" s="14"/>
      <c r="BC829" s="14"/>
      <c r="BD829" s="14"/>
      <c r="BE829" s="14"/>
      <c r="BF829" s="14"/>
      <c r="BG829" s="14"/>
      <c r="BH829" s="14"/>
      <c r="BI829" s="14"/>
      <c r="BJ829" s="14"/>
      <c r="BK829" s="14"/>
      <c r="BL829" s="14"/>
      <c r="BM829" s="14"/>
      <c r="BN829" s="14"/>
      <c r="BO829" s="14"/>
      <c r="BP829" s="14"/>
      <c r="BQ829" s="14"/>
      <c r="BR829" s="14"/>
      <c r="BS829" s="14"/>
      <c r="BT829" s="14"/>
      <c r="BU829" s="14"/>
      <c r="BV829" s="14"/>
      <c r="BW829" s="14"/>
      <c r="BX829" s="14"/>
      <c r="BY829" s="14"/>
      <c r="BZ829" s="14"/>
      <c r="CA829" s="14"/>
      <c r="CB829" s="14"/>
      <c r="CC829" s="14"/>
      <c r="CD829" s="14"/>
      <c r="CE829" s="14"/>
      <c r="CF829" s="14"/>
      <c r="CG829" s="14"/>
      <c r="CH829" s="14"/>
      <c r="CI829" s="14"/>
      <c r="CJ829" s="14"/>
      <c r="CK829" s="14"/>
      <c r="CL829" s="14"/>
      <c r="CT829" s="14"/>
      <c r="CW829" s="3"/>
      <c r="DG829" s="4"/>
    </row>
    <row r="830" customFormat="false" ht="11.25" hidden="false" customHeight="true" outlineLevel="0" collapsed="false">
      <c r="A830" s="14"/>
      <c r="B830" s="15"/>
      <c r="C830" s="15"/>
      <c r="D830" s="14"/>
      <c r="E830" s="14"/>
      <c r="F830" s="14"/>
      <c r="G830" s="14"/>
      <c r="H830" s="15"/>
      <c r="I830" s="15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  <c r="AU830" s="14"/>
      <c r="AV830" s="14"/>
      <c r="AW830" s="14"/>
      <c r="AX830" s="14"/>
      <c r="AY830" s="14"/>
      <c r="AZ830" s="14"/>
      <c r="BA830" s="14"/>
      <c r="BB830" s="14"/>
      <c r="BC830" s="14"/>
      <c r="BD830" s="14"/>
      <c r="BE830" s="14"/>
      <c r="BF830" s="14"/>
      <c r="BG830" s="14"/>
      <c r="BH830" s="14"/>
      <c r="BI830" s="14"/>
      <c r="BJ830" s="14"/>
      <c r="BK830" s="14"/>
      <c r="BL830" s="14"/>
      <c r="BM830" s="14"/>
      <c r="BN830" s="14"/>
      <c r="BO830" s="14"/>
      <c r="BP830" s="14"/>
      <c r="BQ830" s="14"/>
      <c r="BR830" s="14"/>
      <c r="BS830" s="14"/>
      <c r="BT830" s="14"/>
      <c r="BU830" s="14"/>
      <c r="BV830" s="14"/>
      <c r="BW830" s="14"/>
      <c r="BX830" s="14"/>
      <c r="BY830" s="14"/>
      <c r="BZ830" s="14"/>
      <c r="CA830" s="14"/>
      <c r="CB830" s="14"/>
      <c r="CC830" s="14"/>
      <c r="CD830" s="14"/>
      <c r="CE830" s="14"/>
      <c r="CF830" s="14"/>
      <c r="CG830" s="14"/>
      <c r="CH830" s="14"/>
      <c r="CI830" s="14"/>
      <c r="CJ830" s="14"/>
      <c r="CK830" s="14"/>
      <c r="CL830" s="14"/>
      <c r="CT830" s="14"/>
      <c r="CW830" s="3"/>
      <c r="DG830" s="4"/>
    </row>
    <row r="831" customFormat="false" ht="11.25" hidden="false" customHeight="true" outlineLevel="0" collapsed="false">
      <c r="A831" s="14"/>
      <c r="B831" s="15"/>
      <c r="C831" s="15"/>
      <c r="D831" s="14"/>
      <c r="E831" s="14"/>
      <c r="F831" s="14"/>
      <c r="G831" s="14"/>
      <c r="H831" s="15"/>
      <c r="I831" s="15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4"/>
      <c r="AX831" s="14"/>
      <c r="AY831" s="14"/>
      <c r="AZ831" s="14"/>
      <c r="BA831" s="14"/>
      <c r="BB831" s="14"/>
      <c r="BC831" s="14"/>
      <c r="BD831" s="14"/>
      <c r="BE831" s="14"/>
      <c r="BF831" s="14"/>
      <c r="BG831" s="14"/>
      <c r="BH831" s="14"/>
      <c r="BI831" s="14"/>
      <c r="BJ831" s="14"/>
      <c r="BK831" s="14"/>
      <c r="BL831" s="14"/>
      <c r="BM831" s="14"/>
      <c r="BN831" s="14"/>
      <c r="BO831" s="14"/>
      <c r="BP831" s="14"/>
      <c r="BQ831" s="14"/>
      <c r="BR831" s="14"/>
      <c r="BS831" s="14"/>
      <c r="BT831" s="14"/>
      <c r="BU831" s="14"/>
      <c r="BV831" s="14"/>
      <c r="BW831" s="14"/>
      <c r="BX831" s="14"/>
      <c r="BY831" s="14"/>
      <c r="BZ831" s="14"/>
      <c r="CA831" s="14"/>
      <c r="CB831" s="14"/>
      <c r="CC831" s="14"/>
      <c r="CD831" s="14"/>
      <c r="CE831" s="14"/>
      <c r="CF831" s="14"/>
      <c r="CG831" s="14"/>
      <c r="CH831" s="14"/>
      <c r="CI831" s="14"/>
      <c r="CJ831" s="14"/>
      <c r="CK831" s="14"/>
      <c r="CL831" s="14"/>
      <c r="CT831" s="14"/>
      <c r="CW831" s="3"/>
      <c r="DG831" s="4"/>
    </row>
    <row r="832" customFormat="false" ht="11.25" hidden="false" customHeight="true" outlineLevel="0" collapsed="false">
      <c r="A832" s="14"/>
      <c r="B832" s="15"/>
      <c r="C832" s="15"/>
      <c r="D832" s="14"/>
      <c r="E832" s="14"/>
      <c r="F832" s="14"/>
      <c r="G832" s="14"/>
      <c r="H832" s="15"/>
      <c r="I832" s="15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  <c r="AU832" s="14"/>
      <c r="AV832" s="14"/>
      <c r="AW832" s="14"/>
      <c r="AX832" s="14"/>
      <c r="AY832" s="14"/>
      <c r="AZ832" s="14"/>
      <c r="BA832" s="14"/>
      <c r="BB832" s="14"/>
      <c r="BC832" s="14"/>
      <c r="BD832" s="14"/>
      <c r="BE832" s="14"/>
      <c r="BF832" s="14"/>
      <c r="BG832" s="14"/>
      <c r="BH832" s="14"/>
      <c r="BI832" s="14"/>
      <c r="BJ832" s="14"/>
      <c r="BK832" s="14"/>
      <c r="BL832" s="14"/>
      <c r="BM832" s="14"/>
      <c r="BN832" s="14"/>
      <c r="BO832" s="14"/>
      <c r="BP832" s="14"/>
      <c r="BQ832" s="14"/>
      <c r="BR832" s="14"/>
      <c r="BS832" s="14"/>
      <c r="BT832" s="14"/>
      <c r="BU832" s="14"/>
      <c r="BV832" s="14"/>
      <c r="BW832" s="14"/>
      <c r="BX832" s="14"/>
      <c r="BY832" s="14"/>
      <c r="BZ832" s="14"/>
      <c r="CA832" s="14"/>
      <c r="CB832" s="14"/>
      <c r="CC832" s="14"/>
      <c r="CD832" s="14"/>
      <c r="CE832" s="14"/>
      <c r="CF832" s="14"/>
      <c r="CG832" s="14"/>
      <c r="CH832" s="14"/>
      <c r="CI832" s="14"/>
      <c r="CJ832" s="14"/>
      <c r="CK832" s="14"/>
      <c r="CL832" s="14"/>
      <c r="CT832" s="14"/>
      <c r="CW832" s="3"/>
      <c r="DG832" s="4"/>
    </row>
    <row r="833" customFormat="false" ht="11.25" hidden="false" customHeight="true" outlineLevel="0" collapsed="false">
      <c r="A833" s="14"/>
      <c r="B833" s="15"/>
      <c r="C833" s="15"/>
      <c r="D833" s="14"/>
      <c r="E833" s="14"/>
      <c r="F833" s="14"/>
      <c r="G833" s="14"/>
      <c r="H833" s="15"/>
      <c r="I833" s="15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4"/>
      <c r="AX833" s="14"/>
      <c r="AY833" s="14"/>
      <c r="AZ833" s="14"/>
      <c r="BA833" s="14"/>
      <c r="BB833" s="14"/>
      <c r="BC833" s="14"/>
      <c r="BD833" s="14"/>
      <c r="BE833" s="14"/>
      <c r="BF833" s="14"/>
      <c r="BG833" s="14"/>
      <c r="BH833" s="14"/>
      <c r="BI833" s="14"/>
      <c r="BJ833" s="14"/>
      <c r="BK833" s="14"/>
      <c r="BL833" s="14"/>
      <c r="BM833" s="14"/>
      <c r="BN833" s="14"/>
      <c r="BO833" s="14"/>
      <c r="BP833" s="14"/>
      <c r="BQ833" s="14"/>
      <c r="BR833" s="14"/>
      <c r="BS833" s="14"/>
      <c r="BT833" s="14"/>
      <c r="BU833" s="14"/>
      <c r="BV833" s="14"/>
      <c r="BW833" s="14"/>
      <c r="BX833" s="14"/>
      <c r="BY833" s="14"/>
      <c r="BZ833" s="14"/>
      <c r="CA833" s="14"/>
      <c r="CB833" s="14"/>
      <c r="CC833" s="14"/>
      <c r="CD833" s="14"/>
      <c r="CE833" s="14"/>
      <c r="CF833" s="14"/>
      <c r="CG833" s="14"/>
      <c r="CH833" s="14"/>
      <c r="CI833" s="14"/>
      <c r="CJ833" s="14"/>
      <c r="CK833" s="14"/>
      <c r="CL833" s="14"/>
      <c r="CT833" s="14"/>
      <c r="CW833" s="3"/>
      <c r="DG833" s="4"/>
    </row>
    <row r="834" customFormat="false" ht="11.25" hidden="false" customHeight="true" outlineLevel="0" collapsed="false">
      <c r="A834" s="14"/>
      <c r="B834" s="15"/>
      <c r="C834" s="15"/>
      <c r="D834" s="14"/>
      <c r="E834" s="14"/>
      <c r="F834" s="14"/>
      <c r="G834" s="14"/>
      <c r="H834" s="15"/>
      <c r="I834" s="15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  <c r="AU834" s="14"/>
      <c r="AV834" s="14"/>
      <c r="AW834" s="14"/>
      <c r="AX834" s="14"/>
      <c r="AY834" s="14"/>
      <c r="AZ834" s="14"/>
      <c r="BA834" s="14"/>
      <c r="BB834" s="14"/>
      <c r="BC834" s="14"/>
      <c r="BD834" s="14"/>
      <c r="BE834" s="14"/>
      <c r="BF834" s="14"/>
      <c r="BG834" s="14"/>
      <c r="BH834" s="14"/>
      <c r="BI834" s="14"/>
      <c r="BJ834" s="14"/>
      <c r="BK834" s="14"/>
      <c r="BL834" s="14"/>
      <c r="BM834" s="14"/>
      <c r="BN834" s="14"/>
      <c r="BO834" s="14"/>
      <c r="BP834" s="14"/>
      <c r="BQ834" s="14"/>
      <c r="BR834" s="14"/>
      <c r="BS834" s="14"/>
      <c r="BT834" s="14"/>
      <c r="BU834" s="14"/>
      <c r="BV834" s="14"/>
      <c r="BW834" s="14"/>
      <c r="BX834" s="14"/>
      <c r="BY834" s="14"/>
      <c r="BZ834" s="14"/>
      <c r="CA834" s="14"/>
      <c r="CB834" s="14"/>
      <c r="CC834" s="14"/>
      <c r="CD834" s="14"/>
      <c r="CE834" s="14"/>
      <c r="CF834" s="14"/>
      <c r="CG834" s="14"/>
      <c r="CH834" s="14"/>
      <c r="CI834" s="14"/>
      <c r="CJ834" s="14"/>
      <c r="CK834" s="14"/>
      <c r="CL834" s="14"/>
      <c r="CT834" s="14"/>
      <c r="CW834" s="3"/>
      <c r="DG834" s="4"/>
    </row>
    <row r="835" customFormat="false" ht="11.25" hidden="false" customHeight="true" outlineLevel="0" collapsed="false">
      <c r="A835" s="14"/>
      <c r="B835" s="15"/>
      <c r="C835" s="15"/>
      <c r="D835" s="14"/>
      <c r="E835" s="14"/>
      <c r="F835" s="14"/>
      <c r="G835" s="14"/>
      <c r="H835" s="15"/>
      <c r="I835" s="15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14"/>
      <c r="AX835" s="14"/>
      <c r="AY835" s="14"/>
      <c r="AZ835" s="14"/>
      <c r="BA835" s="14"/>
      <c r="BB835" s="14"/>
      <c r="BC835" s="14"/>
      <c r="BD835" s="14"/>
      <c r="BE835" s="14"/>
      <c r="BF835" s="14"/>
      <c r="BG835" s="14"/>
      <c r="BH835" s="14"/>
      <c r="BI835" s="14"/>
      <c r="BJ835" s="14"/>
      <c r="BK835" s="14"/>
      <c r="BL835" s="14"/>
      <c r="BM835" s="14"/>
      <c r="BN835" s="14"/>
      <c r="BO835" s="14"/>
      <c r="BP835" s="14"/>
      <c r="BQ835" s="14"/>
      <c r="BR835" s="14"/>
      <c r="BS835" s="14"/>
      <c r="BT835" s="14"/>
      <c r="BU835" s="14"/>
      <c r="BV835" s="14"/>
      <c r="BW835" s="14"/>
      <c r="BX835" s="14"/>
      <c r="BY835" s="14"/>
      <c r="BZ835" s="14"/>
      <c r="CA835" s="14"/>
      <c r="CB835" s="14"/>
      <c r="CC835" s="14"/>
      <c r="CD835" s="14"/>
      <c r="CE835" s="14"/>
      <c r="CF835" s="14"/>
      <c r="CG835" s="14"/>
      <c r="CH835" s="14"/>
      <c r="CI835" s="14"/>
      <c r="CJ835" s="14"/>
      <c r="CK835" s="14"/>
      <c r="CL835" s="14"/>
      <c r="CT835" s="14"/>
      <c r="CW835" s="3"/>
      <c r="DG835" s="4"/>
    </row>
    <row r="836" customFormat="false" ht="11.25" hidden="false" customHeight="true" outlineLevel="0" collapsed="false">
      <c r="A836" s="14"/>
      <c r="B836" s="15"/>
      <c r="C836" s="15"/>
      <c r="D836" s="14"/>
      <c r="E836" s="14"/>
      <c r="F836" s="14"/>
      <c r="G836" s="14"/>
      <c r="H836" s="15"/>
      <c r="I836" s="15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  <c r="AU836" s="14"/>
      <c r="AV836" s="14"/>
      <c r="AW836" s="14"/>
      <c r="AX836" s="14"/>
      <c r="AY836" s="14"/>
      <c r="AZ836" s="14"/>
      <c r="BA836" s="14"/>
      <c r="BB836" s="14"/>
      <c r="BC836" s="14"/>
      <c r="BD836" s="14"/>
      <c r="BE836" s="14"/>
      <c r="BF836" s="14"/>
      <c r="BG836" s="14"/>
      <c r="BH836" s="14"/>
      <c r="BI836" s="14"/>
      <c r="BJ836" s="14"/>
      <c r="BK836" s="14"/>
      <c r="BL836" s="14"/>
      <c r="BM836" s="14"/>
      <c r="BN836" s="14"/>
      <c r="BO836" s="14"/>
      <c r="BP836" s="14"/>
      <c r="BQ836" s="14"/>
      <c r="BR836" s="14"/>
      <c r="BS836" s="14"/>
      <c r="BT836" s="14"/>
      <c r="BU836" s="14"/>
      <c r="BV836" s="14"/>
      <c r="BW836" s="14"/>
      <c r="BX836" s="14"/>
      <c r="BY836" s="14"/>
      <c r="BZ836" s="14"/>
      <c r="CA836" s="14"/>
      <c r="CB836" s="14"/>
      <c r="CC836" s="14"/>
      <c r="CD836" s="14"/>
      <c r="CE836" s="14"/>
      <c r="CF836" s="14"/>
      <c r="CG836" s="14"/>
      <c r="CH836" s="14"/>
      <c r="CI836" s="14"/>
      <c r="CJ836" s="14"/>
      <c r="CK836" s="14"/>
      <c r="CL836" s="14"/>
      <c r="CT836" s="14"/>
      <c r="CW836" s="3"/>
      <c r="DG836" s="4"/>
    </row>
    <row r="837" customFormat="false" ht="11.25" hidden="false" customHeight="true" outlineLevel="0" collapsed="false">
      <c r="A837" s="14"/>
      <c r="B837" s="15"/>
      <c r="C837" s="15"/>
      <c r="D837" s="14"/>
      <c r="E837" s="14"/>
      <c r="F837" s="14"/>
      <c r="G837" s="14"/>
      <c r="H837" s="15"/>
      <c r="I837" s="15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  <c r="AW837" s="14"/>
      <c r="AX837" s="14"/>
      <c r="AY837" s="14"/>
      <c r="AZ837" s="14"/>
      <c r="BA837" s="14"/>
      <c r="BB837" s="14"/>
      <c r="BC837" s="14"/>
      <c r="BD837" s="14"/>
      <c r="BE837" s="14"/>
      <c r="BF837" s="14"/>
      <c r="BG837" s="14"/>
      <c r="BH837" s="14"/>
      <c r="BI837" s="14"/>
      <c r="BJ837" s="14"/>
      <c r="BK837" s="14"/>
      <c r="BL837" s="14"/>
      <c r="BM837" s="14"/>
      <c r="BN837" s="14"/>
      <c r="BO837" s="14"/>
      <c r="BP837" s="14"/>
      <c r="BQ837" s="14"/>
      <c r="BR837" s="14"/>
      <c r="BS837" s="14"/>
      <c r="BT837" s="14"/>
      <c r="BU837" s="14"/>
      <c r="BV837" s="14"/>
      <c r="BW837" s="14"/>
      <c r="BX837" s="14"/>
      <c r="BY837" s="14"/>
      <c r="BZ837" s="14"/>
      <c r="CA837" s="14"/>
      <c r="CB837" s="14"/>
      <c r="CC837" s="14"/>
      <c r="CD837" s="14"/>
      <c r="CE837" s="14"/>
      <c r="CF837" s="14"/>
      <c r="CG837" s="14"/>
      <c r="CH837" s="14"/>
      <c r="CI837" s="14"/>
      <c r="CJ837" s="14"/>
      <c r="CK837" s="14"/>
      <c r="CL837" s="14"/>
      <c r="CT837" s="14"/>
      <c r="CW837" s="3"/>
      <c r="DG837" s="4"/>
    </row>
    <row r="838" customFormat="false" ht="11.25" hidden="false" customHeight="true" outlineLevel="0" collapsed="false">
      <c r="A838" s="14"/>
      <c r="B838" s="15"/>
      <c r="C838" s="15"/>
      <c r="D838" s="14"/>
      <c r="E838" s="14"/>
      <c r="F838" s="14"/>
      <c r="G838" s="14"/>
      <c r="H838" s="15"/>
      <c r="I838" s="15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  <c r="AU838" s="14"/>
      <c r="AV838" s="14"/>
      <c r="AW838" s="14"/>
      <c r="AX838" s="14"/>
      <c r="AY838" s="14"/>
      <c r="AZ838" s="14"/>
      <c r="BA838" s="14"/>
      <c r="BB838" s="14"/>
      <c r="BC838" s="14"/>
      <c r="BD838" s="14"/>
      <c r="BE838" s="14"/>
      <c r="BF838" s="14"/>
      <c r="BG838" s="14"/>
      <c r="BH838" s="14"/>
      <c r="BI838" s="14"/>
      <c r="BJ838" s="14"/>
      <c r="BK838" s="14"/>
      <c r="BL838" s="14"/>
      <c r="BM838" s="14"/>
      <c r="BN838" s="14"/>
      <c r="BO838" s="14"/>
      <c r="BP838" s="14"/>
      <c r="BQ838" s="14"/>
      <c r="BR838" s="14"/>
      <c r="BS838" s="14"/>
      <c r="BT838" s="14"/>
      <c r="BU838" s="14"/>
      <c r="BV838" s="14"/>
      <c r="BW838" s="14"/>
      <c r="BX838" s="14"/>
      <c r="BY838" s="14"/>
      <c r="BZ838" s="14"/>
      <c r="CA838" s="14"/>
      <c r="CB838" s="14"/>
      <c r="CC838" s="14"/>
      <c r="CD838" s="14"/>
      <c r="CE838" s="14"/>
      <c r="CF838" s="14"/>
      <c r="CG838" s="14"/>
      <c r="CH838" s="14"/>
      <c r="CI838" s="14"/>
      <c r="CJ838" s="14"/>
      <c r="CK838" s="14"/>
      <c r="CL838" s="14"/>
      <c r="CT838" s="14"/>
      <c r="CW838" s="3"/>
      <c r="DG838" s="4"/>
    </row>
    <row r="839" customFormat="false" ht="11.25" hidden="false" customHeight="true" outlineLevel="0" collapsed="false">
      <c r="A839" s="14"/>
      <c r="B839" s="15"/>
      <c r="C839" s="15"/>
      <c r="D839" s="14"/>
      <c r="E839" s="14"/>
      <c r="F839" s="14"/>
      <c r="G839" s="14"/>
      <c r="H839" s="15"/>
      <c r="I839" s="15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14"/>
      <c r="AX839" s="14"/>
      <c r="AY839" s="14"/>
      <c r="AZ839" s="14"/>
      <c r="BA839" s="14"/>
      <c r="BB839" s="14"/>
      <c r="BC839" s="14"/>
      <c r="BD839" s="14"/>
      <c r="BE839" s="14"/>
      <c r="BF839" s="14"/>
      <c r="BG839" s="14"/>
      <c r="BH839" s="14"/>
      <c r="BI839" s="14"/>
      <c r="BJ839" s="14"/>
      <c r="BK839" s="14"/>
      <c r="BL839" s="14"/>
      <c r="BM839" s="14"/>
      <c r="BN839" s="14"/>
      <c r="BO839" s="14"/>
      <c r="BP839" s="14"/>
      <c r="BQ839" s="14"/>
      <c r="BR839" s="14"/>
      <c r="BS839" s="14"/>
      <c r="BT839" s="14"/>
      <c r="BU839" s="14"/>
      <c r="BV839" s="14"/>
      <c r="BW839" s="14"/>
      <c r="BX839" s="14"/>
      <c r="BY839" s="14"/>
      <c r="BZ839" s="14"/>
      <c r="CA839" s="14"/>
      <c r="CB839" s="14"/>
      <c r="CC839" s="14"/>
      <c r="CD839" s="14"/>
      <c r="CE839" s="14"/>
      <c r="CF839" s="14"/>
      <c r="CG839" s="14"/>
      <c r="CH839" s="14"/>
      <c r="CI839" s="14"/>
      <c r="CJ839" s="14"/>
      <c r="CK839" s="14"/>
      <c r="CL839" s="14"/>
      <c r="CT839" s="14"/>
      <c r="CW839" s="3"/>
      <c r="DG839" s="4"/>
    </row>
    <row r="840" customFormat="false" ht="11.25" hidden="false" customHeight="true" outlineLevel="0" collapsed="false">
      <c r="A840" s="14"/>
      <c r="B840" s="15"/>
      <c r="C840" s="15"/>
      <c r="D840" s="14"/>
      <c r="E840" s="14"/>
      <c r="F840" s="14"/>
      <c r="G840" s="14"/>
      <c r="H840" s="15"/>
      <c r="I840" s="15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  <c r="AU840" s="14"/>
      <c r="AV840" s="14"/>
      <c r="AW840" s="14"/>
      <c r="AX840" s="14"/>
      <c r="AY840" s="14"/>
      <c r="AZ840" s="14"/>
      <c r="BA840" s="14"/>
      <c r="BB840" s="14"/>
      <c r="BC840" s="14"/>
      <c r="BD840" s="14"/>
      <c r="BE840" s="14"/>
      <c r="BF840" s="14"/>
      <c r="BG840" s="14"/>
      <c r="BH840" s="14"/>
      <c r="BI840" s="14"/>
      <c r="BJ840" s="14"/>
      <c r="BK840" s="14"/>
      <c r="BL840" s="14"/>
      <c r="BM840" s="14"/>
      <c r="BN840" s="14"/>
      <c r="BO840" s="14"/>
      <c r="BP840" s="14"/>
      <c r="BQ840" s="14"/>
      <c r="BR840" s="14"/>
      <c r="BS840" s="14"/>
      <c r="BT840" s="14"/>
      <c r="BU840" s="14"/>
      <c r="BV840" s="14"/>
      <c r="BW840" s="14"/>
      <c r="BX840" s="14"/>
      <c r="BY840" s="14"/>
      <c r="BZ840" s="14"/>
      <c r="CA840" s="14"/>
      <c r="CB840" s="14"/>
      <c r="CC840" s="14"/>
      <c r="CD840" s="14"/>
      <c r="CE840" s="14"/>
      <c r="CF840" s="14"/>
      <c r="CG840" s="14"/>
      <c r="CH840" s="14"/>
      <c r="CI840" s="14"/>
      <c r="CJ840" s="14"/>
      <c r="CK840" s="14"/>
      <c r="CL840" s="14"/>
      <c r="CT840" s="14"/>
      <c r="CW840" s="3"/>
      <c r="DG840" s="4"/>
    </row>
    <row r="841" customFormat="false" ht="11.25" hidden="false" customHeight="true" outlineLevel="0" collapsed="false">
      <c r="A841" s="14"/>
      <c r="B841" s="15"/>
      <c r="C841" s="15"/>
      <c r="D841" s="14"/>
      <c r="E841" s="14"/>
      <c r="F841" s="14"/>
      <c r="G841" s="14"/>
      <c r="H841" s="15"/>
      <c r="I841" s="15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14"/>
      <c r="AX841" s="14"/>
      <c r="AY841" s="14"/>
      <c r="AZ841" s="14"/>
      <c r="BA841" s="14"/>
      <c r="BB841" s="14"/>
      <c r="BC841" s="14"/>
      <c r="BD841" s="14"/>
      <c r="BE841" s="14"/>
      <c r="BF841" s="14"/>
      <c r="BG841" s="14"/>
      <c r="BH841" s="14"/>
      <c r="BI841" s="14"/>
      <c r="BJ841" s="14"/>
      <c r="BK841" s="14"/>
      <c r="BL841" s="14"/>
      <c r="BM841" s="14"/>
      <c r="BN841" s="14"/>
      <c r="BO841" s="14"/>
      <c r="BP841" s="14"/>
      <c r="BQ841" s="14"/>
      <c r="BR841" s="14"/>
      <c r="BS841" s="14"/>
      <c r="BT841" s="14"/>
      <c r="BU841" s="14"/>
      <c r="BV841" s="14"/>
      <c r="BW841" s="14"/>
      <c r="BX841" s="14"/>
      <c r="BY841" s="14"/>
      <c r="BZ841" s="14"/>
      <c r="CA841" s="14"/>
      <c r="CB841" s="14"/>
      <c r="CC841" s="14"/>
      <c r="CD841" s="14"/>
      <c r="CE841" s="14"/>
      <c r="CF841" s="14"/>
      <c r="CG841" s="14"/>
      <c r="CH841" s="14"/>
      <c r="CI841" s="14"/>
      <c r="CJ841" s="14"/>
      <c r="CK841" s="14"/>
      <c r="CL841" s="14"/>
      <c r="CT841" s="14"/>
      <c r="CW841" s="3"/>
      <c r="DG841" s="4"/>
    </row>
    <row r="842" customFormat="false" ht="11.25" hidden="false" customHeight="true" outlineLevel="0" collapsed="false">
      <c r="A842" s="14"/>
      <c r="B842" s="15"/>
      <c r="C842" s="15"/>
      <c r="D842" s="14"/>
      <c r="E842" s="14"/>
      <c r="F842" s="14"/>
      <c r="G842" s="14"/>
      <c r="H842" s="15"/>
      <c r="I842" s="15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  <c r="AU842" s="14"/>
      <c r="AV842" s="14"/>
      <c r="AW842" s="14"/>
      <c r="AX842" s="14"/>
      <c r="AY842" s="14"/>
      <c r="AZ842" s="14"/>
      <c r="BA842" s="14"/>
      <c r="BB842" s="14"/>
      <c r="BC842" s="14"/>
      <c r="BD842" s="14"/>
      <c r="BE842" s="14"/>
      <c r="BF842" s="14"/>
      <c r="BG842" s="14"/>
      <c r="BH842" s="14"/>
      <c r="BI842" s="14"/>
      <c r="BJ842" s="14"/>
      <c r="BK842" s="14"/>
      <c r="BL842" s="14"/>
      <c r="BM842" s="14"/>
      <c r="BN842" s="14"/>
      <c r="BO842" s="14"/>
      <c r="BP842" s="14"/>
      <c r="BQ842" s="14"/>
      <c r="BR842" s="14"/>
      <c r="BS842" s="14"/>
      <c r="BT842" s="14"/>
      <c r="BU842" s="14"/>
      <c r="BV842" s="14"/>
      <c r="BW842" s="14"/>
      <c r="BX842" s="14"/>
      <c r="BY842" s="14"/>
      <c r="BZ842" s="14"/>
      <c r="CA842" s="14"/>
      <c r="CB842" s="14"/>
      <c r="CC842" s="14"/>
      <c r="CD842" s="14"/>
      <c r="CE842" s="14"/>
      <c r="CF842" s="14"/>
      <c r="CG842" s="14"/>
      <c r="CH842" s="14"/>
      <c r="CI842" s="14"/>
      <c r="CJ842" s="14"/>
      <c r="CK842" s="14"/>
      <c r="CL842" s="14"/>
      <c r="CT842" s="14"/>
      <c r="CW842" s="3"/>
      <c r="DG842" s="4"/>
    </row>
    <row r="843" customFormat="false" ht="11.25" hidden="false" customHeight="true" outlineLevel="0" collapsed="false">
      <c r="A843" s="14"/>
      <c r="B843" s="15"/>
      <c r="C843" s="15"/>
      <c r="D843" s="14"/>
      <c r="E843" s="14"/>
      <c r="F843" s="14"/>
      <c r="G843" s="14"/>
      <c r="H843" s="15"/>
      <c r="I843" s="15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  <c r="AW843" s="14"/>
      <c r="AX843" s="14"/>
      <c r="AY843" s="14"/>
      <c r="AZ843" s="14"/>
      <c r="BA843" s="14"/>
      <c r="BB843" s="14"/>
      <c r="BC843" s="14"/>
      <c r="BD843" s="14"/>
      <c r="BE843" s="14"/>
      <c r="BF843" s="14"/>
      <c r="BG843" s="14"/>
      <c r="BH843" s="14"/>
      <c r="BI843" s="14"/>
      <c r="BJ843" s="14"/>
      <c r="BK843" s="14"/>
      <c r="BL843" s="14"/>
      <c r="BM843" s="14"/>
      <c r="BN843" s="14"/>
      <c r="BO843" s="14"/>
      <c r="BP843" s="14"/>
      <c r="BQ843" s="14"/>
      <c r="BR843" s="14"/>
      <c r="BS843" s="14"/>
      <c r="BT843" s="14"/>
      <c r="BU843" s="14"/>
      <c r="BV843" s="14"/>
      <c r="BW843" s="14"/>
      <c r="BX843" s="14"/>
      <c r="BY843" s="14"/>
      <c r="BZ843" s="14"/>
      <c r="CA843" s="14"/>
      <c r="CB843" s="14"/>
      <c r="CC843" s="14"/>
      <c r="CD843" s="14"/>
      <c r="CE843" s="14"/>
      <c r="CF843" s="14"/>
      <c r="CG843" s="14"/>
      <c r="CH843" s="14"/>
      <c r="CI843" s="14"/>
      <c r="CJ843" s="14"/>
      <c r="CK843" s="14"/>
      <c r="CL843" s="14"/>
      <c r="CT843" s="14"/>
      <c r="CW843" s="3"/>
      <c r="DG843" s="4"/>
    </row>
    <row r="844" customFormat="false" ht="11.25" hidden="false" customHeight="true" outlineLevel="0" collapsed="false">
      <c r="A844" s="14"/>
      <c r="B844" s="15"/>
      <c r="C844" s="15"/>
      <c r="D844" s="14"/>
      <c r="E844" s="14"/>
      <c r="F844" s="14"/>
      <c r="G844" s="14"/>
      <c r="H844" s="15"/>
      <c r="I844" s="15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  <c r="AU844" s="14"/>
      <c r="AV844" s="14"/>
      <c r="AW844" s="14"/>
      <c r="AX844" s="14"/>
      <c r="AY844" s="14"/>
      <c r="AZ844" s="14"/>
      <c r="BA844" s="14"/>
      <c r="BB844" s="14"/>
      <c r="BC844" s="14"/>
      <c r="BD844" s="14"/>
      <c r="BE844" s="14"/>
      <c r="BF844" s="14"/>
      <c r="BG844" s="14"/>
      <c r="BH844" s="14"/>
      <c r="BI844" s="14"/>
      <c r="BJ844" s="14"/>
      <c r="BK844" s="14"/>
      <c r="BL844" s="14"/>
      <c r="BM844" s="14"/>
      <c r="BN844" s="14"/>
      <c r="BO844" s="14"/>
      <c r="BP844" s="14"/>
      <c r="BQ844" s="14"/>
      <c r="BR844" s="14"/>
      <c r="BS844" s="14"/>
      <c r="BT844" s="14"/>
      <c r="BU844" s="14"/>
      <c r="BV844" s="14"/>
      <c r="BW844" s="14"/>
      <c r="BX844" s="14"/>
      <c r="BY844" s="14"/>
      <c r="BZ844" s="14"/>
      <c r="CA844" s="14"/>
      <c r="CB844" s="14"/>
      <c r="CC844" s="14"/>
      <c r="CD844" s="14"/>
      <c r="CE844" s="14"/>
      <c r="CF844" s="14"/>
      <c r="CG844" s="14"/>
      <c r="CH844" s="14"/>
      <c r="CI844" s="14"/>
      <c r="CJ844" s="14"/>
      <c r="CK844" s="14"/>
      <c r="CL844" s="14"/>
      <c r="CT844" s="14"/>
      <c r="CW844" s="3"/>
      <c r="DG844" s="4"/>
    </row>
    <row r="845" customFormat="false" ht="11.25" hidden="false" customHeight="true" outlineLevel="0" collapsed="false">
      <c r="A845" s="14"/>
      <c r="B845" s="15"/>
      <c r="C845" s="15"/>
      <c r="D845" s="14"/>
      <c r="E845" s="14"/>
      <c r="F845" s="14"/>
      <c r="G845" s="14"/>
      <c r="H845" s="15"/>
      <c r="I845" s="15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4"/>
      <c r="AX845" s="14"/>
      <c r="AY845" s="14"/>
      <c r="AZ845" s="14"/>
      <c r="BA845" s="14"/>
      <c r="BB845" s="14"/>
      <c r="BC845" s="14"/>
      <c r="BD845" s="14"/>
      <c r="BE845" s="14"/>
      <c r="BF845" s="14"/>
      <c r="BG845" s="14"/>
      <c r="BH845" s="14"/>
      <c r="BI845" s="14"/>
      <c r="BJ845" s="14"/>
      <c r="BK845" s="14"/>
      <c r="BL845" s="14"/>
      <c r="BM845" s="14"/>
      <c r="BN845" s="14"/>
      <c r="BO845" s="14"/>
      <c r="BP845" s="14"/>
      <c r="BQ845" s="14"/>
      <c r="BR845" s="14"/>
      <c r="BS845" s="14"/>
      <c r="BT845" s="14"/>
      <c r="BU845" s="14"/>
      <c r="BV845" s="14"/>
      <c r="BW845" s="14"/>
      <c r="BX845" s="14"/>
      <c r="BY845" s="14"/>
      <c r="BZ845" s="14"/>
      <c r="CA845" s="14"/>
      <c r="CB845" s="14"/>
      <c r="CC845" s="14"/>
      <c r="CD845" s="14"/>
      <c r="CE845" s="14"/>
      <c r="CF845" s="14"/>
      <c r="CG845" s="14"/>
      <c r="CH845" s="14"/>
      <c r="CI845" s="14"/>
      <c r="CJ845" s="14"/>
      <c r="CK845" s="14"/>
      <c r="CL845" s="14"/>
      <c r="CT845" s="14"/>
      <c r="CW845" s="3"/>
      <c r="DG845" s="4"/>
    </row>
    <row r="846" customFormat="false" ht="11.25" hidden="false" customHeight="true" outlineLevel="0" collapsed="false">
      <c r="A846" s="14"/>
      <c r="B846" s="15"/>
      <c r="C846" s="15"/>
      <c r="D846" s="14"/>
      <c r="E846" s="14"/>
      <c r="F846" s="14"/>
      <c r="G846" s="14"/>
      <c r="H846" s="15"/>
      <c r="I846" s="15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  <c r="AU846" s="14"/>
      <c r="AV846" s="14"/>
      <c r="AW846" s="14"/>
      <c r="AX846" s="14"/>
      <c r="AY846" s="14"/>
      <c r="AZ846" s="14"/>
      <c r="BA846" s="14"/>
      <c r="BB846" s="14"/>
      <c r="BC846" s="14"/>
      <c r="BD846" s="14"/>
      <c r="BE846" s="14"/>
      <c r="BF846" s="14"/>
      <c r="BG846" s="14"/>
      <c r="BH846" s="14"/>
      <c r="BI846" s="14"/>
      <c r="BJ846" s="14"/>
      <c r="BK846" s="14"/>
      <c r="BL846" s="14"/>
      <c r="BM846" s="14"/>
      <c r="BN846" s="14"/>
      <c r="BO846" s="14"/>
      <c r="BP846" s="14"/>
      <c r="BQ846" s="14"/>
      <c r="BR846" s="14"/>
      <c r="BS846" s="14"/>
      <c r="BT846" s="14"/>
      <c r="BU846" s="14"/>
      <c r="BV846" s="14"/>
      <c r="BW846" s="14"/>
      <c r="BX846" s="14"/>
      <c r="BY846" s="14"/>
      <c r="BZ846" s="14"/>
      <c r="CA846" s="14"/>
      <c r="CB846" s="14"/>
      <c r="CC846" s="14"/>
      <c r="CD846" s="14"/>
      <c r="CE846" s="14"/>
      <c r="CF846" s="14"/>
      <c r="CG846" s="14"/>
      <c r="CH846" s="14"/>
      <c r="CI846" s="14"/>
      <c r="CJ846" s="14"/>
      <c r="CK846" s="14"/>
      <c r="CL846" s="14"/>
      <c r="CT846" s="14"/>
      <c r="CW846" s="3"/>
      <c r="DG846" s="4"/>
    </row>
    <row r="847" customFormat="false" ht="11.25" hidden="false" customHeight="true" outlineLevel="0" collapsed="false">
      <c r="A847" s="14"/>
      <c r="B847" s="15"/>
      <c r="C847" s="15"/>
      <c r="D847" s="14"/>
      <c r="E847" s="14"/>
      <c r="F847" s="14"/>
      <c r="G847" s="14"/>
      <c r="H847" s="15"/>
      <c r="I847" s="15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  <c r="AW847" s="14"/>
      <c r="AX847" s="14"/>
      <c r="AY847" s="14"/>
      <c r="AZ847" s="14"/>
      <c r="BA847" s="14"/>
      <c r="BB847" s="14"/>
      <c r="BC847" s="14"/>
      <c r="BD847" s="14"/>
      <c r="BE847" s="14"/>
      <c r="BF847" s="14"/>
      <c r="BG847" s="14"/>
      <c r="BH847" s="14"/>
      <c r="BI847" s="14"/>
      <c r="BJ847" s="14"/>
      <c r="BK847" s="14"/>
      <c r="BL847" s="14"/>
      <c r="BM847" s="14"/>
      <c r="BN847" s="14"/>
      <c r="BO847" s="14"/>
      <c r="BP847" s="14"/>
      <c r="BQ847" s="14"/>
      <c r="BR847" s="14"/>
      <c r="BS847" s="14"/>
      <c r="BT847" s="14"/>
      <c r="BU847" s="14"/>
      <c r="BV847" s="14"/>
      <c r="BW847" s="14"/>
      <c r="BX847" s="14"/>
      <c r="BY847" s="14"/>
      <c r="BZ847" s="14"/>
      <c r="CA847" s="14"/>
      <c r="CB847" s="14"/>
      <c r="CC847" s="14"/>
      <c r="CD847" s="14"/>
      <c r="CE847" s="14"/>
      <c r="CF847" s="14"/>
      <c r="CG847" s="14"/>
      <c r="CH847" s="14"/>
      <c r="CI847" s="14"/>
      <c r="CJ847" s="14"/>
      <c r="CK847" s="14"/>
      <c r="CL847" s="14"/>
      <c r="CT847" s="14"/>
      <c r="CW847" s="3"/>
      <c r="DG847" s="4"/>
    </row>
    <row r="848" customFormat="false" ht="11.25" hidden="false" customHeight="true" outlineLevel="0" collapsed="false">
      <c r="A848" s="14"/>
      <c r="B848" s="15"/>
      <c r="C848" s="15"/>
      <c r="D848" s="14"/>
      <c r="E848" s="14"/>
      <c r="F848" s="14"/>
      <c r="G848" s="14"/>
      <c r="H848" s="15"/>
      <c r="I848" s="15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  <c r="AU848" s="14"/>
      <c r="AV848" s="14"/>
      <c r="AW848" s="14"/>
      <c r="AX848" s="14"/>
      <c r="AY848" s="14"/>
      <c r="AZ848" s="14"/>
      <c r="BA848" s="14"/>
      <c r="BB848" s="14"/>
      <c r="BC848" s="14"/>
      <c r="BD848" s="14"/>
      <c r="BE848" s="14"/>
      <c r="BF848" s="14"/>
      <c r="BG848" s="14"/>
      <c r="BH848" s="14"/>
      <c r="BI848" s="14"/>
      <c r="BJ848" s="14"/>
      <c r="BK848" s="14"/>
      <c r="BL848" s="14"/>
      <c r="BM848" s="14"/>
      <c r="BN848" s="14"/>
      <c r="BO848" s="14"/>
      <c r="BP848" s="14"/>
      <c r="BQ848" s="14"/>
      <c r="BR848" s="14"/>
      <c r="BS848" s="14"/>
      <c r="BT848" s="14"/>
      <c r="BU848" s="14"/>
      <c r="BV848" s="14"/>
      <c r="BW848" s="14"/>
      <c r="BX848" s="14"/>
      <c r="BY848" s="14"/>
      <c r="BZ848" s="14"/>
      <c r="CA848" s="14"/>
      <c r="CB848" s="14"/>
      <c r="CC848" s="14"/>
      <c r="CD848" s="14"/>
      <c r="CE848" s="14"/>
      <c r="CF848" s="14"/>
      <c r="CG848" s="14"/>
      <c r="CH848" s="14"/>
      <c r="CI848" s="14"/>
      <c r="CJ848" s="14"/>
      <c r="CK848" s="14"/>
      <c r="CL848" s="14"/>
      <c r="CT848" s="14"/>
      <c r="CW848" s="3"/>
      <c r="DG848" s="4"/>
    </row>
    <row r="849" customFormat="false" ht="11.25" hidden="false" customHeight="true" outlineLevel="0" collapsed="false">
      <c r="A849" s="14"/>
      <c r="B849" s="15"/>
      <c r="C849" s="15"/>
      <c r="D849" s="14"/>
      <c r="E849" s="14"/>
      <c r="F849" s="14"/>
      <c r="G849" s="14"/>
      <c r="H849" s="15"/>
      <c r="I849" s="15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14"/>
      <c r="AX849" s="14"/>
      <c r="AY849" s="14"/>
      <c r="AZ849" s="14"/>
      <c r="BA849" s="14"/>
      <c r="BB849" s="14"/>
      <c r="BC849" s="14"/>
      <c r="BD849" s="14"/>
      <c r="BE849" s="14"/>
      <c r="BF849" s="14"/>
      <c r="BG849" s="14"/>
      <c r="BH849" s="14"/>
      <c r="BI849" s="14"/>
      <c r="BJ849" s="14"/>
      <c r="BK849" s="14"/>
      <c r="BL849" s="14"/>
      <c r="BM849" s="14"/>
      <c r="BN849" s="14"/>
      <c r="BO849" s="14"/>
      <c r="BP849" s="14"/>
      <c r="BQ849" s="14"/>
      <c r="BR849" s="14"/>
      <c r="BS849" s="14"/>
      <c r="BT849" s="14"/>
      <c r="BU849" s="14"/>
      <c r="BV849" s="14"/>
      <c r="BW849" s="14"/>
      <c r="BX849" s="14"/>
      <c r="BY849" s="14"/>
      <c r="BZ849" s="14"/>
      <c r="CA849" s="14"/>
      <c r="CB849" s="14"/>
      <c r="CC849" s="14"/>
      <c r="CD849" s="14"/>
      <c r="CE849" s="14"/>
      <c r="CF849" s="14"/>
      <c r="CG849" s="14"/>
      <c r="CH849" s="14"/>
      <c r="CI849" s="14"/>
      <c r="CJ849" s="14"/>
      <c r="CK849" s="14"/>
      <c r="CL849" s="14"/>
      <c r="CT849" s="14"/>
      <c r="CW849" s="3"/>
      <c r="DG849" s="4"/>
    </row>
    <row r="850" customFormat="false" ht="11.25" hidden="false" customHeight="true" outlineLevel="0" collapsed="false">
      <c r="A850" s="14"/>
      <c r="B850" s="15"/>
      <c r="C850" s="15"/>
      <c r="D850" s="14"/>
      <c r="E850" s="14"/>
      <c r="F850" s="14"/>
      <c r="G850" s="14"/>
      <c r="H850" s="15"/>
      <c r="I850" s="15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  <c r="AW850" s="14"/>
      <c r="AX850" s="14"/>
      <c r="AY850" s="14"/>
      <c r="AZ850" s="14"/>
      <c r="BA850" s="14"/>
      <c r="BB850" s="14"/>
      <c r="BC850" s="14"/>
      <c r="BD850" s="14"/>
      <c r="BE850" s="14"/>
      <c r="BF850" s="14"/>
      <c r="BG850" s="14"/>
      <c r="BH850" s="14"/>
      <c r="BI850" s="14"/>
      <c r="BJ850" s="14"/>
      <c r="BK850" s="14"/>
      <c r="BL850" s="14"/>
      <c r="BM850" s="14"/>
      <c r="BN850" s="14"/>
      <c r="BO850" s="14"/>
      <c r="BP850" s="14"/>
      <c r="BQ850" s="14"/>
      <c r="BR850" s="14"/>
      <c r="BS850" s="14"/>
      <c r="BT850" s="14"/>
      <c r="BU850" s="14"/>
      <c r="BV850" s="14"/>
      <c r="BW850" s="14"/>
      <c r="BX850" s="14"/>
      <c r="BY850" s="14"/>
      <c r="BZ850" s="14"/>
      <c r="CA850" s="14"/>
      <c r="CB850" s="14"/>
      <c r="CC850" s="14"/>
      <c r="CD850" s="14"/>
      <c r="CE850" s="14"/>
      <c r="CF850" s="14"/>
      <c r="CG850" s="14"/>
      <c r="CH850" s="14"/>
      <c r="CI850" s="14"/>
      <c r="CJ850" s="14"/>
      <c r="CK850" s="14"/>
      <c r="CL850" s="14"/>
      <c r="CT850" s="14"/>
      <c r="CW850" s="3"/>
      <c r="DG850" s="4"/>
    </row>
    <row r="851" customFormat="false" ht="11.25" hidden="false" customHeight="true" outlineLevel="0" collapsed="false">
      <c r="A851" s="14"/>
      <c r="B851" s="15"/>
      <c r="C851" s="15"/>
      <c r="D851" s="14"/>
      <c r="E851" s="14"/>
      <c r="F851" s="14"/>
      <c r="G851" s="14"/>
      <c r="H851" s="15"/>
      <c r="I851" s="15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4"/>
      <c r="AX851" s="14"/>
      <c r="AY851" s="14"/>
      <c r="AZ851" s="14"/>
      <c r="BA851" s="14"/>
      <c r="BB851" s="14"/>
      <c r="BC851" s="14"/>
      <c r="BD851" s="14"/>
      <c r="BE851" s="14"/>
      <c r="BF851" s="14"/>
      <c r="BG851" s="14"/>
      <c r="BH851" s="14"/>
      <c r="BI851" s="14"/>
      <c r="BJ851" s="14"/>
      <c r="BK851" s="14"/>
      <c r="BL851" s="14"/>
      <c r="BM851" s="14"/>
      <c r="BN851" s="14"/>
      <c r="BO851" s="14"/>
      <c r="BP851" s="14"/>
      <c r="BQ851" s="14"/>
      <c r="BR851" s="14"/>
      <c r="BS851" s="14"/>
      <c r="BT851" s="14"/>
      <c r="BU851" s="14"/>
      <c r="BV851" s="14"/>
      <c r="BW851" s="14"/>
      <c r="BX851" s="14"/>
      <c r="BY851" s="14"/>
      <c r="BZ851" s="14"/>
      <c r="CA851" s="14"/>
      <c r="CB851" s="14"/>
      <c r="CC851" s="14"/>
      <c r="CD851" s="14"/>
      <c r="CE851" s="14"/>
      <c r="CF851" s="14"/>
      <c r="CG851" s="14"/>
      <c r="CH851" s="14"/>
      <c r="CI851" s="14"/>
      <c r="CJ851" s="14"/>
      <c r="CK851" s="14"/>
      <c r="CL851" s="14"/>
      <c r="CT851" s="14"/>
      <c r="CW851" s="3"/>
      <c r="DG851" s="4"/>
    </row>
    <row r="852" customFormat="false" ht="11.25" hidden="false" customHeight="true" outlineLevel="0" collapsed="false">
      <c r="A852" s="14"/>
      <c r="B852" s="15"/>
      <c r="C852" s="15"/>
      <c r="D852" s="14"/>
      <c r="E852" s="14"/>
      <c r="F852" s="14"/>
      <c r="G852" s="14"/>
      <c r="H852" s="15"/>
      <c r="I852" s="15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  <c r="AU852" s="14"/>
      <c r="AV852" s="14"/>
      <c r="AW852" s="14"/>
      <c r="AX852" s="14"/>
      <c r="AY852" s="14"/>
      <c r="AZ852" s="14"/>
      <c r="BA852" s="14"/>
      <c r="BB852" s="14"/>
      <c r="BC852" s="14"/>
      <c r="BD852" s="14"/>
      <c r="BE852" s="14"/>
      <c r="BF852" s="14"/>
      <c r="BG852" s="14"/>
      <c r="BH852" s="14"/>
      <c r="BI852" s="14"/>
      <c r="BJ852" s="14"/>
      <c r="BK852" s="14"/>
      <c r="BL852" s="14"/>
      <c r="BM852" s="14"/>
      <c r="BN852" s="14"/>
      <c r="BO852" s="14"/>
      <c r="BP852" s="14"/>
      <c r="BQ852" s="14"/>
      <c r="BR852" s="14"/>
      <c r="BS852" s="14"/>
      <c r="BT852" s="14"/>
      <c r="BU852" s="14"/>
      <c r="BV852" s="14"/>
      <c r="BW852" s="14"/>
      <c r="BX852" s="14"/>
      <c r="BY852" s="14"/>
      <c r="BZ852" s="14"/>
      <c r="CA852" s="14"/>
      <c r="CB852" s="14"/>
      <c r="CC852" s="14"/>
      <c r="CD852" s="14"/>
      <c r="CE852" s="14"/>
      <c r="CF852" s="14"/>
      <c r="CG852" s="14"/>
      <c r="CH852" s="14"/>
      <c r="CI852" s="14"/>
      <c r="CJ852" s="14"/>
      <c r="CK852" s="14"/>
      <c r="CL852" s="14"/>
      <c r="CT852" s="14"/>
      <c r="CW852" s="3"/>
      <c r="DG852" s="4"/>
    </row>
    <row r="853" customFormat="false" ht="11.25" hidden="false" customHeight="true" outlineLevel="0" collapsed="false">
      <c r="A853" s="14"/>
      <c r="B853" s="15"/>
      <c r="C853" s="15"/>
      <c r="D853" s="14"/>
      <c r="E853" s="14"/>
      <c r="F853" s="14"/>
      <c r="G853" s="14"/>
      <c r="H853" s="15"/>
      <c r="I853" s="15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4"/>
      <c r="AX853" s="14"/>
      <c r="AY853" s="14"/>
      <c r="AZ853" s="14"/>
      <c r="BA853" s="14"/>
      <c r="BB853" s="14"/>
      <c r="BC853" s="14"/>
      <c r="BD853" s="14"/>
      <c r="BE853" s="14"/>
      <c r="BF853" s="14"/>
      <c r="BG853" s="14"/>
      <c r="BH853" s="14"/>
      <c r="BI853" s="14"/>
      <c r="BJ853" s="14"/>
      <c r="BK853" s="14"/>
      <c r="BL853" s="14"/>
      <c r="BM853" s="14"/>
      <c r="BN853" s="14"/>
      <c r="BO853" s="14"/>
      <c r="BP853" s="14"/>
      <c r="BQ853" s="14"/>
      <c r="BR853" s="14"/>
      <c r="BS853" s="14"/>
      <c r="BT853" s="14"/>
      <c r="BU853" s="14"/>
      <c r="BV853" s="14"/>
      <c r="BW853" s="14"/>
      <c r="BX853" s="14"/>
      <c r="BY853" s="14"/>
      <c r="BZ853" s="14"/>
      <c r="CA853" s="14"/>
      <c r="CB853" s="14"/>
      <c r="CC853" s="14"/>
      <c r="CD853" s="14"/>
      <c r="CE853" s="14"/>
      <c r="CF853" s="14"/>
      <c r="CG853" s="14"/>
      <c r="CH853" s="14"/>
      <c r="CI853" s="14"/>
      <c r="CJ853" s="14"/>
      <c r="CK853" s="14"/>
      <c r="CL853" s="14"/>
      <c r="CT853" s="14"/>
      <c r="CW853" s="3"/>
      <c r="DG853" s="4"/>
    </row>
    <row r="854" customFormat="false" ht="11.25" hidden="false" customHeight="true" outlineLevel="0" collapsed="false">
      <c r="A854" s="14"/>
      <c r="B854" s="15"/>
      <c r="C854" s="15"/>
      <c r="D854" s="14"/>
      <c r="E854" s="14"/>
      <c r="F854" s="14"/>
      <c r="G854" s="14"/>
      <c r="H854" s="15"/>
      <c r="I854" s="15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  <c r="AU854" s="14"/>
      <c r="AV854" s="14"/>
      <c r="AW854" s="14"/>
      <c r="AX854" s="14"/>
      <c r="AY854" s="14"/>
      <c r="AZ854" s="14"/>
      <c r="BA854" s="14"/>
      <c r="BB854" s="14"/>
      <c r="BC854" s="14"/>
      <c r="BD854" s="14"/>
      <c r="BE854" s="14"/>
      <c r="BF854" s="14"/>
      <c r="BG854" s="14"/>
      <c r="BH854" s="14"/>
      <c r="BI854" s="14"/>
      <c r="BJ854" s="14"/>
      <c r="BK854" s="14"/>
      <c r="BL854" s="14"/>
      <c r="BM854" s="14"/>
      <c r="BN854" s="14"/>
      <c r="BO854" s="14"/>
      <c r="BP854" s="14"/>
      <c r="BQ854" s="14"/>
      <c r="BR854" s="14"/>
      <c r="BS854" s="14"/>
      <c r="BT854" s="14"/>
      <c r="BU854" s="14"/>
      <c r="BV854" s="14"/>
      <c r="BW854" s="14"/>
      <c r="BX854" s="14"/>
      <c r="BY854" s="14"/>
      <c r="BZ854" s="14"/>
      <c r="CA854" s="14"/>
      <c r="CB854" s="14"/>
      <c r="CC854" s="14"/>
      <c r="CD854" s="14"/>
      <c r="CE854" s="14"/>
      <c r="CF854" s="14"/>
      <c r="CG854" s="14"/>
      <c r="CH854" s="14"/>
      <c r="CI854" s="14"/>
      <c r="CJ854" s="14"/>
      <c r="CK854" s="14"/>
      <c r="CL854" s="14"/>
      <c r="CT854" s="14"/>
      <c r="CW854" s="3"/>
      <c r="DG854" s="4"/>
    </row>
    <row r="855" customFormat="false" ht="11.25" hidden="false" customHeight="true" outlineLevel="0" collapsed="false">
      <c r="A855" s="14"/>
      <c r="B855" s="15"/>
      <c r="C855" s="15"/>
      <c r="D855" s="14"/>
      <c r="E855" s="14"/>
      <c r="F855" s="14"/>
      <c r="G855" s="14"/>
      <c r="H855" s="15"/>
      <c r="I855" s="15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  <c r="AW855" s="14"/>
      <c r="AX855" s="14"/>
      <c r="AY855" s="14"/>
      <c r="AZ855" s="14"/>
      <c r="BA855" s="14"/>
      <c r="BB855" s="14"/>
      <c r="BC855" s="14"/>
      <c r="BD855" s="14"/>
      <c r="BE855" s="14"/>
      <c r="BF855" s="14"/>
      <c r="BG855" s="14"/>
      <c r="BH855" s="14"/>
      <c r="BI855" s="14"/>
      <c r="BJ855" s="14"/>
      <c r="BK855" s="14"/>
      <c r="BL855" s="14"/>
      <c r="BM855" s="14"/>
      <c r="BN855" s="14"/>
      <c r="BO855" s="14"/>
      <c r="BP855" s="14"/>
      <c r="BQ855" s="14"/>
      <c r="BR855" s="14"/>
      <c r="BS855" s="14"/>
      <c r="BT855" s="14"/>
      <c r="BU855" s="14"/>
      <c r="BV855" s="14"/>
      <c r="BW855" s="14"/>
      <c r="BX855" s="14"/>
      <c r="BY855" s="14"/>
      <c r="BZ855" s="14"/>
      <c r="CA855" s="14"/>
      <c r="CB855" s="14"/>
      <c r="CC855" s="14"/>
      <c r="CD855" s="14"/>
      <c r="CE855" s="14"/>
      <c r="CF855" s="14"/>
      <c r="CG855" s="14"/>
      <c r="CH855" s="14"/>
      <c r="CI855" s="14"/>
      <c r="CJ855" s="14"/>
      <c r="CK855" s="14"/>
      <c r="CL855" s="14"/>
      <c r="CT855" s="14"/>
      <c r="CW855" s="3"/>
      <c r="DG855" s="4"/>
    </row>
    <row r="856" customFormat="false" ht="11.25" hidden="false" customHeight="true" outlineLevel="0" collapsed="false">
      <c r="A856" s="14"/>
      <c r="B856" s="15"/>
      <c r="C856" s="15"/>
      <c r="D856" s="14"/>
      <c r="E856" s="14"/>
      <c r="F856" s="14"/>
      <c r="G856" s="14"/>
      <c r="H856" s="15"/>
      <c r="I856" s="15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  <c r="AT856" s="14"/>
      <c r="AU856" s="14"/>
      <c r="AV856" s="14"/>
      <c r="AW856" s="14"/>
      <c r="AX856" s="14"/>
      <c r="AY856" s="14"/>
      <c r="AZ856" s="14"/>
      <c r="BA856" s="14"/>
      <c r="BB856" s="14"/>
      <c r="BC856" s="14"/>
      <c r="BD856" s="14"/>
      <c r="BE856" s="14"/>
      <c r="BF856" s="14"/>
      <c r="BG856" s="14"/>
      <c r="BH856" s="14"/>
      <c r="BI856" s="14"/>
      <c r="BJ856" s="14"/>
      <c r="BK856" s="14"/>
      <c r="BL856" s="14"/>
      <c r="BM856" s="14"/>
      <c r="BN856" s="14"/>
      <c r="BO856" s="14"/>
      <c r="BP856" s="14"/>
      <c r="BQ856" s="14"/>
      <c r="BR856" s="14"/>
      <c r="BS856" s="14"/>
      <c r="BT856" s="14"/>
      <c r="BU856" s="14"/>
      <c r="BV856" s="14"/>
      <c r="BW856" s="14"/>
      <c r="BX856" s="14"/>
      <c r="BY856" s="14"/>
      <c r="BZ856" s="14"/>
      <c r="CA856" s="14"/>
      <c r="CB856" s="14"/>
      <c r="CC856" s="14"/>
      <c r="CD856" s="14"/>
      <c r="CE856" s="14"/>
      <c r="CF856" s="14"/>
      <c r="CG856" s="14"/>
      <c r="CH856" s="14"/>
      <c r="CI856" s="14"/>
      <c r="CJ856" s="14"/>
      <c r="CK856" s="14"/>
      <c r="CL856" s="14"/>
      <c r="CT856" s="14"/>
      <c r="CW856" s="3"/>
      <c r="DG856" s="4"/>
    </row>
    <row r="857" customFormat="false" ht="11.25" hidden="false" customHeight="true" outlineLevel="0" collapsed="false">
      <c r="A857" s="14"/>
      <c r="B857" s="15"/>
      <c r="C857" s="15"/>
      <c r="D857" s="14"/>
      <c r="E857" s="14"/>
      <c r="F857" s="14"/>
      <c r="G857" s="14"/>
      <c r="H857" s="15"/>
      <c r="I857" s="15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14"/>
      <c r="AX857" s="14"/>
      <c r="AY857" s="14"/>
      <c r="AZ857" s="14"/>
      <c r="BA857" s="14"/>
      <c r="BB857" s="14"/>
      <c r="BC857" s="14"/>
      <c r="BD857" s="14"/>
      <c r="BE857" s="14"/>
      <c r="BF857" s="14"/>
      <c r="BG857" s="14"/>
      <c r="BH857" s="14"/>
      <c r="BI857" s="14"/>
      <c r="BJ857" s="14"/>
      <c r="BK857" s="14"/>
      <c r="BL857" s="14"/>
      <c r="BM857" s="14"/>
      <c r="BN857" s="14"/>
      <c r="BO857" s="14"/>
      <c r="BP857" s="14"/>
      <c r="BQ857" s="14"/>
      <c r="BR857" s="14"/>
      <c r="BS857" s="14"/>
      <c r="BT857" s="14"/>
      <c r="BU857" s="14"/>
      <c r="BV857" s="14"/>
      <c r="BW857" s="14"/>
      <c r="BX857" s="14"/>
      <c r="BY857" s="14"/>
      <c r="BZ857" s="14"/>
      <c r="CA857" s="14"/>
      <c r="CB857" s="14"/>
      <c r="CC857" s="14"/>
      <c r="CD857" s="14"/>
      <c r="CE857" s="14"/>
      <c r="CF857" s="14"/>
      <c r="CG857" s="14"/>
      <c r="CH857" s="14"/>
      <c r="CI857" s="14"/>
      <c r="CJ857" s="14"/>
      <c r="CK857" s="14"/>
      <c r="CL857" s="14"/>
      <c r="CT857" s="14"/>
      <c r="CW857" s="3"/>
      <c r="DG857" s="4"/>
    </row>
    <row r="858" customFormat="false" ht="11.25" hidden="false" customHeight="true" outlineLevel="0" collapsed="false">
      <c r="A858" s="14"/>
      <c r="B858" s="15"/>
      <c r="C858" s="15"/>
      <c r="D858" s="14"/>
      <c r="E858" s="14"/>
      <c r="F858" s="14"/>
      <c r="G858" s="14"/>
      <c r="H858" s="15"/>
      <c r="I858" s="15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AT858" s="14"/>
      <c r="AU858" s="14"/>
      <c r="AV858" s="14"/>
      <c r="AW858" s="14"/>
      <c r="AX858" s="14"/>
      <c r="AY858" s="14"/>
      <c r="AZ858" s="14"/>
      <c r="BA858" s="14"/>
      <c r="BB858" s="14"/>
      <c r="BC858" s="14"/>
      <c r="BD858" s="14"/>
      <c r="BE858" s="14"/>
      <c r="BF858" s="14"/>
      <c r="BG858" s="14"/>
      <c r="BH858" s="14"/>
      <c r="BI858" s="14"/>
      <c r="BJ858" s="14"/>
      <c r="BK858" s="14"/>
      <c r="BL858" s="14"/>
      <c r="BM858" s="14"/>
      <c r="BN858" s="14"/>
      <c r="BO858" s="14"/>
      <c r="BP858" s="14"/>
      <c r="BQ858" s="14"/>
      <c r="BR858" s="14"/>
      <c r="BS858" s="14"/>
      <c r="BT858" s="14"/>
      <c r="BU858" s="14"/>
      <c r="BV858" s="14"/>
      <c r="BW858" s="14"/>
      <c r="BX858" s="14"/>
      <c r="BY858" s="14"/>
      <c r="BZ858" s="14"/>
      <c r="CA858" s="14"/>
      <c r="CB858" s="14"/>
      <c r="CC858" s="14"/>
      <c r="CD858" s="14"/>
      <c r="CE858" s="14"/>
      <c r="CF858" s="14"/>
      <c r="CG858" s="14"/>
      <c r="CH858" s="14"/>
      <c r="CI858" s="14"/>
      <c r="CJ858" s="14"/>
      <c r="CK858" s="14"/>
      <c r="CL858" s="14"/>
      <c r="CT858" s="14"/>
      <c r="CW858" s="3"/>
      <c r="DG858" s="4"/>
    </row>
    <row r="859" customFormat="false" ht="11.25" hidden="false" customHeight="true" outlineLevel="0" collapsed="false">
      <c r="A859" s="14"/>
      <c r="B859" s="15"/>
      <c r="C859" s="15"/>
      <c r="D859" s="14"/>
      <c r="E859" s="14"/>
      <c r="F859" s="14"/>
      <c r="G859" s="14"/>
      <c r="H859" s="15"/>
      <c r="I859" s="15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4"/>
      <c r="AX859" s="14"/>
      <c r="AY859" s="14"/>
      <c r="AZ859" s="14"/>
      <c r="BA859" s="14"/>
      <c r="BB859" s="14"/>
      <c r="BC859" s="14"/>
      <c r="BD859" s="14"/>
      <c r="BE859" s="14"/>
      <c r="BF859" s="14"/>
      <c r="BG859" s="14"/>
      <c r="BH859" s="14"/>
      <c r="BI859" s="14"/>
      <c r="BJ859" s="14"/>
      <c r="BK859" s="14"/>
      <c r="BL859" s="14"/>
      <c r="BM859" s="14"/>
      <c r="BN859" s="14"/>
      <c r="BO859" s="14"/>
      <c r="BP859" s="14"/>
      <c r="BQ859" s="14"/>
      <c r="BR859" s="14"/>
      <c r="BS859" s="14"/>
      <c r="BT859" s="14"/>
      <c r="BU859" s="14"/>
      <c r="BV859" s="14"/>
      <c r="BW859" s="14"/>
      <c r="BX859" s="14"/>
      <c r="BY859" s="14"/>
      <c r="BZ859" s="14"/>
      <c r="CA859" s="14"/>
      <c r="CB859" s="14"/>
      <c r="CC859" s="14"/>
      <c r="CD859" s="14"/>
      <c r="CE859" s="14"/>
      <c r="CF859" s="14"/>
      <c r="CG859" s="14"/>
      <c r="CH859" s="14"/>
      <c r="CI859" s="14"/>
      <c r="CJ859" s="14"/>
      <c r="CK859" s="14"/>
      <c r="CL859" s="14"/>
      <c r="CT859" s="14"/>
      <c r="CW859" s="3"/>
      <c r="DG859" s="4"/>
    </row>
    <row r="860" customFormat="false" ht="11.25" hidden="false" customHeight="true" outlineLevel="0" collapsed="false">
      <c r="A860" s="14"/>
      <c r="B860" s="15"/>
      <c r="C860" s="15"/>
      <c r="D860" s="14"/>
      <c r="E860" s="14"/>
      <c r="F860" s="14"/>
      <c r="G860" s="14"/>
      <c r="H860" s="15"/>
      <c r="I860" s="15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  <c r="AU860" s="14"/>
      <c r="AV860" s="14"/>
      <c r="AW860" s="14"/>
      <c r="AX860" s="14"/>
      <c r="AY860" s="14"/>
      <c r="AZ860" s="14"/>
      <c r="BA860" s="14"/>
      <c r="BB860" s="14"/>
      <c r="BC860" s="14"/>
      <c r="BD860" s="14"/>
      <c r="BE860" s="14"/>
      <c r="BF860" s="14"/>
      <c r="BG860" s="14"/>
      <c r="BH860" s="14"/>
      <c r="BI860" s="14"/>
      <c r="BJ860" s="14"/>
      <c r="BK860" s="14"/>
      <c r="BL860" s="14"/>
      <c r="BM860" s="14"/>
      <c r="BN860" s="14"/>
      <c r="BO860" s="14"/>
      <c r="BP860" s="14"/>
      <c r="BQ860" s="14"/>
      <c r="BR860" s="14"/>
      <c r="BS860" s="14"/>
      <c r="BT860" s="14"/>
      <c r="BU860" s="14"/>
      <c r="BV860" s="14"/>
      <c r="BW860" s="14"/>
      <c r="BX860" s="14"/>
      <c r="BY860" s="14"/>
      <c r="BZ860" s="14"/>
      <c r="CA860" s="14"/>
      <c r="CB860" s="14"/>
      <c r="CC860" s="14"/>
      <c r="CD860" s="14"/>
      <c r="CE860" s="14"/>
      <c r="CF860" s="14"/>
      <c r="CG860" s="14"/>
      <c r="CH860" s="14"/>
      <c r="CI860" s="14"/>
      <c r="CJ860" s="14"/>
      <c r="CK860" s="14"/>
      <c r="CL860" s="14"/>
      <c r="CT860" s="14"/>
      <c r="CW860" s="3"/>
      <c r="DG860" s="4"/>
    </row>
    <row r="861" customFormat="false" ht="11.25" hidden="false" customHeight="true" outlineLevel="0" collapsed="false">
      <c r="A861" s="14"/>
      <c r="B861" s="15"/>
      <c r="C861" s="15"/>
      <c r="D861" s="14"/>
      <c r="E861" s="14"/>
      <c r="F861" s="14"/>
      <c r="G861" s="14"/>
      <c r="H861" s="15"/>
      <c r="I861" s="15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  <c r="AW861" s="14"/>
      <c r="AX861" s="14"/>
      <c r="AY861" s="14"/>
      <c r="AZ861" s="14"/>
      <c r="BA861" s="14"/>
      <c r="BB861" s="14"/>
      <c r="BC861" s="14"/>
      <c r="BD861" s="14"/>
      <c r="BE861" s="14"/>
      <c r="BF861" s="14"/>
      <c r="BG861" s="14"/>
      <c r="BH861" s="14"/>
      <c r="BI861" s="14"/>
      <c r="BJ861" s="14"/>
      <c r="BK861" s="14"/>
      <c r="BL861" s="14"/>
      <c r="BM861" s="14"/>
      <c r="BN861" s="14"/>
      <c r="BO861" s="14"/>
      <c r="BP861" s="14"/>
      <c r="BQ861" s="14"/>
      <c r="BR861" s="14"/>
      <c r="BS861" s="14"/>
      <c r="BT861" s="14"/>
      <c r="BU861" s="14"/>
      <c r="BV861" s="14"/>
      <c r="BW861" s="14"/>
      <c r="BX861" s="14"/>
      <c r="BY861" s="14"/>
      <c r="BZ861" s="14"/>
      <c r="CA861" s="14"/>
      <c r="CB861" s="14"/>
      <c r="CC861" s="14"/>
      <c r="CD861" s="14"/>
      <c r="CE861" s="14"/>
      <c r="CF861" s="14"/>
      <c r="CG861" s="14"/>
      <c r="CH861" s="14"/>
      <c r="CI861" s="14"/>
      <c r="CJ861" s="14"/>
      <c r="CK861" s="14"/>
      <c r="CL861" s="14"/>
      <c r="CT861" s="14"/>
      <c r="CW861" s="3"/>
      <c r="DG861" s="4"/>
    </row>
    <row r="862" customFormat="false" ht="11.25" hidden="false" customHeight="true" outlineLevel="0" collapsed="false">
      <c r="A862" s="14"/>
      <c r="B862" s="15"/>
      <c r="C862" s="15"/>
      <c r="D862" s="14"/>
      <c r="E862" s="14"/>
      <c r="F862" s="14"/>
      <c r="G862" s="14"/>
      <c r="H862" s="15"/>
      <c r="I862" s="15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/>
      <c r="AU862" s="14"/>
      <c r="AV862" s="14"/>
      <c r="AW862" s="14"/>
      <c r="AX862" s="14"/>
      <c r="AY862" s="14"/>
      <c r="AZ862" s="14"/>
      <c r="BA862" s="14"/>
      <c r="BB862" s="14"/>
      <c r="BC862" s="14"/>
      <c r="BD862" s="14"/>
      <c r="BE862" s="14"/>
      <c r="BF862" s="14"/>
      <c r="BG862" s="14"/>
      <c r="BH862" s="14"/>
      <c r="BI862" s="14"/>
      <c r="BJ862" s="14"/>
      <c r="BK862" s="14"/>
      <c r="BL862" s="14"/>
      <c r="BM862" s="14"/>
      <c r="BN862" s="14"/>
      <c r="BO862" s="14"/>
      <c r="BP862" s="14"/>
      <c r="BQ862" s="14"/>
      <c r="BR862" s="14"/>
      <c r="BS862" s="14"/>
      <c r="BT862" s="14"/>
      <c r="BU862" s="14"/>
      <c r="BV862" s="14"/>
      <c r="BW862" s="14"/>
      <c r="BX862" s="14"/>
      <c r="BY862" s="14"/>
      <c r="BZ862" s="14"/>
      <c r="CA862" s="14"/>
      <c r="CB862" s="14"/>
      <c r="CC862" s="14"/>
      <c r="CD862" s="14"/>
      <c r="CE862" s="14"/>
      <c r="CF862" s="14"/>
      <c r="CG862" s="14"/>
      <c r="CH862" s="14"/>
      <c r="CI862" s="14"/>
      <c r="CJ862" s="14"/>
      <c r="CK862" s="14"/>
      <c r="CL862" s="14"/>
      <c r="CT862" s="14"/>
      <c r="CW862" s="3"/>
      <c r="DG862" s="4"/>
    </row>
    <row r="863" customFormat="false" ht="11.25" hidden="false" customHeight="true" outlineLevel="0" collapsed="false">
      <c r="A863" s="14"/>
      <c r="B863" s="15"/>
      <c r="C863" s="15"/>
      <c r="D863" s="14"/>
      <c r="E863" s="14"/>
      <c r="F863" s="14"/>
      <c r="G863" s="14"/>
      <c r="H863" s="15"/>
      <c r="I863" s="15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14"/>
      <c r="AX863" s="14"/>
      <c r="AY863" s="14"/>
      <c r="AZ863" s="14"/>
      <c r="BA863" s="14"/>
      <c r="BB863" s="14"/>
      <c r="BC863" s="14"/>
      <c r="BD863" s="14"/>
      <c r="BE863" s="14"/>
      <c r="BF863" s="14"/>
      <c r="BG863" s="14"/>
      <c r="BH863" s="14"/>
      <c r="BI863" s="14"/>
      <c r="BJ863" s="14"/>
      <c r="BK863" s="14"/>
      <c r="BL863" s="14"/>
      <c r="BM863" s="14"/>
      <c r="BN863" s="14"/>
      <c r="BO863" s="14"/>
      <c r="BP863" s="14"/>
      <c r="BQ863" s="14"/>
      <c r="BR863" s="14"/>
      <c r="BS863" s="14"/>
      <c r="BT863" s="14"/>
      <c r="BU863" s="14"/>
      <c r="BV863" s="14"/>
      <c r="BW863" s="14"/>
      <c r="BX863" s="14"/>
      <c r="BY863" s="14"/>
      <c r="BZ863" s="14"/>
      <c r="CA863" s="14"/>
      <c r="CB863" s="14"/>
      <c r="CC863" s="14"/>
      <c r="CD863" s="14"/>
      <c r="CE863" s="14"/>
      <c r="CF863" s="14"/>
      <c r="CG863" s="14"/>
      <c r="CH863" s="14"/>
      <c r="CI863" s="14"/>
      <c r="CJ863" s="14"/>
      <c r="CK863" s="14"/>
      <c r="CL863" s="14"/>
      <c r="CT863" s="14"/>
      <c r="CW863" s="3"/>
      <c r="DG863" s="4"/>
    </row>
    <row r="864" customFormat="false" ht="11.25" hidden="false" customHeight="true" outlineLevel="0" collapsed="false">
      <c r="A864" s="14"/>
      <c r="B864" s="15"/>
      <c r="C864" s="15"/>
      <c r="D864" s="14"/>
      <c r="E864" s="14"/>
      <c r="F864" s="14"/>
      <c r="G864" s="14"/>
      <c r="H864" s="15"/>
      <c r="I864" s="15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/>
      <c r="AT864" s="14"/>
      <c r="AU864" s="14"/>
      <c r="AV864" s="14"/>
      <c r="AW864" s="14"/>
      <c r="AX864" s="14"/>
      <c r="AY864" s="14"/>
      <c r="AZ864" s="14"/>
      <c r="BA864" s="14"/>
      <c r="BB864" s="14"/>
      <c r="BC864" s="14"/>
      <c r="BD864" s="14"/>
      <c r="BE864" s="14"/>
      <c r="BF864" s="14"/>
      <c r="BG864" s="14"/>
      <c r="BH864" s="14"/>
      <c r="BI864" s="14"/>
      <c r="BJ864" s="14"/>
      <c r="BK864" s="14"/>
      <c r="BL864" s="14"/>
      <c r="BM864" s="14"/>
      <c r="BN864" s="14"/>
      <c r="BO864" s="14"/>
      <c r="BP864" s="14"/>
      <c r="BQ864" s="14"/>
      <c r="BR864" s="14"/>
      <c r="BS864" s="14"/>
      <c r="BT864" s="14"/>
      <c r="BU864" s="14"/>
      <c r="BV864" s="14"/>
      <c r="BW864" s="14"/>
      <c r="BX864" s="14"/>
      <c r="BY864" s="14"/>
      <c r="BZ864" s="14"/>
      <c r="CA864" s="14"/>
      <c r="CB864" s="14"/>
      <c r="CC864" s="14"/>
      <c r="CD864" s="14"/>
      <c r="CE864" s="14"/>
      <c r="CF864" s="14"/>
      <c r="CG864" s="14"/>
      <c r="CH864" s="14"/>
      <c r="CI864" s="14"/>
      <c r="CJ864" s="14"/>
      <c r="CK864" s="14"/>
      <c r="CL864" s="14"/>
      <c r="CT864" s="14"/>
      <c r="CW864" s="3"/>
      <c r="DG864" s="4"/>
    </row>
    <row r="865" customFormat="false" ht="11.25" hidden="false" customHeight="true" outlineLevel="0" collapsed="false">
      <c r="A865" s="14"/>
      <c r="B865" s="15"/>
      <c r="C865" s="15"/>
      <c r="D865" s="14"/>
      <c r="E865" s="14"/>
      <c r="F865" s="14"/>
      <c r="G865" s="14"/>
      <c r="H865" s="15"/>
      <c r="I865" s="15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  <c r="AU865" s="14"/>
      <c r="AV865" s="14"/>
      <c r="AW865" s="14"/>
      <c r="AX865" s="14"/>
      <c r="AY865" s="14"/>
      <c r="AZ865" s="14"/>
      <c r="BA865" s="14"/>
      <c r="BB865" s="14"/>
      <c r="BC865" s="14"/>
      <c r="BD865" s="14"/>
      <c r="BE865" s="14"/>
      <c r="BF865" s="14"/>
      <c r="BG865" s="14"/>
      <c r="BH865" s="14"/>
      <c r="BI865" s="14"/>
      <c r="BJ865" s="14"/>
      <c r="BK865" s="14"/>
      <c r="BL865" s="14"/>
      <c r="BM865" s="14"/>
      <c r="BN865" s="14"/>
      <c r="BO865" s="14"/>
      <c r="BP865" s="14"/>
      <c r="BQ865" s="14"/>
      <c r="BR865" s="14"/>
      <c r="BS865" s="14"/>
      <c r="BT865" s="14"/>
      <c r="BU865" s="14"/>
      <c r="BV865" s="14"/>
      <c r="BW865" s="14"/>
      <c r="BX865" s="14"/>
      <c r="BY865" s="14"/>
      <c r="BZ865" s="14"/>
      <c r="CA865" s="14"/>
      <c r="CB865" s="14"/>
      <c r="CC865" s="14"/>
      <c r="CD865" s="14"/>
      <c r="CE865" s="14"/>
      <c r="CF865" s="14"/>
      <c r="CG865" s="14"/>
      <c r="CH865" s="14"/>
      <c r="CI865" s="14"/>
      <c r="CJ865" s="14"/>
      <c r="CK865" s="14"/>
      <c r="CL865" s="14"/>
      <c r="CT865" s="14"/>
      <c r="CW865" s="3"/>
      <c r="DG865" s="4"/>
    </row>
    <row r="866" customFormat="false" ht="11.25" hidden="false" customHeight="true" outlineLevel="0" collapsed="false">
      <c r="A866" s="14"/>
      <c r="B866" s="15"/>
      <c r="C866" s="15"/>
      <c r="D866" s="14"/>
      <c r="E866" s="14"/>
      <c r="F866" s="14"/>
      <c r="G866" s="14"/>
      <c r="H866" s="15"/>
      <c r="I866" s="15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  <c r="AU866" s="14"/>
      <c r="AV866" s="14"/>
      <c r="AW866" s="14"/>
      <c r="AX866" s="14"/>
      <c r="AY866" s="14"/>
      <c r="AZ866" s="14"/>
      <c r="BA866" s="14"/>
      <c r="BB866" s="14"/>
      <c r="BC866" s="14"/>
      <c r="BD866" s="14"/>
      <c r="BE866" s="14"/>
      <c r="BF866" s="14"/>
      <c r="BG866" s="14"/>
      <c r="BH866" s="14"/>
      <c r="BI866" s="14"/>
      <c r="BJ866" s="14"/>
      <c r="BK866" s="14"/>
      <c r="BL866" s="14"/>
      <c r="BM866" s="14"/>
      <c r="BN866" s="14"/>
      <c r="BO866" s="14"/>
      <c r="BP866" s="14"/>
      <c r="BQ866" s="14"/>
      <c r="BR866" s="14"/>
      <c r="BS866" s="14"/>
      <c r="BT866" s="14"/>
      <c r="BU866" s="14"/>
      <c r="BV866" s="14"/>
      <c r="BW866" s="14"/>
      <c r="BX866" s="14"/>
      <c r="BY866" s="14"/>
      <c r="BZ866" s="14"/>
      <c r="CA866" s="14"/>
      <c r="CB866" s="14"/>
      <c r="CC866" s="14"/>
      <c r="CD866" s="14"/>
      <c r="CE866" s="14"/>
      <c r="CF866" s="14"/>
      <c r="CG866" s="14"/>
      <c r="CH866" s="14"/>
      <c r="CI866" s="14"/>
      <c r="CJ866" s="14"/>
      <c r="CK866" s="14"/>
      <c r="CL866" s="14"/>
      <c r="CT866" s="14"/>
      <c r="CW866" s="3"/>
      <c r="DG866" s="4"/>
    </row>
    <row r="867" customFormat="false" ht="11.25" hidden="false" customHeight="true" outlineLevel="0" collapsed="false">
      <c r="A867" s="14"/>
      <c r="B867" s="15"/>
      <c r="C867" s="15"/>
      <c r="D867" s="14"/>
      <c r="E867" s="14"/>
      <c r="F867" s="14"/>
      <c r="G867" s="14"/>
      <c r="H867" s="15"/>
      <c r="I867" s="15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  <c r="AU867" s="14"/>
      <c r="AV867" s="14"/>
      <c r="AW867" s="14"/>
      <c r="AX867" s="14"/>
      <c r="AY867" s="14"/>
      <c r="AZ867" s="14"/>
      <c r="BA867" s="14"/>
      <c r="BB867" s="14"/>
      <c r="BC867" s="14"/>
      <c r="BD867" s="14"/>
      <c r="BE867" s="14"/>
      <c r="BF867" s="14"/>
      <c r="BG867" s="14"/>
      <c r="BH867" s="14"/>
      <c r="BI867" s="14"/>
      <c r="BJ867" s="14"/>
      <c r="BK867" s="14"/>
      <c r="BL867" s="14"/>
      <c r="BM867" s="14"/>
      <c r="BN867" s="14"/>
      <c r="BO867" s="14"/>
      <c r="BP867" s="14"/>
      <c r="BQ867" s="14"/>
      <c r="BR867" s="14"/>
      <c r="BS867" s="14"/>
      <c r="BT867" s="14"/>
      <c r="BU867" s="14"/>
      <c r="BV867" s="14"/>
      <c r="BW867" s="14"/>
      <c r="BX867" s="14"/>
      <c r="BY867" s="14"/>
      <c r="BZ867" s="14"/>
      <c r="CA867" s="14"/>
      <c r="CB867" s="14"/>
      <c r="CC867" s="14"/>
      <c r="CD867" s="14"/>
      <c r="CE867" s="14"/>
      <c r="CF867" s="14"/>
      <c r="CG867" s="14"/>
      <c r="CH867" s="14"/>
      <c r="CI867" s="14"/>
      <c r="CJ867" s="14"/>
      <c r="CK867" s="14"/>
      <c r="CL867" s="14"/>
      <c r="CT867" s="14"/>
      <c r="CW867" s="3"/>
      <c r="DG867" s="4"/>
    </row>
    <row r="868" customFormat="false" ht="11.25" hidden="false" customHeight="true" outlineLevel="0" collapsed="false">
      <c r="A868" s="14"/>
      <c r="B868" s="15"/>
      <c r="C868" s="15"/>
      <c r="D868" s="14"/>
      <c r="E868" s="14"/>
      <c r="F868" s="14"/>
      <c r="G868" s="14"/>
      <c r="H868" s="15"/>
      <c r="I868" s="15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/>
      <c r="AU868" s="14"/>
      <c r="AV868" s="14"/>
      <c r="AW868" s="14"/>
      <c r="AX868" s="14"/>
      <c r="AY868" s="14"/>
      <c r="AZ868" s="14"/>
      <c r="BA868" s="14"/>
      <c r="BB868" s="14"/>
      <c r="BC868" s="14"/>
      <c r="BD868" s="14"/>
      <c r="BE868" s="14"/>
      <c r="BF868" s="14"/>
      <c r="BG868" s="14"/>
      <c r="BH868" s="14"/>
      <c r="BI868" s="14"/>
      <c r="BJ868" s="14"/>
      <c r="BK868" s="14"/>
      <c r="BL868" s="14"/>
      <c r="BM868" s="14"/>
      <c r="BN868" s="14"/>
      <c r="BO868" s="14"/>
      <c r="BP868" s="14"/>
      <c r="BQ868" s="14"/>
      <c r="BR868" s="14"/>
      <c r="BS868" s="14"/>
      <c r="BT868" s="14"/>
      <c r="BU868" s="14"/>
      <c r="BV868" s="14"/>
      <c r="BW868" s="14"/>
      <c r="BX868" s="14"/>
      <c r="BY868" s="14"/>
      <c r="BZ868" s="14"/>
      <c r="CA868" s="14"/>
      <c r="CB868" s="14"/>
      <c r="CC868" s="14"/>
      <c r="CD868" s="14"/>
      <c r="CE868" s="14"/>
      <c r="CF868" s="14"/>
      <c r="CG868" s="14"/>
      <c r="CH868" s="14"/>
      <c r="CI868" s="14"/>
      <c r="CJ868" s="14"/>
      <c r="CK868" s="14"/>
      <c r="CL868" s="14"/>
      <c r="CT868" s="14"/>
      <c r="CW868" s="3"/>
      <c r="DG868" s="4"/>
    </row>
    <row r="869" customFormat="false" ht="11.25" hidden="false" customHeight="true" outlineLevel="0" collapsed="false">
      <c r="A869" s="14"/>
      <c r="B869" s="15"/>
      <c r="C869" s="15"/>
      <c r="D869" s="14"/>
      <c r="E869" s="14"/>
      <c r="F869" s="14"/>
      <c r="G869" s="14"/>
      <c r="H869" s="15"/>
      <c r="I869" s="15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  <c r="AU869" s="14"/>
      <c r="AV869" s="14"/>
      <c r="AW869" s="14"/>
      <c r="AX869" s="14"/>
      <c r="AY869" s="14"/>
      <c r="AZ869" s="14"/>
      <c r="BA869" s="14"/>
      <c r="BB869" s="14"/>
      <c r="BC869" s="14"/>
      <c r="BD869" s="14"/>
      <c r="BE869" s="14"/>
      <c r="BF869" s="14"/>
      <c r="BG869" s="14"/>
      <c r="BH869" s="14"/>
      <c r="BI869" s="14"/>
      <c r="BJ869" s="14"/>
      <c r="BK869" s="14"/>
      <c r="BL869" s="14"/>
      <c r="BM869" s="14"/>
      <c r="BN869" s="14"/>
      <c r="BO869" s="14"/>
      <c r="BP869" s="14"/>
      <c r="BQ869" s="14"/>
      <c r="BR869" s="14"/>
      <c r="BS869" s="14"/>
      <c r="BT869" s="14"/>
      <c r="BU869" s="14"/>
      <c r="BV869" s="14"/>
      <c r="BW869" s="14"/>
      <c r="BX869" s="14"/>
      <c r="BY869" s="14"/>
      <c r="BZ869" s="14"/>
      <c r="CA869" s="14"/>
      <c r="CB869" s="14"/>
      <c r="CC869" s="14"/>
      <c r="CD869" s="14"/>
      <c r="CE869" s="14"/>
      <c r="CF869" s="14"/>
      <c r="CG869" s="14"/>
      <c r="CH869" s="14"/>
      <c r="CI869" s="14"/>
      <c r="CJ869" s="14"/>
      <c r="CK869" s="14"/>
      <c r="CL869" s="14"/>
      <c r="CT869" s="14"/>
      <c r="CW869" s="3"/>
      <c r="DG869" s="4"/>
    </row>
    <row r="870" customFormat="false" ht="11.25" hidden="false" customHeight="true" outlineLevel="0" collapsed="false">
      <c r="A870" s="14"/>
      <c r="B870" s="15"/>
      <c r="C870" s="15"/>
      <c r="D870" s="14"/>
      <c r="E870" s="14"/>
      <c r="F870" s="14"/>
      <c r="G870" s="14"/>
      <c r="H870" s="15"/>
      <c r="I870" s="15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  <c r="AT870" s="14"/>
      <c r="AU870" s="14"/>
      <c r="AV870" s="14"/>
      <c r="AW870" s="14"/>
      <c r="AX870" s="14"/>
      <c r="AY870" s="14"/>
      <c r="AZ870" s="14"/>
      <c r="BA870" s="14"/>
      <c r="BB870" s="14"/>
      <c r="BC870" s="14"/>
      <c r="BD870" s="14"/>
      <c r="BE870" s="14"/>
      <c r="BF870" s="14"/>
      <c r="BG870" s="14"/>
      <c r="BH870" s="14"/>
      <c r="BI870" s="14"/>
      <c r="BJ870" s="14"/>
      <c r="BK870" s="14"/>
      <c r="BL870" s="14"/>
      <c r="BM870" s="14"/>
      <c r="BN870" s="14"/>
      <c r="BO870" s="14"/>
      <c r="BP870" s="14"/>
      <c r="BQ870" s="14"/>
      <c r="BR870" s="14"/>
      <c r="BS870" s="14"/>
      <c r="BT870" s="14"/>
      <c r="BU870" s="14"/>
      <c r="BV870" s="14"/>
      <c r="BW870" s="14"/>
      <c r="BX870" s="14"/>
      <c r="BY870" s="14"/>
      <c r="BZ870" s="14"/>
      <c r="CA870" s="14"/>
      <c r="CB870" s="14"/>
      <c r="CC870" s="14"/>
      <c r="CD870" s="14"/>
      <c r="CE870" s="14"/>
      <c r="CF870" s="14"/>
      <c r="CG870" s="14"/>
      <c r="CH870" s="14"/>
      <c r="CI870" s="14"/>
      <c r="CJ870" s="14"/>
      <c r="CK870" s="14"/>
      <c r="CL870" s="14"/>
      <c r="CT870" s="14"/>
      <c r="CW870" s="3"/>
      <c r="DG870" s="4"/>
    </row>
    <row r="871" customFormat="false" ht="11.25" hidden="false" customHeight="true" outlineLevel="0" collapsed="false">
      <c r="A871" s="14"/>
      <c r="B871" s="15"/>
      <c r="C871" s="15"/>
      <c r="D871" s="14"/>
      <c r="E871" s="14"/>
      <c r="F871" s="14"/>
      <c r="G871" s="14"/>
      <c r="H871" s="15"/>
      <c r="I871" s="15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4"/>
      <c r="AX871" s="14"/>
      <c r="AY871" s="14"/>
      <c r="AZ871" s="14"/>
      <c r="BA871" s="14"/>
      <c r="BB871" s="14"/>
      <c r="BC871" s="14"/>
      <c r="BD871" s="14"/>
      <c r="BE871" s="14"/>
      <c r="BF871" s="14"/>
      <c r="BG871" s="14"/>
      <c r="BH871" s="14"/>
      <c r="BI871" s="14"/>
      <c r="BJ871" s="14"/>
      <c r="BK871" s="14"/>
      <c r="BL871" s="14"/>
      <c r="BM871" s="14"/>
      <c r="BN871" s="14"/>
      <c r="BO871" s="14"/>
      <c r="BP871" s="14"/>
      <c r="BQ871" s="14"/>
      <c r="BR871" s="14"/>
      <c r="BS871" s="14"/>
      <c r="BT871" s="14"/>
      <c r="BU871" s="14"/>
      <c r="BV871" s="14"/>
      <c r="BW871" s="14"/>
      <c r="BX871" s="14"/>
      <c r="BY871" s="14"/>
      <c r="BZ871" s="14"/>
      <c r="CA871" s="14"/>
      <c r="CB871" s="14"/>
      <c r="CC871" s="14"/>
      <c r="CD871" s="14"/>
      <c r="CE871" s="14"/>
      <c r="CF871" s="14"/>
      <c r="CG871" s="14"/>
      <c r="CH871" s="14"/>
      <c r="CI871" s="14"/>
      <c r="CJ871" s="14"/>
      <c r="CK871" s="14"/>
      <c r="CL871" s="14"/>
      <c r="CT871" s="14"/>
      <c r="CW871" s="3"/>
      <c r="DG871" s="4"/>
    </row>
    <row r="872" customFormat="false" ht="11.25" hidden="false" customHeight="true" outlineLevel="0" collapsed="false">
      <c r="A872" s="14"/>
      <c r="B872" s="15"/>
      <c r="C872" s="15"/>
      <c r="D872" s="14"/>
      <c r="E872" s="14"/>
      <c r="F872" s="14"/>
      <c r="G872" s="14"/>
      <c r="H872" s="15"/>
      <c r="I872" s="15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/>
      <c r="AU872" s="14"/>
      <c r="AV872" s="14"/>
      <c r="AW872" s="14"/>
      <c r="AX872" s="14"/>
      <c r="AY872" s="14"/>
      <c r="AZ872" s="14"/>
      <c r="BA872" s="14"/>
      <c r="BB872" s="14"/>
      <c r="BC872" s="14"/>
      <c r="BD872" s="14"/>
      <c r="BE872" s="14"/>
      <c r="BF872" s="14"/>
      <c r="BG872" s="14"/>
      <c r="BH872" s="14"/>
      <c r="BI872" s="14"/>
      <c r="BJ872" s="14"/>
      <c r="BK872" s="14"/>
      <c r="BL872" s="14"/>
      <c r="BM872" s="14"/>
      <c r="BN872" s="14"/>
      <c r="BO872" s="14"/>
      <c r="BP872" s="14"/>
      <c r="BQ872" s="14"/>
      <c r="BR872" s="14"/>
      <c r="BS872" s="14"/>
      <c r="BT872" s="14"/>
      <c r="BU872" s="14"/>
      <c r="BV872" s="14"/>
      <c r="BW872" s="14"/>
      <c r="BX872" s="14"/>
      <c r="BY872" s="14"/>
      <c r="BZ872" s="14"/>
      <c r="CA872" s="14"/>
      <c r="CB872" s="14"/>
      <c r="CC872" s="14"/>
      <c r="CD872" s="14"/>
      <c r="CE872" s="14"/>
      <c r="CF872" s="14"/>
      <c r="CG872" s="14"/>
      <c r="CH872" s="14"/>
      <c r="CI872" s="14"/>
      <c r="CJ872" s="14"/>
      <c r="CK872" s="14"/>
      <c r="CL872" s="14"/>
      <c r="CT872" s="14"/>
      <c r="CW872" s="3"/>
      <c r="DG872" s="4"/>
    </row>
    <row r="873" customFormat="false" ht="11.25" hidden="false" customHeight="true" outlineLevel="0" collapsed="false">
      <c r="A873" s="14"/>
      <c r="B873" s="15"/>
      <c r="C873" s="15"/>
      <c r="D873" s="14"/>
      <c r="E873" s="14"/>
      <c r="F873" s="14"/>
      <c r="G873" s="14"/>
      <c r="H873" s="15"/>
      <c r="I873" s="15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14"/>
      <c r="AX873" s="14"/>
      <c r="AY873" s="14"/>
      <c r="AZ873" s="14"/>
      <c r="BA873" s="14"/>
      <c r="BB873" s="14"/>
      <c r="BC873" s="14"/>
      <c r="BD873" s="14"/>
      <c r="BE873" s="14"/>
      <c r="BF873" s="14"/>
      <c r="BG873" s="14"/>
      <c r="BH873" s="14"/>
      <c r="BI873" s="14"/>
      <c r="BJ873" s="14"/>
      <c r="BK873" s="14"/>
      <c r="BL873" s="14"/>
      <c r="BM873" s="14"/>
      <c r="BN873" s="14"/>
      <c r="BO873" s="14"/>
      <c r="BP873" s="14"/>
      <c r="BQ873" s="14"/>
      <c r="BR873" s="14"/>
      <c r="BS873" s="14"/>
      <c r="BT873" s="14"/>
      <c r="BU873" s="14"/>
      <c r="BV873" s="14"/>
      <c r="BW873" s="14"/>
      <c r="BX873" s="14"/>
      <c r="BY873" s="14"/>
      <c r="BZ873" s="14"/>
      <c r="CA873" s="14"/>
      <c r="CB873" s="14"/>
      <c r="CC873" s="14"/>
      <c r="CD873" s="14"/>
      <c r="CE873" s="14"/>
      <c r="CF873" s="14"/>
      <c r="CG873" s="14"/>
      <c r="CH873" s="14"/>
      <c r="CI873" s="14"/>
      <c r="CJ873" s="14"/>
      <c r="CK873" s="14"/>
      <c r="CL873" s="14"/>
      <c r="CT873" s="14"/>
      <c r="CW873" s="3"/>
      <c r="DG873" s="4"/>
    </row>
    <row r="874" customFormat="false" ht="11.25" hidden="false" customHeight="true" outlineLevel="0" collapsed="false">
      <c r="A874" s="14"/>
      <c r="B874" s="15"/>
      <c r="C874" s="15"/>
      <c r="D874" s="14"/>
      <c r="E874" s="14"/>
      <c r="F874" s="14"/>
      <c r="G874" s="14"/>
      <c r="H874" s="15"/>
      <c r="I874" s="15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  <c r="AT874" s="14"/>
      <c r="AU874" s="14"/>
      <c r="AV874" s="14"/>
      <c r="AW874" s="14"/>
      <c r="AX874" s="14"/>
      <c r="AY874" s="14"/>
      <c r="AZ874" s="14"/>
      <c r="BA874" s="14"/>
      <c r="BB874" s="14"/>
      <c r="BC874" s="14"/>
      <c r="BD874" s="14"/>
      <c r="BE874" s="14"/>
      <c r="BF874" s="14"/>
      <c r="BG874" s="14"/>
      <c r="BH874" s="14"/>
      <c r="BI874" s="14"/>
      <c r="BJ874" s="14"/>
      <c r="BK874" s="14"/>
      <c r="BL874" s="14"/>
      <c r="BM874" s="14"/>
      <c r="BN874" s="14"/>
      <c r="BO874" s="14"/>
      <c r="BP874" s="14"/>
      <c r="BQ874" s="14"/>
      <c r="BR874" s="14"/>
      <c r="BS874" s="14"/>
      <c r="BT874" s="14"/>
      <c r="BU874" s="14"/>
      <c r="BV874" s="14"/>
      <c r="BW874" s="14"/>
      <c r="BX874" s="14"/>
      <c r="BY874" s="14"/>
      <c r="BZ874" s="14"/>
      <c r="CA874" s="14"/>
      <c r="CB874" s="14"/>
      <c r="CC874" s="14"/>
      <c r="CD874" s="14"/>
      <c r="CE874" s="14"/>
      <c r="CF874" s="14"/>
      <c r="CG874" s="14"/>
      <c r="CH874" s="14"/>
      <c r="CI874" s="14"/>
      <c r="CJ874" s="14"/>
      <c r="CK874" s="14"/>
      <c r="CL874" s="14"/>
      <c r="CT874" s="14"/>
      <c r="CW874" s="3"/>
      <c r="DG874" s="4"/>
    </row>
    <row r="875" customFormat="false" ht="11.25" hidden="false" customHeight="true" outlineLevel="0" collapsed="false">
      <c r="A875" s="14"/>
      <c r="B875" s="15"/>
      <c r="C875" s="15"/>
      <c r="D875" s="14"/>
      <c r="E875" s="14"/>
      <c r="F875" s="14"/>
      <c r="G875" s="14"/>
      <c r="H875" s="15"/>
      <c r="I875" s="15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  <c r="AW875" s="14"/>
      <c r="AX875" s="14"/>
      <c r="AY875" s="14"/>
      <c r="AZ875" s="14"/>
      <c r="BA875" s="14"/>
      <c r="BB875" s="14"/>
      <c r="BC875" s="14"/>
      <c r="BD875" s="14"/>
      <c r="BE875" s="14"/>
      <c r="BF875" s="14"/>
      <c r="BG875" s="14"/>
      <c r="BH875" s="14"/>
      <c r="BI875" s="14"/>
      <c r="BJ875" s="14"/>
      <c r="BK875" s="14"/>
      <c r="BL875" s="14"/>
      <c r="BM875" s="14"/>
      <c r="BN875" s="14"/>
      <c r="BO875" s="14"/>
      <c r="BP875" s="14"/>
      <c r="BQ875" s="14"/>
      <c r="BR875" s="14"/>
      <c r="BS875" s="14"/>
      <c r="BT875" s="14"/>
      <c r="BU875" s="14"/>
      <c r="BV875" s="14"/>
      <c r="BW875" s="14"/>
      <c r="BX875" s="14"/>
      <c r="BY875" s="14"/>
      <c r="BZ875" s="14"/>
      <c r="CA875" s="14"/>
      <c r="CB875" s="14"/>
      <c r="CC875" s="14"/>
      <c r="CD875" s="14"/>
      <c r="CE875" s="14"/>
      <c r="CF875" s="14"/>
      <c r="CG875" s="14"/>
      <c r="CH875" s="14"/>
      <c r="CI875" s="14"/>
      <c r="CJ875" s="14"/>
      <c r="CK875" s="14"/>
      <c r="CL875" s="14"/>
      <c r="CT875" s="14"/>
      <c r="CW875" s="3"/>
      <c r="DG875" s="4"/>
    </row>
    <row r="876" customFormat="false" ht="11.25" hidden="false" customHeight="true" outlineLevel="0" collapsed="false">
      <c r="A876" s="14"/>
      <c r="B876" s="15"/>
      <c r="C876" s="15"/>
      <c r="D876" s="14"/>
      <c r="E876" s="14"/>
      <c r="F876" s="14"/>
      <c r="G876" s="14"/>
      <c r="H876" s="15"/>
      <c r="I876" s="15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  <c r="AU876" s="14"/>
      <c r="AV876" s="14"/>
      <c r="AW876" s="14"/>
      <c r="AX876" s="14"/>
      <c r="AY876" s="14"/>
      <c r="AZ876" s="14"/>
      <c r="BA876" s="14"/>
      <c r="BB876" s="14"/>
      <c r="BC876" s="14"/>
      <c r="BD876" s="14"/>
      <c r="BE876" s="14"/>
      <c r="BF876" s="14"/>
      <c r="BG876" s="14"/>
      <c r="BH876" s="14"/>
      <c r="BI876" s="14"/>
      <c r="BJ876" s="14"/>
      <c r="BK876" s="14"/>
      <c r="BL876" s="14"/>
      <c r="BM876" s="14"/>
      <c r="BN876" s="14"/>
      <c r="BO876" s="14"/>
      <c r="BP876" s="14"/>
      <c r="BQ876" s="14"/>
      <c r="BR876" s="14"/>
      <c r="BS876" s="14"/>
      <c r="BT876" s="14"/>
      <c r="BU876" s="14"/>
      <c r="BV876" s="14"/>
      <c r="BW876" s="14"/>
      <c r="BX876" s="14"/>
      <c r="BY876" s="14"/>
      <c r="BZ876" s="14"/>
      <c r="CA876" s="14"/>
      <c r="CB876" s="14"/>
      <c r="CC876" s="14"/>
      <c r="CD876" s="14"/>
      <c r="CE876" s="14"/>
      <c r="CF876" s="14"/>
      <c r="CG876" s="14"/>
      <c r="CH876" s="14"/>
      <c r="CI876" s="14"/>
      <c r="CJ876" s="14"/>
      <c r="CK876" s="14"/>
      <c r="CL876" s="14"/>
      <c r="CT876" s="14"/>
      <c r="CW876" s="3"/>
      <c r="DG876" s="4"/>
    </row>
    <row r="877" customFormat="false" ht="11.25" hidden="false" customHeight="true" outlineLevel="0" collapsed="false">
      <c r="A877" s="14"/>
      <c r="B877" s="15"/>
      <c r="C877" s="15"/>
      <c r="D877" s="14"/>
      <c r="E877" s="14"/>
      <c r="F877" s="14"/>
      <c r="G877" s="14"/>
      <c r="H877" s="15"/>
      <c r="I877" s="15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  <c r="AW877" s="14"/>
      <c r="AX877" s="14"/>
      <c r="AY877" s="14"/>
      <c r="AZ877" s="14"/>
      <c r="BA877" s="14"/>
      <c r="BB877" s="14"/>
      <c r="BC877" s="14"/>
      <c r="BD877" s="14"/>
      <c r="BE877" s="14"/>
      <c r="BF877" s="14"/>
      <c r="BG877" s="14"/>
      <c r="BH877" s="14"/>
      <c r="BI877" s="14"/>
      <c r="BJ877" s="14"/>
      <c r="BK877" s="14"/>
      <c r="BL877" s="14"/>
      <c r="BM877" s="14"/>
      <c r="BN877" s="14"/>
      <c r="BO877" s="14"/>
      <c r="BP877" s="14"/>
      <c r="BQ877" s="14"/>
      <c r="BR877" s="14"/>
      <c r="BS877" s="14"/>
      <c r="BT877" s="14"/>
      <c r="BU877" s="14"/>
      <c r="BV877" s="14"/>
      <c r="BW877" s="14"/>
      <c r="BX877" s="14"/>
      <c r="BY877" s="14"/>
      <c r="BZ877" s="14"/>
      <c r="CA877" s="14"/>
      <c r="CB877" s="14"/>
      <c r="CC877" s="14"/>
      <c r="CD877" s="14"/>
      <c r="CE877" s="14"/>
      <c r="CF877" s="14"/>
      <c r="CG877" s="14"/>
      <c r="CH877" s="14"/>
      <c r="CI877" s="14"/>
      <c r="CJ877" s="14"/>
      <c r="CK877" s="14"/>
      <c r="CL877" s="14"/>
      <c r="CT877" s="14"/>
      <c r="CW877" s="3"/>
      <c r="DG877" s="4"/>
    </row>
    <row r="878" customFormat="false" ht="11.25" hidden="false" customHeight="true" outlineLevel="0" collapsed="false">
      <c r="A878" s="14"/>
      <c r="B878" s="15"/>
      <c r="C878" s="15"/>
      <c r="D878" s="14"/>
      <c r="E878" s="14"/>
      <c r="F878" s="14"/>
      <c r="G878" s="14"/>
      <c r="H878" s="15"/>
      <c r="I878" s="15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/>
      <c r="AU878" s="14"/>
      <c r="AV878" s="14"/>
      <c r="AW878" s="14"/>
      <c r="AX878" s="14"/>
      <c r="AY878" s="14"/>
      <c r="AZ878" s="14"/>
      <c r="BA878" s="14"/>
      <c r="BB878" s="14"/>
      <c r="BC878" s="14"/>
      <c r="BD878" s="14"/>
      <c r="BE878" s="14"/>
      <c r="BF878" s="14"/>
      <c r="BG878" s="14"/>
      <c r="BH878" s="14"/>
      <c r="BI878" s="14"/>
      <c r="BJ878" s="14"/>
      <c r="BK878" s="14"/>
      <c r="BL878" s="14"/>
      <c r="BM878" s="14"/>
      <c r="BN878" s="14"/>
      <c r="BO878" s="14"/>
      <c r="BP878" s="14"/>
      <c r="BQ878" s="14"/>
      <c r="BR878" s="14"/>
      <c r="BS878" s="14"/>
      <c r="BT878" s="14"/>
      <c r="BU878" s="14"/>
      <c r="BV878" s="14"/>
      <c r="BW878" s="14"/>
      <c r="BX878" s="14"/>
      <c r="BY878" s="14"/>
      <c r="BZ878" s="14"/>
      <c r="CA878" s="14"/>
      <c r="CB878" s="14"/>
      <c r="CC878" s="14"/>
      <c r="CD878" s="14"/>
      <c r="CE878" s="14"/>
      <c r="CF878" s="14"/>
      <c r="CG878" s="14"/>
      <c r="CH878" s="14"/>
      <c r="CI878" s="14"/>
      <c r="CJ878" s="14"/>
      <c r="CK878" s="14"/>
      <c r="CL878" s="14"/>
      <c r="CT878" s="14"/>
      <c r="CW878" s="3"/>
      <c r="DG878" s="4"/>
    </row>
    <row r="879" customFormat="false" ht="11.25" hidden="false" customHeight="true" outlineLevel="0" collapsed="false">
      <c r="A879" s="14"/>
      <c r="B879" s="15"/>
      <c r="C879" s="15"/>
      <c r="D879" s="14"/>
      <c r="E879" s="14"/>
      <c r="F879" s="14"/>
      <c r="G879" s="14"/>
      <c r="H879" s="15"/>
      <c r="I879" s="15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  <c r="AW879" s="14"/>
      <c r="AX879" s="14"/>
      <c r="AY879" s="14"/>
      <c r="AZ879" s="14"/>
      <c r="BA879" s="14"/>
      <c r="BB879" s="14"/>
      <c r="BC879" s="14"/>
      <c r="BD879" s="14"/>
      <c r="BE879" s="14"/>
      <c r="BF879" s="14"/>
      <c r="BG879" s="14"/>
      <c r="BH879" s="14"/>
      <c r="BI879" s="14"/>
      <c r="BJ879" s="14"/>
      <c r="BK879" s="14"/>
      <c r="BL879" s="14"/>
      <c r="BM879" s="14"/>
      <c r="BN879" s="14"/>
      <c r="BO879" s="14"/>
      <c r="BP879" s="14"/>
      <c r="BQ879" s="14"/>
      <c r="BR879" s="14"/>
      <c r="BS879" s="14"/>
      <c r="BT879" s="14"/>
      <c r="BU879" s="14"/>
      <c r="BV879" s="14"/>
      <c r="BW879" s="14"/>
      <c r="BX879" s="14"/>
      <c r="BY879" s="14"/>
      <c r="BZ879" s="14"/>
      <c r="CA879" s="14"/>
      <c r="CB879" s="14"/>
      <c r="CC879" s="14"/>
      <c r="CD879" s="14"/>
      <c r="CE879" s="14"/>
      <c r="CF879" s="14"/>
      <c r="CG879" s="14"/>
      <c r="CH879" s="14"/>
      <c r="CI879" s="14"/>
      <c r="CJ879" s="14"/>
      <c r="CK879" s="14"/>
      <c r="CL879" s="14"/>
      <c r="CT879" s="14"/>
      <c r="CW879" s="3"/>
      <c r="DG879" s="4"/>
    </row>
    <row r="880" customFormat="false" ht="11.25" hidden="false" customHeight="true" outlineLevel="0" collapsed="false">
      <c r="A880" s="14"/>
      <c r="B880" s="15"/>
      <c r="C880" s="15"/>
      <c r="D880" s="14"/>
      <c r="E880" s="14"/>
      <c r="F880" s="14"/>
      <c r="G880" s="14"/>
      <c r="H880" s="15"/>
      <c r="I880" s="15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  <c r="AU880" s="14"/>
      <c r="AV880" s="14"/>
      <c r="AW880" s="14"/>
      <c r="AX880" s="14"/>
      <c r="AY880" s="14"/>
      <c r="AZ880" s="14"/>
      <c r="BA880" s="14"/>
      <c r="BB880" s="14"/>
      <c r="BC880" s="14"/>
      <c r="BD880" s="14"/>
      <c r="BE880" s="14"/>
      <c r="BF880" s="14"/>
      <c r="BG880" s="14"/>
      <c r="BH880" s="14"/>
      <c r="BI880" s="14"/>
      <c r="BJ880" s="14"/>
      <c r="BK880" s="14"/>
      <c r="BL880" s="14"/>
      <c r="BM880" s="14"/>
      <c r="BN880" s="14"/>
      <c r="BO880" s="14"/>
      <c r="BP880" s="14"/>
      <c r="BQ880" s="14"/>
      <c r="BR880" s="14"/>
      <c r="BS880" s="14"/>
      <c r="BT880" s="14"/>
      <c r="BU880" s="14"/>
      <c r="BV880" s="14"/>
      <c r="BW880" s="14"/>
      <c r="BX880" s="14"/>
      <c r="BY880" s="14"/>
      <c r="BZ880" s="14"/>
      <c r="CA880" s="14"/>
      <c r="CB880" s="14"/>
      <c r="CC880" s="14"/>
      <c r="CD880" s="14"/>
      <c r="CE880" s="14"/>
      <c r="CF880" s="14"/>
      <c r="CG880" s="14"/>
      <c r="CH880" s="14"/>
      <c r="CI880" s="14"/>
      <c r="CJ880" s="14"/>
      <c r="CK880" s="14"/>
      <c r="CL880" s="14"/>
      <c r="CT880" s="14"/>
      <c r="CW880" s="3"/>
      <c r="DG880" s="4"/>
    </row>
    <row r="881" customFormat="false" ht="11.25" hidden="false" customHeight="true" outlineLevel="0" collapsed="false">
      <c r="A881" s="14"/>
      <c r="B881" s="15"/>
      <c r="C881" s="15"/>
      <c r="D881" s="14"/>
      <c r="E881" s="14"/>
      <c r="F881" s="14"/>
      <c r="G881" s="14"/>
      <c r="H881" s="15"/>
      <c r="I881" s="15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4"/>
      <c r="AX881" s="14"/>
      <c r="AY881" s="14"/>
      <c r="AZ881" s="14"/>
      <c r="BA881" s="14"/>
      <c r="BB881" s="14"/>
      <c r="BC881" s="14"/>
      <c r="BD881" s="14"/>
      <c r="BE881" s="14"/>
      <c r="BF881" s="14"/>
      <c r="BG881" s="14"/>
      <c r="BH881" s="14"/>
      <c r="BI881" s="14"/>
      <c r="BJ881" s="14"/>
      <c r="BK881" s="14"/>
      <c r="BL881" s="14"/>
      <c r="BM881" s="14"/>
      <c r="BN881" s="14"/>
      <c r="BO881" s="14"/>
      <c r="BP881" s="14"/>
      <c r="BQ881" s="14"/>
      <c r="BR881" s="14"/>
      <c r="BS881" s="14"/>
      <c r="BT881" s="14"/>
      <c r="BU881" s="14"/>
      <c r="BV881" s="14"/>
      <c r="BW881" s="14"/>
      <c r="BX881" s="14"/>
      <c r="BY881" s="14"/>
      <c r="BZ881" s="14"/>
      <c r="CA881" s="14"/>
      <c r="CB881" s="14"/>
      <c r="CC881" s="14"/>
      <c r="CD881" s="14"/>
      <c r="CE881" s="14"/>
      <c r="CF881" s="14"/>
      <c r="CG881" s="14"/>
      <c r="CH881" s="14"/>
      <c r="CI881" s="14"/>
      <c r="CJ881" s="14"/>
      <c r="CK881" s="14"/>
      <c r="CL881" s="14"/>
      <c r="CT881" s="14"/>
      <c r="CW881" s="3"/>
      <c r="DG881" s="4"/>
    </row>
    <row r="882" customFormat="false" ht="11.25" hidden="false" customHeight="true" outlineLevel="0" collapsed="false">
      <c r="A882" s="14"/>
      <c r="B882" s="15"/>
      <c r="C882" s="15"/>
      <c r="D882" s="14"/>
      <c r="E882" s="14"/>
      <c r="F882" s="14"/>
      <c r="G882" s="14"/>
      <c r="H882" s="15"/>
      <c r="I882" s="15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/>
      <c r="AU882" s="14"/>
      <c r="AV882" s="14"/>
      <c r="AW882" s="14"/>
      <c r="AX882" s="14"/>
      <c r="AY882" s="14"/>
      <c r="AZ882" s="14"/>
      <c r="BA882" s="14"/>
      <c r="BB882" s="14"/>
      <c r="BC882" s="14"/>
      <c r="BD882" s="14"/>
      <c r="BE882" s="14"/>
      <c r="BF882" s="14"/>
      <c r="BG882" s="14"/>
      <c r="BH882" s="14"/>
      <c r="BI882" s="14"/>
      <c r="BJ882" s="14"/>
      <c r="BK882" s="14"/>
      <c r="BL882" s="14"/>
      <c r="BM882" s="14"/>
      <c r="BN882" s="14"/>
      <c r="BO882" s="14"/>
      <c r="BP882" s="14"/>
      <c r="BQ882" s="14"/>
      <c r="BR882" s="14"/>
      <c r="BS882" s="14"/>
      <c r="BT882" s="14"/>
      <c r="BU882" s="14"/>
      <c r="BV882" s="14"/>
      <c r="BW882" s="14"/>
      <c r="BX882" s="14"/>
      <c r="BY882" s="14"/>
      <c r="BZ882" s="14"/>
      <c r="CA882" s="14"/>
      <c r="CB882" s="14"/>
      <c r="CC882" s="14"/>
      <c r="CD882" s="14"/>
      <c r="CE882" s="14"/>
      <c r="CF882" s="14"/>
      <c r="CG882" s="14"/>
      <c r="CH882" s="14"/>
      <c r="CI882" s="14"/>
      <c r="CJ882" s="14"/>
      <c r="CK882" s="14"/>
      <c r="CL882" s="14"/>
      <c r="CT882" s="14"/>
      <c r="CW882" s="3"/>
      <c r="DG882" s="4"/>
    </row>
    <row r="883" customFormat="false" ht="11.25" hidden="false" customHeight="true" outlineLevel="0" collapsed="false">
      <c r="A883" s="14"/>
      <c r="B883" s="15"/>
      <c r="C883" s="15"/>
      <c r="D883" s="14"/>
      <c r="E883" s="14"/>
      <c r="F883" s="14"/>
      <c r="G883" s="14"/>
      <c r="H883" s="15"/>
      <c r="I883" s="15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  <c r="AU883" s="14"/>
      <c r="AV883" s="14"/>
      <c r="AW883" s="14"/>
      <c r="AX883" s="14"/>
      <c r="AY883" s="14"/>
      <c r="AZ883" s="14"/>
      <c r="BA883" s="14"/>
      <c r="BB883" s="14"/>
      <c r="BC883" s="14"/>
      <c r="BD883" s="14"/>
      <c r="BE883" s="14"/>
      <c r="BF883" s="14"/>
      <c r="BG883" s="14"/>
      <c r="BH883" s="14"/>
      <c r="BI883" s="14"/>
      <c r="BJ883" s="14"/>
      <c r="BK883" s="14"/>
      <c r="BL883" s="14"/>
      <c r="BM883" s="14"/>
      <c r="BN883" s="14"/>
      <c r="BO883" s="14"/>
      <c r="BP883" s="14"/>
      <c r="BQ883" s="14"/>
      <c r="BR883" s="14"/>
      <c r="BS883" s="14"/>
      <c r="BT883" s="14"/>
      <c r="BU883" s="14"/>
      <c r="BV883" s="14"/>
      <c r="BW883" s="14"/>
      <c r="BX883" s="14"/>
      <c r="BY883" s="14"/>
      <c r="BZ883" s="14"/>
      <c r="CA883" s="14"/>
      <c r="CB883" s="14"/>
      <c r="CC883" s="14"/>
      <c r="CD883" s="14"/>
      <c r="CE883" s="14"/>
      <c r="CF883" s="14"/>
      <c r="CG883" s="14"/>
      <c r="CH883" s="14"/>
      <c r="CI883" s="14"/>
      <c r="CJ883" s="14"/>
      <c r="CK883" s="14"/>
      <c r="CL883" s="14"/>
      <c r="CT883" s="14"/>
      <c r="CW883" s="3"/>
      <c r="DG883" s="4"/>
    </row>
    <row r="884" customFormat="false" ht="11.25" hidden="false" customHeight="true" outlineLevel="0" collapsed="false">
      <c r="A884" s="14"/>
      <c r="B884" s="15"/>
      <c r="C884" s="15"/>
      <c r="D884" s="14"/>
      <c r="E884" s="14"/>
      <c r="F884" s="14"/>
      <c r="G884" s="14"/>
      <c r="H884" s="15"/>
      <c r="I884" s="15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  <c r="AT884" s="14"/>
      <c r="AU884" s="14"/>
      <c r="AV884" s="14"/>
      <c r="AW884" s="14"/>
      <c r="AX884" s="14"/>
      <c r="AY884" s="14"/>
      <c r="AZ884" s="14"/>
      <c r="BA884" s="14"/>
      <c r="BB884" s="14"/>
      <c r="BC884" s="14"/>
      <c r="BD884" s="14"/>
      <c r="BE884" s="14"/>
      <c r="BF884" s="14"/>
      <c r="BG884" s="14"/>
      <c r="BH884" s="14"/>
      <c r="BI884" s="14"/>
      <c r="BJ884" s="14"/>
      <c r="BK884" s="14"/>
      <c r="BL884" s="14"/>
      <c r="BM884" s="14"/>
      <c r="BN884" s="14"/>
      <c r="BO884" s="14"/>
      <c r="BP884" s="14"/>
      <c r="BQ884" s="14"/>
      <c r="BR884" s="14"/>
      <c r="BS884" s="14"/>
      <c r="BT884" s="14"/>
      <c r="BU884" s="14"/>
      <c r="BV884" s="14"/>
      <c r="BW884" s="14"/>
      <c r="BX884" s="14"/>
      <c r="BY884" s="14"/>
      <c r="BZ884" s="14"/>
      <c r="CA884" s="14"/>
      <c r="CB884" s="14"/>
      <c r="CC884" s="14"/>
      <c r="CD884" s="14"/>
      <c r="CE884" s="14"/>
      <c r="CF884" s="14"/>
      <c r="CG884" s="14"/>
      <c r="CH884" s="14"/>
      <c r="CI884" s="14"/>
      <c r="CJ884" s="14"/>
      <c r="CK884" s="14"/>
      <c r="CL884" s="14"/>
      <c r="CT884" s="14"/>
      <c r="CW884" s="3"/>
      <c r="DG884" s="4"/>
    </row>
    <row r="885" customFormat="false" ht="11.25" hidden="false" customHeight="true" outlineLevel="0" collapsed="false">
      <c r="A885" s="14"/>
      <c r="B885" s="15"/>
      <c r="C885" s="15"/>
      <c r="D885" s="14"/>
      <c r="E885" s="14"/>
      <c r="F885" s="14"/>
      <c r="G885" s="14"/>
      <c r="H885" s="15"/>
      <c r="I885" s="15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  <c r="AW885" s="14"/>
      <c r="AX885" s="14"/>
      <c r="AY885" s="14"/>
      <c r="AZ885" s="14"/>
      <c r="BA885" s="14"/>
      <c r="BB885" s="14"/>
      <c r="BC885" s="14"/>
      <c r="BD885" s="14"/>
      <c r="BE885" s="14"/>
      <c r="BF885" s="14"/>
      <c r="BG885" s="14"/>
      <c r="BH885" s="14"/>
      <c r="BI885" s="14"/>
      <c r="BJ885" s="14"/>
      <c r="BK885" s="14"/>
      <c r="BL885" s="14"/>
      <c r="BM885" s="14"/>
      <c r="BN885" s="14"/>
      <c r="BO885" s="14"/>
      <c r="BP885" s="14"/>
      <c r="BQ885" s="14"/>
      <c r="BR885" s="14"/>
      <c r="BS885" s="14"/>
      <c r="BT885" s="14"/>
      <c r="BU885" s="14"/>
      <c r="BV885" s="14"/>
      <c r="BW885" s="14"/>
      <c r="BX885" s="14"/>
      <c r="BY885" s="14"/>
      <c r="BZ885" s="14"/>
      <c r="CA885" s="14"/>
      <c r="CB885" s="14"/>
      <c r="CC885" s="14"/>
      <c r="CD885" s="14"/>
      <c r="CE885" s="14"/>
      <c r="CF885" s="14"/>
      <c r="CG885" s="14"/>
      <c r="CH885" s="14"/>
      <c r="CI885" s="14"/>
      <c r="CJ885" s="14"/>
      <c r="CK885" s="14"/>
      <c r="CL885" s="14"/>
      <c r="CT885" s="14"/>
      <c r="CW885" s="3"/>
      <c r="DG885" s="4"/>
    </row>
    <row r="886" customFormat="false" ht="11.25" hidden="false" customHeight="true" outlineLevel="0" collapsed="false">
      <c r="A886" s="14"/>
      <c r="B886" s="15"/>
      <c r="C886" s="15"/>
      <c r="D886" s="14"/>
      <c r="E886" s="14"/>
      <c r="F886" s="14"/>
      <c r="G886" s="14"/>
      <c r="H886" s="15"/>
      <c r="I886" s="15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  <c r="AU886" s="14"/>
      <c r="AV886" s="14"/>
      <c r="AW886" s="14"/>
      <c r="AX886" s="14"/>
      <c r="AY886" s="14"/>
      <c r="AZ886" s="14"/>
      <c r="BA886" s="14"/>
      <c r="BB886" s="14"/>
      <c r="BC886" s="14"/>
      <c r="BD886" s="14"/>
      <c r="BE886" s="14"/>
      <c r="BF886" s="14"/>
      <c r="BG886" s="14"/>
      <c r="BH886" s="14"/>
      <c r="BI886" s="14"/>
      <c r="BJ886" s="14"/>
      <c r="BK886" s="14"/>
      <c r="BL886" s="14"/>
      <c r="BM886" s="14"/>
      <c r="BN886" s="14"/>
      <c r="BO886" s="14"/>
      <c r="BP886" s="14"/>
      <c r="BQ886" s="14"/>
      <c r="BR886" s="14"/>
      <c r="BS886" s="14"/>
      <c r="BT886" s="14"/>
      <c r="BU886" s="14"/>
      <c r="BV886" s="14"/>
      <c r="BW886" s="14"/>
      <c r="BX886" s="14"/>
      <c r="BY886" s="14"/>
      <c r="BZ886" s="14"/>
      <c r="CA886" s="14"/>
      <c r="CB886" s="14"/>
      <c r="CC886" s="14"/>
      <c r="CD886" s="14"/>
      <c r="CE886" s="14"/>
      <c r="CF886" s="14"/>
      <c r="CG886" s="14"/>
      <c r="CH886" s="14"/>
      <c r="CI886" s="14"/>
      <c r="CJ886" s="14"/>
      <c r="CK886" s="14"/>
      <c r="CL886" s="14"/>
      <c r="CT886" s="14"/>
      <c r="CW886" s="3"/>
      <c r="DG886" s="4"/>
    </row>
    <row r="887" customFormat="false" ht="11.25" hidden="false" customHeight="true" outlineLevel="0" collapsed="false">
      <c r="A887" s="14"/>
      <c r="B887" s="15"/>
      <c r="C887" s="15"/>
      <c r="D887" s="14"/>
      <c r="E887" s="14"/>
      <c r="F887" s="14"/>
      <c r="G887" s="14"/>
      <c r="H887" s="15"/>
      <c r="I887" s="15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4"/>
      <c r="AX887" s="14"/>
      <c r="AY887" s="14"/>
      <c r="AZ887" s="14"/>
      <c r="BA887" s="14"/>
      <c r="BB887" s="14"/>
      <c r="BC887" s="14"/>
      <c r="BD887" s="14"/>
      <c r="BE887" s="14"/>
      <c r="BF887" s="14"/>
      <c r="BG887" s="14"/>
      <c r="BH887" s="14"/>
      <c r="BI887" s="14"/>
      <c r="BJ887" s="14"/>
      <c r="BK887" s="14"/>
      <c r="BL887" s="14"/>
      <c r="BM887" s="14"/>
      <c r="BN887" s="14"/>
      <c r="BO887" s="14"/>
      <c r="BP887" s="14"/>
      <c r="BQ887" s="14"/>
      <c r="BR887" s="14"/>
      <c r="BS887" s="14"/>
      <c r="BT887" s="14"/>
      <c r="BU887" s="14"/>
      <c r="BV887" s="14"/>
      <c r="BW887" s="14"/>
      <c r="BX887" s="14"/>
      <c r="BY887" s="14"/>
      <c r="BZ887" s="14"/>
      <c r="CA887" s="14"/>
      <c r="CB887" s="14"/>
      <c r="CC887" s="14"/>
      <c r="CD887" s="14"/>
      <c r="CE887" s="14"/>
      <c r="CF887" s="14"/>
      <c r="CG887" s="14"/>
      <c r="CH887" s="14"/>
      <c r="CI887" s="14"/>
      <c r="CJ887" s="14"/>
      <c r="CK887" s="14"/>
      <c r="CL887" s="14"/>
      <c r="CT887" s="14"/>
      <c r="CW887" s="3"/>
      <c r="DG887" s="4"/>
    </row>
    <row r="888" customFormat="false" ht="11.25" hidden="false" customHeight="true" outlineLevel="0" collapsed="false">
      <c r="A888" s="14"/>
      <c r="B888" s="15"/>
      <c r="C888" s="15"/>
      <c r="D888" s="14"/>
      <c r="E888" s="14"/>
      <c r="F888" s="14"/>
      <c r="G888" s="14"/>
      <c r="H888" s="15"/>
      <c r="I888" s="15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  <c r="AQ888" s="14"/>
      <c r="AR888" s="14"/>
      <c r="AS888" s="14"/>
      <c r="AT888" s="14"/>
      <c r="AU888" s="14"/>
      <c r="AV888" s="14"/>
      <c r="AW888" s="14"/>
      <c r="AX888" s="14"/>
      <c r="AY888" s="14"/>
      <c r="AZ888" s="14"/>
      <c r="BA888" s="14"/>
      <c r="BB888" s="14"/>
      <c r="BC888" s="14"/>
      <c r="BD888" s="14"/>
      <c r="BE888" s="14"/>
      <c r="BF888" s="14"/>
      <c r="BG888" s="14"/>
      <c r="BH888" s="14"/>
      <c r="BI888" s="14"/>
      <c r="BJ888" s="14"/>
      <c r="BK888" s="14"/>
      <c r="BL888" s="14"/>
      <c r="BM888" s="14"/>
      <c r="BN888" s="14"/>
      <c r="BO888" s="14"/>
      <c r="BP888" s="14"/>
      <c r="BQ888" s="14"/>
      <c r="BR888" s="14"/>
      <c r="BS888" s="14"/>
      <c r="BT888" s="14"/>
      <c r="BU888" s="14"/>
      <c r="BV888" s="14"/>
      <c r="BW888" s="14"/>
      <c r="BX888" s="14"/>
      <c r="BY888" s="14"/>
      <c r="BZ888" s="14"/>
      <c r="CA888" s="14"/>
      <c r="CB888" s="14"/>
      <c r="CC888" s="14"/>
      <c r="CD888" s="14"/>
      <c r="CE888" s="14"/>
      <c r="CF888" s="14"/>
      <c r="CG888" s="14"/>
      <c r="CH888" s="14"/>
      <c r="CI888" s="14"/>
      <c r="CJ888" s="14"/>
      <c r="CK888" s="14"/>
      <c r="CL888" s="14"/>
      <c r="CT888" s="14"/>
      <c r="CW888" s="3"/>
      <c r="DG888" s="4"/>
    </row>
    <row r="889" customFormat="false" ht="11.25" hidden="false" customHeight="true" outlineLevel="0" collapsed="false">
      <c r="A889" s="14"/>
      <c r="B889" s="15"/>
      <c r="C889" s="15"/>
      <c r="D889" s="14"/>
      <c r="E889" s="14"/>
      <c r="F889" s="14"/>
      <c r="G889" s="14"/>
      <c r="H889" s="15"/>
      <c r="I889" s="15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  <c r="AU889" s="14"/>
      <c r="AV889" s="14"/>
      <c r="AW889" s="14"/>
      <c r="AX889" s="14"/>
      <c r="AY889" s="14"/>
      <c r="AZ889" s="14"/>
      <c r="BA889" s="14"/>
      <c r="BB889" s="14"/>
      <c r="BC889" s="14"/>
      <c r="BD889" s="14"/>
      <c r="BE889" s="14"/>
      <c r="BF889" s="14"/>
      <c r="BG889" s="14"/>
      <c r="BH889" s="14"/>
      <c r="BI889" s="14"/>
      <c r="BJ889" s="14"/>
      <c r="BK889" s="14"/>
      <c r="BL889" s="14"/>
      <c r="BM889" s="14"/>
      <c r="BN889" s="14"/>
      <c r="BO889" s="14"/>
      <c r="BP889" s="14"/>
      <c r="BQ889" s="14"/>
      <c r="BR889" s="14"/>
      <c r="BS889" s="14"/>
      <c r="BT889" s="14"/>
      <c r="BU889" s="14"/>
      <c r="BV889" s="14"/>
      <c r="BW889" s="14"/>
      <c r="BX889" s="14"/>
      <c r="BY889" s="14"/>
      <c r="BZ889" s="14"/>
      <c r="CA889" s="14"/>
      <c r="CB889" s="14"/>
      <c r="CC889" s="14"/>
      <c r="CD889" s="14"/>
      <c r="CE889" s="14"/>
      <c r="CF889" s="14"/>
      <c r="CG889" s="14"/>
      <c r="CH889" s="14"/>
      <c r="CI889" s="14"/>
      <c r="CJ889" s="14"/>
      <c r="CK889" s="14"/>
      <c r="CL889" s="14"/>
      <c r="CT889" s="14"/>
      <c r="CW889" s="3"/>
      <c r="DG889" s="4"/>
    </row>
    <row r="890" customFormat="false" ht="11.25" hidden="false" customHeight="true" outlineLevel="0" collapsed="false">
      <c r="A890" s="14"/>
      <c r="B890" s="15"/>
      <c r="C890" s="15"/>
      <c r="D890" s="14"/>
      <c r="E890" s="14"/>
      <c r="F890" s="14"/>
      <c r="G890" s="14"/>
      <c r="H890" s="15"/>
      <c r="I890" s="15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  <c r="AT890" s="14"/>
      <c r="AU890" s="14"/>
      <c r="AV890" s="14"/>
      <c r="AW890" s="14"/>
      <c r="AX890" s="14"/>
      <c r="AY890" s="14"/>
      <c r="AZ890" s="14"/>
      <c r="BA890" s="14"/>
      <c r="BB890" s="14"/>
      <c r="BC890" s="14"/>
      <c r="BD890" s="14"/>
      <c r="BE890" s="14"/>
      <c r="BF890" s="14"/>
      <c r="BG890" s="14"/>
      <c r="BH890" s="14"/>
      <c r="BI890" s="14"/>
      <c r="BJ890" s="14"/>
      <c r="BK890" s="14"/>
      <c r="BL890" s="14"/>
      <c r="BM890" s="14"/>
      <c r="BN890" s="14"/>
      <c r="BO890" s="14"/>
      <c r="BP890" s="14"/>
      <c r="BQ890" s="14"/>
      <c r="BR890" s="14"/>
      <c r="BS890" s="14"/>
      <c r="BT890" s="14"/>
      <c r="BU890" s="14"/>
      <c r="BV890" s="14"/>
      <c r="BW890" s="14"/>
      <c r="BX890" s="14"/>
      <c r="BY890" s="14"/>
      <c r="BZ890" s="14"/>
      <c r="CA890" s="14"/>
      <c r="CB890" s="14"/>
      <c r="CC890" s="14"/>
      <c r="CD890" s="14"/>
      <c r="CE890" s="14"/>
      <c r="CF890" s="14"/>
      <c r="CG890" s="14"/>
      <c r="CH890" s="14"/>
      <c r="CI890" s="14"/>
      <c r="CJ890" s="14"/>
      <c r="CK890" s="14"/>
      <c r="CL890" s="14"/>
      <c r="CT890" s="14"/>
      <c r="CW890" s="3"/>
      <c r="DG890" s="4"/>
    </row>
    <row r="891" customFormat="false" ht="11.25" hidden="false" customHeight="true" outlineLevel="0" collapsed="false">
      <c r="A891" s="14"/>
      <c r="B891" s="15"/>
      <c r="C891" s="15"/>
      <c r="D891" s="14"/>
      <c r="E891" s="14"/>
      <c r="F891" s="14"/>
      <c r="G891" s="14"/>
      <c r="H891" s="15"/>
      <c r="I891" s="15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  <c r="AW891" s="14"/>
      <c r="AX891" s="14"/>
      <c r="AY891" s="14"/>
      <c r="AZ891" s="14"/>
      <c r="BA891" s="14"/>
      <c r="BB891" s="14"/>
      <c r="BC891" s="14"/>
      <c r="BD891" s="14"/>
      <c r="BE891" s="14"/>
      <c r="BF891" s="14"/>
      <c r="BG891" s="14"/>
      <c r="BH891" s="14"/>
      <c r="BI891" s="14"/>
      <c r="BJ891" s="14"/>
      <c r="BK891" s="14"/>
      <c r="BL891" s="14"/>
      <c r="BM891" s="14"/>
      <c r="BN891" s="14"/>
      <c r="BO891" s="14"/>
      <c r="BP891" s="14"/>
      <c r="BQ891" s="14"/>
      <c r="BR891" s="14"/>
      <c r="BS891" s="14"/>
      <c r="BT891" s="14"/>
      <c r="BU891" s="14"/>
      <c r="BV891" s="14"/>
      <c r="BW891" s="14"/>
      <c r="BX891" s="14"/>
      <c r="BY891" s="14"/>
      <c r="BZ891" s="14"/>
      <c r="CA891" s="14"/>
      <c r="CB891" s="14"/>
      <c r="CC891" s="14"/>
      <c r="CD891" s="14"/>
      <c r="CE891" s="14"/>
      <c r="CF891" s="14"/>
      <c r="CG891" s="14"/>
      <c r="CH891" s="14"/>
      <c r="CI891" s="14"/>
      <c r="CJ891" s="14"/>
      <c r="CK891" s="14"/>
      <c r="CL891" s="14"/>
      <c r="CT891" s="14"/>
      <c r="CW891" s="3"/>
      <c r="DG891" s="4"/>
    </row>
    <row r="892" customFormat="false" ht="11.25" hidden="false" customHeight="true" outlineLevel="0" collapsed="false">
      <c r="A892" s="14"/>
      <c r="B892" s="15"/>
      <c r="C892" s="15"/>
      <c r="D892" s="14"/>
      <c r="E892" s="14"/>
      <c r="F892" s="14"/>
      <c r="G892" s="14"/>
      <c r="H892" s="15"/>
      <c r="I892" s="15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  <c r="AU892" s="14"/>
      <c r="AV892" s="14"/>
      <c r="AW892" s="14"/>
      <c r="AX892" s="14"/>
      <c r="AY892" s="14"/>
      <c r="AZ892" s="14"/>
      <c r="BA892" s="14"/>
      <c r="BB892" s="14"/>
      <c r="BC892" s="14"/>
      <c r="BD892" s="14"/>
      <c r="BE892" s="14"/>
      <c r="BF892" s="14"/>
      <c r="BG892" s="14"/>
      <c r="BH892" s="14"/>
      <c r="BI892" s="14"/>
      <c r="BJ892" s="14"/>
      <c r="BK892" s="14"/>
      <c r="BL892" s="14"/>
      <c r="BM892" s="14"/>
      <c r="BN892" s="14"/>
      <c r="BO892" s="14"/>
      <c r="BP892" s="14"/>
      <c r="BQ892" s="14"/>
      <c r="BR892" s="14"/>
      <c r="BS892" s="14"/>
      <c r="BT892" s="14"/>
      <c r="BU892" s="14"/>
      <c r="BV892" s="14"/>
      <c r="BW892" s="14"/>
      <c r="BX892" s="14"/>
      <c r="BY892" s="14"/>
      <c r="BZ892" s="14"/>
      <c r="CA892" s="14"/>
      <c r="CB892" s="14"/>
      <c r="CC892" s="14"/>
      <c r="CD892" s="14"/>
      <c r="CE892" s="14"/>
      <c r="CF892" s="14"/>
      <c r="CG892" s="14"/>
      <c r="CH892" s="14"/>
      <c r="CI892" s="14"/>
      <c r="CJ892" s="14"/>
      <c r="CK892" s="14"/>
      <c r="CL892" s="14"/>
      <c r="CT892" s="14"/>
      <c r="CW892" s="3"/>
      <c r="DG892" s="4"/>
    </row>
    <row r="893" customFormat="false" ht="11.25" hidden="false" customHeight="true" outlineLevel="0" collapsed="false">
      <c r="A893" s="14"/>
      <c r="B893" s="15"/>
      <c r="C893" s="15"/>
      <c r="D893" s="14"/>
      <c r="E893" s="14"/>
      <c r="F893" s="14"/>
      <c r="G893" s="14"/>
      <c r="H893" s="15"/>
      <c r="I893" s="15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14"/>
      <c r="AV893" s="14"/>
      <c r="AW893" s="14"/>
      <c r="AX893" s="14"/>
      <c r="AY893" s="14"/>
      <c r="AZ893" s="14"/>
      <c r="BA893" s="14"/>
      <c r="BB893" s="14"/>
      <c r="BC893" s="14"/>
      <c r="BD893" s="14"/>
      <c r="BE893" s="14"/>
      <c r="BF893" s="14"/>
      <c r="BG893" s="14"/>
      <c r="BH893" s="14"/>
      <c r="BI893" s="14"/>
      <c r="BJ893" s="14"/>
      <c r="BK893" s="14"/>
      <c r="BL893" s="14"/>
      <c r="BM893" s="14"/>
      <c r="BN893" s="14"/>
      <c r="BO893" s="14"/>
      <c r="BP893" s="14"/>
      <c r="BQ893" s="14"/>
      <c r="BR893" s="14"/>
      <c r="BS893" s="14"/>
      <c r="BT893" s="14"/>
      <c r="BU893" s="14"/>
      <c r="BV893" s="14"/>
      <c r="BW893" s="14"/>
      <c r="BX893" s="14"/>
      <c r="BY893" s="14"/>
      <c r="BZ893" s="14"/>
      <c r="CA893" s="14"/>
      <c r="CB893" s="14"/>
      <c r="CC893" s="14"/>
      <c r="CD893" s="14"/>
      <c r="CE893" s="14"/>
      <c r="CF893" s="14"/>
      <c r="CG893" s="14"/>
      <c r="CH893" s="14"/>
      <c r="CI893" s="14"/>
      <c r="CJ893" s="14"/>
      <c r="CK893" s="14"/>
      <c r="CL893" s="14"/>
      <c r="CT893" s="14"/>
      <c r="CW893" s="3"/>
      <c r="DG893" s="4"/>
    </row>
    <row r="894" customFormat="false" ht="11.25" hidden="false" customHeight="true" outlineLevel="0" collapsed="false">
      <c r="A894" s="14"/>
      <c r="B894" s="15"/>
      <c r="C894" s="15"/>
      <c r="D894" s="14"/>
      <c r="E894" s="14"/>
      <c r="F894" s="14"/>
      <c r="G894" s="14"/>
      <c r="H894" s="15"/>
      <c r="I894" s="15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/>
      <c r="AV894" s="14"/>
      <c r="AW894" s="14"/>
      <c r="AX894" s="14"/>
      <c r="AY894" s="14"/>
      <c r="AZ894" s="14"/>
      <c r="BA894" s="14"/>
      <c r="BB894" s="14"/>
      <c r="BC894" s="14"/>
      <c r="BD894" s="14"/>
      <c r="BE894" s="14"/>
      <c r="BF894" s="14"/>
      <c r="BG894" s="14"/>
      <c r="BH894" s="14"/>
      <c r="BI894" s="14"/>
      <c r="BJ894" s="14"/>
      <c r="BK894" s="14"/>
      <c r="BL894" s="14"/>
      <c r="BM894" s="14"/>
      <c r="BN894" s="14"/>
      <c r="BO894" s="14"/>
      <c r="BP894" s="14"/>
      <c r="BQ894" s="14"/>
      <c r="BR894" s="14"/>
      <c r="BS894" s="14"/>
      <c r="BT894" s="14"/>
      <c r="BU894" s="14"/>
      <c r="BV894" s="14"/>
      <c r="BW894" s="14"/>
      <c r="BX894" s="14"/>
      <c r="BY894" s="14"/>
      <c r="BZ894" s="14"/>
      <c r="CA894" s="14"/>
      <c r="CB894" s="14"/>
      <c r="CC894" s="14"/>
      <c r="CD894" s="14"/>
      <c r="CE894" s="14"/>
      <c r="CF894" s="14"/>
      <c r="CG894" s="14"/>
      <c r="CH894" s="14"/>
      <c r="CI894" s="14"/>
      <c r="CJ894" s="14"/>
      <c r="CK894" s="14"/>
      <c r="CL894" s="14"/>
      <c r="CT894" s="14"/>
      <c r="CW894" s="3"/>
      <c r="DG894" s="4"/>
    </row>
    <row r="895" customFormat="false" ht="11.25" hidden="false" customHeight="true" outlineLevel="0" collapsed="false">
      <c r="A895" s="14"/>
      <c r="B895" s="15"/>
      <c r="C895" s="15"/>
      <c r="D895" s="14"/>
      <c r="E895" s="14"/>
      <c r="F895" s="14"/>
      <c r="G895" s="14"/>
      <c r="H895" s="15"/>
      <c r="I895" s="15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  <c r="AW895" s="14"/>
      <c r="AX895" s="14"/>
      <c r="AY895" s="14"/>
      <c r="AZ895" s="14"/>
      <c r="BA895" s="14"/>
      <c r="BB895" s="14"/>
      <c r="BC895" s="14"/>
      <c r="BD895" s="14"/>
      <c r="BE895" s="14"/>
      <c r="BF895" s="14"/>
      <c r="BG895" s="14"/>
      <c r="BH895" s="14"/>
      <c r="BI895" s="14"/>
      <c r="BJ895" s="14"/>
      <c r="BK895" s="14"/>
      <c r="BL895" s="14"/>
      <c r="BM895" s="14"/>
      <c r="BN895" s="14"/>
      <c r="BO895" s="14"/>
      <c r="BP895" s="14"/>
      <c r="BQ895" s="14"/>
      <c r="BR895" s="14"/>
      <c r="BS895" s="14"/>
      <c r="BT895" s="14"/>
      <c r="BU895" s="14"/>
      <c r="BV895" s="14"/>
      <c r="BW895" s="14"/>
      <c r="BX895" s="14"/>
      <c r="BY895" s="14"/>
      <c r="BZ895" s="14"/>
      <c r="CA895" s="14"/>
      <c r="CB895" s="14"/>
      <c r="CC895" s="14"/>
      <c r="CD895" s="14"/>
      <c r="CE895" s="14"/>
      <c r="CF895" s="14"/>
      <c r="CG895" s="14"/>
      <c r="CH895" s="14"/>
      <c r="CI895" s="14"/>
      <c r="CJ895" s="14"/>
      <c r="CK895" s="14"/>
      <c r="CL895" s="14"/>
      <c r="CT895" s="14"/>
      <c r="CW895" s="3"/>
      <c r="DG895" s="4"/>
    </row>
    <row r="896" customFormat="false" ht="11.25" hidden="false" customHeight="true" outlineLevel="0" collapsed="false">
      <c r="A896" s="14"/>
      <c r="B896" s="15"/>
      <c r="C896" s="15"/>
      <c r="D896" s="14"/>
      <c r="E896" s="14"/>
      <c r="F896" s="14"/>
      <c r="G896" s="14"/>
      <c r="H896" s="15"/>
      <c r="I896" s="15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/>
      <c r="AU896" s="14"/>
      <c r="AV896" s="14"/>
      <c r="AW896" s="14"/>
      <c r="AX896" s="14"/>
      <c r="AY896" s="14"/>
      <c r="AZ896" s="14"/>
      <c r="BA896" s="14"/>
      <c r="BB896" s="14"/>
      <c r="BC896" s="14"/>
      <c r="BD896" s="14"/>
      <c r="BE896" s="14"/>
      <c r="BF896" s="14"/>
      <c r="BG896" s="14"/>
      <c r="BH896" s="14"/>
      <c r="BI896" s="14"/>
      <c r="BJ896" s="14"/>
      <c r="BK896" s="14"/>
      <c r="BL896" s="14"/>
      <c r="BM896" s="14"/>
      <c r="BN896" s="14"/>
      <c r="BO896" s="14"/>
      <c r="BP896" s="14"/>
      <c r="BQ896" s="14"/>
      <c r="BR896" s="14"/>
      <c r="BS896" s="14"/>
      <c r="BT896" s="14"/>
      <c r="BU896" s="14"/>
      <c r="BV896" s="14"/>
      <c r="BW896" s="14"/>
      <c r="BX896" s="14"/>
      <c r="BY896" s="14"/>
      <c r="BZ896" s="14"/>
      <c r="CA896" s="14"/>
      <c r="CB896" s="14"/>
      <c r="CC896" s="14"/>
      <c r="CD896" s="14"/>
      <c r="CE896" s="14"/>
      <c r="CF896" s="14"/>
      <c r="CG896" s="14"/>
      <c r="CH896" s="14"/>
      <c r="CI896" s="14"/>
      <c r="CJ896" s="14"/>
      <c r="CK896" s="14"/>
      <c r="CL896" s="14"/>
      <c r="CT896" s="14"/>
      <c r="CW896" s="3"/>
      <c r="DG896" s="4"/>
    </row>
    <row r="897" customFormat="false" ht="11.25" hidden="false" customHeight="true" outlineLevel="0" collapsed="false">
      <c r="A897" s="14"/>
      <c r="B897" s="15"/>
      <c r="C897" s="15"/>
      <c r="D897" s="14"/>
      <c r="E897" s="14"/>
      <c r="F897" s="14"/>
      <c r="G897" s="14"/>
      <c r="H897" s="15"/>
      <c r="I897" s="15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4"/>
      <c r="AX897" s="14"/>
      <c r="AY897" s="14"/>
      <c r="AZ897" s="14"/>
      <c r="BA897" s="14"/>
      <c r="BB897" s="14"/>
      <c r="BC897" s="14"/>
      <c r="BD897" s="14"/>
      <c r="BE897" s="14"/>
      <c r="BF897" s="14"/>
      <c r="BG897" s="14"/>
      <c r="BH897" s="14"/>
      <c r="BI897" s="14"/>
      <c r="BJ897" s="14"/>
      <c r="BK897" s="14"/>
      <c r="BL897" s="14"/>
      <c r="BM897" s="14"/>
      <c r="BN897" s="14"/>
      <c r="BO897" s="14"/>
      <c r="BP897" s="14"/>
      <c r="BQ897" s="14"/>
      <c r="BR897" s="14"/>
      <c r="BS897" s="14"/>
      <c r="BT897" s="14"/>
      <c r="BU897" s="14"/>
      <c r="BV897" s="14"/>
      <c r="BW897" s="14"/>
      <c r="BX897" s="14"/>
      <c r="BY897" s="14"/>
      <c r="BZ897" s="14"/>
      <c r="CA897" s="14"/>
      <c r="CB897" s="14"/>
      <c r="CC897" s="14"/>
      <c r="CD897" s="14"/>
      <c r="CE897" s="14"/>
      <c r="CF897" s="14"/>
      <c r="CG897" s="14"/>
      <c r="CH897" s="14"/>
      <c r="CI897" s="14"/>
      <c r="CJ897" s="14"/>
      <c r="CK897" s="14"/>
      <c r="CL897" s="14"/>
      <c r="CT897" s="14"/>
      <c r="CW897" s="3"/>
      <c r="DG897" s="4"/>
    </row>
    <row r="898" customFormat="false" ht="11.25" hidden="false" customHeight="true" outlineLevel="0" collapsed="false">
      <c r="A898" s="14"/>
      <c r="B898" s="15"/>
      <c r="C898" s="15"/>
      <c r="D898" s="14"/>
      <c r="E898" s="14"/>
      <c r="F898" s="14"/>
      <c r="G898" s="14"/>
      <c r="H898" s="15"/>
      <c r="I898" s="15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  <c r="AU898" s="14"/>
      <c r="AV898" s="14"/>
      <c r="AW898" s="14"/>
      <c r="AX898" s="14"/>
      <c r="AY898" s="14"/>
      <c r="AZ898" s="14"/>
      <c r="BA898" s="14"/>
      <c r="BB898" s="14"/>
      <c r="BC898" s="14"/>
      <c r="BD898" s="14"/>
      <c r="BE898" s="14"/>
      <c r="BF898" s="14"/>
      <c r="BG898" s="14"/>
      <c r="BH898" s="14"/>
      <c r="BI898" s="14"/>
      <c r="BJ898" s="14"/>
      <c r="BK898" s="14"/>
      <c r="BL898" s="14"/>
      <c r="BM898" s="14"/>
      <c r="BN898" s="14"/>
      <c r="BO898" s="14"/>
      <c r="BP898" s="14"/>
      <c r="BQ898" s="14"/>
      <c r="BR898" s="14"/>
      <c r="BS898" s="14"/>
      <c r="BT898" s="14"/>
      <c r="BU898" s="14"/>
      <c r="BV898" s="14"/>
      <c r="BW898" s="14"/>
      <c r="BX898" s="14"/>
      <c r="BY898" s="14"/>
      <c r="BZ898" s="14"/>
      <c r="CA898" s="14"/>
      <c r="CB898" s="14"/>
      <c r="CC898" s="14"/>
      <c r="CD898" s="14"/>
      <c r="CE898" s="14"/>
      <c r="CF898" s="14"/>
      <c r="CG898" s="14"/>
      <c r="CH898" s="14"/>
      <c r="CI898" s="14"/>
      <c r="CJ898" s="14"/>
      <c r="CK898" s="14"/>
      <c r="CL898" s="14"/>
      <c r="CT898" s="14"/>
      <c r="CW898" s="3"/>
      <c r="DG898" s="4"/>
    </row>
    <row r="899" customFormat="false" ht="11.25" hidden="false" customHeight="true" outlineLevel="0" collapsed="false">
      <c r="A899" s="14"/>
      <c r="B899" s="15"/>
      <c r="C899" s="15"/>
      <c r="D899" s="14"/>
      <c r="E899" s="14"/>
      <c r="F899" s="14"/>
      <c r="G899" s="14"/>
      <c r="H899" s="15"/>
      <c r="I899" s="15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4"/>
      <c r="AX899" s="14"/>
      <c r="AY899" s="14"/>
      <c r="AZ899" s="14"/>
      <c r="BA899" s="14"/>
      <c r="BB899" s="14"/>
      <c r="BC899" s="14"/>
      <c r="BD899" s="14"/>
      <c r="BE899" s="14"/>
      <c r="BF899" s="14"/>
      <c r="BG899" s="14"/>
      <c r="BH899" s="14"/>
      <c r="BI899" s="14"/>
      <c r="BJ899" s="14"/>
      <c r="BK899" s="14"/>
      <c r="BL899" s="14"/>
      <c r="BM899" s="14"/>
      <c r="BN899" s="14"/>
      <c r="BO899" s="14"/>
      <c r="BP899" s="14"/>
      <c r="BQ899" s="14"/>
      <c r="BR899" s="14"/>
      <c r="BS899" s="14"/>
      <c r="BT899" s="14"/>
      <c r="BU899" s="14"/>
      <c r="BV899" s="14"/>
      <c r="BW899" s="14"/>
      <c r="BX899" s="14"/>
      <c r="BY899" s="14"/>
      <c r="BZ899" s="14"/>
      <c r="CA899" s="14"/>
      <c r="CB899" s="14"/>
      <c r="CC899" s="14"/>
      <c r="CD899" s="14"/>
      <c r="CE899" s="14"/>
      <c r="CF899" s="14"/>
      <c r="CG899" s="14"/>
      <c r="CH899" s="14"/>
      <c r="CI899" s="14"/>
      <c r="CJ899" s="14"/>
      <c r="CK899" s="14"/>
      <c r="CL899" s="14"/>
      <c r="CT899" s="14"/>
      <c r="CW899" s="3"/>
      <c r="DG899" s="4"/>
    </row>
    <row r="900" customFormat="false" ht="11.25" hidden="false" customHeight="true" outlineLevel="0" collapsed="false">
      <c r="A900" s="14"/>
      <c r="B900" s="15"/>
      <c r="C900" s="15"/>
      <c r="D900" s="14"/>
      <c r="E900" s="14"/>
      <c r="F900" s="14"/>
      <c r="G900" s="14"/>
      <c r="H900" s="15"/>
      <c r="I900" s="15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/>
      <c r="AU900" s="14"/>
      <c r="AV900" s="14"/>
      <c r="AW900" s="14"/>
      <c r="AX900" s="14"/>
      <c r="AY900" s="14"/>
      <c r="AZ900" s="14"/>
      <c r="BA900" s="14"/>
      <c r="BB900" s="14"/>
      <c r="BC900" s="14"/>
      <c r="BD900" s="14"/>
      <c r="BE900" s="14"/>
      <c r="BF900" s="14"/>
      <c r="BG900" s="14"/>
      <c r="BH900" s="14"/>
      <c r="BI900" s="14"/>
      <c r="BJ900" s="14"/>
      <c r="BK900" s="14"/>
      <c r="BL900" s="14"/>
      <c r="BM900" s="14"/>
      <c r="BN900" s="14"/>
      <c r="BO900" s="14"/>
      <c r="BP900" s="14"/>
      <c r="BQ900" s="14"/>
      <c r="BR900" s="14"/>
      <c r="BS900" s="14"/>
      <c r="BT900" s="14"/>
      <c r="BU900" s="14"/>
      <c r="BV900" s="14"/>
      <c r="BW900" s="14"/>
      <c r="BX900" s="14"/>
      <c r="BY900" s="14"/>
      <c r="BZ900" s="14"/>
      <c r="CA900" s="14"/>
      <c r="CB900" s="14"/>
      <c r="CC900" s="14"/>
      <c r="CD900" s="14"/>
      <c r="CE900" s="14"/>
      <c r="CF900" s="14"/>
      <c r="CG900" s="14"/>
      <c r="CH900" s="14"/>
      <c r="CI900" s="14"/>
      <c r="CJ900" s="14"/>
      <c r="CK900" s="14"/>
      <c r="CL900" s="14"/>
      <c r="CT900" s="14"/>
      <c r="CW900" s="3"/>
      <c r="DG900" s="4"/>
    </row>
    <row r="901" customFormat="false" ht="11.25" hidden="false" customHeight="true" outlineLevel="0" collapsed="false">
      <c r="A901" s="14"/>
      <c r="B901" s="15"/>
      <c r="C901" s="15"/>
      <c r="D901" s="14"/>
      <c r="E901" s="14"/>
      <c r="F901" s="14"/>
      <c r="G901" s="14"/>
      <c r="H901" s="15"/>
      <c r="I901" s="15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14"/>
      <c r="AX901" s="14"/>
      <c r="AY901" s="14"/>
      <c r="AZ901" s="14"/>
      <c r="BA901" s="14"/>
      <c r="BB901" s="14"/>
      <c r="BC901" s="14"/>
      <c r="BD901" s="14"/>
      <c r="BE901" s="14"/>
      <c r="BF901" s="14"/>
      <c r="BG901" s="14"/>
      <c r="BH901" s="14"/>
      <c r="BI901" s="14"/>
      <c r="BJ901" s="14"/>
      <c r="BK901" s="14"/>
      <c r="BL901" s="14"/>
      <c r="BM901" s="14"/>
      <c r="BN901" s="14"/>
      <c r="BO901" s="14"/>
      <c r="BP901" s="14"/>
      <c r="BQ901" s="14"/>
      <c r="BR901" s="14"/>
      <c r="BS901" s="14"/>
      <c r="BT901" s="14"/>
      <c r="BU901" s="14"/>
      <c r="BV901" s="14"/>
      <c r="BW901" s="14"/>
      <c r="BX901" s="14"/>
      <c r="BY901" s="14"/>
      <c r="BZ901" s="14"/>
      <c r="CA901" s="14"/>
      <c r="CB901" s="14"/>
      <c r="CC901" s="14"/>
      <c r="CD901" s="14"/>
      <c r="CE901" s="14"/>
      <c r="CF901" s="14"/>
      <c r="CG901" s="14"/>
      <c r="CH901" s="14"/>
      <c r="CI901" s="14"/>
      <c r="CJ901" s="14"/>
      <c r="CK901" s="14"/>
      <c r="CL901" s="14"/>
      <c r="CT901" s="14"/>
      <c r="CW901" s="3"/>
      <c r="DG901" s="4"/>
    </row>
    <row r="902" customFormat="false" ht="11.25" hidden="false" customHeight="true" outlineLevel="0" collapsed="false">
      <c r="A902" s="14"/>
      <c r="B902" s="15"/>
      <c r="C902" s="15"/>
      <c r="D902" s="14"/>
      <c r="E902" s="14"/>
      <c r="F902" s="14"/>
      <c r="G902" s="14"/>
      <c r="H902" s="15"/>
      <c r="I902" s="15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14"/>
      <c r="AU902" s="14"/>
      <c r="AV902" s="14"/>
      <c r="AW902" s="14"/>
      <c r="AX902" s="14"/>
      <c r="AY902" s="14"/>
      <c r="AZ902" s="14"/>
      <c r="BA902" s="14"/>
      <c r="BB902" s="14"/>
      <c r="BC902" s="14"/>
      <c r="BD902" s="14"/>
      <c r="BE902" s="14"/>
      <c r="BF902" s="14"/>
      <c r="BG902" s="14"/>
      <c r="BH902" s="14"/>
      <c r="BI902" s="14"/>
      <c r="BJ902" s="14"/>
      <c r="BK902" s="14"/>
      <c r="BL902" s="14"/>
      <c r="BM902" s="14"/>
      <c r="BN902" s="14"/>
      <c r="BO902" s="14"/>
      <c r="BP902" s="14"/>
      <c r="BQ902" s="14"/>
      <c r="BR902" s="14"/>
      <c r="BS902" s="14"/>
      <c r="BT902" s="14"/>
      <c r="BU902" s="14"/>
      <c r="BV902" s="14"/>
      <c r="BW902" s="14"/>
      <c r="BX902" s="14"/>
      <c r="BY902" s="14"/>
      <c r="BZ902" s="14"/>
      <c r="CA902" s="14"/>
      <c r="CB902" s="14"/>
      <c r="CC902" s="14"/>
      <c r="CD902" s="14"/>
      <c r="CE902" s="14"/>
      <c r="CF902" s="14"/>
      <c r="CG902" s="14"/>
      <c r="CH902" s="14"/>
      <c r="CI902" s="14"/>
      <c r="CJ902" s="14"/>
      <c r="CK902" s="14"/>
      <c r="CL902" s="14"/>
      <c r="CT902" s="14"/>
      <c r="CW902" s="3"/>
      <c r="DG902" s="4"/>
    </row>
    <row r="903" customFormat="false" ht="11.25" hidden="false" customHeight="true" outlineLevel="0" collapsed="false">
      <c r="A903" s="14"/>
      <c r="B903" s="15"/>
      <c r="C903" s="15"/>
      <c r="D903" s="14"/>
      <c r="E903" s="14"/>
      <c r="F903" s="14"/>
      <c r="G903" s="14"/>
      <c r="H903" s="15"/>
      <c r="I903" s="15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  <c r="AU903" s="14"/>
      <c r="AV903" s="14"/>
      <c r="AW903" s="14"/>
      <c r="AX903" s="14"/>
      <c r="AY903" s="14"/>
      <c r="AZ903" s="14"/>
      <c r="BA903" s="14"/>
      <c r="BB903" s="14"/>
      <c r="BC903" s="14"/>
      <c r="BD903" s="14"/>
      <c r="BE903" s="14"/>
      <c r="BF903" s="14"/>
      <c r="BG903" s="14"/>
      <c r="BH903" s="14"/>
      <c r="BI903" s="14"/>
      <c r="BJ903" s="14"/>
      <c r="BK903" s="14"/>
      <c r="BL903" s="14"/>
      <c r="BM903" s="14"/>
      <c r="BN903" s="14"/>
      <c r="BO903" s="14"/>
      <c r="BP903" s="14"/>
      <c r="BQ903" s="14"/>
      <c r="BR903" s="14"/>
      <c r="BS903" s="14"/>
      <c r="BT903" s="14"/>
      <c r="BU903" s="14"/>
      <c r="BV903" s="14"/>
      <c r="BW903" s="14"/>
      <c r="BX903" s="14"/>
      <c r="BY903" s="14"/>
      <c r="BZ903" s="14"/>
      <c r="CA903" s="14"/>
      <c r="CB903" s="14"/>
      <c r="CC903" s="14"/>
      <c r="CD903" s="14"/>
      <c r="CE903" s="14"/>
      <c r="CF903" s="14"/>
      <c r="CG903" s="14"/>
      <c r="CH903" s="14"/>
      <c r="CI903" s="14"/>
      <c r="CJ903" s="14"/>
      <c r="CK903" s="14"/>
      <c r="CL903" s="14"/>
      <c r="CT903" s="14"/>
      <c r="CW903" s="3"/>
      <c r="DG903" s="4"/>
    </row>
    <row r="904" customFormat="false" ht="11.25" hidden="false" customHeight="true" outlineLevel="0" collapsed="false">
      <c r="A904" s="14"/>
      <c r="B904" s="15"/>
      <c r="C904" s="15"/>
      <c r="D904" s="14"/>
      <c r="E904" s="14"/>
      <c r="F904" s="14"/>
      <c r="G904" s="14"/>
      <c r="H904" s="15"/>
      <c r="I904" s="15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  <c r="AU904" s="14"/>
      <c r="AV904" s="14"/>
      <c r="AW904" s="14"/>
      <c r="AX904" s="14"/>
      <c r="AY904" s="14"/>
      <c r="AZ904" s="14"/>
      <c r="BA904" s="14"/>
      <c r="BB904" s="14"/>
      <c r="BC904" s="14"/>
      <c r="BD904" s="14"/>
      <c r="BE904" s="14"/>
      <c r="BF904" s="14"/>
      <c r="BG904" s="14"/>
      <c r="BH904" s="14"/>
      <c r="BI904" s="14"/>
      <c r="BJ904" s="14"/>
      <c r="BK904" s="14"/>
      <c r="BL904" s="14"/>
      <c r="BM904" s="14"/>
      <c r="BN904" s="14"/>
      <c r="BO904" s="14"/>
      <c r="BP904" s="14"/>
      <c r="BQ904" s="14"/>
      <c r="BR904" s="14"/>
      <c r="BS904" s="14"/>
      <c r="BT904" s="14"/>
      <c r="BU904" s="14"/>
      <c r="BV904" s="14"/>
      <c r="BW904" s="14"/>
      <c r="BX904" s="14"/>
      <c r="BY904" s="14"/>
      <c r="BZ904" s="14"/>
      <c r="CA904" s="14"/>
      <c r="CB904" s="14"/>
      <c r="CC904" s="14"/>
      <c r="CD904" s="14"/>
      <c r="CE904" s="14"/>
      <c r="CF904" s="14"/>
      <c r="CG904" s="14"/>
      <c r="CH904" s="14"/>
      <c r="CI904" s="14"/>
      <c r="CJ904" s="14"/>
      <c r="CK904" s="14"/>
      <c r="CL904" s="14"/>
      <c r="CT904" s="14"/>
      <c r="CW904" s="3"/>
      <c r="DG904" s="4"/>
    </row>
    <row r="905" customFormat="false" ht="11.25" hidden="false" customHeight="true" outlineLevel="0" collapsed="false">
      <c r="A905" s="14"/>
      <c r="B905" s="15"/>
      <c r="C905" s="15"/>
      <c r="D905" s="14"/>
      <c r="E905" s="14"/>
      <c r="F905" s="14"/>
      <c r="G905" s="14"/>
      <c r="H905" s="15"/>
      <c r="I905" s="15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14"/>
      <c r="AV905" s="14"/>
      <c r="AW905" s="14"/>
      <c r="AX905" s="14"/>
      <c r="AY905" s="14"/>
      <c r="AZ905" s="14"/>
      <c r="BA905" s="14"/>
      <c r="BB905" s="14"/>
      <c r="BC905" s="14"/>
      <c r="BD905" s="14"/>
      <c r="BE905" s="14"/>
      <c r="BF905" s="14"/>
      <c r="BG905" s="14"/>
      <c r="BH905" s="14"/>
      <c r="BI905" s="14"/>
      <c r="BJ905" s="14"/>
      <c r="BK905" s="14"/>
      <c r="BL905" s="14"/>
      <c r="BM905" s="14"/>
      <c r="BN905" s="14"/>
      <c r="BO905" s="14"/>
      <c r="BP905" s="14"/>
      <c r="BQ905" s="14"/>
      <c r="BR905" s="14"/>
      <c r="BS905" s="14"/>
      <c r="BT905" s="14"/>
      <c r="BU905" s="14"/>
      <c r="BV905" s="14"/>
      <c r="BW905" s="14"/>
      <c r="BX905" s="14"/>
      <c r="BY905" s="14"/>
      <c r="BZ905" s="14"/>
      <c r="CA905" s="14"/>
      <c r="CB905" s="14"/>
      <c r="CC905" s="14"/>
      <c r="CD905" s="14"/>
      <c r="CE905" s="14"/>
      <c r="CF905" s="14"/>
      <c r="CG905" s="14"/>
      <c r="CH905" s="14"/>
      <c r="CI905" s="14"/>
      <c r="CJ905" s="14"/>
      <c r="CK905" s="14"/>
      <c r="CL905" s="14"/>
      <c r="CT905" s="14"/>
      <c r="CW905" s="3"/>
      <c r="DG905" s="4"/>
    </row>
    <row r="906" customFormat="false" ht="11.25" hidden="false" customHeight="true" outlineLevel="0" collapsed="false">
      <c r="A906" s="14"/>
      <c r="B906" s="15"/>
      <c r="C906" s="15"/>
      <c r="D906" s="14"/>
      <c r="E906" s="14"/>
      <c r="F906" s="14"/>
      <c r="G906" s="14"/>
      <c r="H906" s="15"/>
      <c r="I906" s="15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  <c r="AT906" s="14"/>
      <c r="AU906" s="14"/>
      <c r="AV906" s="14"/>
      <c r="AW906" s="14"/>
      <c r="AX906" s="14"/>
      <c r="AY906" s="14"/>
      <c r="AZ906" s="14"/>
      <c r="BA906" s="14"/>
      <c r="BB906" s="14"/>
      <c r="BC906" s="14"/>
      <c r="BD906" s="14"/>
      <c r="BE906" s="14"/>
      <c r="BF906" s="14"/>
      <c r="BG906" s="14"/>
      <c r="BH906" s="14"/>
      <c r="BI906" s="14"/>
      <c r="BJ906" s="14"/>
      <c r="BK906" s="14"/>
      <c r="BL906" s="14"/>
      <c r="BM906" s="14"/>
      <c r="BN906" s="14"/>
      <c r="BO906" s="14"/>
      <c r="BP906" s="14"/>
      <c r="BQ906" s="14"/>
      <c r="BR906" s="14"/>
      <c r="BS906" s="14"/>
      <c r="BT906" s="14"/>
      <c r="BU906" s="14"/>
      <c r="BV906" s="14"/>
      <c r="BW906" s="14"/>
      <c r="BX906" s="14"/>
      <c r="BY906" s="14"/>
      <c r="BZ906" s="14"/>
      <c r="CA906" s="14"/>
      <c r="CB906" s="14"/>
      <c r="CC906" s="14"/>
      <c r="CD906" s="14"/>
      <c r="CE906" s="14"/>
      <c r="CF906" s="14"/>
      <c r="CG906" s="14"/>
      <c r="CH906" s="14"/>
      <c r="CI906" s="14"/>
      <c r="CJ906" s="14"/>
      <c r="CK906" s="14"/>
      <c r="CL906" s="14"/>
      <c r="CT906" s="14"/>
      <c r="CW906" s="3"/>
      <c r="DG906" s="4"/>
    </row>
    <row r="907" customFormat="false" ht="11.25" hidden="false" customHeight="true" outlineLevel="0" collapsed="false">
      <c r="A907" s="14"/>
      <c r="B907" s="15"/>
      <c r="C907" s="15"/>
      <c r="D907" s="14"/>
      <c r="E907" s="14"/>
      <c r="F907" s="14"/>
      <c r="G907" s="14"/>
      <c r="H907" s="15"/>
      <c r="I907" s="15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14"/>
      <c r="AV907" s="14"/>
      <c r="AW907" s="14"/>
      <c r="AX907" s="14"/>
      <c r="AY907" s="14"/>
      <c r="AZ907" s="14"/>
      <c r="BA907" s="14"/>
      <c r="BB907" s="14"/>
      <c r="BC907" s="14"/>
      <c r="BD907" s="14"/>
      <c r="BE907" s="14"/>
      <c r="BF907" s="14"/>
      <c r="BG907" s="14"/>
      <c r="BH907" s="14"/>
      <c r="BI907" s="14"/>
      <c r="BJ907" s="14"/>
      <c r="BK907" s="14"/>
      <c r="BL907" s="14"/>
      <c r="BM907" s="14"/>
      <c r="BN907" s="14"/>
      <c r="BO907" s="14"/>
      <c r="BP907" s="14"/>
      <c r="BQ907" s="14"/>
      <c r="BR907" s="14"/>
      <c r="BS907" s="14"/>
      <c r="BT907" s="14"/>
      <c r="BU907" s="14"/>
      <c r="BV907" s="14"/>
      <c r="BW907" s="14"/>
      <c r="BX907" s="14"/>
      <c r="BY907" s="14"/>
      <c r="BZ907" s="14"/>
      <c r="CA907" s="14"/>
      <c r="CB907" s="14"/>
      <c r="CC907" s="14"/>
      <c r="CD907" s="14"/>
      <c r="CE907" s="14"/>
      <c r="CF907" s="14"/>
      <c r="CG907" s="14"/>
      <c r="CH907" s="14"/>
      <c r="CI907" s="14"/>
      <c r="CJ907" s="14"/>
      <c r="CK907" s="14"/>
      <c r="CL907" s="14"/>
      <c r="CT907" s="14"/>
      <c r="CW907" s="3"/>
      <c r="DG907" s="4"/>
    </row>
    <row r="908" customFormat="false" ht="11.25" hidden="false" customHeight="true" outlineLevel="0" collapsed="false">
      <c r="A908" s="14"/>
      <c r="B908" s="15"/>
      <c r="C908" s="15"/>
      <c r="D908" s="14"/>
      <c r="E908" s="14"/>
      <c r="F908" s="14"/>
      <c r="G908" s="14"/>
      <c r="H908" s="15"/>
      <c r="I908" s="15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/>
      <c r="AU908" s="14"/>
      <c r="AV908" s="14"/>
      <c r="AW908" s="14"/>
      <c r="AX908" s="14"/>
      <c r="AY908" s="14"/>
      <c r="AZ908" s="14"/>
      <c r="BA908" s="14"/>
      <c r="BB908" s="14"/>
      <c r="BC908" s="14"/>
      <c r="BD908" s="14"/>
      <c r="BE908" s="14"/>
      <c r="BF908" s="14"/>
      <c r="BG908" s="14"/>
      <c r="BH908" s="14"/>
      <c r="BI908" s="14"/>
      <c r="BJ908" s="14"/>
      <c r="BK908" s="14"/>
      <c r="BL908" s="14"/>
      <c r="BM908" s="14"/>
      <c r="BN908" s="14"/>
      <c r="BO908" s="14"/>
      <c r="BP908" s="14"/>
      <c r="BQ908" s="14"/>
      <c r="BR908" s="14"/>
      <c r="BS908" s="14"/>
      <c r="BT908" s="14"/>
      <c r="BU908" s="14"/>
      <c r="BV908" s="14"/>
      <c r="BW908" s="14"/>
      <c r="BX908" s="14"/>
      <c r="BY908" s="14"/>
      <c r="BZ908" s="14"/>
      <c r="CA908" s="14"/>
      <c r="CB908" s="14"/>
      <c r="CC908" s="14"/>
      <c r="CD908" s="14"/>
      <c r="CE908" s="14"/>
      <c r="CF908" s="14"/>
      <c r="CG908" s="14"/>
      <c r="CH908" s="14"/>
      <c r="CI908" s="14"/>
      <c r="CJ908" s="14"/>
      <c r="CK908" s="14"/>
      <c r="CL908" s="14"/>
      <c r="CT908" s="14"/>
      <c r="CW908" s="3"/>
      <c r="DG908" s="4"/>
    </row>
    <row r="909" customFormat="false" ht="11.25" hidden="false" customHeight="true" outlineLevel="0" collapsed="false">
      <c r="A909" s="14"/>
      <c r="B909" s="15"/>
      <c r="C909" s="15"/>
      <c r="D909" s="14"/>
      <c r="E909" s="14"/>
      <c r="F909" s="14"/>
      <c r="G909" s="14"/>
      <c r="H909" s="15"/>
      <c r="I909" s="15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  <c r="AU909" s="14"/>
      <c r="AV909" s="14"/>
      <c r="AW909" s="14"/>
      <c r="AX909" s="14"/>
      <c r="AY909" s="14"/>
      <c r="AZ909" s="14"/>
      <c r="BA909" s="14"/>
      <c r="BB909" s="14"/>
      <c r="BC909" s="14"/>
      <c r="BD909" s="14"/>
      <c r="BE909" s="14"/>
      <c r="BF909" s="14"/>
      <c r="BG909" s="14"/>
      <c r="BH909" s="14"/>
      <c r="BI909" s="14"/>
      <c r="BJ909" s="14"/>
      <c r="BK909" s="14"/>
      <c r="BL909" s="14"/>
      <c r="BM909" s="14"/>
      <c r="BN909" s="14"/>
      <c r="BO909" s="14"/>
      <c r="BP909" s="14"/>
      <c r="BQ909" s="14"/>
      <c r="BR909" s="14"/>
      <c r="BS909" s="14"/>
      <c r="BT909" s="14"/>
      <c r="BU909" s="14"/>
      <c r="BV909" s="14"/>
      <c r="BW909" s="14"/>
      <c r="BX909" s="14"/>
      <c r="BY909" s="14"/>
      <c r="BZ909" s="14"/>
      <c r="CA909" s="14"/>
      <c r="CB909" s="14"/>
      <c r="CC909" s="14"/>
      <c r="CD909" s="14"/>
      <c r="CE909" s="14"/>
      <c r="CF909" s="14"/>
      <c r="CG909" s="14"/>
      <c r="CH909" s="14"/>
      <c r="CI909" s="14"/>
      <c r="CJ909" s="14"/>
      <c r="CK909" s="14"/>
      <c r="CL909" s="14"/>
      <c r="CT909" s="14"/>
      <c r="CW909" s="3"/>
      <c r="DG909" s="4"/>
    </row>
    <row r="910" customFormat="false" ht="11.25" hidden="false" customHeight="true" outlineLevel="0" collapsed="false">
      <c r="A910" s="14"/>
      <c r="B910" s="15"/>
      <c r="C910" s="15"/>
      <c r="D910" s="14"/>
      <c r="E910" s="14"/>
      <c r="F910" s="14"/>
      <c r="G910" s="14"/>
      <c r="H910" s="15"/>
      <c r="I910" s="15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4"/>
      <c r="AS910" s="14"/>
      <c r="AT910" s="14"/>
      <c r="AU910" s="14"/>
      <c r="AV910" s="14"/>
      <c r="AW910" s="14"/>
      <c r="AX910" s="14"/>
      <c r="AY910" s="14"/>
      <c r="AZ910" s="14"/>
      <c r="BA910" s="14"/>
      <c r="BB910" s="14"/>
      <c r="BC910" s="14"/>
      <c r="BD910" s="14"/>
      <c r="BE910" s="14"/>
      <c r="BF910" s="14"/>
      <c r="BG910" s="14"/>
      <c r="BH910" s="14"/>
      <c r="BI910" s="14"/>
      <c r="BJ910" s="14"/>
      <c r="BK910" s="14"/>
      <c r="BL910" s="14"/>
      <c r="BM910" s="14"/>
      <c r="BN910" s="14"/>
      <c r="BO910" s="14"/>
      <c r="BP910" s="14"/>
      <c r="BQ910" s="14"/>
      <c r="BR910" s="14"/>
      <c r="BS910" s="14"/>
      <c r="BT910" s="14"/>
      <c r="BU910" s="14"/>
      <c r="BV910" s="14"/>
      <c r="BW910" s="14"/>
      <c r="BX910" s="14"/>
      <c r="BY910" s="14"/>
      <c r="BZ910" s="14"/>
      <c r="CA910" s="14"/>
      <c r="CB910" s="14"/>
      <c r="CC910" s="14"/>
      <c r="CD910" s="14"/>
      <c r="CE910" s="14"/>
      <c r="CF910" s="14"/>
      <c r="CG910" s="14"/>
      <c r="CH910" s="14"/>
      <c r="CI910" s="14"/>
      <c r="CJ910" s="14"/>
      <c r="CK910" s="14"/>
      <c r="CL910" s="14"/>
      <c r="CT910" s="14"/>
      <c r="CW910" s="3"/>
      <c r="DG910" s="4"/>
    </row>
    <row r="911" customFormat="false" ht="11.25" hidden="false" customHeight="true" outlineLevel="0" collapsed="false">
      <c r="A911" s="14"/>
      <c r="B911" s="15"/>
      <c r="C911" s="15"/>
      <c r="D911" s="14"/>
      <c r="E911" s="14"/>
      <c r="F911" s="14"/>
      <c r="G911" s="14"/>
      <c r="H911" s="15"/>
      <c r="I911" s="15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  <c r="AU911" s="14"/>
      <c r="AV911" s="14"/>
      <c r="AW911" s="14"/>
      <c r="AX911" s="14"/>
      <c r="AY911" s="14"/>
      <c r="AZ911" s="14"/>
      <c r="BA911" s="14"/>
      <c r="BB911" s="14"/>
      <c r="BC911" s="14"/>
      <c r="BD911" s="14"/>
      <c r="BE911" s="14"/>
      <c r="BF911" s="14"/>
      <c r="BG911" s="14"/>
      <c r="BH911" s="14"/>
      <c r="BI911" s="14"/>
      <c r="BJ911" s="14"/>
      <c r="BK911" s="14"/>
      <c r="BL911" s="14"/>
      <c r="BM911" s="14"/>
      <c r="BN911" s="14"/>
      <c r="BO911" s="14"/>
      <c r="BP911" s="14"/>
      <c r="BQ911" s="14"/>
      <c r="BR911" s="14"/>
      <c r="BS911" s="14"/>
      <c r="BT911" s="14"/>
      <c r="BU911" s="14"/>
      <c r="BV911" s="14"/>
      <c r="BW911" s="14"/>
      <c r="BX911" s="14"/>
      <c r="BY911" s="14"/>
      <c r="BZ911" s="14"/>
      <c r="CA911" s="14"/>
      <c r="CB911" s="14"/>
      <c r="CC911" s="14"/>
      <c r="CD911" s="14"/>
      <c r="CE911" s="14"/>
      <c r="CF911" s="14"/>
      <c r="CG911" s="14"/>
      <c r="CH911" s="14"/>
      <c r="CI911" s="14"/>
      <c r="CJ911" s="14"/>
      <c r="CK911" s="14"/>
      <c r="CL911" s="14"/>
      <c r="CT911" s="14"/>
      <c r="CW911" s="3"/>
      <c r="DG911" s="4"/>
    </row>
    <row r="912" customFormat="false" ht="11.25" hidden="false" customHeight="true" outlineLevel="0" collapsed="false">
      <c r="A912" s="14"/>
      <c r="B912" s="15"/>
      <c r="C912" s="15"/>
      <c r="D912" s="14"/>
      <c r="E912" s="14"/>
      <c r="F912" s="14"/>
      <c r="G912" s="14"/>
      <c r="H912" s="15"/>
      <c r="I912" s="15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14"/>
      <c r="AU912" s="14"/>
      <c r="AV912" s="14"/>
      <c r="AW912" s="14"/>
      <c r="AX912" s="14"/>
      <c r="AY912" s="14"/>
      <c r="AZ912" s="14"/>
      <c r="BA912" s="14"/>
      <c r="BB912" s="14"/>
      <c r="BC912" s="14"/>
      <c r="BD912" s="14"/>
      <c r="BE912" s="14"/>
      <c r="BF912" s="14"/>
      <c r="BG912" s="14"/>
      <c r="BH912" s="14"/>
      <c r="BI912" s="14"/>
      <c r="BJ912" s="14"/>
      <c r="BK912" s="14"/>
      <c r="BL912" s="14"/>
      <c r="BM912" s="14"/>
      <c r="BN912" s="14"/>
      <c r="BO912" s="14"/>
      <c r="BP912" s="14"/>
      <c r="BQ912" s="14"/>
      <c r="BR912" s="14"/>
      <c r="BS912" s="14"/>
      <c r="BT912" s="14"/>
      <c r="BU912" s="14"/>
      <c r="BV912" s="14"/>
      <c r="BW912" s="14"/>
      <c r="BX912" s="14"/>
      <c r="BY912" s="14"/>
      <c r="BZ912" s="14"/>
      <c r="CA912" s="14"/>
      <c r="CB912" s="14"/>
      <c r="CC912" s="14"/>
      <c r="CD912" s="14"/>
      <c r="CE912" s="14"/>
      <c r="CF912" s="14"/>
      <c r="CG912" s="14"/>
      <c r="CH912" s="14"/>
      <c r="CI912" s="14"/>
      <c r="CJ912" s="14"/>
      <c r="CK912" s="14"/>
      <c r="CL912" s="14"/>
      <c r="CT912" s="14"/>
      <c r="CW912" s="3"/>
      <c r="DG912" s="4"/>
    </row>
    <row r="913" customFormat="false" ht="11.25" hidden="false" customHeight="true" outlineLevel="0" collapsed="false">
      <c r="A913" s="14"/>
      <c r="B913" s="15"/>
      <c r="C913" s="15"/>
      <c r="D913" s="14"/>
      <c r="E913" s="14"/>
      <c r="F913" s="14"/>
      <c r="G913" s="14"/>
      <c r="H913" s="15"/>
      <c r="I913" s="15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  <c r="AU913" s="14"/>
      <c r="AV913" s="14"/>
      <c r="AW913" s="14"/>
      <c r="AX913" s="14"/>
      <c r="AY913" s="14"/>
      <c r="AZ913" s="14"/>
      <c r="BA913" s="14"/>
      <c r="BB913" s="14"/>
      <c r="BC913" s="14"/>
      <c r="BD913" s="14"/>
      <c r="BE913" s="14"/>
      <c r="BF913" s="14"/>
      <c r="BG913" s="14"/>
      <c r="BH913" s="14"/>
      <c r="BI913" s="14"/>
      <c r="BJ913" s="14"/>
      <c r="BK913" s="14"/>
      <c r="BL913" s="14"/>
      <c r="BM913" s="14"/>
      <c r="BN913" s="14"/>
      <c r="BO913" s="14"/>
      <c r="BP913" s="14"/>
      <c r="BQ913" s="14"/>
      <c r="BR913" s="14"/>
      <c r="BS913" s="14"/>
      <c r="BT913" s="14"/>
      <c r="BU913" s="14"/>
      <c r="BV913" s="14"/>
      <c r="BW913" s="14"/>
      <c r="BX913" s="14"/>
      <c r="BY913" s="14"/>
      <c r="BZ913" s="14"/>
      <c r="CA913" s="14"/>
      <c r="CB913" s="14"/>
      <c r="CC913" s="14"/>
      <c r="CD913" s="14"/>
      <c r="CE913" s="14"/>
      <c r="CF913" s="14"/>
      <c r="CG913" s="14"/>
      <c r="CH913" s="14"/>
      <c r="CI913" s="14"/>
      <c r="CJ913" s="14"/>
      <c r="CK913" s="14"/>
      <c r="CL913" s="14"/>
      <c r="CT913" s="14"/>
      <c r="CW913" s="3"/>
      <c r="DG913" s="4"/>
    </row>
    <row r="914" customFormat="false" ht="11.25" hidden="false" customHeight="true" outlineLevel="0" collapsed="false">
      <c r="A914" s="14"/>
      <c r="B914" s="15"/>
      <c r="C914" s="15"/>
      <c r="D914" s="14"/>
      <c r="E914" s="14"/>
      <c r="F914" s="14"/>
      <c r="G914" s="14"/>
      <c r="H914" s="15"/>
      <c r="I914" s="15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14"/>
      <c r="AU914" s="14"/>
      <c r="AV914" s="14"/>
      <c r="AW914" s="14"/>
      <c r="AX914" s="14"/>
      <c r="AY914" s="14"/>
      <c r="AZ914" s="14"/>
      <c r="BA914" s="14"/>
      <c r="BB914" s="14"/>
      <c r="BC914" s="14"/>
      <c r="BD914" s="14"/>
      <c r="BE914" s="14"/>
      <c r="BF914" s="14"/>
      <c r="BG914" s="14"/>
      <c r="BH914" s="14"/>
      <c r="BI914" s="14"/>
      <c r="BJ914" s="14"/>
      <c r="BK914" s="14"/>
      <c r="BL914" s="14"/>
      <c r="BM914" s="14"/>
      <c r="BN914" s="14"/>
      <c r="BO914" s="14"/>
      <c r="BP914" s="14"/>
      <c r="BQ914" s="14"/>
      <c r="BR914" s="14"/>
      <c r="BS914" s="14"/>
      <c r="BT914" s="14"/>
      <c r="BU914" s="14"/>
      <c r="BV914" s="14"/>
      <c r="BW914" s="14"/>
      <c r="BX914" s="14"/>
      <c r="BY914" s="14"/>
      <c r="BZ914" s="14"/>
      <c r="CA914" s="14"/>
      <c r="CB914" s="14"/>
      <c r="CC914" s="14"/>
      <c r="CD914" s="14"/>
      <c r="CE914" s="14"/>
      <c r="CF914" s="14"/>
      <c r="CG914" s="14"/>
      <c r="CH914" s="14"/>
      <c r="CI914" s="14"/>
      <c r="CJ914" s="14"/>
      <c r="CK914" s="14"/>
      <c r="CL914" s="14"/>
      <c r="CT914" s="14"/>
      <c r="CW914" s="3"/>
      <c r="DG914" s="4"/>
    </row>
    <row r="915" customFormat="false" ht="11.25" hidden="false" customHeight="true" outlineLevel="0" collapsed="false">
      <c r="A915" s="14"/>
      <c r="B915" s="15"/>
      <c r="C915" s="15"/>
      <c r="D915" s="14"/>
      <c r="E915" s="14"/>
      <c r="F915" s="14"/>
      <c r="G915" s="14"/>
      <c r="H915" s="15"/>
      <c r="I915" s="15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14"/>
      <c r="AV915" s="14"/>
      <c r="AW915" s="14"/>
      <c r="AX915" s="14"/>
      <c r="AY915" s="14"/>
      <c r="AZ915" s="14"/>
      <c r="BA915" s="14"/>
      <c r="BB915" s="14"/>
      <c r="BC915" s="14"/>
      <c r="BD915" s="14"/>
      <c r="BE915" s="14"/>
      <c r="BF915" s="14"/>
      <c r="BG915" s="14"/>
      <c r="BH915" s="14"/>
      <c r="BI915" s="14"/>
      <c r="BJ915" s="14"/>
      <c r="BK915" s="14"/>
      <c r="BL915" s="14"/>
      <c r="BM915" s="14"/>
      <c r="BN915" s="14"/>
      <c r="BO915" s="14"/>
      <c r="BP915" s="14"/>
      <c r="BQ915" s="14"/>
      <c r="BR915" s="14"/>
      <c r="BS915" s="14"/>
      <c r="BT915" s="14"/>
      <c r="BU915" s="14"/>
      <c r="BV915" s="14"/>
      <c r="BW915" s="14"/>
      <c r="BX915" s="14"/>
      <c r="BY915" s="14"/>
      <c r="BZ915" s="14"/>
      <c r="CA915" s="14"/>
      <c r="CB915" s="14"/>
      <c r="CC915" s="14"/>
      <c r="CD915" s="14"/>
      <c r="CE915" s="14"/>
      <c r="CF915" s="14"/>
      <c r="CG915" s="14"/>
      <c r="CH915" s="14"/>
      <c r="CI915" s="14"/>
      <c r="CJ915" s="14"/>
      <c r="CK915" s="14"/>
      <c r="CL915" s="14"/>
      <c r="CT915" s="14"/>
      <c r="CW915" s="3"/>
      <c r="DG915" s="4"/>
    </row>
    <row r="916" customFormat="false" ht="11.25" hidden="false" customHeight="true" outlineLevel="0" collapsed="false">
      <c r="A916" s="14"/>
      <c r="B916" s="15"/>
      <c r="C916" s="15"/>
      <c r="D916" s="14"/>
      <c r="E916" s="14"/>
      <c r="F916" s="14"/>
      <c r="G916" s="14"/>
      <c r="H916" s="15"/>
      <c r="I916" s="15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14"/>
      <c r="AU916" s="14"/>
      <c r="AV916" s="14"/>
      <c r="AW916" s="14"/>
      <c r="AX916" s="14"/>
      <c r="AY916" s="14"/>
      <c r="AZ916" s="14"/>
      <c r="BA916" s="14"/>
      <c r="BB916" s="14"/>
      <c r="BC916" s="14"/>
      <c r="BD916" s="14"/>
      <c r="BE916" s="14"/>
      <c r="BF916" s="14"/>
      <c r="BG916" s="14"/>
      <c r="BH916" s="14"/>
      <c r="BI916" s="14"/>
      <c r="BJ916" s="14"/>
      <c r="BK916" s="14"/>
      <c r="BL916" s="14"/>
      <c r="BM916" s="14"/>
      <c r="BN916" s="14"/>
      <c r="BO916" s="14"/>
      <c r="BP916" s="14"/>
      <c r="BQ916" s="14"/>
      <c r="BR916" s="14"/>
      <c r="BS916" s="14"/>
      <c r="BT916" s="14"/>
      <c r="BU916" s="14"/>
      <c r="BV916" s="14"/>
      <c r="BW916" s="14"/>
      <c r="BX916" s="14"/>
      <c r="BY916" s="14"/>
      <c r="BZ916" s="14"/>
      <c r="CA916" s="14"/>
      <c r="CB916" s="14"/>
      <c r="CC916" s="14"/>
      <c r="CD916" s="14"/>
      <c r="CE916" s="14"/>
      <c r="CF916" s="14"/>
      <c r="CG916" s="14"/>
      <c r="CH916" s="14"/>
      <c r="CI916" s="14"/>
      <c r="CJ916" s="14"/>
      <c r="CK916" s="14"/>
      <c r="CL916" s="14"/>
      <c r="CT916" s="14"/>
      <c r="CW916" s="3"/>
      <c r="DG916" s="4"/>
    </row>
    <row r="917" customFormat="false" ht="11.25" hidden="false" customHeight="true" outlineLevel="0" collapsed="false">
      <c r="A917" s="14"/>
      <c r="B917" s="15"/>
      <c r="C917" s="15"/>
      <c r="D917" s="14"/>
      <c r="E917" s="14"/>
      <c r="F917" s="14"/>
      <c r="G917" s="14"/>
      <c r="H917" s="15"/>
      <c r="I917" s="15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  <c r="AU917" s="14"/>
      <c r="AV917" s="14"/>
      <c r="AW917" s="14"/>
      <c r="AX917" s="14"/>
      <c r="AY917" s="14"/>
      <c r="AZ917" s="14"/>
      <c r="BA917" s="14"/>
      <c r="BB917" s="14"/>
      <c r="BC917" s="14"/>
      <c r="BD917" s="14"/>
      <c r="BE917" s="14"/>
      <c r="BF917" s="14"/>
      <c r="BG917" s="14"/>
      <c r="BH917" s="14"/>
      <c r="BI917" s="14"/>
      <c r="BJ917" s="14"/>
      <c r="BK917" s="14"/>
      <c r="BL917" s="14"/>
      <c r="BM917" s="14"/>
      <c r="BN917" s="14"/>
      <c r="BO917" s="14"/>
      <c r="BP917" s="14"/>
      <c r="BQ917" s="14"/>
      <c r="BR917" s="14"/>
      <c r="BS917" s="14"/>
      <c r="BT917" s="14"/>
      <c r="BU917" s="14"/>
      <c r="BV917" s="14"/>
      <c r="BW917" s="14"/>
      <c r="BX917" s="14"/>
      <c r="BY917" s="14"/>
      <c r="BZ917" s="14"/>
      <c r="CA917" s="14"/>
      <c r="CB917" s="14"/>
      <c r="CC917" s="14"/>
      <c r="CD917" s="14"/>
      <c r="CE917" s="14"/>
      <c r="CF917" s="14"/>
      <c r="CG917" s="14"/>
      <c r="CH917" s="14"/>
      <c r="CI917" s="14"/>
      <c r="CJ917" s="14"/>
      <c r="CK917" s="14"/>
      <c r="CL917" s="14"/>
      <c r="CT917" s="14"/>
      <c r="CW917" s="3"/>
      <c r="DG917" s="4"/>
    </row>
    <row r="918" customFormat="false" ht="11.25" hidden="false" customHeight="true" outlineLevel="0" collapsed="false">
      <c r="A918" s="14"/>
      <c r="B918" s="15"/>
      <c r="C918" s="15"/>
      <c r="D918" s="14"/>
      <c r="E918" s="14"/>
      <c r="F918" s="14"/>
      <c r="G918" s="14"/>
      <c r="H918" s="15"/>
      <c r="I918" s="15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14"/>
      <c r="AU918" s="14"/>
      <c r="AV918" s="14"/>
      <c r="AW918" s="14"/>
      <c r="AX918" s="14"/>
      <c r="AY918" s="14"/>
      <c r="AZ918" s="14"/>
      <c r="BA918" s="14"/>
      <c r="BB918" s="14"/>
      <c r="BC918" s="14"/>
      <c r="BD918" s="14"/>
      <c r="BE918" s="14"/>
      <c r="BF918" s="14"/>
      <c r="BG918" s="14"/>
      <c r="BH918" s="14"/>
      <c r="BI918" s="14"/>
      <c r="BJ918" s="14"/>
      <c r="BK918" s="14"/>
      <c r="BL918" s="14"/>
      <c r="BM918" s="14"/>
      <c r="BN918" s="14"/>
      <c r="BO918" s="14"/>
      <c r="BP918" s="14"/>
      <c r="BQ918" s="14"/>
      <c r="BR918" s="14"/>
      <c r="BS918" s="14"/>
      <c r="BT918" s="14"/>
      <c r="BU918" s="14"/>
      <c r="BV918" s="14"/>
      <c r="BW918" s="14"/>
      <c r="BX918" s="14"/>
      <c r="BY918" s="14"/>
      <c r="BZ918" s="14"/>
      <c r="CA918" s="14"/>
      <c r="CB918" s="14"/>
      <c r="CC918" s="14"/>
      <c r="CD918" s="14"/>
      <c r="CE918" s="14"/>
      <c r="CF918" s="14"/>
      <c r="CG918" s="14"/>
      <c r="CH918" s="14"/>
      <c r="CI918" s="14"/>
      <c r="CJ918" s="14"/>
      <c r="CK918" s="14"/>
      <c r="CL918" s="14"/>
      <c r="CT918" s="14"/>
      <c r="CW918" s="3"/>
      <c r="DG918" s="4"/>
    </row>
    <row r="919" customFormat="false" ht="11.25" hidden="false" customHeight="true" outlineLevel="0" collapsed="false">
      <c r="A919" s="14"/>
      <c r="B919" s="15"/>
      <c r="C919" s="15"/>
      <c r="D919" s="14"/>
      <c r="E919" s="14"/>
      <c r="F919" s="14"/>
      <c r="G919" s="14"/>
      <c r="H919" s="15"/>
      <c r="I919" s="15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  <c r="AW919" s="14"/>
      <c r="AX919" s="14"/>
      <c r="AY919" s="14"/>
      <c r="AZ919" s="14"/>
      <c r="BA919" s="14"/>
      <c r="BB919" s="14"/>
      <c r="BC919" s="14"/>
      <c r="BD919" s="14"/>
      <c r="BE919" s="14"/>
      <c r="BF919" s="14"/>
      <c r="BG919" s="14"/>
      <c r="BH919" s="14"/>
      <c r="BI919" s="14"/>
      <c r="BJ919" s="14"/>
      <c r="BK919" s="14"/>
      <c r="BL919" s="14"/>
      <c r="BM919" s="14"/>
      <c r="BN919" s="14"/>
      <c r="BO919" s="14"/>
      <c r="BP919" s="14"/>
      <c r="BQ919" s="14"/>
      <c r="BR919" s="14"/>
      <c r="BS919" s="14"/>
      <c r="BT919" s="14"/>
      <c r="BU919" s="14"/>
      <c r="BV919" s="14"/>
      <c r="BW919" s="14"/>
      <c r="BX919" s="14"/>
      <c r="BY919" s="14"/>
      <c r="BZ919" s="14"/>
      <c r="CA919" s="14"/>
      <c r="CB919" s="14"/>
      <c r="CC919" s="14"/>
      <c r="CD919" s="14"/>
      <c r="CE919" s="14"/>
      <c r="CF919" s="14"/>
      <c r="CG919" s="14"/>
      <c r="CH919" s="14"/>
      <c r="CI919" s="14"/>
      <c r="CJ919" s="14"/>
      <c r="CK919" s="14"/>
      <c r="CL919" s="14"/>
      <c r="CT919" s="14"/>
      <c r="CW919" s="3"/>
      <c r="DG919" s="4"/>
    </row>
    <row r="920" customFormat="false" ht="11.25" hidden="false" customHeight="true" outlineLevel="0" collapsed="false">
      <c r="A920" s="14"/>
      <c r="B920" s="15"/>
      <c r="C920" s="15"/>
      <c r="D920" s="14"/>
      <c r="E920" s="14"/>
      <c r="F920" s="14"/>
      <c r="G920" s="14"/>
      <c r="H920" s="15"/>
      <c r="I920" s="15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  <c r="AU920" s="14"/>
      <c r="AV920" s="14"/>
      <c r="AW920" s="14"/>
      <c r="AX920" s="14"/>
      <c r="AY920" s="14"/>
      <c r="AZ920" s="14"/>
      <c r="BA920" s="14"/>
      <c r="BB920" s="14"/>
      <c r="BC920" s="14"/>
      <c r="BD920" s="14"/>
      <c r="BE920" s="14"/>
      <c r="BF920" s="14"/>
      <c r="BG920" s="14"/>
      <c r="BH920" s="14"/>
      <c r="BI920" s="14"/>
      <c r="BJ920" s="14"/>
      <c r="BK920" s="14"/>
      <c r="BL920" s="14"/>
      <c r="BM920" s="14"/>
      <c r="BN920" s="14"/>
      <c r="BO920" s="14"/>
      <c r="BP920" s="14"/>
      <c r="BQ920" s="14"/>
      <c r="BR920" s="14"/>
      <c r="BS920" s="14"/>
      <c r="BT920" s="14"/>
      <c r="BU920" s="14"/>
      <c r="BV920" s="14"/>
      <c r="BW920" s="14"/>
      <c r="BX920" s="14"/>
      <c r="BY920" s="14"/>
      <c r="BZ920" s="14"/>
      <c r="CA920" s="14"/>
      <c r="CB920" s="14"/>
      <c r="CC920" s="14"/>
      <c r="CD920" s="14"/>
      <c r="CE920" s="14"/>
      <c r="CF920" s="14"/>
      <c r="CG920" s="14"/>
      <c r="CH920" s="14"/>
      <c r="CI920" s="14"/>
      <c r="CJ920" s="14"/>
      <c r="CK920" s="14"/>
      <c r="CL920" s="14"/>
      <c r="CT920" s="14"/>
      <c r="CW920" s="3"/>
      <c r="DG920" s="4"/>
    </row>
    <row r="921" customFormat="false" ht="11.25" hidden="false" customHeight="true" outlineLevel="0" collapsed="false">
      <c r="A921" s="14"/>
      <c r="B921" s="15"/>
      <c r="C921" s="15"/>
      <c r="D921" s="14"/>
      <c r="E921" s="14"/>
      <c r="F921" s="14"/>
      <c r="G921" s="14"/>
      <c r="H921" s="15"/>
      <c r="I921" s="15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  <c r="AW921" s="14"/>
      <c r="AX921" s="14"/>
      <c r="AY921" s="14"/>
      <c r="AZ921" s="14"/>
      <c r="BA921" s="14"/>
      <c r="BB921" s="14"/>
      <c r="BC921" s="14"/>
      <c r="BD921" s="14"/>
      <c r="BE921" s="14"/>
      <c r="BF921" s="14"/>
      <c r="BG921" s="14"/>
      <c r="BH921" s="14"/>
      <c r="BI921" s="14"/>
      <c r="BJ921" s="14"/>
      <c r="BK921" s="14"/>
      <c r="BL921" s="14"/>
      <c r="BM921" s="14"/>
      <c r="BN921" s="14"/>
      <c r="BO921" s="14"/>
      <c r="BP921" s="14"/>
      <c r="BQ921" s="14"/>
      <c r="BR921" s="14"/>
      <c r="BS921" s="14"/>
      <c r="BT921" s="14"/>
      <c r="BU921" s="14"/>
      <c r="BV921" s="14"/>
      <c r="BW921" s="14"/>
      <c r="BX921" s="14"/>
      <c r="BY921" s="14"/>
      <c r="BZ921" s="14"/>
      <c r="CA921" s="14"/>
      <c r="CB921" s="14"/>
      <c r="CC921" s="14"/>
      <c r="CD921" s="14"/>
      <c r="CE921" s="14"/>
      <c r="CF921" s="14"/>
      <c r="CG921" s="14"/>
      <c r="CH921" s="14"/>
      <c r="CI921" s="14"/>
      <c r="CJ921" s="14"/>
      <c r="CK921" s="14"/>
      <c r="CL921" s="14"/>
      <c r="CT921" s="14"/>
      <c r="CW921" s="3"/>
      <c r="DG921" s="4"/>
    </row>
    <row r="922" customFormat="false" ht="11.25" hidden="false" customHeight="true" outlineLevel="0" collapsed="false">
      <c r="A922" s="14"/>
      <c r="B922" s="15"/>
      <c r="C922" s="15"/>
      <c r="D922" s="14"/>
      <c r="E922" s="14"/>
      <c r="F922" s="14"/>
      <c r="G922" s="14"/>
      <c r="H922" s="15"/>
      <c r="I922" s="15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14"/>
      <c r="AU922" s="14"/>
      <c r="AV922" s="14"/>
      <c r="AW922" s="14"/>
      <c r="AX922" s="14"/>
      <c r="AY922" s="14"/>
      <c r="AZ922" s="14"/>
      <c r="BA922" s="14"/>
      <c r="BB922" s="14"/>
      <c r="BC922" s="14"/>
      <c r="BD922" s="14"/>
      <c r="BE922" s="14"/>
      <c r="BF922" s="14"/>
      <c r="BG922" s="14"/>
      <c r="BH922" s="14"/>
      <c r="BI922" s="14"/>
      <c r="BJ922" s="14"/>
      <c r="BK922" s="14"/>
      <c r="BL922" s="14"/>
      <c r="BM922" s="14"/>
      <c r="BN922" s="14"/>
      <c r="BO922" s="14"/>
      <c r="BP922" s="14"/>
      <c r="BQ922" s="14"/>
      <c r="BR922" s="14"/>
      <c r="BS922" s="14"/>
      <c r="BT922" s="14"/>
      <c r="BU922" s="14"/>
      <c r="BV922" s="14"/>
      <c r="BW922" s="14"/>
      <c r="BX922" s="14"/>
      <c r="BY922" s="14"/>
      <c r="BZ922" s="14"/>
      <c r="CA922" s="14"/>
      <c r="CB922" s="14"/>
      <c r="CC922" s="14"/>
      <c r="CD922" s="14"/>
      <c r="CE922" s="14"/>
      <c r="CF922" s="14"/>
      <c r="CG922" s="14"/>
      <c r="CH922" s="14"/>
      <c r="CI922" s="14"/>
      <c r="CJ922" s="14"/>
      <c r="CK922" s="14"/>
      <c r="CL922" s="14"/>
      <c r="CT922" s="14"/>
      <c r="CW922" s="3"/>
      <c r="DG922" s="4"/>
    </row>
    <row r="923" customFormat="false" ht="11.25" hidden="false" customHeight="true" outlineLevel="0" collapsed="false">
      <c r="A923" s="14"/>
      <c r="B923" s="15"/>
      <c r="C923" s="15"/>
      <c r="D923" s="14"/>
      <c r="E923" s="14"/>
      <c r="F923" s="14"/>
      <c r="G923" s="14"/>
      <c r="H923" s="15"/>
      <c r="I923" s="15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4"/>
      <c r="AV923" s="14"/>
      <c r="AW923" s="14"/>
      <c r="AX923" s="14"/>
      <c r="AY923" s="14"/>
      <c r="AZ923" s="14"/>
      <c r="BA923" s="14"/>
      <c r="BB923" s="14"/>
      <c r="BC923" s="14"/>
      <c r="BD923" s="14"/>
      <c r="BE923" s="14"/>
      <c r="BF923" s="14"/>
      <c r="BG923" s="14"/>
      <c r="BH923" s="14"/>
      <c r="BI923" s="14"/>
      <c r="BJ923" s="14"/>
      <c r="BK923" s="14"/>
      <c r="BL923" s="14"/>
      <c r="BM923" s="14"/>
      <c r="BN923" s="14"/>
      <c r="BO923" s="14"/>
      <c r="BP923" s="14"/>
      <c r="BQ923" s="14"/>
      <c r="BR923" s="14"/>
      <c r="BS923" s="14"/>
      <c r="BT923" s="14"/>
      <c r="BU923" s="14"/>
      <c r="BV923" s="14"/>
      <c r="BW923" s="14"/>
      <c r="BX923" s="14"/>
      <c r="BY923" s="14"/>
      <c r="BZ923" s="14"/>
      <c r="CA923" s="14"/>
      <c r="CB923" s="14"/>
      <c r="CC923" s="14"/>
      <c r="CD923" s="14"/>
      <c r="CE923" s="14"/>
      <c r="CF923" s="14"/>
      <c r="CG923" s="14"/>
      <c r="CH923" s="14"/>
      <c r="CI923" s="14"/>
      <c r="CJ923" s="14"/>
      <c r="CK923" s="14"/>
      <c r="CL923" s="14"/>
      <c r="CT923" s="14"/>
      <c r="CW923" s="3"/>
      <c r="DG923" s="4"/>
    </row>
    <row r="924" customFormat="false" ht="11.25" hidden="false" customHeight="true" outlineLevel="0" collapsed="false">
      <c r="A924" s="14"/>
      <c r="B924" s="15"/>
      <c r="C924" s="15"/>
      <c r="D924" s="14"/>
      <c r="E924" s="14"/>
      <c r="F924" s="14"/>
      <c r="G924" s="14"/>
      <c r="H924" s="15"/>
      <c r="I924" s="15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14"/>
      <c r="AU924" s="14"/>
      <c r="AV924" s="14"/>
      <c r="AW924" s="14"/>
      <c r="AX924" s="14"/>
      <c r="AY924" s="14"/>
      <c r="AZ924" s="14"/>
      <c r="BA924" s="14"/>
      <c r="BB924" s="14"/>
      <c r="BC924" s="14"/>
      <c r="BD924" s="14"/>
      <c r="BE924" s="14"/>
      <c r="BF924" s="14"/>
      <c r="BG924" s="14"/>
      <c r="BH924" s="14"/>
      <c r="BI924" s="14"/>
      <c r="BJ924" s="14"/>
      <c r="BK924" s="14"/>
      <c r="BL924" s="14"/>
      <c r="BM924" s="14"/>
      <c r="BN924" s="14"/>
      <c r="BO924" s="14"/>
      <c r="BP924" s="14"/>
      <c r="BQ924" s="14"/>
      <c r="BR924" s="14"/>
      <c r="BS924" s="14"/>
      <c r="BT924" s="14"/>
      <c r="BU924" s="14"/>
      <c r="BV924" s="14"/>
      <c r="BW924" s="14"/>
      <c r="BX924" s="14"/>
      <c r="BY924" s="14"/>
      <c r="BZ924" s="14"/>
      <c r="CA924" s="14"/>
      <c r="CB924" s="14"/>
      <c r="CC924" s="14"/>
      <c r="CD924" s="14"/>
      <c r="CE924" s="14"/>
      <c r="CF924" s="14"/>
      <c r="CG924" s="14"/>
      <c r="CH924" s="14"/>
      <c r="CI924" s="14"/>
      <c r="CJ924" s="14"/>
      <c r="CK924" s="14"/>
      <c r="CL924" s="14"/>
      <c r="CT924" s="14"/>
      <c r="CW924" s="3"/>
      <c r="DG924" s="4"/>
    </row>
    <row r="925" customFormat="false" ht="11.25" hidden="false" customHeight="true" outlineLevel="0" collapsed="false">
      <c r="A925" s="14"/>
      <c r="B925" s="15"/>
      <c r="C925" s="15"/>
      <c r="D925" s="14"/>
      <c r="E925" s="14"/>
      <c r="F925" s="14"/>
      <c r="G925" s="14"/>
      <c r="H925" s="15"/>
      <c r="I925" s="15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  <c r="AU925" s="14"/>
      <c r="AV925" s="14"/>
      <c r="AW925" s="14"/>
      <c r="AX925" s="14"/>
      <c r="AY925" s="14"/>
      <c r="AZ925" s="14"/>
      <c r="BA925" s="14"/>
      <c r="BB925" s="14"/>
      <c r="BC925" s="14"/>
      <c r="BD925" s="14"/>
      <c r="BE925" s="14"/>
      <c r="BF925" s="14"/>
      <c r="BG925" s="14"/>
      <c r="BH925" s="14"/>
      <c r="BI925" s="14"/>
      <c r="BJ925" s="14"/>
      <c r="BK925" s="14"/>
      <c r="BL925" s="14"/>
      <c r="BM925" s="14"/>
      <c r="BN925" s="14"/>
      <c r="BO925" s="14"/>
      <c r="BP925" s="14"/>
      <c r="BQ925" s="14"/>
      <c r="BR925" s="14"/>
      <c r="BS925" s="14"/>
      <c r="BT925" s="14"/>
      <c r="BU925" s="14"/>
      <c r="BV925" s="14"/>
      <c r="BW925" s="14"/>
      <c r="BX925" s="14"/>
      <c r="BY925" s="14"/>
      <c r="BZ925" s="14"/>
      <c r="CA925" s="14"/>
      <c r="CB925" s="14"/>
      <c r="CC925" s="14"/>
      <c r="CD925" s="14"/>
      <c r="CE925" s="14"/>
      <c r="CF925" s="14"/>
      <c r="CG925" s="14"/>
      <c r="CH925" s="14"/>
      <c r="CI925" s="14"/>
      <c r="CJ925" s="14"/>
      <c r="CK925" s="14"/>
      <c r="CL925" s="14"/>
      <c r="CT925" s="14"/>
      <c r="CW925" s="3"/>
      <c r="DG925" s="4"/>
    </row>
    <row r="926" customFormat="false" ht="11.25" hidden="false" customHeight="true" outlineLevel="0" collapsed="false">
      <c r="A926" s="14"/>
      <c r="B926" s="15"/>
      <c r="C926" s="15"/>
      <c r="D926" s="14"/>
      <c r="E926" s="14"/>
      <c r="F926" s="14"/>
      <c r="G926" s="14"/>
      <c r="H926" s="15"/>
      <c r="I926" s="15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14"/>
      <c r="AU926" s="14"/>
      <c r="AV926" s="14"/>
      <c r="AW926" s="14"/>
      <c r="AX926" s="14"/>
      <c r="AY926" s="14"/>
      <c r="AZ926" s="14"/>
      <c r="BA926" s="14"/>
      <c r="BB926" s="14"/>
      <c r="BC926" s="14"/>
      <c r="BD926" s="14"/>
      <c r="BE926" s="14"/>
      <c r="BF926" s="14"/>
      <c r="BG926" s="14"/>
      <c r="BH926" s="14"/>
      <c r="BI926" s="14"/>
      <c r="BJ926" s="14"/>
      <c r="BK926" s="14"/>
      <c r="BL926" s="14"/>
      <c r="BM926" s="14"/>
      <c r="BN926" s="14"/>
      <c r="BO926" s="14"/>
      <c r="BP926" s="14"/>
      <c r="BQ926" s="14"/>
      <c r="BR926" s="14"/>
      <c r="BS926" s="14"/>
      <c r="BT926" s="14"/>
      <c r="BU926" s="14"/>
      <c r="BV926" s="14"/>
      <c r="BW926" s="14"/>
      <c r="BX926" s="14"/>
      <c r="BY926" s="14"/>
      <c r="BZ926" s="14"/>
      <c r="CA926" s="14"/>
      <c r="CB926" s="14"/>
      <c r="CC926" s="14"/>
      <c r="CD926" s="14"/>
      <c r="CE926" s="14"/>
      <c r="CF926" s="14"/>
      <c r="CG926" s="14"/>
      <c r="CH926" s="14"/>
      <c r="CI926" s="14"/>
      <c r="CJ926" s="14"/>
      <c r="CK926" s="14"/>
      <c r="CL926" s="14"/>
      <c r="CT926" s="14"/>
      <c r="CW926" s="3"/>
      <c r="DG926" s="4"/>
    </row>
    <row r="927" customFormat="false" ht="11.25" hidden="false" customHeight="true" outlineLevel="0" collapsed="false">
      <c r="A927" s="14"/>
      <c r="B927" s="15"/>
      <c r="C927" s="15"/>
      <c r="D927" s="14"/>
      <c r="E927" s="14"/>
      <c r="F927" s="14"/>
      <c r="G927" s="14"/>
      <c r="H927" s="15"/>
      <c r="I927" s="15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14"/>
      <c r="AX927" s="14"/>
      <c r="AY927" s="14"/>
      <c r="AZ927" s="14"/>
      <c r="BA927" s="14"/>
      <c r="BB927" s="14"/>
      <c r="BC927" s="14"/>
      <c r="BD927" s="14"/>
      <c r="BE927" s="14"/>
      <c r="BF927" s="14"/>
      <c r="BG927" s="14"/>
      <c r="BH927" s="14"/>
      <c r="BI927" s="14"/>
      <c r="BJ927" s="14"/>
      <c r="BK927" s="14"/>
      <c r="BL927" s="14"/>
      <c r="BM927" s="14"/>
      <c r="BN927" s="14"/>
      <c r="BO927" s="14"/>
      <c r="BP927" s="14"/>
      <c r="BQ927" s="14"/>
      <c r="BR927" s="14"/>
      <c r="BS927" s="14"/>
      <c r="BT927" s="14"/>
      <c r="BU927" s="14"/>
      <c r="BV927" s="14"/>
      <c r="BW927" s="14"/>
      <c r="BX927" s="14"/>
      <c r="BY927" s="14"/>
      <c r="BZ927" s="14"/>
      <c r="CA927" s="14"/>
      <c r="CB927" s="14"/>
      <c r="CC927" s="14"/>
      <c r="CD927" s="14"/>
      <c r="CE927" s="14"/>
      <c r="CF927" s="14"/>
      <c r="CG927" s="14"/>
      <c r="CH927" s="14"/>
      <c r="CI927" s="14"/>
      <c r="CJ927" s="14"/>
      <c r="CK927" s="14"/>
      <c r="CL927" s="14"/>
      <c r="CT927" s="14"/>
      <c r="CW927" s="3"/>
      <c r="DG927" s="4"/>
    </row>
    <row r="928" customFormat="false" ht="11.25" hidden="false" customHeight="true" outlineLevel="0" collapsed="false">
      <c r="A928" s="14"/>
      <c r="B928" s="15"/>
      <c r="C928" s="15"/>
      <c r="D928" s="14"/>
      <c r="E928" s="14"/>
      <c r="F928" s="14"/>
      <c r="G928" s="14"/>
      <c r="H928" s="15"/>
      <c r="I928" s="15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14"/>
      <c r="AU928" s="14"/>
      <c r="AV928" s="14"/>
      <c r="AW928" s="14"/>
      <c r="AX928" s="14"/>
      <c r="AY928" s="14"/>
      <c r="AZ928" s="14"/>
      <c r="BA928" s="14"/>
      <c r="BB928" s="14"/>
      <c r="BC928" s="14"/>
      <c r="BD928" s="14"/>
      <c r="BE928" s="14"/>
      <c r="BF928" s="14"/>
      <c r="BG928" s="14"/>
      <c r="BH928" s="14"/>
      <c r="BI928" s="14"/>
      <c r="BJ928" s="14"/>
      <c r="BK928" s="14"/>
      <c r="BL928" s="14"/>
      <c r="BM928" s="14"/>
      <c r="BN928" s="14"/>
      <c r="BO928" s="14"/>
      <c r="BP928" s="14"/>
      <c r="BQ928" s="14"/>
      <c r="BR928" s="14"/>
      <c r="BS928" s="14"/>
      <c r="BT928" s="14"/>
      <c r="BU928" s="14"/>
      <c r="BV928" s="14"/>
      <c r="BW928" s="14"/>
      <c r="BX928" s="14"/>
      <c r="BY928" s="14"/>
      <c r="BZ928" s="14"/>
      <c r="CA928" s="14"/>
      <c r="CB928" s="14"/>
      <c r="CC928" s="14"/>
      <c r="CD928" s="14"/>
      <c r="CE928" s="14"/>
      <c r="CF928" s="14"/>
      <c r="CG928" s="14"/>
      <c r="CH928" s="14"/>
      <c r="CI928" s="14"/>
      <c r="CJ928" s="14"/>
      <c r="CK928" s="14"/>
      <c r="CL928" s="14"/>
      <c r="CT928" s="14"/>
      <c r="CW928" s="3"/>
      <c r="DG928" s="4"/>
    </row>
    <row r="929" customFormat="false" ht="11.25" hidden="false" customHeight="true" outlineLevel="0" collapsed="false">
      <c r="A929" s="14"/>
      <c r="B929" s="15"/>
      <c r="C929" s="15"/>
      <c r="D929" s="14"/>
      <c r="E929" s="14"/>
      <c r="F929" s="14"/>
      <c r="G929" s="14"/>
      <c r="H929" s="15"/>
      <c r="I929" s="15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  <c r="AW929" s="14"/>
      <c r="AX929" s="14"/>
      <c r="AY929" s="14"/>
      <c r="AZ929" s="14"/>
      <c r="BA929" s="14"/>
      <c r="BB929" s="14"/>
      <c r="BC929" s="14"/>
      <c r="BD929" s="14"/>
      <c r="BE929" s="14"/>
      <c r="BF929" s="14"/>
      <c r="BG929" s="14"/>
      <c r="BH929" s="14"/>
      <c r="BI929" s="14"/>
      <c r="BJ929" s="14"/>
      <c r="BK929" s="14"/>
      <c r="BL929" s="14"/>
      <c r="BM929" s="14"/>
      <c r="BN929" s="14"/>
      <c r="BO929" s="14"/>
      <c r="BP929" s="14"/>
      <c r="BQ929" s="14"/>
      <c r="BR929" s="14"/>
      <c r="BS929" s="14"/>
      <c r="BT929" s="14"/>
      <c r="BU929" s="14"/>
      <c r="BV929" s="14"/>
      <c r="BW929" s="14"/>
      <c r="BX929" s="14"/>
      <c r="BY929" s="14"/>
      <c r="BZ929" s="14"/>
      <c r="CA929" s="14"/>
      <c r="CB929" s="14"/>
      <c r="CC929" s="14"/>
      <c r="CD929" s="14"/>
      <c r="CE929" s="14"/>
      <c r="CF929" s="14"/>
      <c r="CG929" s="14"/>
      <c r="CH929" s="14"/>
      <c r="CI929" s="14"/>
      <c r="CJ929" s="14"/>
      <c r="CK929" s="14"/>
      <c r="CL929" s="14"/>
      <c r="CT929" s="14"/>
      <c r="CW929" s="3"/>
      <c r="DG929" s="4"/>
    </row>
    <row r="930" customFormat="false" ht="11.25" hidden="false" customHeight="true" outlineLevel="0" collapsed="false">
      <c r="A930" s="14"/>
      <c r="B930" s="15"/>
      <c r="C930" s="15"/>
      <c r="D930" s="14"/>
      <c r="E930" s="14"/>
      <c r="F930" s="14"/>
      <c r="G930" s="14"/>
      <c r="H930" s="15"/>
      <c r="I930" s="15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14"/>
      <c r="AU930" s="14"/>
      <c r="AV930" s="14"/>
      <c r="AW930" s="14"/>
      <c r="AX930" s="14"/>
      <c r="AY930" s="14"/>
      <c r="AZ930" s="14"/>
      <c r="BA930" s="14"/>
      <c r="BB930" s="14"/>
      <c r="BC930" s="14"/>
      <c r="BD930" s="14"/>
      <c r="BE930" s="14"/>
      <c r="BF930" s="14"/>
      <c r="BG930" s="14"/>
      <c r="BH930" s="14"/>
      <c r="BI930" s="14"/>
      <c r="BJ930" s="14"/>
      <c r="BK930" s="14"/>
      <c r="BL930" s="14"/>
      <c r="BM930" s="14"/>
      <c r="BN930" s="14"/>
      <c r="BO930" s="14"/>
      <c r="BP930" s="14"/>
      <c r="BQ930" s="14"/>
      <c r="BR930" s="14"/>
      <c r="BS930" s="14"/>
      <c r="BT930" s="14"/>
      <c r="BU930" s="14"/>
      <c r="BV930" s="14"/>
      <c r="BW930" s="14"/>
      <c r="BX930" s="14"/>
      <c r="BY930" s="14"/>
      <c r="BZ930" s="14"/>
      <c r="CA930" s="14"/>
      <c r="CB930" s="14"/>
      <c r="CC930" s="14"/>
      <c r="CD930" s="14"/>
      <c r="CE930" s="14"/>
      <c r="CF930" s="14"/>
      <c r="CG930" s="14"/>
      <c r="CH930" s="14"/>
      <c r="CI930" s="14"/>
      <c r="CJ930" s="14"/>
      <c r="CK930" s="14"/>
      <c r="CL930" s="14"/>
      <c r="CT930" s="14"/>
      <c r="CW930" s="3"/>
      <c r="DG930" s="4"/>
    </row>
    <row r="931" customFormat="false" ht="11.25" hidden="false" customHeight="true" outlineLevel="0" collapsed="false">
      <c r="A931" s="14"/>
      <c r="B931" s="15"/>
      <c r="C931" s="15"/>
      <c r="D931" s="14"/>
      <c r="E931" s="14"/>
      <c r="F931" s="14"/>
      <c r="G931" s="14"/>
      <c r="H931" s="15"/>
      <c r="I931" s="15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14"/>
      <c r="AU931" s="14"/>
      <c r="AV931" s="14"/>
      <c r="AW931" s="14"/>
      <c r="AX931" s="14"/>
      <c r="AY931" s="14"/>
      <c r="AZ931" s="14"/>
      <c r="BA931" s="14"/>
      <c r="BB931" s="14"/>
      <c r="BC931" s="14"/>
      <c r="BD931" s="14"/>
      <c r="BE931" s="14"/>
      <c r="BF931" s="14"/>
      <c r="BG931" s="14"/>
      <c r="BH931" s="14"/>
      <c r="BI931" s="14"/>
      <c r="BJ931" s="14"/>
      <c r="BK931" s="14"/>
      <c r="BL931" s="14"/>
      <c r="BM931" s="14"/>
      <c r="BN931" s="14"/>
      <c r="BO931" s="14"/>
      <c r="BP931" s="14"/>
      <c r="BQ931" s="14"/>
      <c r="BR931" s="14"/>
      <c r="BS931" s="14"/>
      <c r="BT931" s="14"/>
      <c r="BU931" s="14"/>
      <c r="BV931" s="14"/>
      <c r="BW931" s="14"/>
      <c r="BX931" s="14"/>
      <c r="BY931" s="14"/>
      <c r="BZ931" s="14"/>
      <c r="CA931" s="14"/>
      <c r="CB931" s="14"/>
      <c r="CC931" s="14"/>
      <c r="CD931" s="14"/>
      <c r="CE931" s="14"/>
      <c r="CF931" s="14"/>
      <c r="CG931" s="14"/>
      <c r="CH931" s="14"/>
      <c r="CI931" s="14"/>
      <c r="CJ931" s="14"/>
      <c r="CK931" s="14"/>
      <c r="CL931" s="14"/>
      <c r="CT931" s="14"/>
      <c r="CW931" s="3"/>
      <c r="DG931" s="4"/>
    </row>
    <row r="932" customFormat="false" ht="11.25" hidden="false" customHeight="true" outlineLevel="0" collapsed="false">
      <c r="A932" s="14"/>
      <c r="B932" s="15"/>
      <c r="C932" s="15"/>
      <c r="D932" s="14"/>
      <c r="E932" s="14"/>
      <c r="F932" s="14"/>
      <c r="G932" s="14"/>
      <c r="H932" s="15"/>
      <c r="I932" s="15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14"/>
      <c r="AU932" s="14"/>
      <c r="AV932" s="14"/>
      <c r="AW932" s="14"/>
      <c r="AX932" s="14"/>
      <c r="AY932" s="14"/>
      <c r="AZ932" s="14"/>
      <c r="BA932" s="14"/>
      <c r="BB932" s="14"/>
      <c r="BC932" s="14"/>
      <c r="BD932" s="14"/>
      <c r="BE932" s="14"/>
      <c r="BF932" s="14"/>
      <c r="BG932" s="14"/>
      <c r="BH932" s="14"/>
      <c r="BI932" s="14"/>
      <c r="BJ932" s="14"/>
      <c r="BK932" s="14"/>
      <c r="BL932" s="14"/>
      <c r="BM932" s="14"/>
      <c r="BN932" s="14"/>
      <c r="BO932" s="14"/>
      <c r="BP932" s="14"/>
      <c r="BQ932" s="14"/>
      <c r="BR932" s="14"/>
      <c r="BS932" s="14"/>
      <c r="BT932" s="14"/>
      <c r="BU932" s="14"/>
      <c r="BV932" s="14"/>
      <c r="BW932" s="14"/>
      <c r="BX932" s="14"/>
      <c r="BY932" s="14"/>
      <c r="BZ932" s="14"/>
      <c r="CA932" s="14"/>
      <c r="CB932" s="14"/>
      <c r="CC932" s="14"/>
      <c r="CD932" s="14"/>
      <c r="CE932" s="14"/>
      <c r="CF932" s="14"/>
      <c r="CG932" s="14"/>
      <c r="CH932" s="14"/>
      <c r="CI932" s="14"/>
      <c r="CJ932" s="14"/>
      <c r="CK932" s="14"/>
      <c r="CL932" s="14"/>
      <c r="CT932" s="14"/>
      <c r="CW932" s="3"/>
      <c r="DG932" s="4"/>
    </row>
    <row r="933" customFormat="false" ht="11.25" hidden="false" customHeight="true" outlineLevel="0" collapsed="false">
      <c r="A933" s="14"/>
      <c r="B933" s="15"/>
      <c r="C933" s="15"/>
      <c r="D933" s="14"/>
      <c r="E933" s="14"/>
      <c r="F933" s="14"/>
      <c r="G933" s="14"/>
      <c r="H933" s="15"/>
      <c r="I933" s="15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  <c r="AU933" s="14"/>
      <c r="AV933" s="14"/>
      <c r="AW933" s="14"/>
      <c r="AX933" s="14"/>
      <c r="AY933" s="14"/>
      <c r="AZ933" s="14"/>
      <c r="BA933" s="14"/>
      <c r="BB933" s="14"/>
      <c r="BC933" s="14"/>
      <c r="BD933" s="14"/>
      <c r="BE933" s="14"/>
      <c r="BF933" s="14"/>
      <c r="BG933" s="14"/>
      <c r="BH933" s="14"/>
      <c r="BI933" s="14"/>
      <c r="BJ933" s="14"/>
      <c r="BK933" s="14"/>
      <c r="BL933" s="14"/>
      <c r="BM933" s="14"/>
      <c r="BN933" s="14"/>
      <c r="BO933" s="14"/>
      <c r="BP933" s="14"/>
      <c r="BQ933" s="14"/>
      <c r="BR933" s="14"/>
      <c r="BS933" s="14"/>
      <c r="BT933" s="14"/>
      <c r="BU933" s="14"/>
      <c r="BV933" s="14"/>
      <c r="BW933" s="14"/>
      <c r="BX933" s="14"/>
      <c r="BY933" s="14"/>
      <c r="BZ933" s="14"/>
      <c r="CA933" s="14"/>
      <c r="CB933" s="14"/>
      <c r="CC933" s="14"/>
      <c r="CD933" s="14"/>
      <c r="CE933" s="14"/>
      <c r="CF933" s="14"/>
      <c r="CG933" s="14"/>
      <c r="CH933" s="14"/>
      <c r="CI933" s="14"/>
      <c r="CJ933" s="14"/>
      <c r="CK933" s="14"/>
      <c r="CL933" s="14"/>
      <c r="CT933" s="14"/>
      <c r="CW933" s="3"/>
      <c r="DG933" s="4"/>
    </row>
    <row r="934" customFormat="false" ht="11.25" hidden="false" customHeight="true" outlineLevel="0" collapsed="false">
      <c r="A934" s="14"/>
      <c r="B934" s="15"/>
      <c r="C934" s="15"/>
      <c r="D934" s="14"/>
      <c r="E934" s="14"/>
      <c r="F934" s="14"/>
      <c r="G934" s="14"/>
      <c r="H934" s="15"/>
      <c r="I934" s="15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14"/>
      <c r="AU934" s="14"/>
      <c r="AV934" s="14"/>
      <c r="AW934" s="14"/>
      <c r="AX934" s="14"/>
      <c r="AY934" s="14"/>
      <c r="AZ934" s="14"/>
      <c r="BA934" s="14"/>
      <c r="BB934" s="14"/>
      <c r="BC934" s="14"/>
      <c r="BD934" s="14"/>
      <c r="BE934" s="14"/>
      <c r="BF934" s="14"/>
      <c r="BG934" s="14"/>
      <c r="BH934" s="14"/>
      <c r="BI934" s="14"/>
      <c r="BJ934" s="14"/>
      <c r="BK934" s="14"/>
      <c r="BL934" s="14"/>
      <c r="BM934" s="14"/>
      <c r="BN934" s="14"/>
      <c r="BO934" s="14"/>
      <c r="BP934" s="14"/>
      <c r="BQ934" s="14"/>
      <c r="BR934" s="14"/>
      <c r="BS934" s="14"/>
      <c r="BT934" s="14"/>
      <c r="BU934" s="14"/>
      <c r="BV934" s="14"/>
      <c r="BW934" s="14"/>
      <c r="BX934" s="14"/>
      <c r="BY934" s="14"/>
      <c r="BZ934" s="14"/>
      <c r="CA934" s="14"/>
      <c r="CB934" s="14"/>
      <c r="CC934" s="14"/>
      <c r="CD934" s="14"/>
      <c r="CE934" s="14"/>
      <c r="CF934" s="14"/>
      <c r="CG934" s="14"/>
      <c r="CH934" s="14"/>
      <c r="CI934" s="14"/>
      <c r="CJ934" s="14"/>
      <c r="CK934" s="14"/>
      <c r="CL934" s="14"/>
      <c r="CT934" s="14"/>
      <c r="CW934" s="3"/>
      <c r="DG934" s="4"/>
    </row>
    <row r="935" customFormat="false" ht="11.25" hidden="false" customHeight="true" outlineLevel="0" collapsed="false">
      <c r="A935" s="14"/>
      <c r="B935" s="15"/>
      <c r="C935" s="15"/>
      <c r="D935" s="14"/>
      <c r="E935" s="14"/>
      <c r="F935" s="14"/>
      <c r="G935" s="14"/>
      <c r="H935" s="15"/>
      <c r="I935" s="15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  <c r="AU935" s="14"/>
      <c r="AV935" s="14"/>
      <c r="AW935" s="14"/>
      <c r="AX935" s="14"/>
      <c r="AY935" s="14"/>
      <c r="AZ935" s="14"/>
      <c r="BA935" s="14"/>
      <c r="BB935" s="14"/>
      <c r="BC935" s="14"/>
      <c r="BD935" s="14"/>
      <c r="BE935" s="14"/>
      <c r="BF935" s="14"/>
      <c r="BG935" s="14"/>
      <c r="BH935" s="14"/>
      <c r="BI935" s="14"/>
      <c r="BJ935" s="14"/>
      <c r="BK935" s="14"/>
      <c r="BL935" s="14"/>
      <c r="BM935" s="14"/>
      <c r="BN935" s="14"/>
      <c r="BO935" s="14"/>
      <c r="BP935" s="14"/>
      <c r="BQ935" s="14"/>
      <c r="BR935" s="14"/>
      <c r="BS935" s="14"/>
      <c r="BT935" s="14"/>
      <c r="BU935" s="14"/>
      <c r="BV935" s="14"/>
      <c r="BW935" s="14"/>
      <c r="BX935" s="14"/>
      <c r="BY935" s="14"/>
      <c r="BZ935" s="14"/>
      <c r="CA935" s="14"/>
      <c r="CB935" s="14"/>
      <c r="CC935" s="14"/>
      <c r="CD935" s="14"/>
      <c r="CE935" s="14"/>
      <c r="CF935" s="14"/>
      <c r="CG935" s="14"/>
      <c r="CH935" s="14"/>
      <c r="CI935" s="14"/>
      <c r="CJ935" s="14"/>
      <c r="CK935" s="14"/>
      <c r="CL935" s="14"/>
      <c r="CT935" s="14"/>
      <c r="CW935" s="3"/>
      <c r="DG935" s="4"/>
    </row>
    <row r="936" customFormat="false" ht="11.25" hidden="false" customHeight="true" outlineLevel="0" collapsed="false">
      <c r="A936" s="14"/>
      <c r="B936" s="15"/>
      <c r="C936" s="15"/>
      <c r="D936" s="14"/>
      <c r="E936" s="14"/>
      <c r="F936" s="14"/>
      <c r="G936" s="14"/>
      <c r="H936" s="15"/>
      <c r="I936" s="15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14"/>
      <c r="AU936" s="14"/>
      <c r="AV936" s="14"/>
      <c r="AW936" s="14"/>
      <c r="AX936" s="14"/>
      <c r="AY936" s="14"/>
      <c r="AZ936" s="14"/>
      <c r="BA936" s="14"/>
      <c r="BB936" s="14"/>
      <c r="BC936" s="14"/>
      <c r="BD936" s="14"/>
      <c r="BE936" s="14"/>
      <c r="BF936" s="14"/>
      <c r="BG936" s="14"/>
      <c r="BH936" s="14"/>
      <c r="BI936" s="14"/>
      <c r="BJ936" s="14"/>
      <c r="BK936" s="14"/>
      <c r="BL936" s="14"/>
      <c r="BM936" s="14"/>
      <c r="BN936" s="14"/>
      <c r="BO936" s="14"/>
      <c r="BP936" s="14"/>
      <c r="BQ936" s="14"/>
      <c r="BR936" s="14"/>
      <c r="BS936" s="14"/>
      <c r="BT936" s="14"/>
      <c r="BU936" s="14"/>
      <c r="BV936" s="14"/>
      <c r="BW936" s="14"/>
      <c r="BX936" s="14"/>
      <c r="BY936" s="14"/>
      <c r="BZ936" s="14"/>
      <c r="CA936" s="14"/>
      <c r="CB936" s="14"/>
      <c r="CC936" s="14"/>
      <c r="CD936" s="14"/>
      <c r="CE936" s="14"/>
      <c r="CF936" s="14"/>
      <c r="CG936" s="14"/>
      <c r="CH936" s="14"/>
      <c r="CI936" s="14"/>
      <c r="CJ936" s="14"/>
      <c r="CK936" s="14"/>
      <c r="CL936" s="14"/>
      <c r="CT936" s="14"/>
      <c r="CW936" s="3"/>
      <c r="DG936" s="4"/>
    </row>
    <row r="937" customFormat="false" ht="11.25" hidden="false" customHeight="true" outlineLevel="0" collapsed="false">
      <c r="A937" s="14"/>
      <c r="B937" s="15"/>
      <c r="C937" s="15"/>
      <c r="D937" s="14"/>
      <c r="E937" s="14"/>
      <c r="F937" s="14"/>
      <c r="G937" s="14"/>
      <c r="H937" s="15"/>
      <c r="I937" s="15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14"/>
      <c r="AV937" s="14"/>
      <c r="AW937" s="14"/>
      <c r="AX937" s="14"/>
      <c r="AY937" s="14"/>
      <c r="AZ937" s="14"/>
      <c r="BA937" s="14"/>
      <c r="BB937" s="14"/>
      <c r="BC937" s="14"/>
      <c r="BD937" s="14"/>
      <c r="BE937" s="14"/>
      <c r="BF937" s="14"/>
      <c r="BG937" s="14"/>
      <c r="BH937" s="14"/>
      <c r="BI937" s="14"/>
      <c r="BJ937" s="14"/>
      <c r="BK937" s="14"/>
      <c r="BL937" s="14"/>
      <c r="BM937" s="14"/>
      <c r="BN937" s="14"/>
      <c r="BO937" s="14"/>
      <c r="BP937" s="14"/>
      <c r="BQ937" s="14"/>
      <c r="BR937" s="14"/>
      <c r="BS937" s="14"/>
      <c r="BT937" s="14"/>
      <c r="BU937" s="14"/>
      <c r="BV937" s="14"/>
      <c r="BW937" s="14"/>
      <c r="BX937" s="14"/>
      <c r="BY937" s="14"/>
      <c r="BZ937" s="14"/>
      <c r="CA937" s="14"/>
      <c r="CB937" s="14"/>
      <c r="CC937" s="14"/>
      <c r="CD937" s="14"/>
      <c r="CE937" s="14"/>
      <c r="CF937" s="14"/>
      <c r="CG937" s="14"/>
      <c r="CH937" s="14"/>
      <c r="CI937" s="14"/>
      <c r="CJ937" s="14"/>
      <c r="CK937" s="14"/>
      <c r="CL937" s="14"/>
      <c r="CT937" s="14"/>
      <c r="CW937" s="3"/>
      <c r="DG937" s="4"/>
    </row>
    <row r="938" customFormat="false" ht="11.25" hidden="false" customHeight="true" outlineLevel="0" collapsed="false">
      <c r="A938" s="14"/>
      <c r="B938" s="15"/>
      <c r="C938" s="15"/>
      <c r="D938" s="14"/>
      <c r="E938" s="14"/>
      <c r="F938" s="14"/>
      <c r="G938" s="14"/>
      <c r="H938" s="15"/>
      <c r="I938" s="15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14"/>
      <c r="AU938" s="14"/>
      <c r="AV938" s="14"/>
      <c r="AW938" s="14"/>
      <c r="AX938" s="14"/>
      <c r="AY938" s="14"/>
      <c r="AZ938" s="14"/>
      <c r="BA938" s="14"/>
      <c r="BB938" s="14"/>
      <c r="BC938" s="14"/>
      <c r="BD938" s="14"/>
      <c r="BE938" s="14"/>
      <c r="BF938" s="14"/>
      <c r="BG938" s="14"/>
      <c r="BH938" s="14"/>
      <c r="BI938" s="14"/>
      <c r="BJ938" s="14"/>
      <c r="BK938" s="14"/>
      <c r="BL938" s="14"/>
      <c r="BM938" s="14"/>
      <c r="BN938" s="14"/>
      <c r="BO938" s="14"/>
      <c r="BP938" s="14"/>
      <c r="BQ938" s="14"/>
      <c r="BR938" s="14"/>
      <c r="BS938" s="14"/>
      <c r="BT938" s="14"/>
      <c r="BU938" s="14"/>
      <c r="BV938" s="14"/>
      <c r="BW938" s="14"/>
      <c r="BX938" s="14"/>
      <c r="BY938" s="14"/>
      <c r="BZ938" s="14"/>
      <c r="CA938" s="14"/>
      <c r="CB938" s="14"/>
      <c r="CC938" s="14"/>
      <c r="CD938" s="14"/>
      <c r="CE938" s="14"/>
      <c r="CF938" s="14"/>
      <c r="CG938" s="14"/>
      <c r="CH938" s="14"/>
      <c r="CI938" s="14"/>
      <c r="CJ938" s="14"/>
      <c r="CK938" s="14"/>
      <c r="CL938" s="14"/>
      <c r="CT938" s="14"/>
      <c r="CW938" s="3"/>
      <c r="DG938" s="4"/>
    </row>
    <row r="939" customFormat="false" ht="11.25" hidden="false" customHeight="true" outlineLevel="0" collapsed="false">
      <c r="A939" s="14"/>
      <c r="B939" s="15"/>
      <c r="C939" s="15"/>
      <c r="D939" s="14"/>
      <c r="E939" s="14"/>
      <c r="F939" s="14"/>
      <c r="G939" s="14"/>
      <c r="H939" s="15"/>
      <c r="I939" s="15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  <c r="AU939" s="14"/>
      <c r="AV939" s="14"/>
      <c r="AW939" s="14"/>
      <c r="AX939" s="14"/>
      <c r="AY939" s="14"/>
      <c r="AZ939" s="14"/>
      <c r="BA939" s="14"/>
      <c r="BB939" s="14"/>
      <c r="BC939" s="14"/>
      <c r="BD939" s="14"/>
      <c r="BE939" s="14"/>
      <c r="BF939" s="14"/>
      <c r="BG939" s="14"/>
      <c r="BH939" s="14"/>
      <c r="BI939" s="14"/>
      <c r="BJ939" s="14"/>
      <c r="BK939" s="14"/>
      <c r="BL939" s="14"/>
      <c r="BM939" s="14"/>
      <c r="BN939" s="14"/>
      <c r="BO939" s="14"/>
      <c r="BP939" s="14"/>
      <c r="BQ939" s="14"/>
      <c r="BR939" s="14"/>
      <c r="BS939" s="14"/>
      <c r="BT939" s="14"/>
      <c r="BU939" s="14"/>
      <c r="BV939" s="14"/>
      <c r="BW939" s="14"/>
      <c r="BX939" s="14"/>
      <c r="BY939" s="14"/>
      <c r="BZ939" s="14"/>
      <c r="CA939" s="14"/>
      <c r="CB939" s="14"/>
      <c r="CC939" s="14"/>
      <c r="CD939" s="14"/>
      <c r="CE939" s="14"/>
      <c r="CF939" s="14"/>
      <c r="CG939" s="14"/>
      <c r="CH939" s="14"/>
      <c r="CI939" s="14"/>
      <c r="CJ939" s="14"/>
      <c r="CK939" s="14"/>
      <c r="CL939" s="14"/>
      <c r="CT939" s="14"/>
      <c r="CW939" s="3"/>
      <c r="DG939" s="4"/>
    </row>
    <row r="940" customFormat="false" ht="11.25" hidden="false" customHeight="true" outlineLevel="0" collapsed="false">
      <c r="A940" s="14"/>
      <c r="B940" s="15"/>
      <c r="C940" s="15"/>
      <c r="D940" s="14"/>
      <c r="E940" s="14"/>
      <c r="F940" s="14"/>
      <c r="G940" s="14"/>
      <c r="H940" s="15"/>
      <c r="I940" s="15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14"/>
      <c r="AU940" s="14"/>
      <c r="AV940" s="14"/>
      <c r="AW940" s="14"/>
      <c r="AX940" s="14"/>
      <c r="AY940" s="14"/>
      <c r="AZ940" s="14"/>
      <c r="BA940" s="14"/>
      <c r="BB940" s="14"/>
      <c r="BC940" s="14"/>
      <c r="BD940" s="14"/>
      <c r="BE940" s="14"/>
      <c r="BF940" s="14"/>
      <c r="BG940" s="14"/>
      <c r="BH940" s="14"/>
      <c r="BI940" s="14"/>
      <c r="BJ940" s="14"/>
      <c r="BK940" s="14"/>
      <c r="BL940" s="14"/>
      <c r="BM940" s="14"/>
      <c r="BN940" s="14"/>
      <c r="BO940" s="14"/>
      <c r="BP940" s="14"/>
      <c r="BQ940" s="14"/>
      <c r="BR940" s="14"/>
      <c r="BS940" s="14"/>
      <c r="BT940" s="14"/>
      <c r="BU940" s="14"/>
      <c r="BV940" s="14"/>
      <c r="BW940" s="14"/>
      <c r="BX940" s="14"/>
      <c r="BY940" s="14"/>
      <c r="BZ940" s="14"/>
      <c r="CA940" s="14"/>
      <c r="CB940" s="14"/>
      <c r="CC940" s="14"/>
      <c r="CD940" s="14"/>
      <c r="CE940" s="14"/>
      <c r="CF940" s="14"/>
      <c r="CG940" s="14"/>
      <c r="CH940" s="14"/>
      <c r="CI940" s="14"/>
      <c r="CJ940" s="14"/>
      <c r="CK940" s="14"/>
      <c r="CL940" s="14"/>
      <c r="CT940" s="14"/>
      <c r="CW940" s="3"/>
      <c r="DG940" s="4"/>
    </row>
    <row r="941" customFormat="false" ht="11.25" hidden="false" customHeight="true" outlineLevel="0" collapsed="false">
      <c r="A941" s="14"/>
      <c r="B941" s="15"/>
      <c r="C941" s="15"/>
      <c r="D941" s="14"/>
      <c r="E941" s="14"/>
      <c r="F941" s="14"/>
      <c r="G941" s="14"/>
      <c r="H941" s="15"/>
      <c r="I941" s="15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  <c r="AU941" s="14"/>
      <c r="AV941" s="14"/>
      <c r="AW941" s="14"/>
      <c r="AX941" s="14"/>
      <c r="AY941" s="14"/>
      <c r="AZ941" s="14"/>
      <c r="BA941" s="14"/>
      <c r="BB941" s="14"/>
      <c r="BC941" s="14"/>
      <c r="BD941" s="14"/>
      <c r="BE941" s="14"/>
      <c r="BF941" s="14"/>
      <c r="BG941" s="14"/>
      <c r="BH941" s="14"/>
      <c r="BI941" s="14"/>
      <c r="BJ941" s="14"/>
      <c r="BK941" s="14"/>
      <c r="BL941" s="14"/>
      <c r="BM941" s="14"/>
      <c r="BN941" s="14"/>
      <c r="BO941" s="14"/>
      <c r="BP941" s="14"/>
      <c r="BQ941" s="14"/>
      <c r="BR941" s="14"/>
      <c r="BS941" s="14"/>
      <c r="BT941" s="14"/>
      <c r="BU941" s="14"/>
      <c r="BV941" s="14"/>
      <c r="BW941" s="14"/>
      <c r="BX941" s="14"/>
      <c r="BY941" s="14"/>
      <c r="BZ941" s="14"/>
      <c r="CA941" s="14"/>
      <c r="CB941" s="14"/>
      <c r="CC941" s="14"/>
      <c r="CD941" s="14"/>
      <c r="CE941" s="14"/>
      <c r="CF941" s="14"/>
      <c r="CG941" s="14"/>
      <c r="CH941" s="14"/>
      <c r="CI941" s="14"/>
      <c r="CJ941" s="14"/>
      <c r="CK941" s="14"/>
      <c r="CL941" s="14"/>
      <c r="CT941" s="14"/>
      <c r="CW941" s="3"/>
      <c r="DG941" s="4"/>
    </row>
    <row r="942" customFormat="false" ht="11.25" hidden="false" customHeight="true" outlineLevel="0" collapsed="false">
      <c r="A942" s="14"/>
      <c r="B942" s="15"/>
      <c r="C942" s="15"/>
      <c r="D942" s="14"/>
      <c r="E942" s="14"/>
      <c r="F942" s="14"/>
      <c r="G942" s="14"/>
      <c r="H942" s="15"/>
      <c r="I942" s="15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14"/>
      <c r="AU942" s="14"/>
      <c r="AV942" s="14"/>
      <c r="AW942" s="14"/>
      <c r="AX942" s="14"/>
      <c r="AY942" s="14"/>
      <c r="AZ942" s="14"/>
      <c r="BA942" s="14"/>
      <c r="BB942" s="14"/>
      <c r="BC942" s="14"/>
      <c r="BD942" s="14"/>
      <c r="BE942" s="14"/>
      <c r="BF942" s="14"/>
      <c r="BG942" s="14"/>
      <c r="BH942" s="14"/>
      <c r="BI942" s="14"/>
      <c r="BJ942" s="14"/>
      <c r="BK942" s="14"/>
      <c r="BL942" s="14"/>
      <c r="BM942" s="14"/>
      <c r="BN942" s="14"/>
      <c r="BO942" s="14"/>
      <c r="BP942" s="14"/>
      <c r="BQ942" s="14"/>
      <c r="BR942" s="14"/>
      <c r="BS942" s="14"/>
      <c r="BT942" s="14"/>
      <c r="BU942" s="14"/>
      <c r="BV942" s="14"/>
      <c r="BW942" s="14"/>
      <c r="BX942" s="14"/>
      <c r="BY942" s="14"/>
      <c r="BZ942" s="14"/>
      <c r="CA942" s="14"/>
      <c r="CB942" s="14"/>
      <c r="CC942" s="14"/>
      <c r="CD942" s="14"/>
      <c r="CE942" s="14"/>
      <c r="CF942" s="14"/>
      <c r="CG942" s="14"/>
      <c r="CH942" s="14"/>
      <c r="CI942" s="14"/>
      <c r="CJ942" s="14"/>
      <c r="CK942" s="14"/>
      <c r="CL942" s="14"/>
      <c r="CT942" s="14"/>
      <c r="CW942" s="3"/>
      <c r="DG942" s="4"/>
    </row>
    <row r="943" customFormat="false" ht="11.25" hidden="false" customHeight="true" outlineLevel="0" collapsed="false">
      <c r="A943" s="14"/>
      <c r="B943" s="15"/>
      <c r="C943" s="15"/>
      <c r="D943" s="14"/>
      <c r="E943" s="14"/>
      <c r="F943" s="14"/>
      <c r="G943" s="14"/>
      <c r="H943" s="15"/>
      <c r="I943" s="15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  <c r="AU943" s="14"/>
      <c r="AV943" s="14"/>
      <c r="AW943" s="14"/>
      <c r="AX943" s="14"/>
      <c r="AY943" s="14"/>
      <c r="AZ943" s="14"/>
      <c r="BA943" s="14"/>
      <c r="BB943" s="14"/>
      <c r="BC943" s="14"/>
      <c r="BD943" s="14"/>
      <c r="BE943" s="14"/>
      <c r="BF943" s="14"/>
      <c r="BG943" s="14"/>
      <c r="BH943" s="14"/>
      <c r="BI943" s="14"/>
      <c r="BJ943" s="14"/>
      <c r="BK943" s="14"/>
      <c r="BL943" s="14"/>
      <c r="BM943" s="14"/>
      <c r="BN943" s="14"/>
      <c r="BO943" s="14"/>
      <c r="BP943" s="14"/>
      <c r="BQ943" s="14"/>
      <c r="BR943" s="14"/>
      <c r="BS943" s="14"/>
      <c r="BT943" s="14"/>
      <c r="BU943" s="14"/>
      <c r="BV943" s="14"/>
      <c r="BW943" s="14"/>
      <c r="BX943" s="14"/>
      <c r="BY943" s="14"/>
      <c r="BZ943" s="14"/>
      <c r="CA943" s="14"/>
      <c r="CB943" s="14"/>
      <c r="CC943" s="14"/>
      <c r="CD943" s="14"/>
      <c r="CE943" s="14"/>
      <c r="CF943" s="14"/>
      <c r="CG943" s="14"/>
      <c r="CH943" s="14"/>
      <c r="CI943" s="14"/>
      <c r="CJ943" s="14"/>
      <c r="CK943" s="14"/>
      <c r="CL943" s="14"/>
      <c r="CT943" s="14"/>
      <c r="CW943" s="3"/>
      <c r="DG943" s="4"/>
    </row>
    <row r="944" customFormat="false" ht="11.25" hidden="false" customHeight="true" outlineLevel="0" collapsed="false">
      <c r="A944" s="14"/>
      <c r="B944" s="15"/>
      <c r="C944" s="15"/>
      <c r="D944" s="14"/>
      <c r="E944" s="14"/>
      <c r="F944" s="14"/>
      <c r="G944" s="14"/>
      <c r="H944" s="15"/>
      <c r="I944" s="15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14"/>
      <c r="AU944" s="14"/>
      <c r="AV944" s="14"/>
      <c r="AW944" s="14"/>
      <c r="AX944" s="14"/>
      <c r="AY944" s="14"/>
      <c r="AZ944" s="14"/>
      <c r="BA944" s="14"/>
      <c r="BB944" s="14"/>
      <c r="BC944" s="14"/>
      <c r="BD944" s="14"/>
      <c r="BE944" s="14"/>
      <c r="BF944" s="14"/>
      <c r="BG944" s="14"/>
      <c r="BH944" s="14"/>
      <c r="BI944" s="14"/>
      <c r="BJ944" s="14"/>
      <c r="BK944" s="14"/>
      <c r="BL944" s="14"/>
      <c r="BM944" s="14"/>
      <c r="BN944" s="14"/>
      <c r="BO944" s="14"/>
      <c r="BP944" s="14"/>
      <c r="BQ944" s="14"/>
      <c r="BR944" s="14"/>
      <c r="BS944" s="14"/>
      <c r="BT944" s="14"/>
      <c r="BU944" s="14"/>
      <c r="BV944" s="14"/>
      <c r="BW944" s="14"/>
      <c r="BX944" s="14"/>
      <c r="BY944" s="14"/>
      <c r="BZ944" s="14"/>
      <c r="CA944" s="14"/>
      <c r="CB944" s="14"/>
      <c r="CC944" s="14"/>
      <c r="CD944" s="14"/>
      <c r="CE944" s="14"/>
      <c r="CF944" s="14"/>
      <c r="CG944" s="14"/>
      <c r="CH944" s="14"/>
      <c r="CI944" s="14"/>
      <c r="CJ944" s="14"/>
      <c r="CK944" s="14"/>
      <c r="CL944" s="14"/>
      <c r="CT944" s="14"/>
      <c r="CW944" s="3"/>
      <c r="DG944" s="4"/>
    </row>
    <row r="945" customFormat="false" ht="11.25" hidden="false" customHeight="true" outlineLevel="0" collapsed="false">
      <c r="A945" s="14"/>
      <c r="B945" s="15"/>
      <c r="C945" s="15"/>
      <c r="D945" s="14"/>
      <c r="E945" s="14"/>
      <c r="F945" s="14"/>
      <c r="G945" s="14"/>
      <c r="H945" s="15"/>
      <c r="I945" s="15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14"/>
      <c r="AV945" s="14"/>
      <c r="AW945" s="14"/>
      <c r="AX945" s="14"/>
      <c r="AY945" s="14"/>
      <c r="AZ945" s="14"/>
      <c r="BA945" s="14"/>
      <c r="BB945" s="14"/>
      <c r="BC945" s="14"/>
      <c r="BD945" s="14"/>
      <c r="BE945" s="14"/>
      <c r="BF945" s="14"/>
      <c r="BG945" s="14"/>
      <c r="BH945" s="14"/>
      <c r="BI945" s="14"/>
      <c r="BJ945" s="14"/>
      <c r="BK945" s="14"/>
      <c r="BL945" s="14"/>
      <c r="BM945" s="14"/>
      <c r="BN945" s="14"/>
      <c r="BO945" s="14"/>
      <c r="BP945" s="14"/>
      <c r="BQ945" s="14"/>
      <c r="BR945" s="14"/>
      <c r="BS945" s="14"/>
      <c r="BT945" s="14"/>
      <c r="BU945" s="14"/>
      <c r="BV945" s="14"/>
      <c r="BW945" s="14"/>
      <c r="BX945" s="14"/>
      <c r="BY945" s="14"/>
      <c r="BZ945" s="14"/>
      <c r="CA945" s="14"/>
      <c r="CB945" s="14"/>
      <c r="CC945" s="14"/>
      <c r="CD945" s="14"/>
      <c r="CE945" s="14"/>
      <c r="CF945" s="14"/>
      <c r="CG945" s="14"/>
      <c r="CH945" s="14"/>
      <c r="CI945" s="14"/>
      <c r="CJ945" s="14"/>
      <c r="CK945" s="14"/>
      <c r="CL945" s="14"/>
      <c r="CT945" s="14"/>
      <c r="CW945" s="3"/>
      <c r="DG945" s="4"/>
    </row>
    <row r="946" customFormat="false" ht="11.25" hidden="false" customHeight="true" outlineLevel="0" collapsed="false">
      <c r="A946" s="14"/>
      <c r="B946" s="15"/>
      <c r="C946" s="15"/>
      <c r="D946" s="14"/>
      <c r="E946" s="14"/>
      <c r="F946" s="14"/>
      <c r="G946" s="14"/>
      <c r="H946" s="15"/>
      <c r="I946" s="15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14"/>
      <c r="AU946" s="14"/>
      <c r="AV946" s="14"/>
      <c r="AW946" s="14"/>
      <c r="AX946" s="14"/>
      <c r="AY946" s="14"/>
      <c r="AZ946" s="14"/>
      <c r="BA946" s="14"/>
      <c r="BB946" s="14"/>
      <c r="BC946" s="14"/>
      <c r="BD946" s="14"/>
      <c r="BE946" s="14"/>
      <c r="BF946" s="14"/>
      <c r="BG946" s="14"/>
      <c r="BH946" s="14"/>
      <c r="BI946" s="14"/>
      <c r="BJ946" s="14"/>
      <c r="BK946" s="14"/>
      <c r="BL946" s="14"/>
      <c r="BM946" s="14"/>
      <c r="BN946" s="14"/>
      <c r="BO946" s="14"/>
      <c r="BP946" s="14"/>
      <c r="BQ946" s="14"/>
      <c r="BR946" s="14"/>
      <c r="BS946" s="14"/>
      <c r="BT946" s="14"/>
      <c r="BU946" s="14"/>
      <c r="BV946" s="14"/>
      <c r="BW946" s="14"/>
      <c r="BX946" s="14"/>
      <c r="BY946" s="14"/>
      <c r="BZ946" s="14"/>
      <c r="CA946" s="14"/>
      <c r="CB946" s="14"/>
      <c r="CC946" s="14"/>
      <c r="CD946" s="14"/>
      <c r="CE946" s="14"/>
      <c r="CF946" s="14"/>
      <c r="CG946" s="14"/>
      <c r="CH946" s="14"/>
      <c r="CI946" s="14"/>
      <c r="CJ946" s="14"/>
      <c r="CK946" s="14"/>
      <c r="CL946" s="14"/>
      <c r="CT946" s="14"/>
      <c r="CW946" s="3"/>
      <c r="DG946" s="4"/>
    </row>
    <row r="947" customFormat="false" ht="11.25" hidden="false" customHeight="true" outlineLevel="0" collapsed="false">
      <c r="A947" s="14"/>
      <c r="B947" s="15"/>
      <c r="C947" s="15"/>
      <c r="D947" s="14"/>
      <c r="E947" s="14"/>
      <c r="F947" s="14"/>
      <c r="G947" s="14"/>
      <c r="H947" s="15"/>
      <c r="I947" s="15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/>
      <c r="AU947" s="14"/>
      <c r="AV947" s="14"/>
      <c r="AW947" s="14"/>
      <c r="AX947" s="14"/>
      <c r="AY947" s="14"/>
      <c r="AZ947" s="14"/>
      <c r="BA947" s="14"/>
      <c r="BB947" s="14"/>
      <c r="BC947" s="14"/>
      <c r="BD947" s="14"/>
      <c r="BE947" s="14"/>
      <c r="BF947" s="14"/>
      <c r="BG947" s="14"/>
      <c r="BH947" s="14"/>
      <c r="BI947" s="14"/>
      <c r="BJ947" s="14"/>
      <c r="BK947" s="14"/>
      <c r="BL947" s="14"/>
      <c r="BM947" s="14"/>
      <c r="BN947" s="14"/>
      <c r="BO947" s="14"/>
      <c r="BP947" s="14"/>
      <c r="BQ947" s="14"/>
      <c r="BR947" s="14"/>
      <c r="BS947" s="14"/>
      <c r="BT947" s="14"/>
      <c r="BU947" s="14"/>
      <c r="BV947" s="14"/>
      <c r="BW947" s="14"/>
      <c r="BX947" s="14"/>
      <c r="BY947" s="14"/>
      <c r="BZ947" s="14"/>
      <c r="CA947" s="14"/>
      <c r="CB947" s="14"/>
      <c r="CC947" s="14"/>
      <c r="CD947" s="14"/>
      <c r="CE947" s="14"/>
      <c r="CF947" s="14"/>
      <c r="CG947" s="14"/>
      <c r="CH947" s="14"/>
      <c r="CI947" s="14"/>
      <c r="CJ947" s="14"/>
      <c r="CK947" s="14"/>
      <c r="CL947" s="14"/>
      <c r="CT947" s="14"/>
      <c r="CW947" s="3"/>
      <c r="DG947" s="4"/>
    </row>
    <row r="948" customFormat="false" ht="11.25" hidden="false" customHeight="true" outlineLevel="0" collapsed="false">
      <c r="A948" s="14"/>
      <c r="B948" s="15"/>
      <c r="C948" s="15"/>
      <c r="D948" s="14"/>
      <c r="E948" s="14"/>
      <c r="F948" s="14"/>
      <c r="G948" s="14"/>
      <c r="H948" s="15"/>
      <c r="I948" s="15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14"/>
      <c r="AU948" s="14"/>
      <c r="AV948" s="14"/>
      <c r="AW948" s="14"/>
      <c r="AX948" s="14"/>
      <c r="AY948" s="14"/>
      <c r="AZ948" s="14"/>
      <c r="BA948" s="14"/>
      <c r="BB948" s="14"/>
      <c r="BC948" s="14"/>
      <c r="BD948" s="14"/>
      <c r="BE948" s="14"/>
      <c r="BF948" s="14"/>
      <c r="BG948" s="14"/>
      <c r="BH948" s="14"/>
      <c r="BI948" s="14"/>
      <c r="BJ948" s="14"/>
      <c r="BK948" s="14"/>
      <c r="BL948" s="14"/>
      <c r="BM948" s="14"/>
      <c r="BN948" s="14"/>
      <c r="BO948" s="14"/>
      <c r="BP948" s="14"/>
      <c r="BQ948" s="14"/>
      <c r="BR948" s="14"/>
      <c r="BS948" s="14"/>
      <c r="BT948" s="14"/>
      <c r="BU948" s="14"/>
      <c r="BV948" s="14"/>
      <c r="BW948" s="14"/>
      <c r="BX948" s="14"/>
      <c r="BY948" s="14"/>
      <c r="BZ948" s="14"/>
      <c r="CA948" s="14"/>
      <c r="CB948" s="14"/>
      <c r="CC948" s="14"/>
      <c r="CD948" s="14"/>
      <c r="CE948" s="14"/>
      <c r="CF948" s="14"/>
      <c r="CG948" s="14"/>
      <c r="CH948" s="14"/>
      <c r="CI948" s="14"/>
      <c r="CJ948" s="14"/>
      <c r="CK948" s="14"/>
      <c r="CL948" s="14"/>
      <c r="CT948" s="14"/>
      <c r="CW948" s="3"/>
      <c r="DG948" s="4"/>
    </row>
    <row r="949" customFormat="false" ht="11.25" hidden="false" customHeight="true" outlineLevel="0" collapsed="false">
      <c r="A949" s="14"/>
      <c r="B949" s="15"/>
      <c r="C949" s="15"/>
      <c r="D949" s="14"/>
      <c r="E949" s="14"/>
      <c r="F949" s="14"/>
      <c r="G949" s="14"/>
      <c r="H949" s="15"/>
      <c r="I949" s="15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  <c r="AW949" s="14"/>
      <c r="AX949" s="14"/>
      <c r="AY949" s="14"/>
      <c r="AZ949" s="14"/>
      <c r="BA949" s="14"/>
      <c r="BB949" s="14"/>
      <c r="BC949" s="14"/>
      <c r="BD949" s="14"/>
      <c r="BE949" s="14"/>
      <c r="BF949" s="14"/>
      <c r="BG949" s="14"/>
      <c r="BH949" s="14"/>
      <c r="BI949" s="14"/>
      <c r="BJ949" s="14"/>
      <c r="BK949" s="14"/>
      <c r="BL949" s="14"/>
      <c r="BM949" s="14"/>
      <c r="BN949" s="14"/>
      <c r="BO949" s="14"/>
      <c r="BP949" s="14"/>
      <c r="BQ949" s="14"/>
      <c r="BR949" s="14"/>
      <c r="BS949" s="14"/>
      <c r="BT949" s="14"/>
      <c r="BU949" s="14"/>
      <c r="BV949" s="14"/>
      <c r="BW949" s="14"/>
      <c r="BX949" s="14"/>
      <c r="BY949" s="14"/>
      <c r="BZ949" s="14"/>
      <c r="CA949" s="14"/>
      <c r="CB949" s="14"/>
      <c r="CC949" s="14"/>
      <c r="CD949" s="14"/>
      <c r="CE949" s="14"/>
      <c r="CF949" s="14"/>
      <c r="CG949" s="14"/>
      <c r="CH949" s="14"/>
      <c r="CI949" s="14"/>
      <c r="CJ949" s="14"/>
      <c r="CK949" s="14"/>
      <c r="CL949" s="14"/>
      <c r="CT949" s="14"/>
      <c r="CW949" s="3"/>
      <c r="DG949" s="4"/>
    </row>
    <row r="950" customFormat="false" ht="11.25" hidden="false" customHeight="true" outlineLevel="0" collapsed="false">
      <c r="A950" s="14"/>
      <c r="B950" s="15"/>
      <c r="C950" s="15"/>
      <c r="D950" s="14"/>
      <c r="E950" s="14"/>
      <c r="F950" s="14"/>
      <c r="G950" s="14"/>
      <c r="H950" s="15"/>
      <c r="I950" s="15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  <c r="AU950" s="14"/>
      <c r="AV950" s="14"/>
      <c r="AW950" s="14"/>
      <c r="AX950" s="14"/>
      <c r="AY950" s="14"/>
      <c r="AZ950" s="14"/>
      <c r="BA950" s="14"/>
      <c r="BB950" s="14"/>
      <c r="BC950" s="14"/>
      <c r="BD950" s="14"/>
      <c r="BE950" s="14"/>
      <c r="BF950" s="14"/>
      <c r="BG950" s="14"/>
      <c r="BH950" s="14"/>
      <c r="BI950" s="14"/>
      <c r="BJ950" s="14"/>
      <c r="BK950" s="14"/>
      <c r="BL950" s="14"/>
      <c r="BM950" s="14"/>
      <c r="BN950" s="14"/>
      <c r="BO950" s="14"/>
      <c r="BP950" s="14"/>
      <c r="BQ950" s="14"/>
      <c r="BR950" s="14"/>
      <c r="BS950" s="14"/>
      <c r="BT950" s="14"/>
      <c r="BU950" s="14"/>
      <c r="BV950" s="14"/>
      <c r="BW950" s="14"/>
      <c r="BX950" s="14"/>
      <c r="BY950" s="14"/>
      <c r="BZ950" s="14"/>
      <c r="CA950" s="14"/>
      <c r="CB950" s="14"/>
      <c r="CC950" s="14"/>
      <c r="CD950" s="14"/>
      <c r="CE950" s="14"/>
      <c r="CF950" s="14"/>
      <c r="CG950" s="14"/>
      <c r="CH950" s="14"/>
      <c r="CI950" s="14"/>
      <c r="CJ950" s="14"/>
      <c r="CK950" s="14"/>
      <c r="CL950" s="14"/>
      <c r="CT950" s="14"/>
      <c r="CW950" s="3"/>
      <c r="DG950" s="4"/>
    </row>
    <row r="951" customFormat="false" ht="11.25" hidden="false" customHeight="true" outlineLevel="0" collapsed="false">
      <c r="A951" s="14"/>
      <c r="B951" s="15"/>
      <c r="C951" s="15"/>
      <c r="D951" s="14"/>
      <c r="E951" s="14"/>
      <c r="F951" s="14"/>
      <c r="G951" s="14"/>
      <c r="H951" s="15"/>
      <c r="I951" s="15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/>
      <c r="AU951" s="14"/>
      <c r="AV951" s="14"/>
      <c r="AW951" s="14"/>
      <c r="AX951" s="14"/>
      <c r="AY951" s="14"/>
      <c r="AZ951" s="14"/>
      <c r="BA951" s="14"/>
      <c r="BB951" s="14"/>
      <c r="BC951" s="14"/>
      <c r="BD951" s="14"/>
      <c r="BE951" s="14"/>
      <c r="BF951" s="14"/>
      <c r="BG951" s="14"/>
      <c r="BH951" s="14"/>
      <c r="BI951" s="14"/>
      <c r="BJ951" s="14"/>
      <c r="BK951" s="14"/>
      <c r="BL951" s="14"/>
      <c r="BM951" s="14"/>
      <c r="BN951" s="14"/>
      <c r="BO951" s="14"/>
      <c r="BP951" s="14"/>
      <c r="BQ951" s="14"/>
      <c r="BR951" s="14"/>
      <c r="BS951" s="14"/>
      <c r="BT951" s="14"/>
      <c r="BU951" s="14"/>
      <c r="BV951" s="14"/>
      <c r="BW951" s="14"/>
      <c r="BX951" s="14"/>
      <c r="BY951" s="14"/>
      <c r="BZ951" s="14"/>
      <c r="CA951" s="14"/>
      <c r="CB951" s="14"/>
      <c r="CC951" s="14"/>
      <c r="CD951" s="14"/>
      <c r="CE951" s="14"/>
      <c r="CF951" s="14"/>
      <c r="CG951" s="14"/>
      <c r="CH951" s="14"/>
      <c r="CI951" s="14"/>
      <c r="CJ951" s="14"/>
      <c r="CK951" s="14"/>
      <c r="CL951" s="14"/>
      <c r="CT951" s="14"/>
      <c r="CW951" s="3"/>
      <c r="DG951" s="4"/>
    </row>
    <row r="952" customFormat="false" ht="11.25" hidden="false" customHeight="true" outlineLevel="0" collapsed="false">
      <c r="A952" s="14"/>
      <c r="B952" s="15"/>
      <c r="C952" s="15"/>
      <c r="D952" s="14"/>
      <c r="E952" s="14"/>
      <c r="F952" s="14"/>
      <c r="G952" s="14"/>
      <c r="H952" s="15"/>
      <c r="I952" s="15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14"/>
      <c r="AU952" s="14"/>
      <c r="AV952" s="14"/>
      <c r="AW952" s="14"/>
      <c r="AX952" s="14"/>
      <c r="AY952" s="14"/>
      <c r="AZ952" s="14"/>
      <c r="BA952" s="14"/>
      <c r="BB952" s="14"/>
      <c r="BC952" s="14"/>
      <c r="BD952" s="14"/>
      <c r="BE952" s="14"/>
      <c r="BF952" s="14"/>
      <c r="BG952" s="14"/>
      <c r="BH952" s="14"/>
      <c r="BI952" s="14"/>
      <c r="BJ952" s="14"/>
      <c r="BK952" s="14"/>
      <c r="BL952" s="14"/>
      <c r="BM952" s="14"/>
      <c r="BN952" s="14"/>
      <c r="BO952" s="14"/>
      <c r="BP952" s="14"/>
      <c r="BQ952" s="14"/>
      <c r="BR952" s="14"/>
      <c r="BS952" s="14"/>
      <c r="BT952" s="14"/>
      <c r="BU952" s="14"/>
      <c r="BV952" s="14"/>
      <c r="BW952" s="14"/>
      <c r="BX952" s="14"/>
      <c r="BY952" s="14"/>
      <c r="BZ952" s="14"/>
      <c r="CA952" s="14"/>
      <c r="CB952" s="14"/>
      <c r="CC952" s="14"/>
      <c r="CD952" s="14"/>
      <c r="CE952" s="14"/>
      <c r="CF952" s="14"/>
      <c r="CG952" s="14"/>
      <c r="CH952" s="14"/>
      <c r="CI952" s="14"/>
      <c r="CJ952" s="14"/>
      <c r="CK952" s="14"/>
      <c r="CL952" s="14"/>
      <c r="CT952" s="14"/>
      <c r="CW952" s="3"/>
      <c r="DG952" s="4"/>
    </row>
    <row r="953" customFormat="false" ht="11.25" hidden="false" customHeight="true" outlineLevel="0" collapsed="false">
      <c r="A953" s="14"/>
      <c r="B953" s="15"/>
      <c r="C953" s="15"/>
      <c r="D953" s="14"/>
      <c r="E953" s="14"/>
      <c r="F953" s="14"/>
      <c r="G953" s="14"/>
      <c r="H953" s="15"/>
      <c r="I953" s="15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14"/>
      <c r="AU953" s="14"/>
      <c r="AV953" s="14"/>
      <c r="AW953" s="14"/>
      <c r="AX953" s="14"/>
      <c r="AY953" s="14"/>
      <c r="AZ953" s="14"/>
      <c r="BA953" s="14"/>
      <c r="BB953" s="14"/>
      <c r="BC953" s="14"/>
      <c r="BD953" s="14"/>
      <c r="BE953" s="14"/>
      <c r="BF953" s="14"/>
      <c r="BG953" s="14"/>
      <c r="BH953" s="14"/>
      <c r="BI953" s="14"/>
      <c r="BJ953" s="14"/>
      <c r="BK953" s="14"/>
      <c r="BL953" s="14"/>
      <c r="BM953" s="14"/>
      <c r="BN953" s="14"/>
      <c r="BO953" s="14"/>
      <c r="BP953" s="14"/>
      <c r="BQ953" s="14"/>
      <c r="BR953" s="14"/>
      <c r="BS953" s="14"/>
      <c r="BT953" s="14"/>
      <c r="BU953" s="14"/>
      <c r="BV953" s="14"/>
      <c r="BW953" s="14"/>
      <c r="BX953" s="14"/>
      <c r="BY953" s="14"/>
      <c r="BZ953" s="14"/>
      <c r="CA953" s="14"/>
      <c r="CB953" s="14"/>
      <c r="CC953" s="14"/>
      <c r="CD953" s="14"/>
      <c r="CE953" s="14"/>
      <c r="CF953" s="14"/>
      <c r="CG953" s="14"/>
      <c r="CH953" s="14"/>
      <c r="CI953" s="14"/>
      <c r="CJ953" s="14"/>
      <c r="CK953" s="14"/>
      <c r="CL953" s="14"/>
      <c r="CT953" s="14"/>
      <c r="CW953" s="3"/>
      <c r="DG953" s="4"/>
    </row>
    <row r="954" customFormat="false" ht="11.25" hidden="false" customHeight="true" outlineLevel="0" collapsed="false">
      <c r="A954" s="14"/>
      <c r="B954" s="15"/>
      <c r="C954" s="15"/>
      <c r="D954" s="14"/>
      <c r="E954" s="14"/>
      <c r="F954" s="14"/>
      <c r="G954" s="14"/>
      <c r="H954" s="15"/>
      <c r="I954" s="15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14"/>
      <c r="AU954" s="14"/>
      <c r="AV954" s="14"/>
      <c r="AW954" s="14"/>
      <c r="AX954" s="14"/>
      <c r="AY954" s="14"/>
      <c r="AZ954" s="14"/>
      <c r="BA954" s="14"/>
      <c r="BB954" s="14"/>
      <c r="BC954" s="14"/>
      <c r="BD954" s="14"/>
      <c r="BE954" s="14"/>
      <c r="BF954" s="14"/>
      <c r="BG954" s="14"/>
      <c r="BH954" s="14"/>
      <c r="BI954" s="14"/>
      <c r="BJ954" s="14"/>
      <c r="BK954" s="14"/>
      <c r="BL954" s="14"/>
      <c r="BM954" s="14"/>
      <c r="BN954" s="14"/>
      <c r="BO954" s="14"/>
      <c r="BP954" s="14"/>
      <c r="BQ954" s="14"/>
      <c r="BR954" s="14"/>
      <c r="BS954" s="14"/>
      <c r="BT954" s="14"/>
      <c r="BU954" s="14"/>
      <c r="BV954" s="14"/>
      <c r="BW954" s="14"/>
      <c r="BX954" s="14"/>
      <c r="BY954" s="14"/>
      <c r="BZ954" s="14"/>
      <c r="CA954" s="14"/>
      <c r="CB954" s="14"/>
      <c r="CC954" s="14"/>
      <c r="CD954" s="14"/>
      <c r="CE954" s="14"/>
      <c r="CF954" s="14"/>
      <c r="CG954" s="14"/>
      <c r="CH954" s="14"/>
      <c r="CI954" s="14"/>
      <c r="CJ954" s="14"/>
      <c r="CK954" s="14"/>
      <c r="CL954" s="14"/>
      <c r="CT954" s="14"/>
      <c r="CW954" s="3"/>
      <c r="DG954" s="4"/>
    </row>
    <row r="955" customFormat="false" ht="11.25" hidden="false" customHeight="true" outlineLevel="0" collapsed="false">
      <c r="A955" s="14"/>
      <c r="B955" s="15"/>
      <c r="C955" s="15"/>
      <c r="D955" s="14"/>
      <c r="E955" s="14"/>
      <c r="F955" s="14"/>
      <c r="G955" s="14"/>
      <c r="H955" s="15"/>
      <c r="I955" s="15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14"/>
      <c r="AU955" s="14"/>
      <c r="AV955" s="14"/>
      <c r="AW955" s="14"/>
      <c r="AX955" s="14"/>
      <c r="AY955" s="14"/>
      <c r="AZ955" s="14"/>
      <c r="BA955" s="14"/>
      <c r="BB955" s="14"/>
      <c r="BC955" s="14"/>
      <c r="BD955" s="14"/>
      <c r="BE955" s="14"/>
      <c r="BF955" s="14"/>
      <c r="BG955" s="14"/>
      <c r="BH955" s="14"/>
      <c r="BI955" s="14"/>
      <c r="BJ955" s="14"/>
      <c r="BK955" s="14"/>
      <c r="BL955" s="14"/>
      <c r="BM955" s="14"/>
      <c r="BN955" s="14"/>
      <c r="BO955" s="14"/>
      <c r="BP955" s="14"/>
      <c r="BQ955" s="14"/>
      <c r="BR955" s="14"/>
      <c r="BS955" s="14"/>
      <c r="BT955" s="14"/>
      <c r="BU955" s="14"/>
      <c r="BV955" s="14"/>
      <c r="BW955" s="14"/>
      <c r="BX955" s="14"/>
      <c r="BY955" s="14"/>
      <c r="BZ955" s="14"/>
      <c r="CA955" s="14"/>
      <c r="CB955" s="14"/>
      <c r="CC955" s="14"/>
      <c r="CD955" s="14"/>
      <c r="CE955" s="14"/>
      <c r="CF955" s="14"/>
      <c r="CG955" s="14"/>
      <c r="CH955" s="14"/>
      <c r="CI955" s="14"/>
      <c r="CJ955" s="14"/>
      <c r="CK955" s="14"/>
      <c r="CL955" s="14"/>
      <c r="CT955" s="14"/>
      <c r="CW955" s="3"/>
      <c r="DG955" s="4"/>
    </row>
    <row r="956" customFormat="false" ht="11.25" hidden="false" customHeight="true" outlineLevel="0" collapsed="false">
      <c r="A956" s="14"/>
      <c r="B956" s="15"/>
      <c r="C956" s="15"/>
      <c r="D956" s="14"/>
      <c r="E956" s="14"/>
      <c r="F956" s="14"/>
      <c r="G956" s="14"/>
      <c r="H956" s="15"/>
      <c r="I956" s="15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14"/>
      <c r="AU956" s="14"/>
      <c r="AV956" s="14"/>
      <c r="AW956" s="14"/>
      <c r="AX956" s="14"/>
      <c r="AY956" s="14"/>
      <c r="AZ956" s="14"/>
      <c r="BA956" s="14"/>
      <c r="BB956" s="14"/>
      <c r="BC956" s="14"/>
      <c r="BD956" s="14"/>
      <c r="BE956" s="14"/>
      <c r="BF956" s="14"/>
      <c r="BG956" s="14"/>
      <c r="BH956" s="14"/>
      <c r="BI956" s="14"/>
      <c r="BJ956" s="14"/>
      <c r="BK956" s="14"/>
      <c r="BL956" s="14"/>
      <c r="BM956" s="14"/>
      <c r="BN956" s="14"/>
      <c r="BO956" s="14"/>
      <c r="BP956" s="14"/>
      <c r="BQ956" s="14"/>
      <c r="BR956" s="14"/>
      <c r="BS956" s="14"/>
      <c r="BT956" s="14"/>
      <c r="BU956" s="14"/>
      <c r="BV956" s="14"/>
      <c r="BW956" s="14"/>
      <c r="BX956" s="14"/>
      <c r="BY956" s="14"/>
      <c r="BZ956" s="14"/>
      <c r="CA956" s="14"/>
      <c r="CB956" s="14"/>
      <c r="CC956" s="14"/>
      <c r="CD956" s="14"/>
      <c r="CE956" s="14"/>
      <c r="CF956" s="14"/>
      <c r="CG956" s="14"/>
      <c r="CH956" s="14"/>
      <c r="CI956" s="14"/>
      <c r="CJ956" s="14"/>
      <c r="CK956" s="14"/>
      <c r="CL956" s="14"/>
      <c r="CT956" s="14"/>
      <c r="CW956" s="3"/>
      <c r="DG956" s="4"/>
    </row>
    <row r="957" customFormat="false" ht="11.25" hidden="false" customHeight="true" outlineLevel="0" collapsed="false">
      <c r="A957" s="14"/>
      <c r="B957" s="15"/>
      <c r="C957" s="15"/>
      <c r="D957" s="14"/>
      <c r="E957" s="14"/>
      <c r="F957" s="14"/>
      <c r="G957" s="14"/>
      <c r="H957" s="15"/>
      <c r="I957" s="15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14"/>
      <c r="AU957" s="14"/>
      <c r="AV957" s="14"/>
      <c r="AW957" s="14"/>
      <c r="AX957" s="14"/>
      <c r="AY957" s="14"/>
      <c r="AZ957" s="14"/>
      <c r="BA957" s="14"/>
      <c r="BB957" s="14"/>
      <c r="BC957" s="14"/>
      <c r="BD957" s="14"/>
      <c r="BE957" s="14"/>
      <c r="BF957" s="14"/>
      <c r="BG957" s="14"/>
      <c r="BH957" s="14"/>
      <c r="BI957" s="14"/>
      <c r="BJ957" s="14"/>
      <c r="BK957" s="14"/>
      <c r="BL957" s="14"/>
      <c r="BM957" s="14"/>
      <c r="BN957" s="14"/>
      <c r="BO957" s="14"/>
      <c r="BP957" s="14"/>
      <c r="BQ957" s="14"/>
      <c r="BR957" s="14"/>
      <c r="BS957" s="14"/>
      <c r="BT957" s="14"/>
      <c r="BU957" s="14"/>
      <c r="BV957" s="14"/>
      <c r="BW957" s="14"/>
      <c r="BX957" s="14"/>
      <c r="BY957" s="14"/>
      <c r="BZ957" s="14"/>
      <c r="CA957" s="14"/>
      <c r="CB957" s="14"/>
      <c r="CC957" s="14"/>
      <c r="CD957" s="14"/>
      <c r="CE957" s="14"/>
      <c r="CF957" s="14"/>
      <c r="CG957" s="14"/>
      <c r="CH957" s="14"/>
      <c r="CI957" s="14"/>
      <c r="CJ957" s="14"/>
      <c r="CK957" s="14"/>
      <c r="CL957" s="14"/>
      <c r="CT957" s="14"/>
      <c r="CW957" s="3"/>
      <c r="DG957" s="4"/>
    </row>
    <row r="958" customFormat="false" ht="11.25" hidden="false" customHeight="true" outlineLevel="0" collapsed="false">
      <c r="A958" s="14"/>
      <c r="B958" s="15"/>
      <c r="C958" s="15"/>
      <c r="D958" s="14"/>
      <c r="E958" s="14"/>
      <c r="F958" s="14"/>
      <c r="G958" s="14"/>
      <c r="H958" s="15"/>
      <c r="I958" s="15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14"/>
      <c r="AU958" s="14"/>
      <c r="AV958" s="14"/>
      <c r="AW958" s="14"/>
      <c r="AX958" s="14"/>
      <c r="AY958" s="14"/>
      <c r="AZ958" s="14"/>
      <c r="BA958" s="14"/>
      <c r="BB958" s="14"/>
      <c r="BC958" s="14"/>
      <c r="BD958" s="14"/>
      <c r="BE958" s="14"/>
      <c r="BF958" s="14"/>
      <c r="BG958" s="14"/>
      <c r="BH958" s="14"/>
      <c r="BI958" s="14"/>
      <c r="BJ958" s="14"/>
      <c r="BK958" s="14"/>
      <c r="BL958" s="14"/>
      <c r="BM958" s="14"/>
      <c r="BN958" s="14"/>
      <c r="BO958" s="14"/>
      <c r="BP958" s="14"/>
      <c r="BQ958" s="14"/>
      <c r="BR958" s="14"/>
      <c r="BS958" s="14"/>
      <c r="BT958" s="14"/>
      <c r="BU958" s="14"/>
      <c r="BV958" s="14"/>
      <c r="BW958" s="14"/>
      <c r="BX958" s="14"/>
      <c r="BY958" s="14"/>
      <c r="BZ958" s="14"/>
      <c r="CA958" s="14"/>
      <c r="CB958" s="14"/>
      <c r="CC958" s="14"/>
      <c r="CD958" s="14"/>
      <c r="CE958" s="14"/>
      <c r="CF958" s="14"/>
      <c r="CG958" s="14"/>
      <c r="CH958" s="14"/>
      <c r="CI958" s="14"/>
      <c r="CJ958" s="14"/>
      <c r="CK958" s="14"/>
      <c r="CL958" s="14"/>
      <c r="CT958" s="14"/>
      <c r="CW958" s="3"/>
      <c r="DG958" s="4"/>
    </row>
    <row r="959" customFormat="false" ht="11.25" hidden="false" customHeight="true" outlineLevel="0" collapsed="false">
      <c r="A959" s="14"/>
      <c r="B959" s="15"/>
      <c r="C959" s="15"/>
      <c r="D959" s="14"/>
      <c r="E959" s="14"/>
      <c r="F959" s="14"/>
      <c r="G959" s="14"/>
      <c r="H959" s="15"/>
      <c r="I959" s="15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14"/>
      <c r="AU959" s="14"/>
      <c r="AV959" s="14"/>
      <c r="AW959" s="14"/>
      <c r="AX959" s="14"/>
      <c r="AY959" s="14"/>
      <c r="AZ959" s="14"/>
      <c r="BA959" s="14"/>
      <c r="BB959" s="14"/>
      <c r="BC959" s="14"/>
      <c r="BD959" s="14"/>
      <c r="BE959" s="14"/>
      <c r="BF959" s="14"/>
      <c r="BG959" s="14"/>
      <c r="BH959" s="14"/>
      <c r="BI959" s="14"/>
      <c r="BJ959" s="14"/>
      <c r="BK959" s="14"/>
      <c r="BL959" s="14"/>
      <c r="BM959" s="14"/>
      <c r="BN959" s="14"/>
      <c r="BO959" s="14"/>
      <c r="BP959" s="14"/>
      <c r="BQ959" s="14"/>
      <c r="BR959" s="14"/>
      <c r="BS959" s="14"/>
      <c r="BT959" s="14"/>
      <c r="BU959" s="14"/>
      <c r="BV959" s="14"/>
      <c r="BW959" s="14"/>
      <c r="BX959" s="14"/>
      <c r="BY959" s="14"/>
      <c r="BZ959" s="14"/>
      <c r="CA959" s="14"/>
      <c r="CB959" s="14"/>
      <c r="CC959" s="14"/>
      <c r="CD959" s="14"/>
      <c r="CE959" s="14"/>
      <c r="CF959" s="14"/>
      <c r="CG959" s="14"/>
      <c r="CH959" s="14"/>
      <c r="CI959" s="14"/>
      <c r="CJ959" s="14"/>
      <c r="CK959" s="14"/>
      <c r="CL959" s="14"/>
      <c r="CT959" s="14"/>
      <c r="CW959" s="3"/>
      <c r="DG959" s="4"/>
    </row>
    <row r="960" customFormat="false" ht="11.25" hidden="false" customHeight="true" outlineLevel="0" collapsed="false">
      <c r="A960" s="14"/>
      <c r="B960" s="15"/>
      <c r="C960" s="15"/>
      <c r="D960" s="14"/>
      <c r="E960" s="14"/>
      <c r="F960" s="14"/>
      <c r="G960" s="14"/>
      <c r="H960" s="15"/>
      <c r="I960" s="15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14"/>
      <c r="AU960" s="14"/>
      <c r="AV960" s="14"/>
      <c r="AW960" s="14"/>
      <c r="AX960" s="14"/>
      <c r="AY960" s="14"/>
      <c r="AZ960" s="14"/>
      <c r="BA960" s="14"/>
      <c r="BB960" s="14"/>
      <c r="BC960" s="14"/>
      <c r="BD960" s="14"/>
      <c r="BE960" s="14"/>
      <c r="BF960" s="14"/>
      <c r="BG960" s="14"/>
      <c r="BH960" s="14"/>
      <c r="BI960" s="14"/>
      <c r="BJ960" s="14"/>
      <c r="BK960" s="14"/>
      <c r="BL960" s="14"/>
      <c r="BM960" s="14"/>
      <c r="BN960" s="14"/>
      <c r="BO960" s="14"/>
      <c r="BP960" s="14"/>
      <c r="BQ960" s="14"/>
      <c r="BR960" s="14"/>
      <c r="BS960" s="14"/>
      <c r="BT960" s="14"/>
      <c r="BU960" s="14"/>
      <c r="BV960" s="14"/>
      <c r="BW960" s="14"/>
      <c r="BX960" s="14"/>
      <c r="BY960" s="14"/>
      <c r="BZ960" s="14"/>
      <c r="CA960" s="14"/>
      <c r="CB960" s="14"/>
      <c r="CC960" s="14"/>
      <c r="CD960" s="14"/>
      <c r="CE960" s="14"/>
      <c r="CF960" s="14"/>
      <c r="CG960" s="14"/>
      <c r="CH960" s="14"/>
      <c r="CI960" s="14"/>
      <c r="CJ960" s="14"/>
      <c r="CK960" s="14"/>
      <c r="CL960" s="14"/>
      <c r="CT960" s="14"/>
      <c r="CW960" s="3"/>
      <c r="DG960" s="4"/>
    </row>
    <row r="961" customFormat="false" ht="11.25" hidden="false" customHeight="true" outlineLevel="0" collapsed="false">
      <c r="A961" s="14"/>
      <c r="B961" s="15"/>
      <c r="C961" s="15"/>
      <c r="D961" s="14"/>
      <c r="E961" s="14"/>
      <c r="F961" s="14"/>
      <c r="G961" s="14"/>
      <c r="H961" s="15"/>
      <c r="I961" s="15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/>
      <c r="AV961" s="14"/>
      <c r="AW961" s="14"/>
      <c r="AX961" s="14"/>
      <c r="AY961" s="14"/>
      <c r="AZ961" s="14"/>
      <c r="BA961" s="14"/>
      <c r="BB961" s="14"/>
      <c r="BC961" s="14"/>
      <c r="BD961" s="14"/>
      <c r="BE961" s="14"/>
      <c r="BF961" s="14"/>
      <c r="BG961" s="14"/>
      <c r="BH961" s="14"/>
      <c r="BI961" s="14"/>
      <c r="BJ961" s="14"/>
      <c r="BK961" s="14"/>
      <c r="BL961" s="14"/>
      <c r="BM961" s="14"/>
      <c r="BN961" s="14"/>
      <c r="BO961" s="14"/>
      <c r="BP961" s="14"/>
      <c r="BQ961" s="14"/>
      <c r="BR961" s="14"/>
      <c r="BS961" s="14"/>
      <c r="BT961" s="14"/>
      <c r="BU961" s="14"/>
      <c r="BV961" s="14"/>
      <c r="BW961" s="14"/>
      <c r="BX961" s="14"/>
      <c r="BY961" s="14"/>
      <c r="BZ961" s="14"/>
      <c r="CA961" s="14"/>
      <c r="CB961" s="14"/>
      <c r="CC961" s="14"/>
      <c r="CD961" s="14"/>
      <c r="CE961" s="14"/>
      <c r="CF961" s="14"/>
      <c r="CG961" s="14"/>
      <c r="CH961" s="14"/>
      <c r="CI961" s="14"/>
      <c r="CJ961" s="14"/>
      <c r="CK961" s="14"/>
      <c r="CL961" s="14"/>
      <c r="CT961" s="14"/>
      <c r="CW961" s="3"/>
      <c r="DG961" s="4"/>
    </row>
    <row r="962" customFormat="false" ht="11.25" hidden="false" customHeight="true" outlineLevel="0" collapsed="false">
      <c r="A962" s="14"/>
      <c r="B962" s="15"/>
      <c r="C962" s="15"/>
      <c r="D962" s="14"/>
      <c r="E962" s="14"/>
      <c r="F962" s="14"/>
      <c r="G962" s="14"/>
      <c r="H962" s="15"/>
      <c r="I962" s="15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14"/>
      <c r="AU962" s="14"/>
      <c r="AV962" s="14"/>
      <c r="AW962" s="14"/>
      <c r="AX962" s="14"/>
      <c r="AY962" s="14"/>
      <c r="AZ962" s="14"/>
      <c r="BA962" s="14"/>
      <c r="BB962" s="14"/>
      <c r="BC962" s="14"/>
      <c r="BD962" s="14"/>
      <c r="BE962" s="14"/>
      <c r="BF962" s="14"/>
      <c r="BG962" s="14"/>
      <c r="BH962" s="14"/>
      <c r="BI962" s="14"/>
      <c r="BJ962" s="14"/>
      <c r="BK962" s="14"/>
      <c r="BL962" s="14"/>
      <c r="BM962" s="14"/>
      <c r="BN962" s="14"/>
      <c r="BO962" s="14"/>
      <c r="BP962" s="14"/>
      <c r="BQ962" s="14"/>
      <c r="BR962" s="14"/>
      <c r="BS962" s="14"/>
      <c r="BT962" s="14"/>
      <c r="BU962" s="14"/>
      <c r="BV962" s="14"/>
      <c r="BW962" s="14"/>
      <c r="BX962" s="14"/>
      <c r="BY962" s="14"/>
      <c r="BZ962" s="14"/>
      <c r="CA962" s="14"/>
      <c r="CB962" s="14"/>
      <c r="CC962" s="14"/>
      <c r="CD962" s="14"/>
      <c r="CE962" s="14"/>
      <c r="CF962" s="14"/>
      <c r="CG962" s="14"/>
      <c r="CH962" s="14"/>
      <c r="CI962" s="14"/>
      <c r="CJ962" s="14"/>
      <c r="CK962" s="14"/>
      <c r="CL962" s="14"/>
      <c r="CT962" s="14"/>
      <c r="CW962" s="3"/>
      <c r="DG962" s="4"/>
    </row>
    <row r="963" customFormat="false" ht="11.25" hidden="false" customHeight="true" outlineLevel="0" collapsed="false">
      <c r="A963" s="14"/>
      <c r="B963" s="15"/>
      <c r="C963" s="15"/>
      <c r="D963" s="14"/>
      <c r="E963" s="14"/>
      <c r="F963" s="14"/>
      <c r="G963" s="14"/>
      <c r="H963" s="15"/>
      <c r="I963" s="15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14"/>
      <c r="AU963" s="14"/>
      <c r="AV963" s="14"/>
      <c r="AW963" s="14"/>
      <c r="AX963" s="14"/>
      <c r="AY963" s="14"/>
      <c r="AZ963" s="14"/>
      <c r="BA963" s="14"/>
      <c r="BB963" s="14"/>
      <c r="BC963" s="14"/>
      <c r="BD963" s="14"/>
      <c r="BE963" s="14"/>
      <c r="BF963" s="14"/>
      <c r="BG963" s="14"/>
      <c r="BH963" s="14"/>
      <c r="BI963" s="14"/>
      <c r="BJ963" s="14"/>
      <c r="BK963" s="14"/>
      <c r="BL963" s="14"/>
      <c r="BM963" s="14"/>
      <c r="BN963" s="14"/>
      <c r="BO963" s="14"/>
      <c r="BP963" s="14"/>
      <c r="BQ963" s="14"/>
      <c r="BR963" s="14"/>
      <c r="BS963" s="14"/>
      <c r="BT963" s="14"/>
      <c r="BU963" s="14"/>
      <c r="BV963" s="14"/>
      <c r="BW963" s="14"/>
      <c r="BX963" s="14"/>
      <c r="BY963" s="14"/>
      <c r="BZ963" s="14"/>
      <c r="CA963" s="14"/>
      <c r="CB963" s="14"/>
      <c r="CC963" s="14"/>
      <c r="CD963" s="14"/>
      <c r="CE963" s="14"/>
      <c r="CF963" s="14"/>
      <c r="CG963" s="14"/>
      <c r="CH963" s="14"/>
      <c r="CI963" s="14"/>
      <c r="CJ963" s="14"/>
      <c r="CK963" s="14"/>
      <c r="CL963" s="14"/>
      <c r="CT963" s="14"/>
      <c r="CW963" s="3"/>
      <c r="DG963" s="4"/>
    </row>
    <row r="964" customFormat="false" ht="11.25" hidden="false" customHeight="true" outlineLevel="0" collapsed="false">
      <c r="A964" s="14"/>
      <c r="B964" s="15"/>
      <c r="C964" s="15"/>
      <c r="D964" s="14"/>
      <c r="E964" s="14"/>
      <c r="F964" s="14"/>
      <c r="G964" s="14"/>
      <c r="H964" s="15"/>
      <c r="I964" s="15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14"/>
      <c r="AU964" s="14"/>
      <c r="AV964" s="14"/>
      <c r="AW964" s="14"/>
      <c r="AX964" s="14"/>
      <c r="AY964" s="14"/>
      <c r="AZ964" s="14"/>
      <c r="BA964" s="14"/>
      <c r="BB964" s="14"/>
      <c r="BC964" s="14"/>
      <c r="BD964" s="14"/>
      <c r="BE964" s="14"/>
      <c r="BF964" s="14"/>
      <c r="BG964" s="14"/>
      <c r="BH964" s="14"/>
      <c r="BI964" s="14"/>
      <c r="BJ964" s="14"/>
      <c r="BK964" s="14"/>
      <c r="BL964" s="14"/>
      <c r="BM964" s="14"/>
      <c r="BN964" s="14"/>
      <c r="BO964" s="14"/>
      <c r="BP964" s="14"/>
      <c r="BQ964" s="14"/>
      <c r="BR964" s="14"/>
      <c r="BS964" s="14"/>
      <c r="BT964" s="14"/>
      <c r="BU964" s="14"/>
      <c r="BV964" s="14"/>
      <c r="BW964" s="14"/>
      <c r="BX964" s="14"/>
      <c r="BY964" s="14"/>
      <c r="BZ964" s="14"/>
      <c r="CA964" s="14"/>
      <c r="CB964" s="14"/>
      <c r="CC964" s="14"/>
      <c r="CD964" s="14"/>
      <c r="CE964" s="14"/>
      <c r="CF964" s="14"/>
      <c r="CG964" s="14"/>
      <c r="CH964" s="14"/>
      <c r="CI964" s="14"/>
      <c r="CJ964" s="14"/>
      <c r="CK964" s="14"/>
      <c r="CL964" s="14"/>
      <c r="CT964" s="14"/>
      <c r="CW964" s="3"/>
      <c r="DG964" s="4"/>
    </row>
    <row r="965" customFormat="false" ht="11.25" hidden="false" customHeight="true" outlineLevel="0" collapsed="false">
      <c r="A965" s="14"/>
      <c r="B965" s="15"/>
      <c r="C965" s="15"/>
      <c r="D965" s="14"/>
      <c r="E965" s="14"/>
      <c r="F965" s="14"/>
      <c r="G965" s="14"/>
      <c r="H965" s="15"/>
      <c r="I965" s="15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14"/>
      <c r="AU965" s="14"/>
      <c r="AV965" s="14"/>
      <c r="AW965" s="14"/>
      <c r="AX965" s="14"/>
      <c r="AY965" s="14"/>
      <c r="AZ965" s="14"/>
      <c r="BA965" s="14"/>
      <c r="BB965" s="14"/>
      <c r="BC965" s="14"/>
      <c r="BD965" s="14"/>
      <c r="BE965" s="14"/>
      <c r="BF965" s="14"/>
      <c r="BG965" s="14"/>
      <c r="BH965" s="14"/>
      <c r="BI965" s="14"/>
      <c r="BJ965" s="14"/>
      <c r="BK965" s="14"/>
      <c r="BL965" s="14"/>
      <c r="BM965" s="14"/>
      <c r="BN965" s="14"/>
      <c r="BO965" s="14"/>
      <c r="BP965" s="14"/>
      <c r="BQ965" s="14"/>
      <c r="BR965" s="14"/>
      <c r="BS965" s="14"/>
      <c r="BT965" s="14"/>
      <c r="BU965" s="14"/>
      <c r="BV965" s="14"/>
      <c r="BW965" s="14"/>
      <c r="BX965" s="14"/>
      <c r="BY965" s="14"/>
      <c r="BZ965" s="14"/>
      <c r="CA965" s="14"/>
      <c r="CB965" s="14"/>
      <c r="CC965" s="14"/>
      <c r="CD965" s="14"/>
      <c r="CE965" s="14"/>
      <c r="CF965" s="14"/>
      <c r="CG965" s="14"/>
      <c r="CH965" s="14"/>
      <c r="CI965" s="14"/>
      <c r="CJ965" s="14"/>
      <c r="CK965" s="14"/>
      <c r="CL965" s="14"/>
      <c r="CT965" s="14"/>
      <c r="CW965" s="3"/>
      <c r="DG965" s="4"/>
    </row>
    <row r="966" customFormat="false" ht="11.25" hidden="false" customHeight="true" outlineLevel="0" collapsed="false">
      <c r="A966" s="14"/>
      <c r="B966" s="15"/>
      <c r="C966" s="15"/>
      <c r="D966" s="14"/>
      <c r="E966" s="14"/>
      <c r="F966" s="14"/>
      <c r="G966" s="14"/>
      <c r="H966" s="15"/>
      <c r="I966" s="15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14"/>
      <c r="AU966" s="14"/>
      <c r="AV966" s="14"/>
      <c r="AW966" s="14"/>
      <c r="AX966" s="14"/>
      <c r="AY966" s="14"/>
      <c r="AZ966" s="14"/>
      <c r="BA966" s="14"/>
      <c r="BB966" s="14"/>
      <c r="BC966" s="14"/>
      <c r="BD966" s="14"/>
      <c r="BE966" s="14"/>
      <c r="BF966" s="14"/>
      <c r="BG966" s="14"/>
      <c r="BH966" s="14"/>
      <c r="BI966" s="14"/>
      <c r="BJ966" s="14"/>
      <c r="BK966" s="14"/>
      <c r="BL966" s="14"/>
      <c r="BM966" s="14"/>
      <c r="BN966" s="14"/>
      <c r="BO966" s="14"/>
      <c r="BP966" s="14"/>
      <c r="BQ966" s="14"/>
      <c r="BR966" s="14"/>
      <c r="BS966" s="14"/>
      <c r="BT966" s="14"/>
      <c r="BU966" s="14"/>
      <c r="BV966" s="14"/>
      <c r="BW966" s="14"/>
      <c r="BX966" s="14"/>
      <c r="BY966" s="14"/>
      <c r="BZ966" s="14"/>
      <c r="CA966" s="14"/>
      <c r="CB966" s="14"/>
      <c r="CC966" s="14"/>
      <c r="CD966" s="14"/>
      <c r="CE966" s="14"/>
      <c r="CF966" s="14"/>
      <c r="CG966" s="14"/>
      <c r="CH966" s="14"/>
      <c r="CI966" s="14"/>
      <c r="CJ966" s="14"/>
      <c r="CK966" s="14"/>
      <c r="CL966" s="14"/>
      <c r="CT966" s="14"/>
      <c r="CW966" s="3"/>
      <c r="DG966" s="4"/>
    </row>
    <row r="967" customFormat="false" ht="11.25" hidden="false" customHeight="true" outlineLevel="0" collapsed="false">
      <c r="A967" s="14"/>
      <c r="B967" s="15"/>
      <c r="C967" s="15"/>
      <c r="D967" s="14"/>
      <c r="E967" s="14"/>
      <c r="F967" s="14"/>
      <c r="G967" s="14"/>
      <c r="H967" s="15"/>
      <c r="I967" s="15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14"/>
      <c r="AU967" s="14"/>
      <c r="AV967" s="14"/>
      <c r="AW967" s="14"/>
      <c r="AX967" s="14"/>
      <c r="AY967" s="14"/>
      <c r="AZ967" s="14"/>
      <c r="BA967" s="14"/>
      <c r="BB967" s="14"/>
      <c r="BC967" s="14"/>
      <c r="BD967" s="14"/>
      <c r="BE967" s="14"/>
      <c r="BF967" s="14"/>
      <c r="BG967" s="14"/>
      <c r="BH967" s="14"/>
      <c r="BI967" s="14"/>
      <c r="BJ967" s="14"/>
      <c r="BK967" s="14"/>
      <c r="BL967" s="14"/>
      <c r="BM967" s="14"/>
      <c r="BN967" s="14"/>
      <c r="BO967" s="14"/>
      <c r="BP967" s="14"/>
      <c r="BQ967" s="14"/>
      <c r="BR967" s="14"/>
      <c r="BS967" s="14"/>
      <c r="BT967" s="14"/>
      <c r="BU967" s="14"/>
      <c r="BV967" s="14"/>
      <c r="BW967" s="14"/>
      <c r="BX967" s="14"/>
      <c r="BY967" s="14"/>
      <c r="BZ967" s="14"/>
      <c r="CA967" s="14"/>
      <c r="CB967" s="14"/>
      <c r="CC967" s="14"/>
      <c r="CD967" s="14"/>
      <c r="CE967" s="14"/>
      <c r="CF967" s="14"/>
      <c r="CG967" s="14"/>
      <c r="CH967" s="14"/>
      <c r="CI967" s="14"/>
      <c r="CJ967" s="14"/>
      <c r="CK967" s="14"/>
      <c r="CL967" s="14"/>
      <c r="CT967" s="14"/>
      <c r="CW967" s="3"/>
      <c r="DG967" s="4"/>
    </row>
    <row r="968" customFormat="false" ht="11.25" hidden="false" customHeight="true" outlineLevel="0" collapsed="false">
      <c r="A968" s="14"/>
      <c r="B968" s="15"/>
      <c r="C968" s="15"/>
      <c r="D968" s="14"/>
      <c r="E968" s="14"/>
      <c r="F968" s="14"/>
      <c r="G968" s="14"/>
      <c r="H968" s="15"/>
      <c r="I968" s="15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14"/>
      <c r="AU968" s="14"/>
      <c r="AV968" s="14"/>
      <c r="AW968" s="14"/>
      <c r="AX968" s="14"/>
      <c r="AY968" s="14"/>
      <c r="AZ968" s="14"/>
      <c r="BA968" s="14"/>
      <c r="BB968" s="14"/>
      <c r="BC968" s="14"/>
      <c r="BD968" s="14"/>
      <c r="BE968" s="14"/>
      <c r="BF968" s="14"/>
      <c r="BG968" s="14"/>
      <c r="BH968" s="14"/>
      <c r="BI968" s="14"/>
      <c r="BJ968" s="14"/>
      <c r="BK968" s="14"/>
      <c r="BL968" s="14"/>
      <c r="BM968" s="14"/>
      <c r="BN968" s="14"/>
      <c r="BO968" s="14"/>
      <c r="BP968" s="14"/>
      <c r="BQ968" s="14"/>
      <c r="BR968" s="14"/>
      <c r="BS968" s="14"/>
      <c r="BT968" s="14"/>
      <c r="BU968" s="14"/>
      <c r="BV968" s="14"/>
      <c r="BW968" s="14"/>
      <c r="BX968" s="14"/>
      <c r="BY968" s="14"/>
      <c r="BZ968" s="14"/>
      <c r="CA968" s="14"/>
      <c r="CB968" s="14"/>
      <c r="CC968" s="14"/>
      <c r="CD968" s="14"/>
      <c r="CE968" s="14"/>
      <c r="CF968" s="14"/>
      <c r="CG968" s="14"/>
      <c r="CH968" s="14"/>
      <c r="CI968" s="14"/>
      <c r="CJ968" s="14"/>
      <c r="CK968" s="14"/>
      <c r="CL968" s="14"/>
      <c r="CT968" s="14"/>
      <c r="CW968" s="3"/>
      <c r="DG968" s="4"/>
    </row>
    <row r="969" customFormat="false" ht="11.25" hidden="false" customHeight="true" outlineLevel="0" collapsed="false">
      <c r="A969" s="14"/>
      <c r="B969" s="15"/>
      <c r="C969" s="15"/>
      <c r="D969" s="14"/>
      <c r="E969" s="14"/>
      <c r="F969" s="14"/>
      <c r="G969" s="14"/>
      <c r="H969" s="15"/>
      <c r="I969" s="15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14"/>
      <c r="AU969" s="14"/>
      <c r="AV969" s="14"/>
      <c r="AW969" s="14"/>
      <c r="AX969" s="14"/>
      <c r="AY969" s="14"/>
      <c r="AZ969" s="14"/>
      <c r="BA969" s="14"/>
      <c r="BB969" s="14"/>
      <c r="BC969" s="14"/>
      <c r="BD969" s="14"/>
      <c r="BE969" s="14"/>
      <c r="BF969" s="14"/>
      <c r="BG969" s="14"/>
      <c r="BH969" s="14"/>
      <c r="BI969" s="14"/>
      <c r="BJ969" s="14"/>
      <c r="BK969" s="14"/>
      <c r="BL969" s="14"/>
      <c r="BM969" s="14"/>
      <c r="BN969" s="14"/>
      <c r="BO969" s="14"/>
      <c r="BP969" s="14"/>
      <c r="BQ969" s="14"/>
      <c r="BR969" s="14"/>
      <c r="BS969" s="14"/>
      <c r="BT969" s="14"/>
      <c r="BU969" s="14"/>
      <c r="BV969" s="14"/>
      <c r="BW969" s="14"/>
      <c r="BX969" s="14"/>
      <c r="BY969" s="14"/>
      <c r="BZ969" s="14"/>
      <c r="CA969" s="14"/>
      <c r="CB969" s="14"/>
      <c r="CC969" s="14"/>
      <c r="CD969" s="14"/>
      <c r="CE969" s="14"/>
      <c r="CF969" s="14"/>
      <c r="CG969" s="14"/>
      <c r="CH969" s="14"/>
      <c r="CI969" s="14"/>
      <c r="CJ969" s="14"/>
      <c r="CK969" s="14"/>
      <c r="CL969" s="14"/>
      <c r="CT969" s="14"/>
      <c r="CW969" s="3"/>
      <c r="DG969" s="4"/>
    </row>
    <row r="970" customFormat="false" ht="11.25" hidden="false" customHeight="true" outlineLevel="0" collapsed="false">
      <c r="A970" s="14"/>
      <c r="B970" s="15"/>
      <c r="C970" s="15"/>
      <c r="D970" s="14"/>
      <c r="E970" s="14"/>
      <c r="F970" s="14"/>
      <c r="G970" s="14"/>
      <c r="H970" s="15"/>
      <c r="I970" s="15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14"/>
      <c r="AU970" s="14"/>
      <c r="AV970" s="14"/>
      <c r="AW970" s="14"/>
      <c r="AX970" s="14"/>
      <c r="AY970" s="14"/>
      <c r="AZ970" s="14"/>
      <c r="BA970" s="14"/>
      <c r="BB970" s="14"/>
      <c r="BC970" s="14"/>
      <c r="BD970" s="14"/>
      <c r="BE970" s="14"/>
      <c r="BF970" s="14"/>
      <c r="BG970" s="14"/>
      <c r="BH970" s="14"/>
      <c r="BI970" s="14"/>
      <c r="BJ970" s="14"/>
      <c r="BK970" s="14"/>
      <c r="BL970" s="14"/>
      <c r="BM970" s="14"/>
      <c r="BN970" s="14"/>
      <c r="BO970" s="14"/>
      <c r="BP970" s="14"/>
      <c r="BQ970" s="14"/>
      <c r="BR970" s="14"/>
      <c r="BS970" s="14"/>
      <c r="BT970" s="14"/>
      <c r="BU970" s="14"/>
      <c r="BV970" s="14"/>
      <c r="BW970" s="14"/>
      <c r="BX970" s="14"/>
      <c r="BY970" s="14"/>
      <c r="BZ970" s="14"/>
      <c r="CA970" s="14"/>
      <c r="CB970" s="14"/>
      <c r="CC970" s="14"/>
      <c r="CD970" s="14"/>
      <c r="CE970" s="14"/>
      <c r="CF970" s="14"/>
      <c r="CG970" s="14"/>
      <c r="CH970" s="14"/>
      <c r="CI970" s="14"/>
      <c r="CJ970" s="14"/>
      <c r="CK970" s="14"/>
      <c r="CL970" s="14"/>
      <c r="CT970" s="14"/>
      <c r="CW970" s="3"/>
      <c r="DG970" s="4"/>
    </row>
    <row r="971" customFormat="false" ht="11.25" hidden="false" customHeight="true" outlineLevel="0" collapsed="false">
      <c r="A971" s="14"/>
      <c r="B971" s="15"/>
      <c r="C971" s="15"/>
      <c r="D971" s="14"/>
      <c r="E971" s="14"/>
      <c r="F971" s="14"/>
      <c r="G971" s="14"/>
      <c r="H971" s="15"/>
      <c r="I971" s="15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14"/>
      <c r="AU971" s="14"/>
      <c r="AV971" s="14"/>
      <c r="AW971" s="14"/>
      <c r="AX971" s="14"/>
      <c r="AY971" s="14"/>
      <c r="AZ971" s="14"/>
      <c r="BA971" s="14"/>
      <c r="BB971" s="14"/>
      <c r="BC971" s="14"/>
      <c r="BD971" s="14"/>
      <c r="BE971" s="14"/>
      <c r="BF971" s="14"/>
      <c r="BG971" s="14"/>
      <c r="BH971" s="14"/>
      <c r="BI971" s="14"/>
      <c r="BJ971" s="14"/>
      <c r="BK971" s="14"/>
      <c r="BL971" s="14"/>
      <c r="BM971" s="14"/>
      <c r="BN971" s="14"/>
      <c r="BO971" s="14"/>
      <c r="BP971" s="14"/>
      <c r="BQ971" s="14"/>
      <c r="BR971" s="14"/>
      <c r="BS971" s="14"/>
      <c r="BT971" s="14"/>
      <c r="BU971" s="14"/>
      <c r="BV971" s="14"/>
      <c r="BW971" s="14"/>
      <c r="BX971" s="14"/>
      <c r="BY971" s="14"/>
      <c r="BZ971" s="14"/>
      <c r="CA971" s="14"/>
      <c r="CB971" s="14"/>
      <c r="CC971" s="14"/>
      <c r="CD971" s="14"/>
      <c r="CE971" s="14"/>
      <c r="CF971" s="14"/>
      <c r="CG971" s="14"/>
      <c r="CH971" s="14"/>
      <c r="CI971" s="14"/>
      <c r="CJ971" s="14"/>
      <c r="CK971" s="14"/>
      <c r="CL971" s="14"/>
      <c r="CT971" s="14"/>
      <c r="CW971" s="3"/>
      <c r="DG971" s="4"/>
    </row>
    <row r="972" customFormat="false" ht="11.25" hidden="false" customHeight="true" outlineLevel="0" collapsed="false">
      <c r="A972" s="14"/>
      <c r="B972" s="15"/>
      <c r="C972" s="15"/>
      <c r="D972" s="14"/>
      <c r="E972" s="14"/>
      <c r="F972" s="14"/>
      <c r="G972" s="14"/>
      <c r="H972" s="15"/>
      <c r="I972" s="15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  <c r="AS972" s="14"/>
      <c r="AT972" s="14"/>
      <c r="AU972" s="14"/>
      <c r="AV972" s="14"/>
      <c r="AW972" s="14"/>
      <c r="AX972" s="14"/>
      <c r="AY972" s="14"/>
      <c r="AZ972" s="14"/>
      <c r="BA972" s="14"/>
      <c r="BB972" s="14"/>
      <c r="BC972" s="14"/>
      <c r="BD972" s="14"/>
      <c r="BE972" s="14"/>
      <c r="BF972" s="14"/>
      <c r="BG972" s="14"/>
      <c r="BH972" s="14"/>
      <c r="BI972" s="14"/>
      <c r="BJ972" s="14"/>
      <c r="BK972" s="14"/>
      <c r="BL972" s="14"/>
      <c r="BM972" s="14"/>
      <c r="BN972" s="14"/>
      <c r="BO972" s="14"/>
      <c r="BP972" s="14"/>
      <c r="BQ972" s="14"/>
      <c r="BR972" s="14"/>
      <c r="BS972" s="14"/>
      <c r="BT972" s="14"/>
      <c r="BU972" s="14"/>
      <c r="BV972" s="14"/>
      <c r="BW972" s="14"/>
      <c r="BX972" s="14"/>
      <c r="BY972" s="14"/>
      <c r="BZ972" s="14"/>
      <c r="CA972" s="14"/>
      <c r="CB972" s="14"/>
      <c r="CC972" s="14"/>
      <c r="CD972" s="14"/>
      <c r="CE972" s="14"/>
      <c r="CF972" s="14"/>
      <c r="CG972" s="14"/>
      <c r="CH972" s="14"/>
      <c r="CI972" s="14"/>
      <c r="CJ972" s="14"/>
      <c r="CK972" s="14"/>
      <c r="CL972" s="14"/>
      <c r="CT972" s="14"/>
      <c r="CW972" s="3"/>
      <c r="DG972" s="4"/>
    </row>
    <row r="973" customFormat="false" ht="11.25" hidden="false" customHeight="true" outlineLevel="0" collapsed="false">
      <c r="A973" s="14"/>
      <c r="B973" s="15"/>
      <c r="C973" s="15"/>
      <c r="D973" s="14"/>
      <c r="E973" s="14"/>
      <c r="F973" s="14"/>
      <c r="G973" s="14"/>
      <c r="H973" s="15"/>
      <c r="I973" s="15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  <c r="AS973" s="14"/>
      <c r="AT973" s="14"/>
      <c r="AU973" s="14"/>
      <c r="AV973" s="14"/>
      <c r="AW973" s="14"/>
      <c r="AX973" s="14"/>
      <c r="AY973" s="14"/>
      <c r="AZ973" s="14"/>
      <c r="BA973" s="14"/>
      <c r="BB973" s="14"/>
      <c r="BC973" s="14"/>
      <c r="BD973" s="14"/>
      <c r="BE973" s="14"/>
      <c r="BF973" s="14"/>
      <c r="BG973" s="14"/>
      <c r="BH973" s="14"/>
      <c r="BI973" s="14"/>
      <c r="BJ973" s="14"/>
      <c r="BK973" s="14"/>
      <c r="BL973" s="14"/>
      <c r="BM973" s="14"/>
      <c r="BN973" s="14"/>
      <c r="BO973" s="14"/>
      <c r="BP973" s="14"/>
      <c r="BQ973" s="14"/>
      <c r="BR973" s="14"/>
      <c r="BS973" s="14"/>
      <c r="BT973" s="14"/>
      <c r="BU973" s="14"/>
      <c r="BV973" s="14"/>
      <c r="BW973" s="14"/>
      <c r="BX973" s="14"/>
      <c r="BY973" s="14"/>
      <c r="BZ973" s="14"/>
      <c r="CA973" s="14"/>
      <c r="CB973" s="14"/>
      <c r="CC973" s="14"/>
      <c r="CD973" s="14"/>
      <c r="CE973" s="14"/>
      <c r="CF973" s="14"/>
      <c r="CG973" s="14"/>
      <c r="CH973" s="14"/>
      <c r="CI973" s="14"/>
      <c r="CJ973" s="14"/>
      <c r="CK973" s="14"/>
      <c r="CL973" s="14"/>
      <c r="CT973" s="14"/>
      <c r="CW973" s="3"/>
      <c r="DG973" s="4"/>
    </row>
    <row r="974" customFormat="false" ht="11.25" hidden="false" customHeight="true" outlineLevel="0" collapsed="false">
      <c r="A974" s="14"/>
      <c r="B974" s="15"/>
      <c r="C974" s="15"/>
      <c r="D974" s="14"/>
      <c r="E974" s="14"/>
      <c r="F974" s="14"/>
      <c r="G974" s="14"/>
      <c r="H974" s="15"/>
      <c r="I974" s="15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14"/>
      <c r="AU974" s="14"/>
      <c r="AV974" s="14"/>
      <c r="AW974" s="14"/>
      <c r="AX974" s="14"/>
      <c r="AY974" s="14"/>
      <c r="AZ974" s="14"/>
      <c r="BA974" s="14"/>
      <c r="BB974" s="14"/>
      <c r="BC974" s="14"/>
      <c r="BD974" s="14"/>
      <c r="BE974" s="14"/>
      <c r="BF974" s="14"/>
      <c r="BG974" s="14"/>
      <c r="BH974" s="14"/>
      <c r="BI974" s="14"/>
      <c r="BJ974" s="14"/>
      <c r="BK974" s="14"/>
      <c r="BL974" s="14"/>
      <c r="BM974" s="14"/>
      <c r="BN974" s="14"/>
      <c r="BO974" s="14"/>
      <c r="BP974" s="14"/>
      <c r="BQ974" s="14"/>
      <c r="BR974" s="14"/>
      <c r="BS974" s="14"/>
      <c r="BT974" s="14"/>
      <c r="BU974" s="14"/>
      <c r="BV974" s="14"/>
      <c r="BW974" s="14"/>
      <c r="BX974" s="14"/>
      <c r="BY974" s="14"/>
      <c r="BZ974" s="14"/>
      <c r="CA974" s="14"/>
      <c r="CB974" s="14"/>
      <c r="CC974" s="14"/>
      <c r="CD974" s="14"/>
      <c r="CE974" s="14"/>
      <c r="CF974" s="14"/>
      <c r="CG974" s="14"/>
      <c r="CH974" s="14"/>
      <c r="CI974" s="14"/>
      <c r="CJ974" s="14"/>
      <c r="CK974" s="14"/>
      <c r="CL974" s="14"/>
      <c r="CT974" s="14"/>
      <c r="CW974" s="3"/>
      <c r="DG974" s="4"/>
    </row>
    <row r="975" customFormat="false" ht="11.25" hidden="false" customHeight="true" outlineLevel="0" collapsed="false">
      <c r="A975" s="14"/>
      <c r="B975" s="15"/>
      <c r="C975" s="15"/>
      <c r="D975" s="14"/>
      <c r="E975" s="14"/>
      <c r="F975" s="14"/>
      <c r="G975" s="14"/>
      <c r="H975" s="15"/>
      <c r="I975" s="15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  <c r="AT975" s="14"/>
      <c r="AU975" s="14"/>
      <c r="AV975" s="14"/>
      <c r="AW975" s="14"/>
      <c r="AX975" s="14"/>
      <c r="AY975" s="14"/>
      <c r="AZ975" s="14"/>
      <c r="BA975" s="14"/>
      <c r="BB975" s="14"/>
      <c r="BC975" s="14"/>
      <c r="BD975" s="14"/>
      <c r="BE975" s="14"/>
      <c r="BF975" s="14"/>
      <c r="BG975" s="14"/>
      <c r="BH975" s="14"/>
      <c r="BI975" s="14"/>
      <c r="BJ975" s="14"/>
      <c r="BK975" s="14"/>
      <c r="BL975" s="14"/>
      <c r="BM975" s="14"/>
      <c r="BN975" s="14"/>
      <c r="BO975" s="14"/>
      <c r="BP975" s="14"/>
      <c r="BQ975" s="14"/>
      <c r="BR975" s="14"/>
      <c r="BS975" s="14"/>
      <c r="BT975" s="14"/>
      <c r="BU975" s="14"/>
      <c r="BV975" s="14"/>
      <c r="BW975" s="14"/>
      <c r="BX975" s="14"/>
      <c r="BY975" s="14"/>
      <c r="BZ975" s="14"/>
      <c r="CA975" s="14"/>
      <c r="CB975" s="14"/>
      <c r="CC975" s="14"/>
      <c r="CD975" s="14"/>
      <c r="CE975" s="14"/>
      <c r="CF975" s="14"/>
      <c r="CG975" s="14"/>
      <c r="CH975" s="14"/>
      <c r="CI975" s="14"/>
      <c r="CJ975" s="14"/>
      <c r="CK975" s="14"/>
      <c r="CL975" s="14"/>
      <c r="CT975" s="14"/>
      <c r="CW975" s="3"/>
      <c r="DG975" s="4"/>
    </row>
    <row r="976" customFormat="false" ht="11.25" hidden="false" customHeight="true" outlineLevel="0" collapsed="false">
      <c r="A976" s="14"/>
      <c r="B976" s="15"/>
      <c r="C976" s="15"/>
      <c r="D976" s="14"/>
      <c r="E976" s="14"/>
      <c r="F976" s="14"/>
      <c r="G976" s="14"/>
      <c r="H976" s="15"/>
      <c r="I976" s="15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14"/>
      <c r="AU976" s="14"/>
      <c r="AV976" s="14"/>
      <c r="AW976" s="14"/>
      <c r="AX976" s="14"/>
      <c r="AY976" s="14"/>
      <c r="AZ976" s="14"/>
      <c r="BA976" s="14"/>
      <c r="BB976" s="14"/>
      <c r="BC976" s="14"/>
      <c r="BD976" s="14"/>
      <c r="BE976" s="14"/>
      <c r="BF976" s="14"/>
      <c r="BG976" s="14"/>
      <c r="BH976" s="14"/>
      <c r="BI976" s="14"/>
      <c r="BJ976" s="14"/>
      <c r="BK976" s="14"/>
      <c r="BL976" s="14"/>
      <c r="BM976" s="14"/>
      <c r="BN976" s="14"/>
      <c r="BO976" s="14"/>
      <c r="BP976" s="14"/>
      <c r="BQ976" s="14"/>
      <c r="BR976" s="14"/>
      <c r="BS976" s="14"/>
      <c r="BT976" s="14"/>
      <c r="BU976" s="14"/>
      <c r="BV976" s="14"/>
      <c r="BW976" s="14"/>
      <c r="BX976" s="14"/>
      <c r="BY976" s="14"/>
      <c r="BZ976" s="14"/>
      <c r="CA976" s="14"/>
      <c r="CB976" s="14"/>
      <c r="CC976" s="14"/>
      <c r="CD976" s="14"/>
      <c r="CE976" s="14"/>
      <c r="CF976" s="14"/>
      <c r="CG976" s="14"/>
      <c r="CH976" s="14"/>
      <c r="CI976" s="14"/>
      <c r="CJ976" s="14"/>
      <c r="CK976" s="14"/>
      <c r="CL976" s="14"/>
      <c r="CT976" s="14"/>
      <c r="CW976" s="3"/>
      <c r="DG976" s="4"/>
    </row>
    <row r="977" customFormat="false" ht="11.25" hidden="false" customHeight="true" outlineLevel="0" collapsed="false">
      <c r="A977" s="14"/>
      <c r="B977" s="15"/>
      <c r="C977" s="15"/>
      <c r="D977" s="14"/>
      <c r="E977" s="14"/>
      <c r="F977" s="14"/>
      <c r="G977" s="14"/>
      <c r="H977" s="15"/>
      <c r="I977" s="15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14"/>
      <c r="AU977" s="14"/>
      <c r="AV977" s="14"/>
      <c r="AW977" s="14"/>
      <c r="AX977" s="14"/>
      <c r="AY977" s="14"/>
      <c r="AZ977" s="14"/>
      <c r="BA977" s="14"/>
      <c r="BB977" s="14"/>
      <c r="BC977" s="14"/>
      <c r="BD977" s="14"/>
      <c r="BE977" s="14"/>
      <c r="BF977" s="14"/>
      <c r="BG977" s="14"/>
      <c r="BH977" s="14"/>
      <c r="BI977" s="14"/>
      <c r="BJ977" s="14"/>
      <c r="BK977" s="14"/>
      <c r="BL977" s="14"/>
      <c r="BM977" s="14"/>
      <c r="BN977" s="14"/>
      <c r="BO977" s="14"/>
      <c r="BP977" s="14"/>
      <c r="BQ977" s="14"/>
      <c r="BR977" s="14"/>
      <c r="BS977" s="14"/>
      <c r="BT977" s="14"/>
      <c r="BU977" s="14"/>
      <c r="BV977" s="14"/>
      <c r="BW977" s="14"/>
      <c r="BX977" s="14"/>
      <c r="BY977" s="14"/>
      <c r="BZ977" s="14"/>
      <c r="CA977" s="14"/>
      <c r="CB977" s="14"/>
      <c r="CC977" s="14"/>
      <c r="CD977" s="14"/>
      <c r="CE977" s="14"/>
      <c r="CF977" s="14"/>
      <c r="CG977" s="14"/>
      <c r="CH977" s="14"/>
      <c r="CI977" s="14"/>
      <c r="CJ977" s="14"/>
      <c r="CK977" s="14"/>
      <c r="CL977" s="14"/>
      <c r="CT977" s="14"/>
      <c r="CW977" s="3"/>
      <c r="DG977" s="4"/>
    </row>
    <row r="978" customFormat="false" ht="11.25" hidden="false" customHeight="true" outlineLevel="0" collapsed="false">
      <c r="A978" s="14"/>
      <c r="B978" s="15"/>
      <c r="C978" s="15"/>
      <c r="D978" s="14"/>
      <c r="E978" s="14"/>
      <c r="F978" s="14"/>
      <c r="G978" s="14"/>
      <c r="H978" s="15"/>
      <c r="I978" s="15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14"/>
      <c r="AU978" s="14"/>
      <c r="AV978" s="14"/>
      <c r="AW978" s="14"/>
      <c r="AX978" s="14"/>
      <c r="AY978" s="14"/>
      <c r="AZ978" s="14"/>
      <c r="BA978" s="14"/>
      <c r="BB978" s="14"/>
      <c r="BC978" s="14"/>
      <c r="BD978" s="14"/>
      <c r="BE978" s="14"/>
      <c r="BF978" s="14"/>
      <c r="BG978" s="14"/>
      <c r="BH978" s="14"/>
      <c r="BI978" s="14"/>
      <c r="BJ978" s="14"/>
      <c r="BK978" s="14"/>
      <c r="BL978" s="14"/>
      <c r="BM978" s="14"/>
      <c r="BN978" s="14"/>
      <c r="BO978" s="14"/>
      <c r="BP978" s="14"/>
      <c r="BQ978" s="14"/>
      <c r="BR978" s="14"/>
      <c r="BS978" s="14"/>
      <c r="BT978" s="14"/>
      <c r="BU978" s="14"/>
      <c r="BV978" s="14"/>
      <c r="BW978" s="14"/>
      <c r="BX978" s="14"/>
      <c r="BY978" s="14"/>
      <c r="BZ978" s="14"/>
      <c r="CA978" s="14"/>
      <c r="CB978" s="14"/>
      <c r="CC978" s="14"/>
      <c r="CD978" s="14"/>
      <c r="CE978" s="14"/>
      <c r="CF978" s="14"/>
      <c r="CG978" s="14"/>
      <c r="CH978" s="14"/>
      <c r="CI978" s="14"/>
      <c r="CJ978" s="14"/>
      <c r="CK978" s="14"/>
      <c r="CL978" s="14"/>
      <c r="CT978" s="14"/>
      <c r="CW978" s="3"/>
      <c r="DG978" s="4"/>
    </row>
    <row r="979" customFormat="false" ht="11.25" hidden="false" customHeight="true" outlineLevel="0" collapsed="false">
      <c r="A979" s="14"/>
      <c r="B979" s="15"/>
      <c r="C979" s="15"/>
      <c r="D979" s="14"/>
      <c r="E979" s="14"/>
      <c r="F979" s="14"/>
      <c r="G979" s="14"/>
      <c r="H979" s="15"/>
      <c r="I979" s="15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14"/>
      <c r="AU979" s="14"/>
      <c r="AV979" s="14"/>
      <c r="AW979" s="14"/>
      <c r="AX979" s="14"/>
      <c r="AY979" s="14"/>
      <c r="AZ979" s="14"/>
      <c r="BA979" s="14"/>
      <c r="BB979" s="14"/>
      <c r="BC979" s="14"/>
      <c r="BD979" s="14"/>
      <c r="BE979" s="14"/>
      <c r="BF979" s="14"/>
      <c r="BG979" s="14"/>
      <c r="BH979" s="14"/>
      <c r="BI979" s="14"/>
      <c r="BJ979" s="14"/>
      <c r="BK979" s="14"/>
      <c r="BL979" s="14"/>
      <c r="BM979" s="14"/>
      <c r="BN979" s="14"/>
      <c r="BO979" s="14"/>
      <c r="BP979" s="14"/>
      <c r="BQ979" s="14"/>
      <c r="BR979" s="14"/>
      <c r="BS979" s="14"/>
      <c r="BT979" s="14"/>
      <c r="BU979" s="14"/>
      <c r="BV979" s="14"/>
      <c r="BW979" s="14"/>
      <c r="BX979" s="14"/>
      <c r="BY979" s="14"/>
      <c r="BZ979" s="14"/>
      <c r="CA979" s="14"/>
      <c r="CB979" s="14"/>
      <c r="CC979" s="14"/>
      <c r="CD979" s="14"/>
      <c r="CE979" s="14"/>
      <c r="CF979" s="14"/>
      <c r="CG979" s="14"/>
      <c r="CH979" s="14"/>
      <c r="CI979" s="14"/>
      <c r="CJ979" s="14"/>
      <c r="CK979" s="14"/>
      <c r="CL979" s="14"/>
      <c r="CT979" s="14"/>
      <c r="CW979" s="3"/>
      <c r="DG979" s="4"/>
    </row>
    <row r="980" customFormat="false" ht="11.25" hidden="false" customHeight="true" outlineLevel="0" collapsed="false">
      <c r="A980" s="14"/>
      <c r="B980" s="15"/>
      <c r="C980" s="15"/>
      <c r="D980" s="14"/>
      <c r="E980" s="14"/>
      <c r="F980" s="14"/>
      <c r="G980" s="14"/>
      <c r="H980" s="15"/>
      <c r="I980" s="15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  <c r="AS980" s="14"/>
      <c r="AT980" s="14"/>
      <c r="AU980" s="14"/>
      <c r="AV980" s="14"/>
      <c r="AW980" s="14"/>
      <c r="AX980" s="14"/>
      <c r="AY980" s="14"/>
      <c r="AZ980" s="14"/>
      <c r="BA980" s="14"/>
      <c r="BB980" s="14"/>
      <c r="BC980" s="14"/>
      <c r="BD980" s="14"/>
      <c r="BE980" s="14"/>
      <c r="BF980" s="14"/>
      <c r="BG980" s="14"/>
      <c r="BH980" s="14"/>
      <c r="BI980" s="14"/>
      <c r="BJ980" s="14"/>
      <c r="BK980" s="14"/>
      <c r="BL980" s="14"/>
      <c r="BM980" s="14"/>
      <c r="BN980" s="14"/>
      <c r="BO980" s="14"/>
      <c r="BP980" s="14"/>
      <c r="BQ980" s="14"/>
      <c r="BR980" s="14"/>
      <c r="BS980" s="14"/>
      <c r="BT980" s="14"/>
      <c r="BU980" s="14"/>
      <c r="BV980" s="14"/>
      <c r="BW980" s="14"/>
      <c r="BX980" s="14"/>
      <c r="BY980" s="14"/>
      <c r="BZ980" s="14"/>
      <c r="CA980" s="14"/>
      <c r="CB980" s="14"/>
      <c r="CC980" s="14"/>
      <c r="CD980" s="14"/>
      <c r="CE980" s="14"/>
      <c r="CF980" s="14"/>
      <c r="CG980" s="14"/>
      <c r="CH980" s="14"/>
      <c r="CI980" s="14"/>
      <c r="CJ980" s="14"/>
      <c r="CK980" s="14"/>
      <c r="CL980" s="14"/>
      <c r="CT980" s="14"/>
      <c r="CW980" s="3"/>
      <c r="DG980" s="4"/>
    </row>
    <row r="981" customFormat="false" ht="11.25" hidden="false" customHeight="true" outlineLevel="0" collapsed="false">
      <c r="A981" s="14"/>
      <c r="B981" s="15"/>
      <c r="C981" s="15"/>
      <c r="D981" s="14"/>
      <c r="E981" s="14"/>
      <c r="F981" s="14"/>
      <c r="G981" s="14"/>
      <c r="H981" s="15"/>
      <c r="I981" s="15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  <c r="AT981" s="14"/>
      <c r="AU981" s="14"/>
      <c r="AV981" s="14"/>
      <c r="AW981" s="14"/>
      <c r="AX981" s="14"/>
      <c r="AY981" s="14"/>
      <c r="AZ981" s="14"/>
      <c r="BA981" s="14"/>
      <c r="BB981" s="14"/>
      <c r="BC981" s="14"/>
      <c r="BD981" s="14"/>
      <c r="BE981" s="14"/>
      <c r="BF981" s="14"/>
      <c r="BG981" s="14"/>
      <c r="BH981" s="14"/>
      <c r="BI981" s="14"/>
      <c r="BJ981" s="14"/>
      <c r="BK981" s="14"/>
      <c r="BL981" s="14"/>
      <c r="BM981" s="14"/>
      <c r="BN981" s="14"/>
      <c r="BO981" s="14"/>
      <c r="BP981" s="14"/>
      <c r="BQ981" s="14"/>
      <c r="BR981" s="14"/>
      <c r="BS981" s="14"/>
      <c r="BT981" s="14"/>
      <c r="BU981" s="14"/>
      <c r="BV981" s="14"/>
      <c r="BW981" s="14"/>
      <c r="BX981" s="14"/>
      <c r="BY981" s="14"/>
      <c r="BZ981" s="14"/>
      <c r="CA981" s="14"/>
      <c r="CB981" s="14"/>
      <c r="CC981" s="14"/>
      <c r="CD981" s="14"/>
      <c r="CE981" s="14"/>
      <c r="CF981" s="14"/>
      <c r="CG981" s="14"/>
      <c r="CH981" s="14"/>
      <c r="CI981" s="14"/>
      <c r="CJ981" s="14"/>
      <c r="CK981" s="14"/>
      <c r="CL981" s="14"/>
      <c r="CT981" s="14"/>
      <c r="CW981" s="3"/>
      <c r="DG981" s="4"/>
    </row>
    <row r="982" customFormat="false" ht="11.25" hidden="false" customHeight="true" outlineLevel="0" collapsed="false">
      <c r="A982" s="14"/>
      <c r="B982" s="15"/>
      <c r="C982" s="15"/>
      <c r="D982" s="14"/>
      <c r="E982" s="14"/>
      <c r="F982" s="14"/>
      <c r="G982" s="14"/>
      <c r="H982" s="15"/>
      <c r="I982" s="15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  <c r="AR982" s="14"/>
      <c r="AS982" s="14"/>
      <c r="AT982" s="14"/>
      <c r="AU982" s="14"/>
      <c r="AV982" s="14"/>
      <c r="AW982" s="14"/>
      <c r="AX982" s="14"/>
      <c r="AY982" s="14"/>
      <c r="AZ982" s="14"/>
      <c r="BA982" s="14"/>
      <c r="BB982" s="14"/>
      <c r="BC982" s="14"/>
      <c r="BD982" s="14"/>
      <c r="BE982" s="14"/>
      <c r="BF982" s="14"/>
      <c r="BG982" s="14"/>
      <c r="BH982" s="14"/>
      <c r="BI982" s="14"/>
      <c r="BJ982" s="14"/>
      <c r="BK982" s="14"/>
      <c r="BL982" s="14"/>
      <c r="BM982" s="14"/>
      <c r="BN982" s="14"/>
      <c r="BO982" s="14"/>
      <c r="BP982" s="14"/>
      <c r="BQ982" s="14"/>
      <c r="BR982" s="14"/>
      <c r="BS982" s="14"/>
      <c r="BT982" s="14"/>
      <c r="BU982" s="14"/>
      <c r="BV982" s="14"/>
      <c r="BW982" s="14"/>
      <c r="BX982" s="14"/>
      <c r="BY982" s="14"/>
      <c r="BZ982" s="14"/>
      <c r="CA982" s="14"/>
      <c r="CB982" s="14"/>
      <c r="CC982" s="14"/>
      <c r="CD982" s="14"/>
      <c r="CE982" s="14"/>
      <c r="CF982" s="14"/>
      <c r="CG982" s="14"/>
      <c r="CH982" s="14"/>
      <c r="CI982" s="14"/>
      <c r="CJ982" s="14"/>
      <c r="CK982" s="14"/>
      <c r="CL982" s="14"/>
      <c r="CT982" s="14"/>
      <c r="CW982" s="3"/>
      <c r="DG982" s="4"/>
    </row>
    <row r="983" customFormat="false" ht="11.25" hidden="false" customHeight="true" outlineLevel="0" collapsed="false">
      <c r="A983" s="14"/>
      <c r="B983" s="15"/>
      <c r="C983" s="15"/>
      <c r="D983" s="14"/>
      <c r="E983" s="14"/>
      <c r="F983" s="14"/>
      <c r="G983" s="14"/>
      <c r="H983" s="15"/>
      <c r="I983" s="15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  <c r="AR983" s="14"/>
      <c r="AS983" s="14"/>
      <c r="AT983" s="14"/>
      <c r="AU983" s="14"/>
      <c r="AV983" s="14"/>
      <c r="AW983" s="14"/>
      <c r="AX983" s="14"/>
      <c r="AY983" s="14"/>
      <c r="AZ983" s="14"/>
      <c r="BA983" s="14"/>
      <c r="BB983" s="14"/>
      <c r="BC983" s="14"/>
      <c r="BD983" s="14"/>
      <c r="BE983" s="14"/>
      <c r="BF983" s="14"/>
      <c r="BG983" s="14"/>
      <c r="BH983" s="14"/>
      <c r="BI983" s="14"/>
      <c r="BJ983" s="14"/>
      <c r="BK983" s="14"/>
      <c r="BL983" s="14"/>
      <c r="BM983" s="14"/>
      <c r="BN983" s="14"/>
      <c r="BO983" s="14"/>
      <c r="BP983" s="14"/>
      <c r="BQ983" s="14"/>
      <c r="BR983" s="14"/>
      <c r="BS983" s="14"/>
      <c r="BT983" s="14"/>
      <c r="BU983" s="14"/>
      <c r="BV983" s="14"/>
      <c r="BW983" s="14"/>
      <c r="BX983" s="14"/>
      <c r="BY983" s="14"/>
      <c r="BZ983" s="14"/>
      <c r="CA983" s="14"/>
      <c r="CB983" s="14"/>
      <c r="CC983" s="14"/>
      <c r="CD983" s="14"/>
      <c r="CE983" s="14"/>
      <c r="CF983" s="14"/>
      <c r="CG983" s="14"/>
      <c r="CH983" s="14"/>
      <c r="CI983" s="14"/>
      <c r="CJ983" s="14"/>
      <c r="CK983" s="14"/>
      <c r="CL983" s="14"/>
      <c r="CT983" s="14"/>
      <c r="CW983" s="3"/>
      <c r="DG983" s="4"/>
    </row>
    <row r="984" customFormat="false" ht="11.25" hidden="false" customHeight="true" outlineLevel="0" collapsed="false">
      <c r="A984" s="14"/>
      <c r="B984" s="15"/>
      <c r="C984" s="15"/>
      <c r="D984" s="14"/>
      <c r="E984" s="14"/>
      <c r="F984" s="14"/>
      <c r="G984" s="14"/>
      <c r="H984" s="15"/>
      <c r="I984" s="15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  <c r="AT984" s="14"/>
      <c r="AU984" s="14"/>
      <c r="AV984" s="14"/>
      <c r="AW984" s="14"/>
      <c r="AX984" s="14"/>
      <c r="AY984" s="14"/>
      <c r="AZ984" s="14"/>
      <c r="BA984" s="14"/>
      <c r="BB984" s="14"/>
      <c r="BC984" s="14"/>
      <c r="BD984" s="14"/>
      <c r="BE984" s="14"/>
      <c r="BF984" s="14"/>
      <c r="BG984" s="14"/>
      <c r="BH984" s="14"/>
      <c r="BI984" s="14"/>
      <c r="BJ984" s="14"/>
      <c r="BK984" s="14"/>
      <c r="BL984" s="14"/>
      <c r="BM984" s="14"/>
      <c r="BN984" s="14"/>
      <c r="BO984" s="14"/>
      <c r="BP984" s="14"/>
      <c r="BQ984" s="14"/>
      <c r="BR984" s="14"/>
      <c r="BS984" s="14"/>
      <c r="BT984" s="14"/>
      <c r="BU984" s="14"/>
      <c r="BV984" s="14"/>
      <c r="BW984" s="14"/>
      <c r="BX984" s="14"/>
      <c r="BY984" s="14"/>
      <c r="BZ984" s="14"/>
      <c r="CA984" s="14"/>
      <c r="CB984" s="14"/>
      <c r="CC984" s="14"/>
      <c r="CD984" s="14"/>
      <c r="CE984" s="14"/>
      <c r="CF984" s="14"/>
      <c r="CG984" s="14"/>
      <c r="CH984" s="14"/>
      <c r="CI984" s="14"/>
      <c r="CJ984" s="14"/>
      <c r="CK984" s="14"/>
      <c r="CL984" s="14"/>
      <c r="CT984" s="14"/>
      <c r="CW984" s="3"/>
      <c r="DG984" s="4"/>
    </row>
    <row r="985" customFormat="false" ht="11.25" hidden="false" customHeight="true" outlineLevel="0" collapsed="false">
      <c r="A985" s="14"/>
      <c r="B985" s="15"/>
      <c r="C985" s="15"/>
      <c r="D985" s="14"/>
      <c r="E985" s="14"/>
      <c r="F985" s="14"/>
      <c r="G985" s="14"/>
      <c r="H985" s="15"/>
      <c r="I985" s="15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  <c r="AR985" s="14"/>
      <c r="AS985" s="14"/>
      <c r="AT985" s="14"/>
      <c r="AU985" s="14"/>
      <c r="AV985" s="14"/>
      <c r="AW985" s="14"/>
      <c r="AX985" s="14"/>
      <c r="AY985" s="14"/>
      <c r="AZ985" s="14"/>
      <c r="BA985" s="14"/>
      <c r="BB985" s="14"/>
      <c r="BC985" s="14"/>
      <c r="BD985" s="14"/>
      <c r="BE985" s="14"/>
      <c r="BF985" s="14"/>
      <c r="BG985" s="14"/>
      <c r="BH985" s="14"/>
      <c r="BI985" s="14"/>
      <c r="BJ985" s="14"/>
      <c r="BK985" s="14"/>
      <c r="BL985" s="14"/>
      <c r="BM985" s="14"/>
      <c r="BN985" s="14"/>
      <c r="BO985" s="14"/>
      <c r="BP985" s="14"/>
      <c r="BQ985" s="14"/>
      <c r="BR985" s="14"/>
      <c r="BS985" s="14"/>
      <c r="BT985" s="14"/>
      <c r="BU985" s="14"/>
      <c r="BV985" s="14"/>
      <c r="BW985" s="14"/>
      <c r="BX985" s="14"/>
      <c r="BY985" s="14"/>
      <c r="BZ985" s="14"/>
      <c r="CA985" s="14"/>
      <c r="CB985" s="14"/>
      <c r="CC985" s="14"/>
      <c r="CD985" s="14"/>
      <c r="CE985" s="14"/>
      <c r="CF985" s="14"/>
      <c r="CG985" s="14"/>
      <c r="CH985" s="14"/>
      <c r="CI985" s="14"/>
      <c r="CJ985" s="14"/>
      <c r="CK985" s="14"/>
      <c r="CL985" s="14"/>
      <c r="CT985" s="14"/>
      <c r="CW985" s="3"/>
      <c r="DG985" s="4"/>
    </row>
    <row r="986" customFormat="false" ht="11.25" hidden="false" customHeight="true" outlineLevel="0" collapsed="false">
      <c r="A986" s="14"/>
      <c r="B986" s="15"/>
      <c r="C986" s="15"/>
      <c r="D986" s="14"/>
      <c r="E986" s="14"/>
      <c r="F986" s="14"/>
      <c r="G986" s="14"/>
      <c r="H986" s="15"/>
      <c r="I986" s="15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  <c r="AR986" s="14"/>
      <c r="AS986" s="14"/>
      <c r="AT986" s="14"/>
      <c r="AU986" s="14"/>
      <c r="AV986" s="14"/>
      <c r="AW986" s="14"/>
      <c r="AX986" s="14"/>
      <c r="AY986" s="14"/>
      <c r="AZ986" s="14"/>
      <c r="BA986" s="14"/>
      <c r="BB986" s="14"/>
      <c r="BC986" s="14"/>
      <c r="BD986" s="14"/>
      <c r="BE986" s="14"/>
      <c r="BF986" s="14"/>
      <c r="BG986" s="14"/>
      <c r="BH986" s="14"/>
      <c r="BI986" s="14"/>
      <c r="BJ986" s="14"/>
      <c r="BK986" s="14"/>
      <c r="BL986" s="14"/>
      <c r="BM986" s="14"/>
      <c r="BN986" s="14"/>
      <c r="BO986" s="14"/>
      <c r="BP986" s="14"/>
      <c r="BQ986" s="14"/>
      <c r="BR986" s="14"/>
      <c r="BS986" s="14"/>
      <c r="BT986" s="14"/>
      <c r="BU986" s="14"/>
      <c r="BV986" s="14"/>
      <c r="BW986" s="14"/>
      <c r="BX986" s="14"/>
      <c r="BY986" s="14"/>
      <c r="BZ986" s="14"/>
      <c r="CA986" s="14"/>
      <c r="CB986" s="14"/>
      <c r="CC986" s="14"/>
      <c r="CD986" s="14"/>
      <c r="CE986" s="14"/>
      <c r="CF986" s="14"/>
      <c r="CG986" s="14"/>
      <c r="CH986" s="14"/>
      <c r="CI986" s="14"/>
      <c r="CJ986" s="14"/>
      <c r="CK986" s="14"/>
      <c r="CL986" s="14"/>
      <c r="CT986" s="14"/>
      <c r="CW986" s="3"/>
      <c r="DG986" s="4"/>
    </row>
    <row r="987" customFormat="false" ht="11.25" hidden="false" customHeight="true" outlineLevel="0" collapsed="false">
      <c r="A987" s="14"/>
      <c r="B987" s="15"/>
      <c r="C987" s="15"/>
      <c r="D987" s="14"/>
      <c r="E987" s="14"/>
      <c r="F987" s="14"/>
      <c r="G987" s="14"/>
      <c r="H987" s="15"/>
      <c r="I987" s="15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  <c r="AT987" s="14"/>
      <c r="AU987" s="14"/>
      <c r="AV987" s="14"/>
      <c r="AW987" s="14"/>
      <c r="AX987" s="14"/>
      <c r="AY987" s="14"/>
      <c r="AZ987" s="14"/>
      <c r="BA987" s="14"/>
      <c r="BB987" s="14"/>
      <c r="BC987" s="14"/>
      <c r="BD987" s="14"/>
      <c r="BE987" s="14"/>
      <c r="BF987" s="14"/>
      <c r="BG987" s="14"/>
      <c r="BH987" s="14"/>
      <c r="BI987" s="14"/>
      <c r="BJ987" s="14"/>
      <c r="BK987" s="14"/>
      <c r="BL987" s="14"/>
      <c r="BM987" s="14"/>
      <c r="BN987" s="14"/>
      <c r="BO987" s="14"/>
      <c r="BP987" s="14"/>
      <c r="BQ987" s="14"/>
      <c r="BR987" s="14"/>
      <c r="BS987" s="14"/>
      <c r="BT987" s="14"/>
      <c r="BU987" s="14"/>
      <c r="BV987" s="14"/>
      <c r="BW987" s="14"/>
      <c r="BX987" s="14"/>
      <c r="BY987" s="14"/>
      <c r="BZ987" s="14"/>
      <c r="CA987" s="14"/>
      <c r="CB987" s="14"/>
      <c r="CC987" s="14"/>
      <c r="CD987" s="14"/>
      <c r="CE987" s="14"/>
      <c r="CF987" s="14"/>
      <c r="CG987" s="14"/>
      <c r="CH987" s="14"/>
      <c r="CI987" s="14"/>
      <c r="CJ987" s="14"/>
      <c r="CK987" s="14"/>
      <c r="CL987" s="14"/>
      <c r="CT987" s="14"/>
      <c r="CW987" s="3"/>
      <c r="DG987" s="4"/>
    </row>
    <row r="988" customFormat="false" ht="11.25" hidden="false" customHeight="true" outlineLevel="0" collapsed="false">
      <c r="A988" s="14"/>
      <c r="B988" s="15"/>
      <c r="C988" s="15"/>
      <c r="D988" s="14"/>
      <c r="E988" s="14"/>
      <c r="F988" s="14"/>
      <c r="G988" s="14"/>
      <c r="H988" s="15"/>
      <c r="I988" s="15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  <c r="AT988" s="14"/>
      <c r="AU988" s="14"/>
      <c r="AV988" s="14"/>
      <c r="AW988" s="14"/>
      <c r="AX988" s="14"/>
      <c r="AY988" s="14"/>
      <c r="AZ988" s="14"/>
      <c r="BA988" s="14"/>
      <c r="BB988" s="14"/>
      <c r="BC988" s="14"/>
      <c r="BD988" s="14"/>
      <c r="BE988" s="14"/>
      <c r="BF988" s="14"/>
      <c r="BG988" s="14"/>
      <c r="BH988" s="14"/>
      <c r="BI988" s="14"/>
      <c r="BJ988" s="14"/>
      <c r="BK988" s="14"/>
      <c r="BL988" s="14"/>
      <c r="BM988" s="14"/>
      <c r="BN988" s="14"/>
      <c r="BO988" s="14"/>
      <c r="BP988" s="14"/>
      <c r="BQ988" s="14"/>
      <c r="BR988" s="14"/>
      <c r="BS988" s="14"/>
      <c r="BT988" s="14"/>
      <c r="BU988" s="14"/>
      <c r="BV988" s="14"/>
      <c r="BW988" s="14"/>
      <c r="BX988" s="14"/>
      <c r="BY988" s="14"/>
      <c r="BZ988" s="14"/>
      <c r="CA988" s="14"/>
      <c r="CB988" s="14"/>
      <c r="CC988" s="14"/>
      <c r="CD988" s="14"/>
      <c r="CE988" s="14"/>
      <c r="CF988" s="14"/>
      <c r="CG988" s="14"/>
      <c r="CH988" s="14"/>
      <c r="CI988" s="14"/>
      <c r="CJ988" s="14"/>
      <c r="CK988" s="14"/>
      <c r="CL988" s="14"/>
      <c r="CT988" s="14"/>
      <c r="CW988" s="3"/>
      <c r="DG988" s="4"/>
    </row>
    <row r="989" customFormat="false" ht="11.25" hidden="false" customHeight="true" outlineLevel="0" collapsed="false">
      <c r="A989" s="14"/>
      <c r="B989" s="15"/>
      <c r="C989" s="15"/>
      <c r="D989" s="14"/>
      <c r="E989" s="14"/>
      <c r="F989" s="14"/>
      <c r="G989" s="14"/>
      <c r="H989" s="15"/>
      <c r="I989" s="15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  <c r="AR989" s="14"/>
      <c r="AS989" s="14"/>
      <c r="AT989" s="14"/>
      <c r="AU989" s="14"/>
      <c r="AV989" s="14"/>
      <c r="AW989" s="14"/>
      <c r="AX989" s="14"/>
      <c r="AY989" s="14"/>
      <c r="AZ989" s="14"/>
      <c r="BA989" s="14"/>
      <c r="BB989" s="14"/>
      <c r="BC989" s="14"/>
      <c r="BD989" s="14"/>
      <c r="BE989" s="14"/>
      <c r="BF989" s="14"/>
      <c r="BG989" s="14"/>
      <c r="BH989" s="14"/>
      <c r="BI989" s="14"/>
      <c r="BJ989" s="14"/>
      <c r="BK989" s="14"/>
      <c r="BL989" s="14"/>
      <c r="BM989" s="14"/>
      <c r="BN989" s="14"/>
      <c r="BO989" s="14"/>
      <c r="BP989" s="14"/>
      <c r="BQ989" s="14"/>
      <c r="BR989" s="14"/>
      <c r="BS989" s="14"/>
      <c r="BT989" s="14"/>
      <c r="BU989" s="14"/>
      <c r="BV989" s="14"/>
      <c r="BW989" s="14"/>
      <c r="BX989" s="14"/>
      <c r="BY989" s="14"/>
      <c r="BZ989" s="14"/>
      <c r="CA989" s="14"/>
      <c r="CB989" s="14"/>
      <c r="CC989" s="14"/>
      <c r="CD989" s="14"/>
      <c r="CE989" s="14"/>
      <c r="CF989" s="14"/>
      <c r="CG989" s="14"/>
      <c r="CH989" s="14"/>
      <c r="CI989" s="14"/>
      <c r="CJ989" s="14"/>
      <c r="CK989" s="14"/>
      <c r="CL989" s="14"/>
      <c r="CT989" s="14"/>
      <c r="CW989" s="3"/>
      <c r="DG989" s="4"/>
    </row>
    <row r="990" customFormat="false" ht="11.25" hidden="false" customHeight="true" outlineLevel="0" collapsed="false">
      <c r="A990" s="14"/>
      <c r="B990" s="15"/>
      <c r="C990" s="15"/>
      <c r="D990" s="14"/>
      <c r="E990" s="14"/>
      <c r="F990" s="14"/>
      <c r="G990" s="14"/>
      <c r="H990" s="15"/>
      <c r="I990" s="15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14"/>
      <c r="AU990" s="14"/>
      <c r="AV990" s="14"/>
      <c r="AW990" s="14"/>
      <c r="AX990" s="14"/>
      <c r="AY990" s="14"/>
      <c r="AZ990" s="14"/>
      <c r="BA990" s="14"/>
      <c r="BB990" s="14"/>
      <c r="BC990" s="14"/>
      <c r="BD990" s="14"/>
      <c r="BE990" s="14"/>
      <c r="BF990" s="14"/>
      <c r="BG990" s="14"/>
      <c r="BH990" s="14"/>
      <c r="BI990" s="14"/>
      <c r="BJ990" s="14"/>
      <c r="BK990" s="14"/>
      <c r="BL990" s="14"/>
      <c r="BM990" s="14"/>
      <c r="BN990" s="14"/>
      <c r="BO990" s="14"/>
      <c r="BP990" s="14"/>
      <c r="BQ990" s="14"/>
      <c r="BR990" s="14"/>
      <c r="BS990" s="14"/>
      <c r="BT990" s="14"/>
      <c r="BU990" s="14"/>
      <c r="BV990" s="14"/>
      <c r="BW990" s="14"/>
      <c r="BX990" s="14"/>
      <c r="BY990" s="14"/>
      <c r="BZ990" s="14"/>
      <c r="CA990" s="14"/>
      <c r="CB990" s="14"/>
      <c r="CC990" s="14"/>
      <c r="CD990" s="14"/>
      <c r="CE990" s="14"/>
      <c r="CF990" s="14"/>
      <c r="CG990" s="14"/>
      <c r="CH990" s="14"/>
      <c r="CI990" s="14"/>
      <c r="CJ990" s="14"/>
      <c r="CK990" s="14"/>
      <c r="CL990" s="14"/>
      <c r="CT990" s="14"/>
      <c r="CW990" s="3"/>
      <c r="DG990" s="4"/>
    </row>
    <row r="991" customFormat="false" ht="11.25" hidden="false" customHeight="true" outlineLevel="0" collapsed="false">
      <c r="A991" s="14"/>
      <c r="B991" s="15"/>
      <c r="C991" s="15"/>
      <c r="D991" s="14"/>
      <c r="E991" s="14"/>
      <c r="F991" s="14"/>
      <c r="G991" s="14"/>
      <c r="H991" s="15"/>
      <c r="I991" s="15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  <c r="AR991" s="14"/>
      <c r="AS991" s="14"/>
      <c r="AT991" s="14"/>
      <c r="AU991" s="14"/>
      <c r="AV991" s="14"/>
      <c r="AW991" s="14"/>
      <c r="AX991" s="14"/>
      <c r="AY991" s="14"/>
      <c r="AZ991" s="14"/>
      <c r="BA991" s="14"/>
      <c r="BB991" s="14"/>
      <c r="BC991" s="14"/>
      <c r="BD991" s="14"/>
      <c r="BE991" s="14"/>
      <c r="BF991" s="14"/>
      <c r="BG991" s="14"/>
      <c r="BH991" s="14"/>
      <c r="BI991" s="14"/>
      <c r="BJ991" s="14"/>
      <c r="BK991" s="14"/>
      <c r="BL991" s="14"/>
      <c r="BM991" s="14"/>
      <c r="BN991" s="14"/>
      <c r="BO991" s="14"/>
      <c r="BP991" s="14"/>
      <c r="BQ991" s="14"/>
      <c r="BR991" s="14"/>
      <c r="BS991" s="14"/>
      <c r="BT991" s="14"/>
      <c r="BU991" s="14"/>
      <c r="BV991" s="14"/>
      <c r="BW991" s="14"/>
      <c r="BX991" s="14"/>
      <c r="BY991" s="14"/>
      <c r="BZ991" s="14"/>
      <c r="CA991" s="14"/>
      <c r="CB991" s="14"/>
      <c r="CC991" s="14"/>
      <c r="CD991" s="14"/>
      <c r="CE991" s="14"/>
      <c r="CF991" s="14"/>
      <c r="CG991" s="14"/>
      <c r="CH991" s="14"/>
      <c r="CI991" s="14"/>
      <c r="CJ991" s="14"/>
      <c r="CK991" s="14"/>
      <c r="CL991" s="14"/>
      <c r="CT991" s="14"/>
      <c r="CW991" s="3"/>
      <c r="DG991" s="4"/>
    </row>
    <row r="992" customFormat="false" ht="11.25" hidden="false" customHeight="true" outlineLevel="0" collapsed="false">
      <c r="A992" s="14"/>
      <c r="B992" s="15"/>
      <c r="C992" s="15"/>
      <c r="D992" s="14"/>
      <c r="E992" s="14"/>
      <c r="F992" s="14"/>
      <c r="G992" s="14"/>
      <c r="H992" s="15"/>
      <c r="I992" s="15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  <c r="AR992" s="14"/>
      <c r="AS992" s="14"/>
      <c r="AT992" s="14"/>
      <c r="AU992" s="14"/>
      <c r="AV992" s="14"/>
      <c r="AW992" s="14"/>
      <c r="AX992" s="14"/>
      <c r="AY992" s="14"/>
      <c r="AZ992" s="14"/>
      <c r="BA992" s="14"/>
      <c r="BB992" s="14"/>
      <c r="BC992" s="14"/>
      <c r="BD992" s="14"/>
      <c r="BE992" s="14"/>
      <c r="BF992" s="14"/>
      <c r="BG992" s="14"/>
      <c r="BH992" s="14"/>
      <c r="BI992" s="14"/>
      <c r="BJ992" s="14"/>
      <c r="BK992" s="14"/>
      <c r="BL992" s="14"/>
      <c r="BM992" s="14"/>
      <c r="BN992" s="14"/>
      <c r="BO992" s="14"/>
      <c r="BP992" s="14"/>
      <c r="BQ992" s="14"/>
      <c r="BR992" s="14"/>
      <c r="BS992" s="14"/>
      <c r="BT992" s="14"/>
      <c r="BU992" s="14"/>
      <c r="BV992" s="14"/>
      <c r="BW992" s="14"/>
      <c r="BX992" s="14"/>
      <c r="BY992" s="14"/>
      <c r="BZ992" s="14"/>
      <c r="CA992" s="14"/>
      <c r="CB992" s="14"/>
      <c r="CC992" s="14"/>
      <c r="CD992" s="14"/>
      <c r="CE992" s="14"/>
      <c r="CF992" s="14"/>
      <c r="CG992" s="14"/>
      <c r="CH992" s="14"/>
      <c r="CI992" s="14"/>
      <c r="CJ992" s="14"/>
      <c r="CK992" s="14"/>
      <c r="CL992" s="14"/>
      <c r="CT992" s="14"/>
      <c r="CW992" s="3"/>
      <c r="DG992" s="4"/>
    </row>
    <row r="993" customFormat="false" ht="11.25" hidden="false" customHeight="true" outlineLevel="0" collapsed="false">
      <c r="A993" s="14"/>
      <c r="B993" s="15"/>
      <c r="C993" s="15"/>
      <c r="D993" s="14"/>
      <c r="E993" s="14"/>
      <c r="F993" s="14"/>
      <c r="G993" s="14"/>
      <c r="H993" s="15"/>
      <c r="I993" s="15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  <c r="AR993" s="14"/>
      <c r="AS993" s="14"/>
      <c r="AT993" s="14"/>
      <c r="AU993" s="14"/>
      <c r="AV993" s="14"/>
      <c r="AW993" s="14"/>
      <c r="AX993" s="14"/>
      <c r="AY993" s="14"/>
      <c r="AZ993" s="14"/>
      <c r="BA993" s="14"/>
      <c r="BB993" s="14"/>
      <c r="BC993" s="14"/>
      <c r="BD993" s="14"/>
      <c r="BE993" s="14"/>
      <c r="BF993" s="14"/>
      <c r="BG993" s="14"/>
      <c r="BH993" s="14"/>
      <c r="BI993" s="14"/>
      <c r="BJ993" s="14"/>
      <c r="BK993" s="14"/>
      <c r="BL993" s="14"/>
      <c r="BM993" s="14"/>
      <c r="BN993" s="14"/>
      <c r="BO993" s="14"/>
      <c r="BP993" s="14"/>
      <c r="BQ993" s="14"/>
      <c r="BR993" s="14"/>
      <c r="BS993" s="14"/>
      <c r="BT993" s="14"/>
      <c r="BU993" s="14"/>
      <c r="BV993" s="14"/>
      <c r="BW993" s="14"/>
      <c r="BX993" s="14"/>
      <c r="BY993" s="14"/>
      <c r="BZ993" s="14"/>
      <c r="CA993" s="14"/>
      <c r="CB993" s="14"/>
      <c r="CC993" s="14"/>
      <c r="CD993" s="14"/>
      <c r="CE993" s="14"/>
      <c r="CF993" s="14"/>
      <c r="CG993" s="14"/>
      <c r="CH993" s="14"/>
      <c r="CI993" s="14"/>
      <c r="CJ993" s="14"/>
      <c r="CK993" s="14"/>
      <c r="CL993" s="14"/>
      <c r="CT993" s="14"/>
      <c r="CW993" s="3"/>
      <c r="DG993" s="4"/>
    </row>
    <row r="994" customFormat="false" ht="11.25" hidden="false" customHeight="true" outlineLevel="0" collapsed="false">
      <c r="A994" s="14"/>
      <c r="B994" s="15"/>
      <c r="C994" s="15"/>
      <c r="D994" s="14"/>
      <c r="E994" s="14"/>
      <c r="F994" s="14"/>
      <c r="G994" s="14"/>
      <c r="H994" s="15"/>
      <c r="I994" s="15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  <c r="AS994" s="14"/>
      <c r="AT994" s="14"/>
      <c r="AU994" s="14"/>
      <c r="AV994" s="14"/>
      <c r="AW994" s="14"/>
      <c r="AX994" s="14"/>
      <c r="AY994" s="14"/>
      <c r="AZ994" s="14"/>
      <c r="BA994" s="14"/>
      <c r="BB994" s="14"/>
      <c r="BC994" s="14"/>
      <c r="BD994" s="14"/>
      <c r="BE994" s="14"/>
      <c r="BF994" s="14"/>
      <c r="BG994" s="14"/>
      <c r="BH994" s="14"/>
      <c r="BI994" s="14"/>
      <c r="BJ994" s="14"/>
      <c r="BK994" s="14"/>
      <c r="BL994" s="14"/>
      <c r="BM994" s="14"/>
      <c r="BN994" s="14"/>
      <c r="BO994" s="14"/>
      <c r="BP994" s="14"/>
      <c r="BQ994" s="14"/>
      <c r="BR994" s="14"/>
      <c r="BS994" s="14"/>
      <c r="BT994" s="14"/>
      <c r="BU994" s="14"/>
      <c r="BV994" s="14"/>
      <c r="BW994" s="14"/>
      <c r="BX994" s="14"/>
      <c r="BY994" s="14"/>
      <c r="BZ994" s="14"/>
      <c r="CA994" s="14"/>
      <c r="CB994" s="14"/>
      <c r="CC994" s="14"/>
      <c r="CD994" s="14"/>
      <c r="CE994" s="14"/>
      <c r="CF994" s="14"/>
      <c r="CG994" s="14"/>
      <c r="CH994" s="14"/>
      <c r="CI994" s="14"/>
      <c r="CJ994" s="14"/>
      <c r="CK994" s="14"/>
      <c r="CL994" s="14"/>
      <c r="CT994" s="14"/>
      <c r="CW994" s="3"/>
      <c r="DG994" s="4"/>
    </row>
    <row r="995" customFormat="false" ht="11.25" hidden="false" customHeight="true" outlineLevel="0" collapsed="false">
      <c r="A995" s="14"/>
      <c r="B995" s="15"/>
      <c r="C995" s="15"/>
      <c r="D995" s="14"/>
      <c r="E995" s="14"/>
      <c r="F995" s="14"/>
      <c r="G995" s="14"/>
      <c r="H995" s="15"/>
      <c r="I995" s="15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  <c r="AQ995" s="14"/>
      <c r="AR995" s="14"/>
      <c r="AS995" s="14"/>
      <c r="AT995" s="14"/>
      <c r="AU995" s="14"/>
      <c r="AV995" s="14"/>
      <c r="AW995" s="14"/>
      <c r="AX995" s="14"/>
      <c r="AY995" s="14"/>
      <c r="AZ995" s="14"/>
      <c r="BA995" s="14"/>
      <c r="BB995" s="14"/>
      <c r="BC995" s="14"/>
      <c r="BD995" s="14"/>
      <c r="BE995" s="14"/>
      <c r="BF995" s="14"/>
      <c r="BG995" s="14"/>
      <c r="BH995" s="14"/>
      <c r="BI995" s="14"/>
      <c r="BJ995" s="14"/>
      <c r="BK995" s="14"/>
      <c r="BL995" s="14"/>
      <c r="BM995" s="14"/>
      <c r="BN995" s="14"/>
      <c r="BO995" s="14"/>
      <c r="BP995" s="14"/>
      <c r="BQ995" s="14"/>
      <c r="BR995" s="14"/>
      <c r="BS995" s="14"/>
      <c r="BT995" s="14"/>
      <c r="BU995" s="14"/>
      <c r="BV995" s="14"/>
      <c r="BW995" s="14"/>
      <c r="BX995" s="14"/>
      <c r="BY995" s="14"/>
      <c r="BZ995" s="14"/>
      <c r="CA995" s="14"/>
      <c r="CB995" s="14"/>
      <c r="CC995" s="14"/>
      <c r="CD995" s="14"/>
      <c r="CE995" s="14"/>
      <c r="CF995" s="14"/>
      <c r="CG995" s="14"/>
      <c r="CH995" s="14"/>
      <c r="CI995" s="14"/>
      <c r="CJ995" s="14"/>
      <c r="CK995" s="14"/>
      <c r="CL995" s="14"/>
      <c r="CT995" s="14"/>
      <c r="CW995" s="3"/>
      <c r="DG995" s="4"/>
    </row>
    <row r="996" customFormat="false" ht="11.25" hidden="false" customHeight="true" outlineLevel="0" collapsed="false">
      <c r="A996" s="14"/>
      <c r="B996" s="15"/>
      <c r="C996" s="15"/>
      <c r="D996" s="14"/>
      <c r="E996" s="14"/>
      <c r="F996" s="14"/>
      <c r="G996" s="14"/>
      <c r="H996" s="15"/>
      <c r="I996" s="15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  <c r="AR996" s="14"/>
      <c r="AS996" s="14"/>
      <c r="AT996" s="14"/>
      <c r="AU996" s="14"/>
      <c r="AV996" s="14"/>
      <c r="AW996" s="14"/>
      <c r="AX996" s="14"/>
      <c r="AY996" s="14"/>
      <c r="AZ996" s="14"/>
      <c r="BA996" s="14"/>
      <c r="BB996" s="14"/>
      <c r="BC996" s="14"/>
      <c r="BD996" s="14"/>
      <c r="BE996" s="14"/>
      <c r="BF996" s="14"/>
      <c r="BG996" s="14"/>
      <c r="BH996" s="14"/>
      <c r="BI996" s="14"/>
      <c r="BJ996" s="14"/>
      <c r="BK996" s="14"/>
      <c r="BL996" s="14"/>
      <c r="BM996" s="14"/>
      <c r="BN996" s="14"/>
      <c r="BO996" s="14"/>
      <c r="BP996" s="14"/>
      <c r="BQ996" s="14"/>
      <c r="BR996" s="14"/>
      <c r="BS996" s="14"/>
      <c r="BT996" s="14"/>
      <c r="BU996" s="14"/>
      <c r="BV996" s="14"/>
      <c r="BW996" s="14"/>
      <c r="BX996" s="14"/>
      <c r="BY996" s="14"/>
      <c r="BZ996" s="14"/>
      <c r="CA996" s="14"/>
      <c r="CB996" s="14"/>
      <c r="CC996" s="14"/>
      <c r="CD996" s="14"/>
      <c r="CE996" s="14"/>
      <c r="CF996" s="14"/>
      <c r="CG996" s="14"/>
      <c r="CH996" s="14"/>
      <c r="CI996" s="14"/>
      <c r="CJ996" s="14"/>
      <c r="CK996" s="14"/>
      <c r="CL996" s="14"/>
      <c r="CT996" s="14"/>
      <c r="CW996" s="3"/>
      <c r="DG996" s="4"/>
    </row>
    <row r="997" customFormat="false" ht="11.25" hidden="false" customHeight="true" outlineLevel="0" collapsed="false">
      <c r="A997" s="14"/>
      <c r="B997" s="15"/>
      <c r="C997" s="15"/>
      <c r="D997" s="14"/>
      <c r="E997" s="14"/>
      <c r="F997" s="14"/>
      <c r="G997" s="14"/>
      <c r="H997" s="15"/>
      <c r="I997" s="15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  <c r="AS997" s="14"/>
      <c r="AT997" s="14"/>
      <c r="AU997" s="14"/>
      <c r="AV997" s="14"/>
      <c r="AW997" s="14"/>
      <c r="AX997" s="14"/>
      <c r="AY997" s="14"/>
      <c r="AZ997" s="14"/>
      <c r="BA997" s="14"/>
      <c r="BB997" s="14"/>
      <c r="BC997" s="14"/>
      <c r="BD997" s="14"/>
      <c r="BE997" s="14"/>
      <c r="BF997" s="14"/>
      <c r="BG997" s="14"/>
      <c r="BH997" s="14"/>
      <c r="BI997" s="14"/>
      <c r="BJ997" s="14"/>
      <c r="BK997" s="14"/>
      <c r="BL997" s="14"/>
      <c r="BM997" s="14"/>
      <c r="BN997" s="14"/>
      <c r="BO997" s="14"/>
      <c r="BP997" s="14"/>
      <c r="BQ997" s="14"/>
      <c r="BR997" s="14"/>
      <c r="BS997" s="14"/>
      <c r="BT997" s="14"/>
      <c r="BU997" s="14"/>
      <c r="BV997" s="14"/>
      <c r="BW997" s="14"/>
      <c r="BX997" s="14"/>
      <c r="BY997" s="14"/>
      <c r="BZ997" s="14"/>
      <c r="CA997" s="14"/>
      <c r="CB997" s="14"/>
      <c r="CC997" s="14"/>
      <c r="CD997" s="14"/>
      <c r="CE997" s="14"/>
      <c r="CF997" s="14"/>
      <c r="CG997" s="14"/>
      <c r="CH997" s="14"/>
      <c r="CI997" s="14"/>
      <c r="CJ997" s="14"/>
      <c r="CK997" s="14"/>
      <c r="CL997" s="14"/>
      <c r="CT997" s="14"/>
      <c r="CW997" s="3"/>
      <c r="DG997" s="4"/>
    </row>
    <row r="998" customFormat="false" ht="11.25" hidden="false" customHeight="true" outlineLevel="0" collapsed="false">
      <c r="A998" s="14"/>
      <c r="B998" s="15"/>
      <c r="C998" s="15"/>
      <c r="D998" s="14"/>
      <c r="E998" s="14"/>
      <c r="F998" s="14"/>
      <c r="G998" s="14"/>
      <c r="H998" s="15"/>
      <c r="I998" s="15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  <c r="AQ998" s="14"/>
      <c r="AR998" s="14"/>
      <c r="AS998" s="14"/>
      <c r="AT998" s="14"/>
      <c r="AU998" s="14"/>
      <c r="AV998" s="14"/>
      <c r="AW998" s="14"/>
      <c r="AX998" s="14"/>
      <c r="AY998" s="14"/>
      <c r="AZ998" s="14"/>
      <c r="BA998" s="14"/>
      <c r="BB998" s="14"/>
      <c r="BC998" s="14"/>
      <c r="BD998" s="14"/>
      <c r="BE998" s="14"/>
      <c r="BF998" s="14"/>
      <c r="BG998" s="14"/>
      <c r="BH998" s="14"/>
      <c r="BI998" s="14"/>
      <c r="BJ998" s="14"/>
      <c r="BK998" s="14"/>
      <c r="BL998" s="14"/>
      <c r="BM998" s="14"/>
      <c r="BN998" s="14"/>
      <c r="BO998" s="14"/>
      <c r="BP998" s="14"/>
      <c r="BQ998" s="14"/>
      <c r="BR998" s="14"/>
      <c r="BS998" s="14"/>
      <c r="BT998" s="14"/>
      <c r="BU998" s="14"/>
      <c r="BV998" s="14"/>
      <c r="BW998" s="14"/>
      <c r="BX998" s="14"/>
      <c r="BY998" s="14"/>
      <c r="BZ998" s="14"/>
      <c r="CA998" s="14"/>
      <c r="CB998" s="14"/>
      <c r="CC998" s="14"/>
      <c r="CD998" s="14"/>
      <c r="CE998" s="14"/>
      <c r="CF998" s="14"/>
      <c r="CG998" s="14"/>
      <c r="CH998" s="14"/>
      <c r="CI998" s="14"/>
      <c r="CJ998" s="14"/>
      <c r="CK998" s="14"/>
      <c r="CL998" s="14"/>
      <c r="CT998" s="14"/>
      <c r="CW998" s="3"/>
      <c r="DG998" s="4"/>
    </row>
    <row r="999" customFormat="false" ht="11.25" hidden="false" customHeight="true" outlineLevel="0" collapsed="false">
      <c r="A999" s="14"/>
      <c r="B999" s="15"/>
      <c r="C999" s="15"/>
      <c r="D999" s="14"/>
      <c r="E999" s="14"/>
      <c r="F999" s="14"/>
      <c r="G999" s="14"/>
      <c r="H999" s="15"/>
      <c r="I999" s="15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/>
      <c r="AR999" s="14"/>
      <c r="AS999" s="14"/>
      <c r="AT999" s="14"/>
      <c r="AU999" s="14"/>
      <c r="AV999" s="14"/>
      <c r="AW999" s="14"/>
      <c r="AX999" s="14"/>
      <c r="AY999" s="14"/>
      <c r="AZ999" s="14"/>
      <c r="BA999" s="14"/>
      <c r="BB999" s="14"/>
      <c r="BC999" s="14"/>
      <c r="BD999" s="14"/>
      <c r="BE999" s="14"/>
      <c r="BF999" s="14"/>
      <c r="BG999" s="14"/>
      <c r="BH999" s="14"/>
      <c r="BI999" s="14"/>
      <c r="BJ999" s="14"/>
      <c r="BK999" s="14"/>
      <c r="BL999" s="14"/>
      <c r="BM999" s="14"/>
      <c r="BN999" s="14"/>
      <c r="BO999" s="14"/>
      <c r="BP999" s="14"/>
      <c r="BQ999" s="14"/>
      <c r="BR999" s="14"/>
      <c r="BS999" s="14"/>
      <c r="BT999" s="14"/>
      <c r="BU999" s="14"/>
      <c r="BV999" s="14"/>
      <c r="BW999" s="14"/>
      <c r="BX999" s="14"/>
      <c r="BY999" s="14"/>
      <c r="BZ999" s="14"/>
      <c r="CA999" s="14"/>
      <c r="CB999" s="14"/>
      <c r="CC999" s="14"/>
      <c r="CD999" s="14"/>
      <c r="CE999" s="14"/>
      <c r="CF999" s="14"/>
      <c r="CG999" s="14"/>
      <c r="CH999" s="14"/>
      <c r="CI999" s="14"/>
      <c r="CJ999" s="14"/>
      <c r="CK999" s="14"/>
      <c r="CL999" s="14"/>
      <c r="CT999" s="14"/>
      <c r="CW999" s="3"/>
      <c r="DG999" s="4"/>
    </row>
    <row r="1000" customFormat="false" ht="11.25" hidden="false" customHeight="true" outlineLevel="0" collapsed="false">
      <c r="A1000" s="14"/>
      <c r="B1000" s="15"/>
      <c r="C1000" s="15"/>
      <c r="D1000" s="14"/>
      <c r="E1000" s="14"/>
      <c r="F1000" s="14"/>
      <c r="G1000" s="14"/>
      <c r="H1000" s="15"/>
      <c r="I1000" s="15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4"/>
      <c r="AR1000" s="14"/>
      <c r="AS1000" s="14"/>
      <c r="AT1000" s="14"/>
      <c r="AU1000" s="14"/>
      <c r="AV1000" s="14"/>
      <c r="AW1000" s="14"/>
      <c r="AX1000" s="14"/>
      <c r="AY1000" s="14"/>
      <c r="AZ1000" s="14"/>
      <c r="BA1000" s="14"/>
      <c r="BB1000" s="14"/>
      <c r="BC1000" s="14"/>
      <c r="BD1000" s="14"/>
      <c r="BE1000" s="14"/>
      <c r="BF1000" s="14"/>
      <c r="BG1000" s="14"/>
      <c r="BH1000" s="14"/>
      <c r="BI1000" s="14"/>
      <c r="BJ1000" s="14"/>
      <c r="BK1000" s="14"/>
      <c r="BL1000" s="14"/>
      <c r="BM1000" s="14"/>
      <c r="BN1000" s="14"/>
      <c r="BO1000" s="14"/>
      <c r="BP1000" s="14"/>
      <c r="BQ1000" s="14"/>
      <c r="BR1000" s="14"/>
      <c r="BS1000" s="14"/>
      <c r="BT1000" s="14"/>
      <c r="BU1000" s="14"/>
      <c r="BV1000" s="14"/>
      <c r="BW1000" s="14"/>
      <c r="BX1000" s="14"/>
      <c r="BY1000" s="14"/>
      <c r="BZ1000" s="14"/>
      <c r="CA1000" s="14"/>
      <c r="CB1000" s="14"/>
      <c r="CC1000" s="14"/>
      <c r="CD1000" s="14"/>
      <c r="CE1000" s="14"/>
      <c r="CF1000" s="14"/>
      <c r="CG1000" s="14"/>
      <c r="CH1000" s="14"/>
      <c r="CI1000" s="14"/>
      <c r="CJ1000" s="14"/>
      <c r="CK1000" s="14"/>
      <c r="CL1000" s="14"/>
      <c r="CT1000" s="14"/>
      <c r="CW1000" s="3"/>
      <c r="DG1000" s="4"/>
    </row>
    <row r="1001" customFormat="false" ht="11.25" hidden="false" customHeight="true" outlineLevel="0" collapsed="false">
      <c r="A1001" s="14"/>
      <c r="B1001" s="15"/>
      <c r="C1001" s="15"/>
      <c r="D1001" s="14"/>
      <c r="E1001" s="14"/>
      <c r="F1001" s="14"/>
      <c r="G1001" s="14"/>
      <c r="H1001" s="15"/>
      <c r="I1001" s="15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14"/>
      <c r="AI1001" s="14"/>
      <c r="AJ1001" s="14"/>
      <c r="AK1001" s="14"/>
      <c r="AL1001" s="14"/>
      <c r="AM1001" s="14"/>
      <c r="AN1001" s="14"/>
      <c r="AO1001" s="14"/>
      <c r="AP1001" s="14"/>
      <c r="AQ1001" s="14"/>
      <c r="AR1001" s="14"/>
      <c r="AS1001" s="14"/>
      <c r="AT1001" s="14"/>
      <c r="AU1001" s="14"/>
      <c r="AV1001" s="14"/>
      <c r="AW1001" s="14"/>
      <c r="AX1001" s="14"/>
      <c r="AY1001" s="14"/>
      <c r="AZ1001" s="14"/>
      <c r="BA1001" s="14"/>
      <c r="BB1001" s="14"/>
      <c r="BC1001" s="14"/>
      <c r="BD1001" s="14"/>
      <c r="BE1001" s="14"/>
      <c r="BF1001" s="14"/>
      <c r="BG1001" s="14"/>
      <c r="BH1001" s="14"/>
      <c r="BI1001" s="14"/>
      <c r="BJ1001" s="14"/>
      <c r="BK1001" s="14"/>
      <c r="BL1001" s="14"/>
      <c r="BM1001" s="14"/>
      <c r="BN1001" s="14"/>
      <c r="BO1001" s="14"/>
      <c r="BP1001" s="14"/>
      <c r="BQ1001" s="14"/>
      <c r="BR1001" s="14"/>
      <c r="BS1001" s="14"/>
      <c r="BT1001" s="14"/>
      <c r="BU1001" s="14"/>
      <c r="BV1001" s="14"/>
      <c r="BW1001" s="14"/>
      <c r="BX1001" s="14"/>
      <c r="BY1001" s="14"/>
      <c r="BZ1001" s="14"/>
      <c r="CA1001" s="14"/>
      <c r="CB1001" s="14"/>
      <c r="CC1001" s="14"/>
      <c r="CD1001" s="14"/>
      <c r="CE1001" s="14"/>
      <c r="CF1001" s="14"/>
      <c r="CG1001" s="14"/>
      <c r="CH1001" s="14"/>
      <c r="CI1001" s="14"/>
      <c r="CJ1001" s="14"/>
      <c r="CK1001" s="14"/>
      <c r="CL1001" s="14"/>
      <c r="CT1001" s="14"/>
      <c r="CW1001" s="3"/>
      <c r="DG1001" s="4"/>
    </row>
    <row r="1002" customFormat="false" ht="11.25" hidden="false" customHeight="true" outlineLevel="0" collapsed="false">
      <c r="A1002" s="14"/>
      <c r="B1002" s="15"/>
      <c r="C1002" s="15"/>
      <c r="D1002" s="14"/>
      <c r="E1002" s="14"/>
      <c r="F1002" s="14"/>
      <c r="G1002" s="14"/>
      <c r="H1002" s="15"/>
      <c r="I1002" s="15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4"/>
      <c r="AK1002" s="14"/>
      <c r="AL1002" s="14"/>
      <c r="AM1002" s="14"/>
      <c r="AN1002" s="14"/>
      <c r="AO1002" s="14"/>
      <c r="AP1002" s="14"/>
      <c r="AQ1002" s="14"/>
      <c r="AR1002" s="14"/>
      <c r="AS1002" s="14"/>
      <c r="AT1002" s="14"/>
      <c r="AU1002" s="14"/>
      <c r="AV1002" s="14"/>
      <c r="AW1002" s="14"/>
      <c r="AX1002" s="14"/>
      <c r="AY1002" s="14"/>
      <c r="AZ1002" s="14"/>
      <c r="BA1002" s="14"/>
      <c r="BB1002" s="14"/>
      <c r="BC1002" s="14"/>
      <c r="BD1002" s="14"/>
      <c r="BE1002" s="14"/>
      <c r="BF1002" s="14"/>
      <c r="BG1002" s="14"/>
      <c r="BH1002" s="14"/>
      <c r="BI1002" s="14"/>
      <c r="BJ1002" s="14"/>
      <c r="BK1002" s="14"/>
      <c r="BL1002" s="14"/>
      <c r="BM1002" s="14"/>
      <c r="BN1002" s="14"/>
      <c r="BO1002" s="14"/>
      <c r="BP1002" s="14"/>
      <c r="BQ1002" s="14"/>
      <c r="BR1002" s="14"/>
      <c r="BS1002" s="14"/>
      <c r="BT1002" s="14"/>
      <c r="BU1002" s="14"/>
      <c r="BV1002" s="14"/>
      <c r="BW1002" s="14"/>
      <c r="BX1002" s="14"/>
      <c r="BY1002" s="14"/>
      <c r="BZ1002" s="14"/>
      <c r="CA1002" s="14"/>
      <c r="CB1002" s="14"/>
      <c r="CC1002" s="14"/>
      <c r="CD1002" s="14"/>
      <c r="CE1002" s="14"/>
      <c r="CF1002" s="14"/>
      <c r="CG1002" s="14"/>
      <c r="CH1002" s="14"/>
      <c r="CI1002" s="14"/>
      <c r="CJ1002" s="14"/>
      <c r="CK1002" s="14"/>
      <c r="CL1002" s="14"/>
      <c r="CT1002" s="14"/>
      <c r="CW1002" s="3"/>
      <c r="DG1002" s="4"/>
    </row>
    <row r="1003" customFormat="false" ht="11.25" hidden="false" customHeight="true" outlineLevel="0" collapsed="false">
      <c r="A1003" s="14"/>
      <c r="B1003" s="15"/>
      <c r="C1003" s="15"/>
      <c r="D1003" s="14"/>
      <c r="E1003" s="14"/>
      <c r="F1003" s="14"/>
      <c r="G1003" s="14"/>
      <c r="H1003" s="15"/>
      <c r="I1003" s="15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  <c r="AH1003" s="14"/>
      <c r="AI1003" s="14"/>
      <c r="AJ1003" s="14"/>
      <c r="AK1003" s="14"/>
      <c r="AL1003" s="14"/>
      <c r="AM1003" s="14"/>
      <c r="AN1003" s="14"/>
      <c r="AO1003" s="14"/>
      <c r="AP1003" s="14"/>
      <c r="AQ1003" s="14"/>
      <c r="AR1003" s="14"/>
      <c r="AS1003" s="14"/>
      <c r="AT1003" s="14"/>
      <c r="AU1003" s="14"/>
      <c r="AV1003" s="14"/>
      <c r="AW1003" s="14"/>
      <c r="AX1003" s="14"/>
      <c r="AY1003" s="14"/>
      <c r="AZ1003" s="14"/>
      <c r="BA1003" s="14"/>
      <c r="BB1003" s="14"/>
      <c r="BC1003" s="14"/>
      <c r="BD1003" s="14"/>
      <c r="BE1003" s="14"/>
      <c r="BF1003" s="14"/>
      <c r="BG1003" s="14"/>
      <c r="BH1003" s="14"/>
      <c r="BI1003" s="14"/>
      <c r="BJ1003" s="14"/>
      <c r="BK1003" s="14"/>
      <c r="BL1003" s="14"/>
      <c r="BM1003" s="14"/>
      <c r="BN1003" s="14"/>
      <c r="BO1003" s="14"/>
      <c r="BP1003" s="14"/>
      <c r="BQ1003" s="14"/>
      <c r="BR1003" s="14"/>
      <c r="BS1003" s="14"/>
      <c r="BT1003" s="14"/>
      <c r="BU1003" s="14"/>
      <c r="BV1003" s="14"/>
      <c r="BW1003" s="14"/>
      <c r="BX1003" s="14"/>
      <c r="BY1003" s="14"/>
      <c r="BZ1003" s="14"/>
      <c r="CA1003" s="14"/>
      <c r="CB1003" s="14"/>
      <c r="CC1003" s="14"/>
      <c r="CD1003" s="14"/>
      <c r="CE1003" s="14"/>
      <c r="CF1003" s="14"/>
      <c r="CG1003" s="14"/>
      <c r="CH1003" s="14"/>
      <c r="CI1003" s="14"/>
      <c r="CJ1003" s="14"/>
      <c r="CK1003" s="14"/>
      <c r="CL1003" s="14"/>
      <c r="CT1003" s="14"/>
      <c r="CW1003" s="3"/>
      <c r="DG1003" s="4"/>
    </row>
    <row r="1004" customFormat="false" ht="11.25" hidden="false" customHeight="true" outlineLevel="0" collapsed="false">
      <c r="A1004" s="14"/>
      <c r="B1004" s="15"/>
      <c r="C1004" s="15"/>
      <c r="D1004" s="14"/>
      <c r="E1004" s="14"/>
      <c r="F1004" s="14"/>
      <c r="G1004" s="14"/>
      <c r="H1004" s="15"/>
      <c r="I1004" s="15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  <c r="AH1004" s="14"/>
      <c r="AI1004" s="14"/>
      <c r="AJ1004" s="14"/>
      <c r="AK1004" s="14"/>
      <c r="AL1004" s="14"/>
      <c r="AM1004" s="14"/>
      <c r="AN1004" s="14"/>
      <c r="AO1004" s="14"/>
      <c r="AP1004" s="14"/>
      <c r="AQ1004" s="14"/>
      <c r="AR1004" s="14"/>
      <c r="AS1004" s="14"/>
      <c r="AT1004" s="14"/>
      <c r="AU1004" s="14"/>
      <c r="AV1004" s="14"/>
      <c r="AW1004" s="14"/>
      <c r="AX1004" s="14"/>
      <c r="AY1004" s="14"/>
      <c r="AZ1004" s="14"/>
      <c r="BA1004" s="14"/>
      <c r="BB1004" s="14"/>
      <c r="BC1004" s="14"/>
      <c r="BD1004" s="14"/>
      <c r="BE1004" s="14"/>
      <c r="BF1004" s="14"/>
      <c r="BG1004" s="14"/>
      <c r="BH1004" s="14"/>
      <c r="BI1004" s="14"/>
      <c r="BJ1004" s="14"/>
      <c r="BK1004" s="14"/>
      <c r="BL1004" s="14"/>
      <c r="BM1004" s="14"/>
      <c r="BN1004" s="14"/>
      <c r="BO1004" s="14"/>
      <c r="BP1004" s="14"/>
      <c r="BQ1004" s="14"/>
      <c r="BR1004" s="14"/>
      <c r="BS1004" s="14"/>
      <c r="BT1004" s="14"/>
      <c r="BU1004" s="14"/>
      <c r="BV1004" s="14"/>
      <c r="BW1004" s="14"/>
      <c r="BX1004" s="14"/>
      <c r="BY1004" s="14"/>
      <c r="BZ1004" s="14"/>
      <c r="CA1004" s="14"/>
      <c r="CB1004" s="14"/>
      <c r="CC1004" s="14"/>
      <c r="CD1004" s="14"/>
      <c r="CE1004" s="14"/>
      <c r="CF1004" s="14"/>
      <c r="CG1004" s="14"/>
      <c r="CH1004" s="14"/>
      <c r="CI1004" s="14"/>
      <c r="CJ1004" s="14"/>
      <c r="CK1004" s="14"/>
      <c r="CL1004" s="14"/>
      <c r="CT1004" s="14"/>
      <c r="CW1004" s="3"/>
      <c r="DG1004" s="4"/>
    </row>
    <row r="1005" customFormat="false" ht="11.25" hidden="false" customHeight="true" outlineLevel="0" collapsed="false">
      <c r="A1005" s="14"/>
      <c r="B1005" s="15"/>
      <c r="C1005" s="15"/>
      <c r="D1005" s="14"/>
      <c r="E1005" s="14"/>
      <c r="F1005" s="14"/>
      <c r="G1005" s="14"/>
      <c r="H1005" s="15"/>
      <c r="I1005" s="15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  <c r="AE1005" s="14"/>
      <c r="AF1005" s="14"/>
      <c r="AG1005" s="14"/>
      <c r="AH1005" s="14"/>
      <c r="AI1005" s="14"/>
      <c r="AJ1005" s="14"/>
      <c r="AK1005" s="14"/>
      <c r="AL1005" s="14"/>
      <c r="AM1005" s="14"/>
      <c r="AN1005" s="14"/>
      <c r="AO1005" s="14"/>
      <c r="AP1005" s="14"/>
      <c r="AQ1005" s="14"/>
      <c r="AR1005" s="14"/>
      <c r="AS1005" s="14"/>
      <c r="AT1005" s="14"/>
      <c r="AU1005" s="14"/>
      <c r="AV1005" s="14"/>
      <c r="AW1005" s="14"/>
      <c r="AX1005" s="14"/>
      <c r="AY1005" s="14"/>
      <c r="AZ1005" s="14"/>
      <c r="BA1005" s="14"/>
      <c r="BB1005" s="14"/>
      <c r="BC1005" s="14"/>
      <c r="BD1005" s="14"/>
      <c r="BE1005" s="14"/>
      <c r="BF1005" s="14"/>
      <c r="BG1005" s="14"/>
      <c r="BH1005" s="14"/>
      <c r="BI1005" s="14"/>
      <c r="BJ1005" s="14"/>
      <c r="BK1005" s="14"/>
      <c r="BL1005" s="14"/>
      <c r="BM1005" s="14"/>
      <c r="BN1005" s="14"/>
      <c r="BO1005" s="14"/>
      <c r="BP1005" s="14"/>
      <c r="BQ1005" s="14"/>
      <c r="BR1005" s="14"/>
      <c r="BS1005" s="14"/>
      <c r="BT1005" s="14"/>
      <c r="BU1005" s="14"/>
      <c r="BV1005" s="14"/>
      <c r="BW1005" s="14"/>
      <c r="BX1005" s="14"/>
      <c r="BY1005" s="14"/>
      <c r="BZ1005" s="14"/>
      <c r="CA1005" s="14"/>
      <c r="CB1005" s="14"/>
      <c r="CC1005" s="14"/>
      <c r="CD1005" s="14"/>
      <c r="CE1005" s="14"/>
      <c r="CF1005" s="14"/>
      <c r="CG1005" s="14"/>
      <c r="CH1005" s="14"/>
      <c r="CI1005" s="14"/>
      <c r="CJ1005" s="14"/>
      <c r="CK1005" s="14"/>
      <c r="CL1005" s="14"/>
      <c r="CT1005" s="14"/>
      <c r="CW1005" s="3"/>
      <c r="DG1005" s="4"/>
    </row>
    <row r="1006" customFormat="false" ht="11.25" hidden="false" customHeight="true" outlineLevel="0" collapsed="false">
      <c r="A1006" s="14"/>
      <c r="B1006" s="15"/>
      <c r="C1006" s="15"/>
      <c r="D1006" s="14"/>
      <c r="E1006" s="14"/>
      <c r="F1006" s="14"/>
      <c r="G1006" s="14"/>
      <c r="H1006" s="15"/>
      <c r="I1006" s="15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  <c r="AH1006" s="14"/>
      <c r="AI1006" s="14"/>
      <c r="AJ1006" s="14"/>
      <c r="AK1006" s="14"/>
      <c r="AL1006" s="14"/>
      <c r="AM1006" s="14"/>
      <c r="AN1006" s="14"/>
      <c r="AO1006" s="14"/>
      <c r="AP1006" s="14"/>
      <c r="AQ1006" s="14"/>
      <c r="AR1006" s="14"/>
      <c r="AS1006" s="14"/>
      <c r="AT1006" s="14"/>
      <c r="AU1006" s="14"/>
      <c r="AV1006" s="14"/>
      <c r="AW1006" s="14"/>
      <c r="AX1006" s="14"/>
      <c r="AY1006" s="14"/>
      <c r="AZ1006" s="14"/>
      <c r="BA1006" s="14"/>
      <c r="BB1006" s="14"/>
      <c r="BC1006" s="14"/>
      <c r="BD1006" s="14"/>
      <c r="BE1006" s="14"/>
      <c r="BF1006" s="14"/>
      <c r="BG1006" s="14"/>
      <c r="BH1006" s="14"/>
      <c r="BI1006" s="14"/>
      <c r="BJ1006" s="14"/>
      <c r="BK1006" s="14"/>
      <c r="BL1006" s="14"/>
      <c r="BM1006" s="14"/>
      <c r="BN1006" s="14"/>
      <c r="BO1006" s="14"/>
      <c r="BP1006" s="14"/>
      <c r="BQ1006" s="14"/>
      <c r="BR1006" s="14"/>
      <c r="BS1006" s="14"/>
      <c r="BT1006" s="14"/>
      <c r="BU1006" s="14"/>
      <c r="BV1006" s="14"/>
      <c r="BW1006" s="14"/>
      <c r="BX1006" s="14"/>
      <c r="BY1006" s="14"/>
      <c r="BZ1006" s="14"/>
      <c r="CA1006" s="14"/>
      <c r="CB1006" s="14"/>
      <c r="CC1006" s="14"/>
      <c r="CD1006" s="14"/>
      <c r="CE1006" s="14"/>
      <c r="CF1006" s="14"/>
      <c r="CG1006" s="14"/>
      <c r="CH1006" s="14"/>
      <c r="CI1006" s="14"/>
      <c r="CJ1006" s="14"/>
      <c r="CK1006" s="14"/>
      <c r="CL1006" s="14"/>
      <c r="CT1006" s="14"/>
      <c r="CW1006" s="3"/>
      <c r="DG1006" s="4"/>
    </row>
    <row r="1007" customFormat="false" ht="11.25" hidden="false" customHeight="true" outlineLevel="0" collapsed="false">
      <c r="A1007" s="14"/>
      <c r="B1007" s="15"/>
      <c r="C1007" s="15"/>
      <c r="D1007" s="14"/>
      <c r="E1007" s="14"/>
      <c r="F1007" s="14"/>
      <c r="G1007" s="14"/>
      <c r="H1007" s="15"/>
      <c r="I1007" s="15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  <c r="AD1007" s="14"/>
      <c r="AE1007" s="14"/>
      <c r="AF1007" s="14"/>
      <c r="AG1007" s="14"/>
      <c r="AH1007" s="14"/>
      <c r="AI1007" s="14"/>
      <c r="AJ1007" s="14"/>
      <c r="AK1007" s="14"/>
      <c r="AL1007" s="14"/>
      <c r="AM1007" s="14"/>
      <c r="AN1007" s="14"/>
      <c r="AO1007" s="14"/>
      <c r="AP1007" s="14"/>
      <c r="AQ1007" s="14"/>
      <c r="AR1007" s="14"/>
      <c r="AS1007" s="14"/>
      <c r="AT1007" s="14"/>
      <c r="AU1007" s="14"/>
      <c r="AV1007" s="14"/>
      <c r="AW1007" s="14"/>
      <c r="AX1007" s="14"/>
      <c r="AY1007" s="14"/>
      <c r="AZ1007" s="14"/>
      <c r="BA1007" s="14"/>
      <c r="BB1007" s="14"/>
      <c r="BC1007" s="14"/>
      <c r="BD1007" s="14"/>
      <c r="BE1007" s="14"/>
      <c r="BF1007" s="14"/>
      <c r="BG1007" s="14"/>
      <c r="BH1007" s="14"/>
      <c r="BI1007" s="14"/>
      <c r="BJ1007" s="14"/>
      <c r="BK1007" s="14"/>
      <c r="BL1007" s="14"/>
      <c r="BM1007" s="14"/>
      <c r="BN1007" s="14"/>
      <c r="BO1007" s="14"/>
      <c r="BP1007" s="14"/>
      <c r="BQ1007" s="14"/>
      <c r="BR1007" s="14"/>
      <c r="BS1007" s="14"/>
      <c r="BT1007" s="14"/>
      <c r="BU1007" s="14"/>
      <c r="BV1007" s="14"/>
      <c r="BW1007" s="14"/>
      <c r="BX1007" s="14"/>
      <c r="BY1007" s="14"/>
      <c r="BZ1007" s="14"/>
      <c r="CA1007" s="14"/>
      <c r="CB1007" s="14"/>
      <c r="CC1007" s="14"/>
      <c r="CD1007" s="14"/>
      <c r="CE1007" s="14"/>
      <c r="CF1007" s="14"/>
      <c r="CG1007" s="14"/>
      <c r="CH1007" s="14"/>
      <c r="CI1007" s="14"/>
      <c r="CJ1007" s="14"/>
      <c r="CK1007" s="14"/>
      <c r="CL1007" s="14"/>
      <c r="CT1007" s="14"/>
      <c r="CW1007" s="3"/>
      <c r="DG1007" s="4"/>
    </row>
    <row r="1008" customFormat="false" ht="11.25" hidden="false" customHeight="true" outlineLevel="0" collapsed="false">
      <c r="A1008" s="14"/>
      <c r="B1008" s="15"/>
      <c r="C1008" s="15"/>
      <c r="D1008" s="14"/>
      <c r="E1008" s="14"/>
      <c r="F1008" s="14"/>
      <c r="G1008" s="14"/>
      <c r="H1008" s="15"/>
      <c r="I1008" s="15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  <c r="AB1008" s="14"/>
      <c r="AC1008" s="14"/>
      <c r="AD1008" s="14"/>
      <c r="AE1008" s="14"/>
      <c r="AF1008" s="14"/>
      <c r="AG1008" s="14"/>
      <c r="AH1008" s="14"/>
      <c r="AI1008" s="14"/>
      <c r="AJ1008" s="14"/>
      <c r="AK1008" s="14"/>
      <c r="AL1008" s="14"/>
      <c r="AM1008" s="14"/>
      <c r="AN1008" s="14"/>
      <c r="AO1008" s="14"/>
      <c r="AP1008" s="14"/>
      <c r="AQ1008" s="14"/>
      <c r="AR1008" s="14"/>
      <c r="AS1008" s="14"/>
      <c r="AT1008" s="14"/>
      <c r="AU1008" s="14"/>
      <c r="AV1008" s="14"/>
      <c r="AW1008" s="14"/>
      <c r="AX1008" s="14"/>
      <c r="AY1008" s="14"/>
      <c r="AZ1008" s="14"/>
      <c r="BA1008" s="14"/>
      <c r="BB1008" s="14"/>
      <c r="BC1008" s="14"/>
      <c r="BD1008" s="14"/>
      <c r="BE1008" s="14"/>
      <c r="BF1008" s="14"/>
      <c r="BG1008" s="14"/>
      <c r="BH1008" s="14"/>
      <c r="BI1008" s="14"/>
      <c r="BJ1008" s="14"/>
      <c r="BK1008" s="14"/>
      <c r="BL1008" s="14"/>
      <c r="BM1008" s="14"/>
      <c r="BN1008" s="14"/>
      <c r="BO1008" s="14"/>
      <c r="BP1008" s="14"/>
      <c r="BQ1008" s="14"/>
      <c r="BR1008" s="14"/>
      <c r="BS1008" s="14"/>
      <c r="BT1008" s="14"/>
      <c r="BU1008" s="14"/>
      <c r="BV1008" s="14"/>
      <c r="BW1008" s="14"/>
      <c r="BX1008" s="14"/>
      <c r="BY1008" s="14"/>
      <c r="BZ1008" s="14"/>
      <c r="CA1008" s="14"/>
      <c r="CB1008" s="14"/>
      <c r="CC1008" s="14"/>
      <c r="CD1008" s="14"/>
      <c r="CE1008" s="14"/>
      <c r="CF1008" s="14"/>
      <c r="CG1008" s="14"/>
      <c r="CH1008" s="14"/>
      <c r="CI1008" s="14"/>
      <c r="CJ1008" s="14"/>
      <c r="CK1008" s="14"/>
      <c r="CL1008" s="14"/>
      <c r="CT1008" s="14"/>
      <c r="CW1008" s="3"/>
      <c r="DG1008" s="4"/>
    </row>
    <row r="1009" customFormat="false" ht="11.25" hidden="false" customHeight="true" outlineLevel="0" collapsed="false">
      <c r="A1009" s="14"/>
      <c r="B1009" s="15"/>
      <c r="C1009" s="15"/>
      <c r="D1009" s="14"/>
      <c r="E1009" s="14"/>
      <c r="F1009" s="14"/>
      <c r="G1009" s="14"/>
      <c r="H1009" s="15"/>
      <c r="I1009" s="15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  <c r="AB1009" s="14"/>
      <c r="AC1009" s="14"/>
      <c r="AD1009" s="14"/>
      <c r="AE1009" s="14"/>
      <c r="AF1009" s="14"/>
      <c r="AG1009" s="14"/>
      <c r="AH1009" s="14"/>
      <c r="AI1009" s="14"/>
      <c r="AJ1009" s="14"/>
      <c r="AK1009" s="14"/>
      <c r="AL1009" s="14"/>
      <c r="AM1009" s="14"/>
      <c r="AN1009" s="14"/>
      <c r="AO1009" s="14"/>
      <c r="AP1009" s="14"/>
      <c r="AQ1009" s="14"/>
      <c r="AR1009" s="14"/>
      <c r="AS1009" s="14"/>
      <c r="AT1009" s="14"/>
      <c r="AU1009" s="14"/>
      <c r="AV1009" s="14"/>
      <c r="AW1009" s="14"/>
      <c r="AX1009" s="14"/>
      <c r="AY1009" s="14"/>
      <c r="AZ1009" s="14"/>
      <c r="BA1009" s="14"/>
      <c r="BB1009" s="14"/>
      <c r="BC1009" s="14"/>
      <c r="BD1009" s="14"/>
      <c r="BE1009" s="14"/>
      <c r="BF1009" s="14"/>
      <c r="BG1009" s="14"/>
      <c r="BH1009" s="14"/>
      <c r="BI1009" s="14"/>
      <c r="BJ1009" s="14"/>
      <c r="BK1009" s="14"/>
      <c r="BL1009" s="14"/>
      <c r="BM1009" s="14"/>
      <c r="BN1009" s="14"/>
      <c r="BO1009" s="14"/>
      <c r="BP1009" s="14"/>
      <c r="BQ1009" s="14"/>
      <c r="BR1009" s="14"/>
      <c r="BS1009" s="14"/>
      <c r="BT1009" s="14"/>
      <c r="BU1009" s="14"/>
      <c r="BV1009" s="14"/>
      <c r="BW1009" s="14"/>
      <c r="BX1009" s="14"/>
      <c r="BY1009" s="14"/>
      <c r="BZ1009" s="14"/>
      <c r="CA1009" s="14"/>
      <c r="CB1009" s="14"/>
      <c r="CC1009" s="14"/>
      <c r="CD1009" s="14"/>
      <c r="CE1009" s="14"/>
      <c r="CF1009" s="14"/>
      <c r="CG1009" s="14"/>
      <c r="CH1009" s="14"/>
      <c r="CI1009" s="14"/>
      <c r="CJ1009" s="14"/>
      <c r="CK1009" s="14"/>
      <c r="CL1009" s="14"/>
      <c r="CT1009" s="14"/>
      <c r="CW1009" s="3"/>
      <c r="DG1009" s="4"/>
    </row>
    <row r="1010" customFormat="false" ht="11.25" hidden="false" customHeight="true" outlineLevel="0" collapsed="false">
      <c r="A1010" s="14"/>
      <c r="B1010" s="15"/>
      <c r="C1010" s="15"/>
      <c r="D1010" s="14"/>
      <c r="E1010" s="14"/>
      <c r="F1010" s="14"/>
      <c r="G1010" s="14"/>
      <c r="H1010" s="15"/>
      <c r="I1010" s="15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  <c r="AB1010" s="14"/>
      <c r="AC1010" s="14"/>
      <c r="AD1010" s="14"/>
      <c r="AE1010" s="14"/>
      <c r="AF1010" s="14"/>
      <c r="AG1010" s="14"/>
      <c r="AH1010" s="14"/>
      <c r="AI1010" s="14"/>
      <c r="AJ1010" s="14"/>
      <c r="AK1010" s="14"/>
      <c r="AL1010" s="14"/>
      <c r="AM1010" s="14"/>
      <c r="AN1010" s="14"/>
      <c r="AO1010" s="14"/>
      <c r="AP1010" s="14"/>
      <c r="AQ1010" s="14"/>
      <c r="AR1010" s="14"/>
      <c r="AS1010" s="14"/>
      <c r="AT1010" s="14"/>
      <c r="AU1010" s="14"/>
      <c r="AV1010" s="14"/>
      <c r="AW1010" s="14"/>
      <c r="AX1010" s="14"/>
      <c r="AY1010" s="14"/>
      <c r="AZ1010" s="14"/>
      <c r="BA1010" s="14"/>
      <c r="BB1010" s="14"/>
      <c r="BC1010" s="14"/>
      <c r="BD1010" s="14"/>
      <c r="BE1010" s="14"/>
      <c r="BF1010" s="14"/>
      <c r="BG1010" s="14"/>
      <c r="BH1010" s="14"/>
      <c r="BI1010" s="14"/>
      <c r="BJ1010" s="14"/>
      <c r="BK1010" s="14"/>
      <c r="BL1010" s="14"/>
      <c r="BM1010" s="14"/>
      <c r="BN1010" s="14"/>
      <c r="BO1010" s="14"/>
      <c r="BP1010" s="14"/>
      <c r="BQ1010" s="14"/>
      <c r="BR1010" s="14"/>
      <c r="BS1010" s="14"/>
      <c r="BT1010" s="14"/>
      <c r="BU1010" s="14"/>
      <c r="BV1010" s="14"/>
      <c r="BW1010" s="14"/>
      <c r="BX1010" s="14"/>
      <c r="BY1010" s="14"/>
      <c r="BZ1010" s="14"/>
      <c r="CA1010" s="14"/>
      <c r="CB1010" s="14"/>
      <c r="CC1010" s="14"/>
      <c r="CD1010" s="14"/>
      <c r="CE1010" s="14"/>
      <c r="CF1010" s="14"/>
      <c r="CG1010" s="14"/>
      <c r="CH1010" s="14"/>
      <c r="CI1010" s="14"/>
      <c r="CJ1010" s="14"/>
      <c r="CK1010" s="14"/>
      <c r="CL1010" s="14"/>
      <c r="CT1010" s="14"/>
      <c r="CW1010" s="3"/>
      <c r="DG1010" s="4"/>
    </row>
    <row r="1011" customFormat="false" ht="11.25" hidden="false" customHeight="true" outlineLevel="0" collapsed="false">
      <c r="A1011" s="14"/>
      <c r="B1011" s="15"/>
      <c r="C1011" s="15"/>
      <c r="D1011" s="14"/>
      <c r="E1011" s="14"/>
      <c r="F1011" s="14"/>
      <c r="G1011" s="14"/>
      <c r="H1011" s="15"/>
      <c r="I1011" s="15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14"/>
      <c r="AC1011" s="14"/>
      <c r="AD1011" s="14"/>
      <c r="AE1011" s="14"/>
      <c r="AF1011" s="14"/>
      <c r="AG1011" s="14"/>
      <c r="AH1011" s="14"/>
      <c r="AI1011" s="14"/>
      <c r="AJ1011" s="14"/>
      <c r="AK1011" s="14"/>
      <c r="AL1011" s="14"/>
      <c r="AM1011" s="14"/>
      <c r="AN1011" s="14"/>
      <c r="AO1011" s="14"/>
      <c r="AP1011" s="14"/>
      <c r="AQ1011" s="14"/>
      <c r="AR1011" s="14"/>
      <c r="AS1011" s="14"/>
      <c r="AT1011" s="14"/>
      <c r="AU1011" s="14"/>
      <c r="AV1011" s="14"/>
      <c r="AW1011" s="14"/>
      <c r="AX1011" s="14"/>
      <c r="AY1011" s="14"/>
      <c r="AZ1011" s="14"/>
      <c r="BA1011" s="14"/>
      <c r="BB1011" s="14"/>
      <c r="BC1011" s="14"/>
      <c r="BD1011" s="14"/>
      <c r="BE1011" s="14"/>
      <c r="BF1011" s="14"/>
      <c r="BG1011" s="14"/>
      <c r="BH1011" s="14"/>
      <c r="BI1011" s="14"/>
      <c r="BJ1011" s="14"/>
      <c r="BK1011" s="14"/>
      <c r="BL1011" s="14"/>
      <c r="BM1011" s="14"/>
      <c r="BN1011" s="14"/>
      <c r="BO1011" s="14"/>
      <c r="BP1011" s="14"/>
      <c r="BQ1011" s="14"/>
      <c r="BR1011" s="14"/>
      <c r="BS1011" s="14"/>
      <c r="BT1011" s="14"/>
      <c r="BU1011" s="14"/>
      <c r="BV1011" s="14"/>
      <c r="BW1011" s="14"/>
      <c r="BX1011" s="14"/>
      <c r="BY1011" s="14"/>
      <c r="BZ1011" s="14"/>
      <c r="CA1011" s="14"/>
      <c r="CB1011" s="14"/>
      <c r="CC1011" s="14"/>
      <c r="CD1011" s="14"/>
      <c r="CE1011" s="14"/>
      <c r="CF1011" s="14"/>
      <c r="CG1011" s="14"/>
      <c r="CH1011" s="14"/>
      <c r="CI1011" s="14"/>
      <c r="CJ1011" s="14"/>
      <c r="CK1011" s="14"/>
      <c r="CL1011" s="14"/>
      <c r="CT1011" s="14"/>
      <c r="CW1011" s="3"/>
      <c r="DG1011" s="4"/>
    </row>
    <row r="1012" customFormat="false" ht="11.25" hidden="false" customHeight="true" outlineLevel="0" collapsed="false">
      <c r="A1012" s="14"/>
      <c r="B1012" s="15"/>
      <c r="C1012" s="15"/>
      <c r="D1012" s="14"/>
      <c r="E1012" s="14"/>
      <c r="F1012" s="14"/>
      <c r="G1012" s="14"/>
      <c r="H1012" s="15"/>
      <c r="I1012" s="15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  <c r="AB1012" s="14"/>
      <c r="AC1012" s="14"/>
      <c r="AD1012" s="14"/>
      <c r="AE1012" s="14"/>
      <c r="AF1012" s="14"/>
      <c r="AG1012" s="14"/>
      <c r="AH1012" s="14"/>
      <c r="AI1012" s="14"/>
      <c r="AJ1012" s="14"/>
      <c r="AK1012" s="14"/>
      <c r="AL1012" s="14"/>
      <c r="AM1012" s="14"/>
      <c r="AN1012" s="14"/>
      <c r="AO1012" s="14"/>
      <c r="AP1012" s="14"/>
      <c r="AQ1012" s="14"/>
      <c r="AR1012" s="14"/>
      <c r="AS1012" s="14"/>
      <c r="AT1012" s="14"/>
      <c r="AU1012" s="14"/>
      <c r="AV1012" s="14"/>
      <c r="AW1012" s="14"/>
      <c r="AX1012" s="14"/>
      <c r="AY1012" s="14"/>
      <c r="AZ1012" s="14"/>
      <c r="BA1012" s="14"/>
      <c r="BB1012" s="14"/>
      <c r="BC1012" s="14"/>
      <c r="BD1012" s="14"/>
      <c r="BE1012" s="14"/>
      <c r="BF1012" s="14"/>
      <c r="BG1012" s="14"/>
      <c r="BH1012" s="14"/>
      <c r="BI1012" s="14"/>
      <c r="BJ1012" s="14"/>
      <c r="BK1012" s="14"/>
      <c r="BL1012" s="14"/>
      <c r="BM1012" s="14"/>
      <c r="BN1012" s="14"/>
      <c r="BO1012" s="14"/>
      <c r="BP1012" s="14"/>
      <c r="BQ1012" s="14"/>
      <c r="BR1012" s="14"/>
      <c r="BS1012" s="14"/>
      <c r="BT1012" s="14"/>
      <c r="BU1012" s="14"/>
      <c r="BV1012" s="14"/>
      <c r="BW1012" s="14"/>
      <c r="BX1012" s="14"/>
      <c r="BY1012" s="14"/>
      <c r="BZ1012" s="14"/>
      <c r="CA1012" s="14"/>
      <c r="CB1012" s="14"/>
      <c r="CC1012" s="14"/>
      <c r="CD1012" s="14"/>
      <c r="CE1012" s="14"/>
      <c r="CF1012" s="14"/>
      <c r="CG1012" s="14"/>
      <c r="CH1012" s="14"/>
      <c r="CI1012" s="14"/>
      <c r="CJ1012" s="14"/>
      <c r="CK1012" s="14"/>
      <c r="CL1012" s="14"/>
      <c r="CT1012" s="14"/>
      <c r="CW1012" s="3"/>
      <c r="DG1012" s="4"/>
    </row>
    <row r="1013" customFormat="false" ht="11.25" hidden="false" customHeight="true" outlineLevel="0" collapsed="false">
      <c r="A1013" s="14"/>
      <c r="B1013" s="15"/>
      <c r="C1013" s="15"/>
      <c r="D1013" s="14"/>
      <c r="E1013" s="14"/>
      <c r="F1013" s="14"/>
      <c r="G1013" s="14"/>
      <c r="H1013" s="15"/>
      <c r="I1013" s="15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  <c r="AA1013" s="14"/>
      <c r="AB1013" s="14"/>
      <c r="AC1013" s="14"/>
      <c r="AD1013" s="14"/>
      <c r="AE1013" s="14"/>
      <c r="AF1013" s="14"/>
      <c r="AG1013" s="14"/>
      <c r="AH1013" s="14"/>
      <c r="AI1013" s="14"/>
      <c r="AJ1013" s="14"/>
      <c r="AK1013" s="14"/>
      <c r="AL1013" s="14"/>
      <c r="AM1013" s="14"/>
      <c r="AN1013" s="14"/>
      <c r="AO1013" s="14"/>
      <c r="AP1013" s="14"/>
      <c r="AQ1013" s="14"/>
      <c r="AR1013" s="14"/>
      <c r="AS1013" s="14"/>
      <c r="AT1013" s="14"/>
      <c r="AU1013" s="14"/>
      <c r="AV1013" s="14"/>
      <c r="AW1013" s="14"/>
      <c r="AX1013" s="14"/>
      <c r="AY1013" s="14"/>
      <c r="AZ1013" s="14"/>
      <c r="BA1013" s="14"/>
      <c r="BB1013" s="14"/>
      <c r="BC1013" s="14"/>
      <c r="BD1013" s="14"/>
      <c r="BE1013" s="14"/>
      <c r="BF1013" s="14"/>
      <c r="BG1013" s="14"/>
      <c r="BH1013" s="14"/>
      <c r="BI1013" s="14"/>
      <c r="BJ1013" s="14"/>
      <c r="BK1013" s="14"/>
      <c r="BL1013" s="14"/>
      <c r="BM1013" s="14"/>
      <c r="BN1013" s="14"/>
      <c r="BO1013" s="14"/>
      <c r="BP1013" s="14"/>
      <c r="BQ1013" s="14"/>
      <c r="BR1013" s="14"/>
      <c r="BS1013" s="14"/>
      <c r="BT1013" s="14"/>
      <c r="BU1013" s="14"/>
      <c r="BV1013" s="14"/>
      <c r="BW1013" s="14"/>
      <c r="BX1013" s="14"/>
      <c r="BY1013" s="14"/>
      <c r="BZ1013" s="14"/>
      <c r="CA1013" s="14"/>
      <c r="CB1013" s="14"/>
      <c r="CC1013" s="14"/>
      <c r="CD1013" s="14"/>
      <c r="CE1013" s="14"/>
      <c r="CF1013" s="14"/>
      <c r="CG1013" s="14"/>
      <c r="CH1013" s="14"/>
      <c r="CI1013" s="14"/>
      <c r="CJ1013" s="14"/>
      <c r="CK1013" s="14"/>
      <c r="CL1013" s="14"/>
      <c r="CT1013" s="14"/>
      <c r="CW1013" s="3"/>
      <c r="DG1013" s="4"/>
    </row>
    <row r="1014" customFormat="false" ht="11.25" hidden="false" customHeight="true" outlineLevel="0" collapsed="false">
      <c r="A1014" s="14"/>
      <c r="B1014" s="15"/>
      <c r="C1014" s="15"/>
      <c r="D1014" s="14"/>
      <c r="E1014" s="14"/>
      <c r="F1014" s="14"/>
      <c r="G1014" s="14"/>
      <c r="H1014" s="15"/>
      <c r="I1014" s="15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  <c r="AB1014" s="14"/>
      <c r="AC1014" s="14"/>
      <c r="AD1014" s="14"/>
      <c r="AE1014" s="14"/>
      <c r="AF1014" s="14"/>
      <c r="AG1014" s="14"/>
      <c r="AH1014" s="14"/>
      <c r="AI1014" s="14"/>
      <c r="AJ1014" s="14"/>
      <c r="AK1014" s="14"/>
      <c r="AL1014" s="14"/>
      <c r="AM1014" s="14"/>
      <c r="AN1014" s="14"/>
      <c r="AO1014" s="14"/>
      <c r="AP1014" s="14"/>
      <c r="AQ1014" s="14"/>
      <c r="AR1014" s="14"/>
      <c r="AS1014" s="14"/>
      <c r="AT1014" s="14"/>
      <c r="AU1014" s="14"/>
      <c r="AV1014" s="14"/>
      <c r="AW1014" s="14"/>
      <c r="AX1014" s="14"/>
      <c r="AY1014" s="14"/>
      <c r="AZ1014" s="14"/>
      <c r="BA1014" s="14"/>
      <c r="BB1014" s="14"/>
      <c r="BC1014" s="14"/>
      <c r="BD1014" s="14"/>
      <c r="BE1014" s="14"/>
      <c r="BF1014" s="14"/>
      <c r="BG1014" s="14"/>
      <c r="BH1014" s="14"/>
      <c r="BI1014" s="14"/>
      <c r="BJ1014" s="14"/>
      <c r="BK1014" s="14"/>
      <c r="BL1014" s="14"/>
      <c r="BM1014" s="14"/>
      <c r="BN1014" s="14"/>
      <c r="BO1014" s="14"/>
      <c r="BP1014" s="14"/>
      <c r="BQ1014" s="14"/>
      <c r="BR1014" s="14"/>
      <c r="BS1014" s="14"/>
      <c r="BT1014" s="14"/>
      <c r="BU1014" s="14"/>
      <c r="BV1014" s="14"/>
      <c r="BW1014" s="14"/>
      <c r="BX1014" s="14"/>
      <c r="BY1014" s="14"/>
      <c r="BZ1014" s="14"/>
      <c r="CA1014" s="14"/>
      <c r="CB1014" s="14"/>
      <c r="CC1014" s="14"/>
      <c r="CD1014" s="14"/>
      <c r="CE1014" s="14"/>
      <c r="CF1014" s="14"/>
      <c r="CG1014" s="14"/>
      <c r="CH1014" s="14"/>
      <c r="CI1014" s="14"/>
      <c r="CJ1014" s="14"/>
      <c r="CK1014" s="14"/>
      <c r="CL1014" s="14"/>
      <c r="CT1014" s="14"/>
      <c r="CW1014" s="3"/>
      <c r="DG1014" s="4"/>
    </row>
    <row r="1015" customFormat="false" ht="11.25" hidden="false" customHeight="true" outlineLevel="0" collapsed="false">
      <c r="A1015" s="14"/>
      <c r="B1015" s="15"/>
      <c r="C1015" s="15"/>
      <c r="D1015" s="14"/>
      <c r="E1015" s="14"/>
      <c r="F1015" s="14"/>
      <c r="G1015" s="14"/>
      <c r="H1015" s="15"/>
      <c r="I1015" s="15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  <c r="AC1015" s="14"/>
      <c r="AD1015" s="14"/>
      <c r="AE1015" s="14"/>
      <c r="AF1015" s="14"/>
      <c r="AG1015" s="14"/>
      <c r="AH1015" s="14"/>
      <c r="AI1015" s="14"/>
      <c r="AJ1015" s="14"/>
      <c r="AK1015" s="14"/>
      <c r="AL1015" s="14"/>
      <c r="AM1015" s="14"/>
      <c r="AN1015" s="14"/>
      <c r="AO1015" s="14"/>
      <c r="AP1015" s="14"/>
      <c r="AQ1015" s="14"/>
      <c r="AR1015" s="14"/>
      <c r="AS1015" s="14"/>
      <c r="AT1015" s="14"/>
      <c r="AU1015" s="14"/>
      <c r="AV1015" s="14"/>
      <c r="AW1015" s="14"/>
      <c r="AX1015" s="14"/>
      <c r="AY1015" s="14"/>
      <c r="AZ1015" s="14"/>
      <c r="BA1015" s="14"/>
      <c r="BB1015" s="14"/>
      <c r="BC1015" s="14"/>
      <c r="BD1015" s="14"/>
      <c r="BE1015" s="14"/>
      <c r="BF1015" s="14"/>
      <c r="BG1015" s="14"/>
      <c r="BH1015" s="14"/>
      <c r="BI1015" s="14"/>
      <c r="BJ1015" s="14"/>
      <c r="BK1015" s="14"/>
      <c r="BL1015" s="14"/>
      <c r="BM1015" s="14"/>
      <c r="BN1015" s="14"/>
      <c r="BO1015" s="14"/>
      <c r="BP1015" s="14"/>
      <c r="BQ1015" s="14"/>
      <c r="BR1015" s="14"/>
      <c r="BS1015" s="14"/>
      <c r="BT1015" s="14"/>
      <c r="BU1015" s="14"/>
      <c r="BV1015" s="14"/>
      <c r="BW1015" s="14"/>
      <c r="BX1015" s="14"/>
      <c r="BY1015" s="14"/>
      <c r="BZ1015" s="14"/>
      <c r="CA1015" s="14"/>
      <c r="CB1015" s="14"/>
      <c r="CC1015" s="14"/>
      <c r="CD1015" s="14"/>
      <c r="CE1015" s="14"/>
      <c r="CF1015" s="14"/>
      <c r="CG1015" s="14"/>
      <c r="CH1015" s="14"/>
      <c r="CI1015" s="14"/>
      <c r="CJ1015" s="14"/>
      <c r="CK1015" s="14"/>
      <c r="CL1015" s="14"/>
      <c r="CT1015" s="14"/>
      <c r="CW1015" s="3"/>
      <c r="DG1015" s="4"/>
    </row>
    <row r="1016" customFormat="false" ht="11.25" hidden="false" customHeight="true" outlineLevel="0" collapsed="false">
      <c r="A1016" s="14"/>
      <c r="B1016" s="15"/>
      <c r="C1016" s="15"/>
      <c r="D1016" s="14"/>
      <c r="E1016" s="14"/>
      <c r="F1016" s="14"/>
      <c r="G1016" s="14"/>
      <c r="H1016" s="15"/>
      <c r="I1016" s="15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  <c r="AB1016" s="14"/>
      <c r="AC1016" s="14"/>
      <c r="AD1016" s="14"/>
      <c r="AE1016" s="14"/>
      <c r="AF1016" s="14"/>
      <c r="AG1016" s="14"/>
      <c r="AH1016" s="14"/>
      <c r="AI1016" s="14"/>
      <c r="AJ1016" s="14"/>
      <c r="AK1016" s="14"/>
      <c r="AL1016" s="14"/>
      <c r="AM1016" s="14"/>
      <c r="AN1016" s="14"/>
      <c r="AO1016" s="14"/>
      <c r="AP1016" s="14"/>
      <c r="AQ1016" s="14"/>
      <c r="AR1016" s="14"/>
      <c r="AS1016" s="14"/>
      <c r="AT1016" s="14"/>
      <c r="AU1016" s="14"/>
      <c r="AV1016" s="14"/>
      <c r="AW1016" s="14"/>
      <c r="AX1016" s="14"/>
      <c r="AY1016" s="14"/>
      <c r="AZ1016" s="14"/>
      <c r="BA1016" s="14"/>
      <c r="BB1016" s="14"/>
      <c r="BC1016" s="14"/>
      <c r="BD1016" s="14"/>
      <c r="BE1016" s="14"/>
      <c r="BF1016" s="14"/>
      <c r="BG1016" s="14"/>
      <c r="BH1016" s="14"/>
      <c r="BI1016" s="14"/>
      <c r="BJ1016" s="14"/>
      <c r="BK1016" s="14"/>
      <c r="BL1016" s="14"/>
      <c r="BM1016" s="14"/>
      <c r="BN1016" s="14"/>
      <c r="BO1016" s="14"/>
      <c r="BP1016" s="14"/>
      <c r="BQ1016" s="14"/>
      <c r="BR1016" s="14"/>
      <c r="BS1016" s="14"/>
      <c r="BT1016" s="14"/>
      <c r="BU1016" s="14"/>
      <c r="BV1016" s="14"/>
      <c r="BW1016" s="14"/>
      <c r="BX1016" s="14"/>
      <c r="BY1016" s="14"/>
      <c r="BZ1016" s="14"/>
      <c r="CA1016" s="14"/>
      <c r="CB1016" s="14"/>
      <c r="CC1016" s="14"/>
      <c r="CD1016" s="14"/>
      <c r="CE1016" s="14"/>
      <c r="CF1016" s="14"/>
      <c r="CG1016" s="14"/>
      <c r="CH1016" s="14"/>
      <c r="CI1016" s="14"/>
      <c r="CJ1016" s="14"/>
      <c r="CK1016" s="14"/>
      <c r="CL1016" s="14"/>
      <c r="CT1016" s="14"/>
      <c r="CW1016" s="3"/>
      <c r="DG1016" s="4"/>
    </row>
    <row r="1017" customFormat="false" ht="11.25" hidden="false" customHeight="true" outlineLevel="0" collapsed="false">
      <c r="A1017" s="14"/>
      <c r="B1017" s="15"/>
      <c r="C1017" s="15"/>
      <c r="D1017" s="14"/>
      <c r="E1017" s="14"/>
      <c r="F1017" s="14"/>
      <c r="G1017" s="14"/>
      <c r="H1017" s="15"/>
      <c r="I1017" s="15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  <c r="AB1017" s="14"/>
      <c r="AC1017" s="14"/>
      <c r="AD1017" s="14"/>
      <c r="AE1017" s="14"/>
      <c r="AF1017" s="14"/>
      <c r="AG1017" s="14"/>
      <c r="AH1017" s="14"/>
      <c r="AI1017" s="14"/>
      <c r="AJ1017" s="14"/>
      <c r="AK1017" s="14"/>
      <c r="AL1017" s="14"/>
      <c r="AM1017" s="14"/>
      <c r="AN1017" s="14"/>
      <c r="AO1017" s="14"/>
      <c r="AP1017" s="14"/>
      <c r="AQ1017" s="14"/>
      <c r="AR1017" s="14"/>
      <c r="AS1017" s="14"/>
      <c r="AT1017" s="14"/>
      <c r="AU1017" s="14"/>
      <c r="AV1017" s="14"/>
      <c r="AW1017" s="14"/>
      <c r="AX1017" s="14"/>
      <c r="AY1017" s="14"/>
      <c r="AZ1017" s="14"/>
      <c r="BA1017" s="14"/>
      <c r="BB1017" s="14"/>
      <c r="BC1017" s="14"/>
      <c r="BD1017" s="14"/>
      <c r="BE1017" s="14"/>
      <c r="BF1017" s="14"/>
      <c r="BG1017" s="14"/>
      <c r="BH1017" s="14"/>
      <c r="BI1017" s="14"/>
      <c r="BJ1017" s="14"/>
      <c r="BK1017" s="14"/>
      <c r="BL1017" s="14"/>
      <c r="BM1017" s="14"/>
      <c r="BN1017" s="14"/>
      <c r="BO1017" s="14"/>
      <c r="BP1017" s="14"/>
      <c r="BQ1017" s="14"/>
      <c r="BR1017" s="14"/>
      <c r="BS1017" s="14"/>
      <c r="BT1017" s="14"/>
      <c r="BU1017" s="14"/>
      <c r="BV1017" s="14"/>
      <c r="BW1017" s="14"/>
      <c r="BX1017" s="14"/>
      <c r="BY1017" s="14"/>
      <c r="BZ1017" s="14"/>
      <c r="CA1017" s="14"/>
      <c r="CB1017" s="14"/>
      <c r="CC1017" s="14"/>
      <c r="CD1017" s="14"/>
      <c r="CE1017" s="14"/>
      <c r="CF1017" s="14"/>
      <c r="CG1017" s="14"/>
      <c r="CH1017" s="14"/>
      <c r="CI1017" s="14"/>
      <c r="CJ1017" s="14"/>
      <c r="CK1017" s="14"/>
      <c r="CL1017" s="14"/>
      <c r="CT1017" s="14"/>
      <c r="CW1017" s="3"/>
      <c r="DG1017" s="4"/>
    </row>
    <row r="1018" customFormat="false" ht="11.25" hidden="false" customHeight="true" outlineLevel="0" collapsed="false">
      <c r="A1018" s="14"/>
      <c r="B1018" s="15"/>
      <c r="C1018" s="15"/>
      <c r="D1018" s="14"/>
      <c r="E1018" s="14"/>
      <c r="F1018" s="14"/>
      <c r="G1018" s="14"/>
      <c r="H1018" s="15"/>
      <c r="I1018" s="15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  <c r="AA1018" s="14"/>
      <c r="AB1018" s="14"/>
      <c r="AC1018" s="14"/>
      <c r="AD1018" s="14"/>
      <c r="AE1018" s="14"/>
      <c r="AF1018" s="14"/>
      <c r="AG1018" s="14"/>
      <c r="AH1018" s="14"/>
      <c r="AI1018" s="14"/>
      <c r="AJ1018" s="14"/>
      <c r="AK1018" s="14"/>
      <c r="AL1018" s="14"/>
      <c r="AM1018" s="14"/>
      <c r="AN1018" s="14"/>
      <c r="AO1018" s="14"/>
      <c r="AP1018" s="14"/>
      <c r="AQ1018" s="14"/>
      <c r="AR1018" s="14"/>
      <c r="AS1018" s="14"/>
      <c r="AT1018" s="14"/>
      <c r="AU1018" s="14"/>
      <c r="AV1018" s="14"/>
      <c r="AW1018" s="14"/>
      <c r="AX1018" s="14"/>
      <c r="AY1018" s="14"/>
      <c r="AZ1018" s="14"/>
      <c r="BA1018" s="14"/>
      <c r="BB1018" s="14"/>
      <c r="BC1018" s="14"/>
      <c r="BD1018" s="14"/>
      <c r="BE1018" s="14"/>
      <c r="BF1018" s="14"/>
      <c r="BG1018" s="14"/>
      <c r="BH1018" s="14"/>
      <c r="BI1018" s="14"/>
      <c r="BJ1018" s="14"/>
      <c r="BK1018" s="14"/>
      <c r="BL1018" s="14"/>
      <c r="BM1018" s="14"/>
      <c r="BN1018" s="14"/>
      <c r="BO1018" s="14"/>
      <c r="BP1018" s="14"/>
      <c r="BQ1018" s="14"/>
      <c r="BR1018" s="14"/>
      <c r="BS1018" s="14"/>
      <c r="BT1018" s="14"/>
      <c r="BU1018" s="14"/>
      <c r="BV1018" s="14"/>
      <c r="BW1018" s="14"/>
      <c r="BX1018" s="14"/>
      <c r="BY1018" s="14"/>
      <c r="BZ1018" s="14"/>
      <c r="CA1018" s="14"/>
      <c r="CB1018" s="14"/>
      <c r="CC1018" s="14"/>
      <c r="CD1018" s="14"/>
      <c r="CE1018" s="14"/>
      <c r="CF1018" s="14"/>
      <c r="CG1018" s="14"/>
      <c r="CH1018" s="14"/>
      <c r="CI1018" s="14"/>
      <c r="CJ1018" s="14"/>
      <c r="CK1018" s="14"/>
      <c r="CL1018" s="14"/>
      <c r="CT1018" s="14"/>
      <c r="CW1018" s="3"/>
      <c r="DG1018" s="4"/>
    </row>
    <row r="1019" customFormat="false" ht="11.25" hidden="false" customHeight="true" outlineLevel="0" collapsed="false">
      <c r="A1019" s="14"/>
      <c r="B1019" s="15"/>
      <c r="C1019" s="15"/>
      <c r="D1019" s="14"/>
      <c r="E1019" s="14"/>
      <c r="F1019" s="14"/>
      <c r="G1019" s="14"/>
      <c r="H1019" s="15"/>
      <c r="I1019" s="15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  <c r="AA1019" s="14"/>
      <c r="AB1019" s="14"/>
      <c r="AC1019" s="14"/>
      <c r="AD1019" s="14"/>
      <c r="AE1019" s="14"/>
      <c r="AF1019" s="14"/>
      <c r="AG1019" s="14"/>
      <c r="AH1019" s="14"/>
      <c r="AI1019" s="14"/>
      <c r="AJ1019" s="14"/>
      <c r="AK1019" s="14"/>
      <c r="AL1019" s="14"/>
      <c r="AM1019" s="14"/>
      <c r="AN1019" s="14"/>
      <c r="AO1019" s="14"/>
      <c r="AP1019" s="14"/>
      <c r="AQ1019" s="14"/>
      <c r="AR1019" s="14"/>
      <c r="AS1019" s="14"/>
      <c r="AT1019" s="14"/>
      <c r="AU1019" s="14"/>
      <c r="AV1019" s="14"/>
      <c r="AW1019" s="14"/>
      <c r="AX1019" s="14"/>
      <c r="AY1019" s="14"/>
      <c r="AZ1019" s="14"/>
      <c r="BA1019" s="14"/>
      <c r="BB1019" s="14"/>
      <c r="BC1019" s="14"/>
      <c r="BD1019" s="14"/>
      <c r="BE1019" s="14"/>
      <c r="BF1019" s="14"/>
      <c r="BG1019" s="14"/>
      <c r="BH1019" s="14"/>
      <c r="BI1019" s="14"/>
      <c r="BJ1019" s="14"/>
      <c r="BK1019" s="14"/>
      <c r="BL1019" s="14"/>
      <c r="BM1019" s="14"/>
      <c r="BN1019" s="14"/>
      <c r="BO1019" s="14"/>
      <c r="BP1019" s="14"/>
      <c r="BQ1019" s="14"/>
      <c r="BR1019" s="14"/>
      <c r="BS1019" s="14"/>
      <c r="BT1019" s="14"/>
      <c r="BU1019" s="14"/>
      <c r="BV1019" s="14"/>
      <c r="BW1019" s="14"/>
      <c r="BX1019" s="14"/>
      <c r="BY1019" s="14"/>
      <c r="BZ1019" s="14"/>
      <c r="CA1019" s="14"/>
      <c r="CB1019" s="14"/>
      <c r="CC1019" s="14"/>
      <c r="CD1019" s="14"/>
      <c r="CE1019" s="14"/>
      <c r="CF1019" s="14"/>
      <c r="CG1019" s="14"/>
      <c r="CH1019" s="14"/>
      <c r="CI1019" s="14"/>
      <c r="CJ1019" s="14"/>
      <c r="CK1019" s="14"/>
      <c r="CL1019" s="14"/>
      <c r="CT1019" s="14"/>
      <c r="CW1019" s="3"/>
      <c r="DG1019" s="4"/>
    </row>
    <row r="1020" customFormat="false" ht="11.25" hidden="false" customHeight="true" outlineLevel="0" collapsed="false">
      <c r="A1020" s="14"/>
      <c r="B1020" s="15"/>
      <c r="C1020" s="15"/>
      <c r="D1020" s="14"/>
      <c r="E1020" s="14"/>
      <c r="F1020" s="14"/>
      <c r="G1020" s="14"/>
      <c r="H1020" s="15"/>
      <c r="I1020" s="15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  <c r="AA1020" s="14"/>
      <c r="AB1020" s="14"/>
      <c r="AC1020" s="14"/>
      <c r="AD1020" s="14"/>
      <c r="AE1020" s="14"/>
      <c r="AF1020" s="14"/>
      <c r="AG1020" s="14"/>
      <c r="AH1020" s="14"/>
      <c r="AI1020" s="14"/>
      <c r="AJ1020" s="14"/>
      <c r="AK1020" s="14"/>
      <c r="AL1020" s="14"/>
      <c r="AM1020" s="14"/>
      <c r="AN1020" s="14"/>
      <c r="AO1020" s="14"/>
      <c r="AP1020" s="14"/>
      <c r="AQ1020" s="14"/>
      <c r="AR1020" s="14"/>
      <c r="AS1020" s="14"/>
      <c r="AT1020" s="14"/>
      <c r="AU1020" s="14"/>
      <c r="AV1020" s="14"/>
      <c r="AW1020" s="14"/>
      <c r="AX1020" s="14"/>
      <c r="AY1020" s="14"/>
      <c r="AZ1020" s="14"/>
      <c r="BA1020" s="14"/>
      <c r="BB1020" s="14"/>
      <c r="BC1020" s="14"/>
      <c r="BD1020" s="14"/>
      <c r="BE1020" s="14"/>
      <c r="BF1020" s="14"/>
      <c r="BG1020" s="14"/>
      <c r="BH1020" s="14"/>
      <c r="BI1020" s="14"/>
      <c r="BJ1020" s="14"/>
      <c r="BK1020" s="14"/>
      <c r="BL1020" s="14"/>
      <c r="BM1020" s="14"/>
      <c r="BN1020" s="14"/>
      <c r="BO1020" s="14"/>
      <c r="BP1020" s="14"/>
      <c r="BQ1020" s="14"/>
      <c r="BR1020" s="14"/>
      <c r="BS1020" s="14"/>
      <c r="BT1020" s="14"/>
      <c r="BU1020" s="14"/>
      <c r="BV1020" s="14"/>
      <c r="BW1020" s="14"/>
      <c r="BX1020" s="14"/>
      <c r="BY1020" s="14"/>
      <c r="BZ1020" s="14"/>
      <c r="CA1020" s="14"/>
      <c r="CB1020" s="14"/>
      <c r="CC1020" s="14"/>
      <c r="CD1020" s="14"/>
      <c r="CE1020" s="14"/>
      <c r="CF1020" s="14"/>
      <c r="CG1020" s="14"/>
      <c r="CH1020" s="14"/>
      <c r="CI1020" s="14"/>
      <c r="CJ1020" s="14"/>
      <c r="CK1020" s="14"/>
      <c r="CL1020" s="14"/>
      <c r="CT1020" s="14"/>
      <c r="CW1020" s="3"/>
      <c r="DG1020" s="4"/>
    </row>
    <row r="1021" customFormat="false" ht="11.25" hidden="false" customHeight="true" outlineLevel="0" collapsed="false">
      <c r="A1021" s="14"/>
      <c r="B1021" s="15"/>
      <c r="C1021" s="15"/>
      <c r="D1021" s="14"/>
      <c r="E1021" s="14"/>
      <c r="F1021" s="14"/>
      <c r="G1021" s="14"/>
      <c r="H1021" s="15"/>
      <c r="I1021" s="15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4"/>
      <c r="AB1021" s="14"/>
      <c r="AC1021" s="14"/>
      <c r="AD1021" s="14"/>
      <c r="AE1021" s="14"/>
      <c r="AF1021" s="14"/>
      <c r="AG1021" s="14"/>
      <c r="AH1021" s="14"/>
      <c r="AI1021" s="14"/>
      <c r="AJ1021" s="14"/>
      <c r="AK1021" s="14"/>
      <c r="AL1021" s="14"/>
      <c r="AM1021" s="14"/>
      <c r="AN1021" s="14"/>
      <c r="AO1021" s="14"/>
      <c r="AP1021" s="14"/>
      <c r="AQ1021" s="14"/>
      <c r="AR1021" s="14"/>
      <c r="AS1021" s="14"/>
      <c r="AT1021" s="14"/>
      <c r="AU1021" s="14"/>
      <c r="AV1021" s="14"/>
      <c r="AW1021" s="14"/>
      <c r="AX1021" s="14"/>
      <c r="AY1021" s="14"/>
      <c r="AZ1021" s="14"/>
      <c r="BA1021" s="14"/>
      <c r="BB1021" s="14"/>
      <c r="BC1021" s="14"/>
      <c r="BD1021" s="14"/>
      <c r="BE1021" s="14"/>
      <c r="BF1021" s="14"/>
      <c r="BG1021" s="14"/>
      <c r="BH1021" s="14"/>
      <c r="BI1021" s="14"/>
      <c r="BJ1021" s="14"/>
      <c r="BK1021" s="14"/>
      <c r="BL1021" s="14"/>
      <c r="BM1021" s="14"/>
      <c r="BN1021" s="14"/>
      <c r="BO1021" s="14"/>
      <c r="BP1021" s="14"/>
      <c r="BQ1021" s="14"/>
      <c r="BR1021" s="14"/>
      <c r="BS1021" s="14"/>
      <c r="BT1021" s="14"/>
      <c r="BU1021" s="14"/>
      <c r="BV1021" s="14"/>
      <c r="BW1021" s="14"/>
      <c r="BX1021" s="14"/>
      <c r="BY1021" s="14"/>
      <c r="BZ1021" s="14"/>
      <c r="CA1021" s="14"/>
      <c r="CB1021" s="14"/>
      <c r="CC1021" s="14"/>
      <c r="CD1021" s="14"/>
      <c r="CE1021" s="14"/>
      <c r="CF1021" s="14"/>
      <c r="CG1021" s="14"/>
      <c r="CH1021" s="14"/>
      <c r="CI1021" s="14"/>
      <c r="CJ1021" s="14"/>
      <c r="CK1021" s="14"/>
      <c r="CL1021" s="14"/>
      <c r="CT1021" s="14"/>
      <c r="CW1021" s="3"/>
      <c r="DG1021" s="4"/>
    </row>
    <row r="1022" customFormat="false" ht="11.25" hidden="false" customHeight="true" outlineLevel="0" collapsed="false">
      <c r="A1022" s="14"/>
      <c r="B1022" s="15"/>
      <c r="C1022" s="15"/>
      <c r="D1022" s="14"/>
      <c r="E1022" s="14"/>
      <c r="F1022" s="14"/>
      <c r="G1022" s="14"/>
      <c r="H1022" s="15"/>
      <c r="I1022" s="15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  <c r="AA1022" s="14"/>
      <c r="AB1022" s="14"/>
      <c r="AC1022" s="14"/>
      <c r="AD1022" s="14"/>
      <c r="AE1022" s="14"/>
      <c r="AF1022" s="14"/>
      <c r="AG1022" s="14"/>
      <c r="AH1022" s="14"/>
      <c r="AI1022" s="14"/>
      <c r="AJ1022" s="14"/>
      <c r="AK1022" s="14"/>
      <c r="AL1022" s="14"/>
      <c r="AM1022" s="14"/>
      <c r="AN1022" s="14"/>
      <c r="AO1022" s="14"/>
      <c r="AP1022" s="14"/>
      <c r="AQ1022" s="14"/>
      <c r="AR1022" s="14"/>
      <c r="AS1022" s="14"/>
      <c r="AT1022" s="14"/>
      <c r="AU1022" s="14"/>
      <c r="AV1022" s="14"/>
      <c r="AW1022" s="14"/>
      <c r="AX1022" s="14"/>
      <c r="AY1022" s="14"/>
      <c r="AZ1022" s="14"/>
      <c r="BA1022" s="14"/>
      <c r="BB1022" s="14"/>
      <c r="BC1022" s="14"/>
      <c r="BD1022" s="14"/>
      <c r="BE1022" s="14"/>
      <c r="BF1022" s="14"/>
      <c r="BG1022" s="14"/>
      <c r="BH1022" s="14"/>
      <c r="BI1022" s="14"/>
      <c r="BJ1022" s="14"/>
      <c r="BK1022" s="14"/>
      <c r="BL1022" s="14"/>
      <c r="BM1022" s="14"/>
      <c r="BN1022" s="14"/>
      <c r="BO1022" s="14"/>
      <c r="BP1022" s="14"/>
      <c r="BQ1022" s="14"/>
      <c r="BR1022" s="14"/>
      <c r="BS1022" s="14"/>
      <c r="BT1022" s="14"/>
      <c r="BU1022" s="14"/>
      <c r="BV1022" s="14"/>
      <c r="BW1022" s="14"/>
      <c r="BX1022" s="14"/>
      <c r="BY1022" s="14"/>
      <c r="BZ1022" s="14"/>
      <c r="CA1022" s="14"/>
      <c r="CB1022" s="14"/>
      <c r="CC1022" s="14"/>
      <c r="CD1022" s="14"/>
      <c r="CE1022" s="14"/>
      <c r="CF1022" s="14"/>
      <c r="CG1022" s="14"/>
      <c r="CH1022" s="14"/>
      <c r="CI1022" s="14"/>
      <c r="CJ1022" s="14"/>
      <c r="CK1022" s="14"/>
      <c r="CL1022" s="14"/>
      <c r="CT1022" s="14"/>
      <c r="CW1022" s="3"/>
      <c r="DG1022" s="4"/>
    </row>
    <row r="1023" customFormat="false" ht="11.25" hidden="false" customHeight="true" outlineLevel="0" collapsed="false">
      <c r="A1023" s="14"/>
      <c r="B1023" s="15"/>
      <c r="C1023" s="15"/>
      <c r="D1023" s="14"/>
      <c r="E1023" s="14"/>
      <c r="F1023" s="14"/>
      <c r="G1023" s="14"/>
      <c r="H1023" s="15"/>
      <c r="I1023" s="15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  <c r="AA1023" s="14"/>
      <c r="AB1023" s="14"/>
      <c r="AC1023" s="14"/>
      <c r="AD1023" s="14"/>
      <c r="AE1023" s="14"/>
      <c r="AF1023" s="14"/>
      <c r="AG1023" s="14"/>
      <c r="AH1023" s="14"/>
      <c r="AI1023" s="14"/>
      <c r="AJ1023" s="14"/>
      <c r="AK1023" s="14"/>
      <c r="AL1023" s="14"/>
      <c r="AM1023" s="14"/>
      <c r="AN1023" s="14"/>
      <c r="AO1023" s="14"/>
      <c r="AP1023" s="14"/>
      <c r="AQ1023" s="14"/>
      <c r="AR1023" s="14"/>
      <c r="AS1023" s="14"/>
      <c r="AT1023" s="14"/>
      <c r="AU1023" s="14"/>
      <c r="AV1023" s="14"/>
      <c r="AW1023" s="14"/>
      <c r="AX1023" s="14"/>
      <c r="AY1023" s="14"/>
      <c r="AZ1023" s="14"/>
      <c r="BA1023" s="14"/>
      <c r="BB1023" s="14"/>
      <c r="BC1023" s="14"/>
      <c r="BD1023" s="14"/>
      <c r="BE1023" s="14"/>
      <c r="BF1023" s="14"/>
      <c r="BG1023" s="14"/>
      <c r="BH1023" s="14"/>
      <c r="BI1023" s="14"/>
      <c r="BJ1023" s="14"/>
      <c r="BK1023" s="14"/>
      <c r="BL1023" s="14"/>
      <c r="BM1023" s="14"/>
      <c r="BN1023" s="14"/>
      <c r="BO1023" s="14"/>
      <c r="BP1023" s="14"/>
      <c r="BQ1023" s="14"/>
      <c r="BR1023" s="14"/>
      <c r="BS1023" s="14"/>
      <c r="BT1023" s="14"/>
      <c r="BU1023" s="14"/>
      <c r="BV1023" s="14"/>
      <c r="BW1023" s="14"/>
      <c r="BX1023" s="14"/>
      <c r="BY1023" s="14"/>
      <c r="BZ1023" s="14"/>
      <c r="CA1023" s="14"/>
      <c r="CB1023" s="14"/>
      <c r="CC1023" s="14"/>
      <c r="CD1023" s="14"/>
      <c r="CE1023" s="14"/>
      <c r="CF1023" s="14"/>
      <c r="CG1023" s="14"/>
      <c r="CH1023" s="14"/>
      <c r="CI1023" s="14"/>
      <c r="CJ1023" s="14"/>
      <c r="CK1023" s="14"/>
      <c r="CL1023" s="14"/>
      <c r="CT1023" s="14"/>
      <c r="CW1023" s="3"/>
      <c r="DG1023" s="4"/>
    </row>
    <row r="1024" customFormat="false" ht="11.25" hidden="false" customHeight="true" outlineLevel="0" collapsed="false">
      <c r="A1024" s="14"/>
      <c r="B1024" s="15"/>
      <c r="C1024" s="15"/>
      <c r="D1024" s="14"/>
      <c r="E1024" s="14"/>
      <c r="F1024" s="14"/>
      <c r="G1024" s="14"/>
      <c r="H1024" s="15"/>
      <c r="I1024" s="15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  <c r="AA1024" s="14"/>
      <c r="AB1024" s="14"/>
      <c r="AC1024" s="14"/>
      <c r="AD1024" s="14"/>
      <c r="AE1024" s="14"/>
      <c r="AF1024" s="14"/>
      <c r="AG1024" s="14"/>
      <c r="AH1024" s="14"/>
      <c r="AI1024" s="14"/>
      <c r="AJ1024" s="14"/>
      <c r="AK1024" s="14"/>
      <c r="AL1024" s="14"/>
      <c r="AM1024" s="14"/>
      <c r="AN1024" s="14"/>
      <c r="AO1024" s="14"/>
      <c r="AP1024" s="14"/>
      <c r="AQ1024" s="14"/>
      <c r="AR1024" s="14"/>
      <c r="AS1024" s="14"/>
      <c r="AT1024" s="14"/>
      <c r="AU1024" s="14"/>
      <c r="AV1024" s="14"/>
      <c r="AW1024" s="14"/>
      <c r="AX1024" s="14"/>
      <c r="AY1024" s="14"/>
      <c r="AZ1024" s="14"/>
      <c r="BA1024" s="14"/>
      <c r="BB1024" s="14"/>
      <c r="BC1024" s="14"/>
      <c r="BD1024" s="14"/>
      <c r="BE1024" s="14"/>
      <c r="BF1024" s="14"/>
      <c r="BG1024" s="14"/>
      <c r="BH1024" s="14"/>
      <c r="BI1024" s="14"/>
      <c r="BJ1024" s="14"/>
      <c r="BK1024" s="14"/>
      <c r="BL1024" s="14"/>
      <c r="BM1024" s="14"/>
      <c r="BN1024" s="14"/>
      <c r="BO1024" s="14"/>
      <c r="BP1024" s="14"/>
      <c r="BQ1024" s="14"/>
      <c r="BR1024" s="14"/>
      <c r="BS1024" s="14"/>
      <c r="BT1024" s="14"/>
      <c r="BU1024" s="14"/>
      <c r="BV1024" s="14"/>
      <c r="BW1024" s="14"/>
      <c r="BX1024" s="14"/>
      <c r="BY1024" s="14"/>
      <c r="BZ1024" s="14"/>
      <c r="CA1024" s="14"/>
      <c r="CB1024" s="14"/>
      <c r="CC1024" s="14"/>
      <c r="CD1024" s="14"/>
      <c r="CE1024" s="14"/>
      <c r="CF1024" s="14"/>
      <c r="CG1024" s="14"/>
      <c r="CH1024" s="14"/>
      <c r="CI1024" s="14"/>
      <c r="CJ1024" s="14"/>
      <c r="CK1024" s="14"/>
      <c r="CL1024" s="14"/>
      <c r="CT1024" s="14"/>
      <c r="CW1024" s="3"/>
      <c r="DG1024" s="4"/>
    </row>
    <row r="1025" customFormat="false" ht="11.25" hidden="false" customHeight="true" outlineLevel="0" collapsed="false">
      <c r="A1025" s="14"/>
      <c r="B1025" s="15"/>
      <c r="C1025" s="15"/>
      <c r="D1025" s="14"/>
      <c r="E1025" s="14"/>
      <c r="F1025" s="14"/>
      <c r="G1025" s="14"/>
      <c r="H1025" s="15"/>
      <c r="I1025" s="15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  <c r="AA1025" s="14"/>
      <c r="AB1025" s="14"/>
      <c r="AC1025" s="14"/>
      <c r="AD1025" s="14"/>
      <c r="AE1025" s="14"/>
      <c r="AF1025" s="14"/>
      <c r="AG1025" s="14"/>
      <c r="AH1025" s="14"/>
      <c r="AI1025" s="14"/>
      <c r="AJ1025" s="14"/>
      <c r="AK1025" s="14"/>
      <c r="AL1025" s="14"/>
      <c r="AM1025" s="14"/>
      <c r="AN1025" s="14"/>
      <c r="AO1025" s="14"/>
      <c r="AP1025" s="14"/>
      <c r="AQ1025" s="14"/>
      <c r="AR1025" s="14"/>
      <c r="AS1025" s="14"/>
      <c r="AT1025" s="14"/>
      <c r="AU1025" s="14"/>
      <c r="AV1025" s="14"/>
      <c r="AW1025" s="14"/>
      <c r="AX1025" s="14"/>
      <c r="AY1025" s="14"/>
      <c r="AZ1025" s="14"/>
      <c r="BA1025" s="14"/>
      <c r="BB1025" s="14"/>
      <c r="BC1025" s="14"/>
      <c r="BD1025" s="14"/>
      <c r="BE1025" s="14"/>
      <c r="BF1025" s="14"/>
      <c r="BG1025" s="14"/>
      <c r="BH1025" s="14"/>
      <c r="BI1025" s="14"/>
      <c r="BJ1025" s="14"/>
      <c r="BK1025" s="14"/>
      <c r="BL1025" s="14"/>
      <c r="BM1025" s="14"/>
      <c r="BN1025" s="14"/>
      <c r="BO1025" s="14"/>
      <c r="BP1025" s="14"/>
      <c r="BQ1025" s="14"/>
      <c r="BR1025" s="14"/>
      <c r="BS1025" s="14"/>
      <c r="BT1025" s="14"/>
      <c r="BU1025" s="14"/>
      <c r="BV1025" s="14"/>
      <c r="BW1025" s="14"/>
      <c r="BX1025" s="14"/>
      <c r="BY1025" s="14"/>
      <c r="BZ1025" s="14"/>
      <c r="CA1025" s="14"/>
      <c r="CB1025" s="14"/>
      <c r="CC1025" s="14"/>
      <c r="CD1025" s="14"/>
      <c r="CE1025" s="14"/>
      <c r="CF1025" s="14"/>
      <c r="CG1025" s="14"/>
      <c r="CH1025" s="14"/>
      <c r="CI1025" s="14"/>
      <c r="CJ1025" s="14"/>
      <c r="CK1025" s="14"/>
      <c r="CL1025" s="14"/>
      <c r="CT1025" s="14"/>
      <c r="CW1025" s="3"/>
      <c r="DG1025" s="4"/>
    </row>
    <row r="1026" customFormat="false" ht="11.25" hidden="false" customHeight="true" outlineLevel="0" collapsed="false">
      <c r="A1026" s="14"/>
      <c r="B1026" s="15"/>
      <c r="C1026" s="15"/>
      <c r="D1026" s="14"/>
      <c r="E1026" s="14"/>
      <c r="F1026" s="14"/>
      <c r="G1026" s="14"/>
      <c r="H1026" s="15"/>
      <c r="I1026" s="15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  <c r="AA1026" s="14"/>
      <c r="AB1026" s="14"/>
      <c r="AC1026" s="14"/>
      <c r="AD1026" s="14"/>
      <c r="AE1026" s="14"/>
      <c r="AF1026" s="14"/>
      <c r="AG1026" s="14"/>
      <c r="AH1026" s="14"/>
      <c r="AI1026" s="14"/>
      <c r="AJ1026" s="14"/>
      <c r="AK1026" s="14"/>
      <c r="AL1026" s="14"/>
      <c r="AM1026" s="14"/>
      <c r="AN1026" s="14"/>
      <c r="AO1026" s="14"/>
      <c r="AP1026" s="14"/>
      <c r="AQ1026" s="14"/>
      <c r="AR1026" s="14"/>
      <c r="AS1026" s="14"/>
      <c r="AT1026" s="14"/>
      <c r="AU1026" s="14"/>
      <c r="AV1026" s="14"/>
      <c r="AW1026" s="14"/>
      <c r="AX1026" s="14"/>
      <c r="AY1026" s="14"/>
      <c r="AZ1026" s="14"/>
      <c r="BA1026" s="14"/>
      <c r="BB1026" s="14"/>
      <c r="BC1026" s="14"/>
      <c r="BD1026" s="14"/>
      <c r="BE1026" s="14"/>
      <c r="BF1026" s="14"/>
      <c r="BG1026" s="14"/>
      <c r="BH1026" s="14"/>
      <c r="BI1026" s="14"/>
      <c r="BJ1026" s="14"/>
      <c r="BK1026" s="14"/>
      <c r="BL1026" s="14"/>
      <c r="BM1026" s="14"/>
      <c r="BN1026" s="14"/>
      <c r="BO1026" s="14"/>
      <c r="BP1026" s="14"/>
      <c r="BQ1026" s="14"/>
      <c r="BR1026" s="14"/>
      <c r="BS1026" s="14"/>
      <c r="BT1026" s="14"/>
      <c r="BU1026" s="14"/>
      <c r="BV1026" s="14"/>
      <c r="BW1026" s="14"/>
      <c r="BX1026" s="14"/>
      <c r="BY1026" s="14"/>
      <c r="BZ1026" s="14"/>
      <c r="CA1026" s="14"/>
      <c r="CB1026" s="14"/>
      <c r="CC1026" s="14"/>
      <c r="CD1026" s="14"/>
      <c r="CE1026" s="14"/>
      <c r="CF1026" s="14"/>
      <c r="CG1026" s="14"/>
      <c r="CH1026" s="14"/>
      <c r="CI1026" s="14"/>
      <c r="CJ1026" s="14"/>
      <c r="CK1026" s="14"/>
      <c r="CL1026" s="14"/>
      <c r="CT1026" s="14"/>
      <c r="CW1026" s="3"/>
      <c r="DG1026" s="4"/>
    </row>
    <row r="1027" customFormat="false" ht="11.25" hidden="false" customHeight="true" outlineLevel="0" collapsed="false">
      <c r="A1027" s="14"/>
      <c r="B1027" s="15"/>
      <c r="C1027" s="15"/>
      <c r="D1027" s="14"/>
      <c r="E1027" s="14"/>
      <c r="F1027" s="14"/>
      <c r="G1027" s="14"/>
      <c r="H1027" s="15"/>
      <c r="I1027" s="15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  <c r="AA1027" s="14"/>
      <c r="AB1027" s="14"/>
      <c r="AC1027" s="14"/>
      <c r="AD1027" s="14"/>
      <c r="AE1027" s="14"/>
      <c r="AF1027" s="14"/>
      <c r="AG1027" s="14"/>
      <c r="AH1027" s="14"/>
      <c r="AI1027" s="14"/>
      <c r="AJ1027" s="14"/>
      <c r="AK1027" s="14"/>
      <c r="AL1027" s="14"/>
      <c r="AM1027" s="14"/>
      <c r="AN1027" s="14"/>
      <c r="AO1027" s="14"/>
      <c r="AP1027" s="14"/>
      <c r="AQ1027" s="14"/>
      <c r="AR1027" s="14"/>
      <c r="AS1027" s="14"/>
      <c r="AT1027" s="14"/>
      <c r="AU1027" s="14"/>
      <c r="AV1027" s="14"/>
      <c r="AW1027" s="14"/>
      <c r="AX1027" s="14"/>
      <c r="AY1027" s="14"/>
      <c r="AZ1027" s="14"/>
      <c r="BA1027" s="14"/>
      <c r="BB1027" s="14"/>
      <c r="BC1027" s="14"/>
      <c r="BD1027" s="14"/>
      <c r="BE1027" s="14"/>
      <c r="BF1027" s="14"/>
      <c r="BG1027" s="14"/>
      <c r="BH1027" s="14"/>
      <c r="BI1027" s="14"/>
      <c r="BJ1027" s="14"/>
      <c r="BK1027" s="14"/>
      <c r="BL1027" s="14"/>
      <c r="BM1027" s="14"/>
      <c r="BN1027" s="14"/>
      <c r="BO1027" s="14"/>
      <c r="BP1027" s="14"/>
      <c r="BQ1027" s="14"/>
      <c r="BR1027" s="14"/>
      <c r="BS1027" s="14"/>
      <c r="BT1027" s="14"/>
      <c r="BU1027" s="14"/>
      <c r="BV1027" s="14"/>
      <c r="BW1027" s="14"/>
      <c r="BX1027" s="14"/>
      <c r="BY1027" s="14"/>
      <c r="BZ1027" s="14"/>
      <c r="CA1027" s="14"/>
      <c r="CB1027" s="14"/>
      <c r="CC1027" s="14"/>
      <c r="CD1027" s="14"/>
      <c r="CE1027" s="14"/>
      <c r="CF1027" s="14"/>
      <c r="CG1027" s="14"/>
      <c r="CH1027" s="14"/>
      <c r="CI1027" s="14"/>
      <c r="CJ1027" s="14"/>
      <c r="CK1027" s="14"/>
      <c r="CL1027" s="14"/>
      <c r="CT1027" s="14"/>
      <c r="CW1027" s="3"/>
      <c r="DG1027" s="4"/>
    </row>
    <row r="1028" customFormat="false" ht="11.25" hidden="false" customHeight="true" outlineLevel="0" collapsed="false">
      <c r="A1028" s="14"/>
      <c r="B1028" s="15"/>
      <c r="C1028" s="15"/>
      <c r="D1028" s="14"/>
      <c r="E1028" s="14"/>
      <c r="F1028" s="14"/>
      <c r="G1028" s="14"/>
      <c r="H1028" s="15"/>
      <c r="I1028" s="15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  <c r="AA1028" s="14"/>
      <c r="AB1028" s="14"/>
      <c r="AC1028" s="14"/>
      <c r="AD1028" s="14"/>
      <c r="AE1028" s="14"/>
      <c r="AF1028" s="14"/>
      <c r="AG1028" s="14"/>
      <c r="AH1028" s="14"/>
      <c r="AI1028" s="14"/>
      <c r="AJ1028" s="14"/>
      <c r="AK1028" s="14"/>
      <c r="AL1028" s="14"/>
      <c r="AM1028" s="14"/>
      <c r="AN1028" s="14"/>
      <c r="AO1028" s="14"/>
      <c r="AP1028" s="14"/>
      <c r="AQ1028" s="14"/>
      <c r="AR1028" s="14"/>
      <c r="AS1028" s="14"/>
      <c r="AT1028" s="14"/>
      <c r="AU1028" s="14"/>
      <c r="AV1028" s="14"/>
      <c r="AW1028" s="14"/>
      <c r="AX1028" s="14"/>
      <c r="AY1028" s="14"/>
      <c r="AZ1028" s="14"/>
      <c r="BA1028" s="14"/>
      <c r="BB1028" s="14"/>
      <c r="BC1028" s="14"/>
      <c r="BD1028" s="14"/>
      <c r="BE1028" s="14"/>
      <c r="BF1028" s="14"/>
      <c r="BG1028" s="14"/>
      <c r="BH1028" s="14"/>
      <c r="BI1028" s="14"/>
      <c r="BJ1028" s="14"/>
      <c r="BK1028" s="14"/>
      <c r="BL1028" s="14"/>
      <c r="BM1028" s="14"/>
      <c r="BN1028" s="14"/>
      <c r="BO1028" s="14"/>
      <c r="BP1028" s="14"/>
      <c r="BQ1028" s="14"/>
      <c r="BR1028" s="14"/>
      <c r="BS1028" s="14"/>
      <c r="BT1028" s="14"/>
      <c r="BU1028" s="14"/>
      <c r="BV1028" s="14"/>
      <c r="BW1028" s="14"/>
      <c r="BX1028" s="14"/>
      <c r="BY1028" s="14"/>
      <c r="BZ1028" s="14"/>
      <c r="CA1028" s="14"/>
      <c r="CB1028" s="14"/>
      <c r="CC1028" s="14"/>
      <c r="CD1028" s="14"/>
      <c r="CE1028" s="14"/>
      <c r="CF1028" s="14"/>
      <c r="CG1028" s="14"/>
      <c r="CH1028" s="14"/>
      <c r="CI1028" s="14"/>
      <c r="CJ1028" s="14"/>
      <c r="CK1028" s="14"/>
      <c r="CL1028" s="14"/>
      <c r="CT1028" s="14"/>
      <c r="CW1028" s="3"/>
      <c r="DG1028" s="4"/>
    </row>
    <row r="1029" customFormat="false" ht="11.25" hidden="false" customHeight="true" outlineLevel="0" collapsed="false">
      <c r="A1029" s="14"/>
      <c r="B1029" s="15"/>
      <c r="C1029" s="15"/>
      <c r="D1029" s="14"/>
      <c r="E1029" s="14"/>
      <c r="F1029" s="14"/>
      <c r="G1029" s="14"/>
      <c r="H1029" s="15"/>
      <c r="I1029" s="15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  <c r="AA1029" s="14"/>
      <c r="AB1029" s="14"/>
      <c r="AC1029" s="14"/>
      <c r="AD1029" s="14"/>
      <c r="AE1029" s="14"/>
      <c r="AF1029" s="14"/>
      <c r="AG1029" s="14"/>
      <c r="AH1029" s="14"/>
      <c r="AI1029" s="14"/>
      <c r="AJ1029" s="14"/>
      <c r="AK1029" s="14"/>
      <c r="AL1029" s="14"/>
      <c r="AM1029" s="14"/>
      <c r="AN1029" s="14"/>
      <c r="AO1029" s="14"/>
      <c r="AP1029" s="14"/>
      <c r="AQ1029" s="14"/>
      <c r="AR1029" s="14"/>
      <c r="AS1029" s="14"/>
      <c r="AT1029" s="14"/>
      <c r="AU1029" s="14"/>
      <c r="AV1029" s="14"/>
      <c r="AW1029" s="14"/>
      <c r="AX1029" s="14"/>
      <c r="AY1029" s="14"/>
      <c r="AZ1029" s="14"/>
      <c r="BA1029" s="14"/>
      <c r="BB1029" s="14"/>
      <c r="BC1029" s="14"/>
      <c r="BD1029" s="14"/>
      <c r="BE1029" s="14"/>
      <c r="BF1029" s="14"/>
      <c r="BG1029" s="14"/>
      <c r="BH1029" s="14"/>
      <c r="BI1029" s="14"/>
      <c r="BJ1029" s="14"/>
      <c r="BK1029" s="14"/>
      <c r="BL1029" s="14"/>
      <c r="BM1029" s="14"/>
      <c r="BN1029" s="14"/>
      <c r="BO1029" s="14"/>
      <c r="BP1029" s="14"/>
      <c r="BQ1029" s="14"/>
      <c r="BR1029" s="14"/>
      <c r="BS1029" s="14"/>
      <c r="BT1029" s="14"/>
      <c r="BU1029" s="14"/>
      <c r="BV1029" s="14"/>
      <c r="BW1029" s="14"/>
      <c r="BX1029" s="14"/>
      <c r="BY1029" s="14"/>
      <c r="BZ1029" s="14"/>
      <c r="CA1029" s="14"/>
      <c r="CB1029" s="14"/>
      <c r="CC1029" s="14"/>
      <c r="CD1029" s="14"/>
      <c r="CE1029" s="14"/>
      <c r="CF1029" s="14"/>
      <c r="CG1029" s="14"/>
      <c r="CH1029" s="14"/>
      <c r="CI1029" s="14"/>
      <c r="CJ1029" s="14"/>
      <c r="CK1029" s="14"/>
      <c r="CL1029" s="14"/>
      <c r="CT1029" s="14"/>
      <c r="CW1029" s="3"/>
      <c r="DG1029" s="4"/>
    </row>
    <row r="1030" customFormat="false" ht="11.25" hidden="false" customHeight="true" outlineLevel="0" collapsed="false">
      <c r="A1030" s="14"/>
      <c r="B1030" s="15"/>
      <c r="C1030" s="15"/>
      <c r="D1030" s="14"/>
      <c r="E1030" s="14"/>
      <c r="F1030" s="14"/>
      <c r="G1030" s="14"/>
      <c r="H1030" s="15"/>
      <c r="I1030" s="15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  <c r="AA1030" s="14"/>
      <c r="AB1030" s="14"/>
      <c r="AC1030" s="14"/>
      <c r="AD1030" s="14"/>
      <c r="AE1030" s="14"/>
      <c r="AF1030" s="14"/>
      <c r="AG1030" s="14"/>
      <c r="AH1030" s="14"/>
      <c r="AI1030" s="14"/>
      <c r="AJ1030" s="14"/>
      <c r="AK1030" s="14"/>
      <c r="AL1030" s="14"/>
      <c r="AM1030" s="14"/>
      <c r="AN1030" s="14"/>
      <c r="AO1030" s="14"/>
      <c r="AP1030" s="14"/>
      <c r="AQ1030" s="14"/>
      <c r="AR1030" s="14"/>
      <c r="AS1030" s="14"/>
      <c r="AT1030" s="14"/>
      <c r="AU1030" s="14"/>
      <c r="AV1030" s="14"/>
      <c r="AW1030" s="14"/>
      <c r="AX1030" s="14"/>
      <c r="AY1030" s="14"/>
      <c r="AZ1030" s="14"/>
      <c r="BA1030" s="14"/>
      <c r="BB1030" s="14"/>
      <c r="BC1030" s="14"/>
      <c r="BD1030" s="14"/>
      <c r="BE1030" s="14"/>
      <c r="BF1030" s="14"/>
      <c r="BG1030" s="14"/>
      <c r="BH1030" s="14"/>
      <c r="BI1030" s="14"/>
      <c r="BJ1030" s="14"/>
      <c r="BK1030" s="14"/>
      <c r="BL1030" s="14"/>
      <c r="BM1030" s="14"/>
      <c r="BN1030" s="14"/>
      <c r="BO1030" s="14"/>
      <c r="BP1030" s="14"/>
      <c r="BQ1030" s="14"/>
      <c r="BR1030" s="14"/>
      <c r="BS1030" s="14"/>
      <c r="BT1030" s="14"/>
      <c r="BU1030" s="14"/>
      <c r="BV1030" s="14"/>
      <c r="BW1030" s="14"/>
      <c r="BX1030" s="14"/>
      <c r="BY1030" s="14"/>
      <c r="BZ1030" s="14"/>
      <c r="CA1030" s="14"/>
      <c r="CB1030" s="14"/>
      <c r="CC1030" s="14"/>
      <c r="CD1030" s="14"/>
      <c r="CE1030" s="14"/>
      <c r="CF1030" s="14"/>
      <c r="CG1030" s="14"/>
      <c r="CH1030" s="14"/>
      <c r="CI1030" s="14"/>
      <c r="CJ1030" s="14"/>
      <c r="CK1030" s="14"/>
      <c r="CL1030" s="14"/>
      <c r="CT1030" s="14"/>
      <c r="CW1030" s="3"/>
      <c r="DG1030" s="4"/>
    </row>
    <row r="1031" customFormat="false" ht="11.25" hidden="false" customHeight="true" outlineLevel="0" collapsed="false">
      <c r="A1031" s="14"/>
      <c r="B1031" s="15"/>
      <c r="C1031" s="15"/>
      <c r="D1031" s="14"/>
      <c r="E1031" s="14"/>
      <c r="F1031" s="14"/>
      <c r="G1031" s="14"/>
      <c r="H1031" s="15"/>
      <c r="I1031" s="15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  <c r="AA1031" s="14"/>
      <c r="AB1031" s="14"/>
      <c r="AC1031" s="14"/>
      <c r="AD1031" s="14"/>
      <c r="AE1031" s="14"/>
      <c r="AF1031" s="14"/>
      <c r="AG1031" s="14"/>
      <c r="AH1031" s="14"/>
      <c r="AI1031" s="14"/>
      <c r="AJ1031" s="14"/>
      <c r="AK1031" s="14"/>
      <c r="AL1031" s="14"/>
      <c r="AM1031" s="14"/>
      <c r="AN1031" s="14"/>
      <c r="AO1031" s="14"/>
      <c r="AP1031" s="14"/>
      <c r="AQ1031" s="14"/>
      <c r="AR1031" s="14"/>
      <c r="AS1031" s="14"/>
      <c r="AT1031" s="14"/>
      <c r="AU1031" s="14"/>
      <c r="AV1031" s="14"/>
      <c r="AW1031" s="14"/>
      <c r="AX1031" s="14"/>
      <c r="AY1031" s="14"/>
      <c r="AZ1031" s="14"/>
      <c r="BA1031" s="14"/>
      <c r="BB1031" s="14"/>
      <c r="BC1031" s="14"/>
      <c r="BD1031" s="14"/>
      <c r="BE1031" s="14"/>
      <c r="BF1031" s="14"/>
      <c r="BG1031" s="14"/>
      <c r="BH1031" s="14"/>
      <c r="BI1031" s="14"/>
      <c r="BJ1031" s="14"/>
      <c r="BK1031" s="14"/>
      <c r="BL1031" s="14"/>
      <c r="BM1031" s="14"/>
      <c r="BN1031" s="14"/>
      <c r="BO1031" s="14"/>
      <c r="BP1031" s="14"/>
      <c r="BQ1031" s="14"/>
      <c r="BR1031" s="14"/>
      <c r="BS1031" s="14"/>
      <c r="BT1031" s="14"/>
      <c r="BU1031" s="14"/>
      <c r="BV1031" s="14"/>
      <c r="BW1031" s="14"/>
      <c r="BX1031" s="14"/>
      <c r="BY1031" s="14"/>
      <c r="BZ1031" s="14"/>
      <c r="CA1031" s="14"/>
      <c r="CB1031" s="14"/>
      <c r="CC1031" s="14"/>
      <c r="CD1031" s="14"/>
      <c r="CE1031" s="14"/>
      <c r="CF1031" s="14"/>
      <c r="CG1031" s="14"/>
      <c r="CH1031" s="14"/>
      <c r="CI1031" s="14"/>
      <c r="CJ1031" s="14"/>
      <c r="CK1031" s="14"/>
      <c r="CL1031" s="14"/>
      <c r="CT1031" s="14"/>
      <c r="CW1031" s="3"/>
      <c r="DG1031" s="4"/>
    </row>
    <row r="1032" customFormat="false" ht="11.25" hidden="false" customHeight="true" outlineLevel="0" collapsed="false">
      <c r="A1032" s="14"/>
      <c r="B1032" s="15"/>
      <c r="C1032" s="15"/>
      <c r="D1032" s="14"/>
      <c r="E1032" s="14"/>
      <c r="F1032" s="14"/>
      <c r="G1032" s="14"/>
      <c r="H1032" s="15"/>
      <c r="I1032" s="15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  <c r="AA1032" s="14"/>
      <c r="AB1032" s="14"/>
      <c r="AC1032" s="14"/>
      <c r="AD1032" s="14"/>
      <c r="AE1032" s="14"/>
      <c r="AF1032" s="14"/>
      <c r="AG1032" s="14"/>
      <c r="AH1032" s="14"/>
      <c r="AI1032" s="14"/>
      <c r="AJ1032" s="14"/>
      <c r="AK1032" s="14"/>
      <c r="AL1032" s="14"/>
      <c r="AM1032" s="14"/>
      <c r="AN1032" s="14"/>
      <c r="AO1032" s="14"/>
      <c r="AP1032" s="14"/>
      <c r="AQ1032" s="14"/>
      <c r="AR1032" s="14"/>
      <c r="AS1032" s="14"/>
      <c r="AT1032" s="14"/>
      <c r="AU1032" s="14"/>
      <c r="AV1032" s="14"/>
      <c r="AW1032" s="14"/>
      <c r="AX1032" s="14"/>
      <c r="AY1032" s="14"/>
      <c r="AZ1032" s="14"/>
      <c r="BA1032" s="14"/>
      <c r="BB1032" s="14"/>
      <c r="BC1032" s="14"/>
      <c r="BD1032" s="14"/>
      <c r="BE1032" s="14"/>
      <c r="BF1032" s="14"/>
      <c r="BG1032" s="14"/>
      <c r="BH1032" s="14"/>
      <c r="BI1032" s="14"/>
      <c r="BJ1032" s="14"/>
      <c r="BK1032" s="14"/>
      <c r="BL1032" s="14"/>
      <c r="BM1032" s="14"/>
      <c r="BN1032" s="14"/>
      <c r="BO1032" s="14"/>
      <c r="BP1032" s="14"/>
      <c r="BQ1032" s="14"/>
      <c r="BR1032" s="14"/>
      <c r="BS1032" s="14"/>
      <c r="BT1032" s="14"/>
      <c r="BU1032" s="14"/>
      <c r="BV1032" s="14"/>
      <c r="BW1032" s="14"/>
      <c r="BX1032" s="14"/>
      <c r="BY1032" s="14"/>
      <c r="BZ1032" s="14"/>
      <c r="CA1032" s="14"/>
      <c r="CB1032" s="14"/>
      <c r="CC1032" s="14"/>
      <c r="CD1032" s="14"/>
      <c r="CE1032" s="14"/>
      <c r="CF1032" s="14"/>
      <c r="CG1032" s="14"/>
      <c r="CH1032" s="14"/>
      <c r="CI1032" s="14"/>
      <c r="CJ1032" s="14"/>
      <c r="CK1032" s="14"/>
      <c r="CL1032" s="14"/>
      <c r="CT1032" s="14"/>
      <c r="CW1032" s="3"/>
      <c r="DG1032" s="4"/>
    </row>
    <row r="1033" customFormat="false" ht="11.25" hidden="false" customHeight="true" outlineLevel="0" collapsed="false">
      <c r="A1033" s="14"/>
      <c r="B1033" s="15"/>
      <c r="C1033" s="15"/>
      <c r="D1033" s="14"/>
      <c r="E1033" s="14"/>
      <c r="F1033" s="14"/>
      <c r="G1033" s="14"/>
      <c r="H1033" s="15"/>
      <c r="I1033" s="15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  <c r="AA1033" s="14"/>
      <c r="AB1033" s="14"/>
      <c r="AC1033" s="14"/>
      <c r="AD1033" s="14"/>
      <c r="AE1033" s="14"/>
      <c r="AF1033" s="14"/>
      <c r="AG1033" s="14"/>
      <c r="AH1033" s="14"/>
      <c r="AI1033" s="14"/>
      <c r="AJ1033" s="14"/>
      <c r="AK1033" s="14"/>
      <c r="AL1033" s="14"/>
      <c r="AM1033" s="14"/>
      <c r="AN1033" s="14"/>
      <c r="AO1033" s="14"/>
      <c r="AP1033" s="14"/>
      <c r="AQ1033" s="14"/>
      <c r="AR1033" s="14"/>
      <c r="AS1033" s="14"/>
      <c r="AT1033" s="14"/>
      <c r="AU1033" s="14"/>
      <c r="AV1033" s="14"/>
      <c r="AW1033" s="14"/>
      <c r="AX1033" s="14"/>
      <c r="AY1033" s="14"/>
      <c r="AZ1033" s="14"/>
      <c r="BA1033" s="14"/>
      <c r="BB1033" s="14"/>
      <c r="BC1033" s="14"/>
      <c r="BD1033" s="14"/>
      <c r="BE1033" s="14"/>
      <c r="BF1033" s="14"/>
      <c r="BG1033" s="14"/>
      <c r="BH1033" s="14"/>
      <c r="BI1033" s="14"/>
      <c r="BJ1033" s="14"/>
      <c r="BK1033" s="14"/>
      <c r="BL1033" s="14"/>
      <c r="BM1033" s="14"/>
      <c r="BN1033" s="14"/>
      <c r="BO1033" s="14"/>
      <c r="BP1033" s="14"/>
      <c r="BQ1033" s="14"/>
      <c r="BR1033" s="14"/>
      <c r="BS1033" s="14"/>
      <c r="BT1033" s="14"/>
      <c r="BU1033" s="14"/>
      <c r="BV1033" s="14"/>
      <c r="BW1033" s="14"/>
      <c r="BX1033" s="14"/>
      <c r="BY1033" s="14"/>
      <c r="BZ1033" s="14"/>
      <c r="CA1033" s="14"/>
      <c r="CB1033" s="14"/>
      <c r="CC1033" s="14"/>
      <c r="CD1033" s="14"/>
      <c r="CE1033" s="14"/>
      <c r="CF1033" s="14"/>
      <c r="CG1033" s="14"/>
      <c r="CH1033" s="14"/>
      <c r="CI1033" s="14"/>
      <c r="CJ1033" s="14"/>
      <c r="CK1033" s="14"/>
      <c r="CL1033" s="14"/>
      <c r="CT1033" s="14"/>
      <c r="CW1033" s="3"/>
      <c r="DG1033" s="4"/>
    </row>
    <row r="1034" customFormat="false" ht="11.25" hidden="false" customHeight="true" outlineLevel="0" collapsed="false">
      <c r="A1034" s="14"/>
      <c r="B1034" s="15"/>
      <c r="C1034" s="15"/>
      <c r="D1034" s="14"/>
      <c r="E1034" s="14"/>
      <c r="F1034" s="14"/>
      <c r="G1034" s="14"/>
      <c r="H1034" s="15"/>
      <c r="I1034" s="15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  <c r="AA1034" s="14"/>
      <c r="AB1034" s="14"/>
      <c r="AC1034" s="14"/>
      <c r="AD1034" s="14"/>
      <c r="AE1034" s="14"/>
      <c r="AF1034" s="14"/>
      <c r="AG1034" s="14"/>
      <c r="AH1034" s="14"/>
      <c r="AI1034" s="14"/>
      <c r="AJ1034" s="14"/>
      <c r="AK1034" s="14"/>
      <c r="AL1034" s="14"/>
      <c r="AM1034" s="14"/>
      <c r="AN1034" s="14"/>
      <c r="AO1034" s="14"/>
      <c r="AP1034" s="14"/>
      <c r="AQ1034" s="14"/>
      <c r="AR1034" s="14"/>
      <c r="AS1034" s="14"/>
      <c r="AT1034" s="14"/>
      <c r="AU1034" s="14"/>
      <c r="AV1034" s="14"/>
      <c r="AW1034" s="14"/>
      <c r="AX1034" s="14"/>
      <c r="AY1034" s="14"/>
      <c r="AZ1034" s="14"/>
      <c r="BA1034" s="14"/>
      <c r="BB1034" s="14"/>
      <c r="BC1034" s="14"/>
      <c r="BD1034" s="14"/>
      <c r="BE1034" s="14"/>
      <c r="BF1034" s="14"/>
      <c r="BG1034" s="14"/>
      <c r="BH1034" s="14"/>
      <c r="BI1034" s="14"/>
      <c r="BJ1034" s="14"/>
      <c r="BK1034" s="14"/>
      <c r="BL1034" s="14"/>
      <c r="BM1034" s="14"/>
      <c r="BN1034" s="14"/>
      <c r="BO1034" s="14"/>
      <c r="BP1034" s="14"/>
      <c r="BQ1034" s="14"/>
      <c r="BR1034" s="14"/>
      <c r="BS1034" s="14"/>
      <c r="BT1034" s="14"/>
      <c r="BU1034" s="14"/>
      <c r="BV1034" s="14"/>
      <c r="BW1034" s="14"/>
      <c r="BX1034" s="14"/>
      <c r="BY1034" s="14"/>
      <c r="BZ1034" s="14"/>
      <c r="CA1034" s="14"/>
      <c r="CB1034" s="14"/>
      <c r="CC1034" s="14"/>
      <c r="CD1034" s="14"/>
      <c r="CE1034" s="14"/>
      <c r="CF1034" s="14"/>
      <c r="CG1034" s="14"/>
      <c r="CH1034" s="14"/>
      <c r="CI1034" s="14"/>
      <c r="CJ1034" s="14"/>
      <c r="CK1034" s="14"/>
      <c r="CL1034" s="14"/>
      <c r="CT1034" s="14"/>
      <c r="CW1034" s="3"/>
      <c r="DG1034" s="4"/>
    </row>
    <row r="1035" customFormat="false" ht="11.25" hidden="false" customHeight="true" outlineLevel="0" collapsed="false">
      <c r="A1035" s="14"/>
      <c r="B1035" s="15"/>
      <c r="C1035" s="15"/>
      <c r="D1035" s="14"/>
      <c r="E1035" s="14"/>
      <c r="F1035" s="14"/>
      <c r="G1035" s="14"/>
      <c r="H1035" s="15"/>
      <c r="I1035" s="15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  <c r="AA1035" s="14"/>
      <c r="AB1035" s="14"/>
      <c r="AC1035" s="14"/>
      <c r="AD1035" s="14"/>
      <c r="AE1035" s="14"/>
      <c r="AF1035" s="14"/>
      <c r="AG1035" s="14"/>
      <c r="AH1035" s="14"/>
      <c r="AI1035" s="14"/>
      <c r="AJ1035" s="14"/>
      <c r="AK1035" s="14"/>
      <c r="AL1035" s="14"/>
      <c r="AM1035" s="14"/>
      <c r="AN1035" s="14"/>
      <c r="AO1035" s="14"/>
      <c r="AP1035" s="14"/>
      <c r="AQ1035" s="14"/>
      <c r="AR1035" s="14"/>
      <c r="AS1035" s="14"/>
      <c r="AT1035" s="14"/>
      <c r="AU1035" s="14"/>
      <c r="AV1035" s="14"/>
      <c r="AW1035" s="14"/>
      <c r="AX1035" s="14"/>
      <c r="AY1035" s="14"/>
      <c r="AZ1035" s="14"/>
      <c r="BA1035" s="14"/>
      <c r="BB1035" s="14"/>
      <c r="BC1035" s="14"/>
      <c r="BD1035" s="14"/>
      <c r="BE1035" s="14"/>
      <c r="BF1035" s="14"/>
      <c r="BG1035" s="14"/>
      <c r="BH1035" s="14"/>
      <c r="BI1035" s="14"/>
      <c r="BJ1035" s="14"/>
      <c r="BK1035" s="14"/>
      <c r="BL1035" s="14"/>
      <c r="BM1035" s="14"/>
      <c r="BN1035" s="14"/>
      <c r="BO1035" s="14"/>
      <c r="BP1035" s="14"/>
      <c r="BQ1035" s="14"/>
      <c r="BR1035" s="14"/>
      <c r="BS1035" s="14"/>
      <c r="BT1035" s="14"/>
      <c r="BU1035" s="14"/>
      <c r="BV1035" s="14"/>
      <c r="BW1035" s="14"/>
      <c r="BX1035" s="14"/>
      <c r="BY1035" s="14"/>
      <c r="BZ1035" s="14"/>
      <c r="CA1035" s="14"/>
      <c r="CB1035" s="14"/>
      <c r="CC1035" s="14"/>
      <c r="CD1035" s="14"/>
      <c r="CE1035" s="14"/>
      <c r="CF1035" s="14"/>
      <c r="CG1035" s="14"/>
      <c r="CH1035" s="14"/>
      <c r="CI1035" s="14"/>
      <c r="CJ1035" s="14"/>
      <c r="CK1035" s="14"/>
      <c r="CL1035" s="14"/>
      <c r="CT1035" s="14"/>
      <c r="CW1035" s="3"/>
      <c r="DG1035" s="4"/>
    </row>
    <row r="1036" customFormat="false" ht="11.25" hidden="false" customHeight="true" outlineLevel="0" collapsed="false">
      <c r="A1036" s="14"/>
      <c r="B1036" s="15"/>
      <c r="C1036" s="15"/>
      <c r="D1036" s="14"/>
      <c r="E1036" s="14"/>
      <c r="F1036" s="14"/>
      <c r="G1036" s="14"/>
      <c r="H1036" s="15"/>
      <c r="I1036" s="15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4"/>
      <c r="AB1036" s="14"/>
      <c r="AC1036" s="14"/>
      <c r="AD1036" s="14"/>
      <c r="AE1036" s="14"/>
      <c r="AF1036" s="14"/>
      <c r="AG1036" s="14"/>
      <c r="AH1036" s="14"/>
      <c r="AI1036" s="14"/>
      <c r="AJ1036" s="14"/>
      <c r="AK1036" s="14"/>
      <c r="AL1036" s="14"/>
      <c r="AM1036" s="14"/>
      <c r="AN1036" s="14"/>
      <c r="AO1036" s="14"/>
      <c r="AP1036" s="14"/>
      <c r="AQ1036" s="14"/>
      <c r="AR1036" s="14"/>
      <c r="AS1036" s="14"/>
      <c r="AT1036" s="14"/>
      <c r="AU1036" s="14"/>
      <c r="AV1036" s="14"/>
      <c r="AW1036" s="14"/>
      <c r="AX1036" s="14"/>
      <c r="AY1036" s="14"/>
      <c r="AZ1036" s="14"/>
      <c r="BA1036" s="14"/>
      <c r="BB1036" s="14"/>
      <c r="BC1036" s="14"/>
      <c r="BD1036" s="14"/>
      <c r="BE1036" s="14"/>
      <c r="BF1036" s="14"/>
      <c r="BG1036" s="14"/>
      <c r="BH1036" s="14"/>
      <c r="BI1036" s="14"/>
      <c r="BJ1036" s="14"/>
      <c r="BK1036" s="14"/>
      <c r="BL1036" s="14"/>
      <c r="BM1036" s="14"/>
      <c r="BN1036" s="14"/>
      <c r="BO1036" s="14"/>
      <c r="BP1036" s="14"/>
      <c r="BQ1036" s="14"/>
      <c r="BR1036" s="14"/>
      <c r="BS1036" s="14"/>
      <c r="BT1036" s="14"/>
      <c r="BU1036" s="14"/>
      <c r="BV1036" s="14"/>
      <c r="BW1036" s="14"/>
      <c r="BX1036" s="14"/>
      <c r="BY1036" s="14"/>
      <c r="BZ1036" s="14"/>
      <c r="CA1036" s="14"/>
      <c r="CB1036" s="14"/>
      <c r="CC1036" s="14"/>
      <c r="CD1036" s="14"/>
      <c r="CE1036" s="14"/>
      <c r="CF1036" s="14"/>
      <c r="CG1036" s="14"/>
      <c r="CH1036" s="14"/>
      <c r="CI1036" s="14"/>
      <c r="CJ1036" s="14"/>
      <c r="CK1036" s="14"/>
      <c r="CL1036" s="14"/>
      <c r="CT1036" s="14"/>
      <c r="CW1036" s="3"/>
      <c r="DG1036" s="4"/>
    </row>
    <row r="1037" customFormat="false" ht="11.25" hidden="false" customHeight="true" outlineLevel="0" collapsed="false">
      <c r="A1037" s="14"/>
      <c r="B1037" s="15"/>
      <c r="C1037" s="15"/>
      <c r="D1037" s="14"/>
      <c r="E1037" s="14"/>
      <c r="F1037" s="14"/>
      <c r="G1037" s="14"/>
      <c r="H1037" s="15"/>
      <c r="I1037" s="15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  <c r="AA1037" s="14"/>
      <c r="AB1037" s="14"/>
      <c r="AC1037" s="14"/>
      <c r="AD1037" s="14"/>
      <c r="AE1037" s="14"/>
      <c r="AF1037" s="14"/>
      <c r="AG1037" s="14"/>
      <c r="AH1037" s="14"/>
      <c r="AI1037" s="14"/>
      <c r="AJ1037" s="14"/>
      <c r="AK1037" s="14"/>
      <c r="AL1037" s="14"/>
      <c r="AM1037" s="14"/>
      <c r="AN1037" s="14"/>
      <c r="AO1037" s="14"/>
      <c r="AP1037" s="14"/>
      <c r="AQ1037" s="14"/>
      <c r="AR1037" s="14"/>
      <c r="AS1037" s="14"/>
      <c r="AT1037" s="14"/>
      <c r="AU1037" s="14"/>
      <c r="AV1037" s="14"/>
      <c r="AW1037" s="14"/>
      <c r="AX1037" s="14"/>
      <c r="AY1037" s="14"/>
      <c r="AZ1037" s="14"/>
      <c r="BA1037" s="14"/>
      <c r="BB1037" s="14"/>
      <c r="BC1037" s="14"/>
      <c r="BD1037" s="14"/>
      <c r="BE1037" s="14"/>
      <c r="BF1037" s="14"/>
      <c r="BG1037" s="14"/>
      <c r="BH1037" s="14"/>
      <c r="BI1037" s="14"/>
      <c r="BJ1037" s="14"/>
      <c r="BK1037" s="14"/>
      <c r="BL1037" s="14"/>
      <c r="BM1037" s="14"/>
      <c r="BN1037" s="14"/>
      <c r="BO1037" s="14"/>
      <c r="BP1037" s="14"/>
      <c r="BQ1037" s="14"/>
      <c r="BR1037" s="14"/>
      <c r="BS1037" s="14"/>
      <c r="BT1037" s="14"/>
      <c r="BU1037" s="14"/>
      <c r="BV1037" s="14"/>
      <c r="BW1037" s="14"/>
      <c r="BX1037" s="14"/>
      <c r="BY1037" s="14"/>
      <c r="BZ1037" s="14"/>
      <c r="CA1037" s="14"/>
      <c r="CB1037" s="14"/>
      <c r="CC1037" s="14"/>
      <c r="CD1037" s="14"/>
      <c r="CE1037" s="14"/>
      <c r="CF1037" s="14"/>
      <c r="CG1037" s="14"/>
      <c r="CH1037" s="14"/>
      <c r="CI1037" s="14"/>
      <c r="CJ1037" s="14"/>
      <c r="CK1037" s="14"/>
      <c r="CL1037" s="14"/>
      <c r="CT1037" s="14"/>
      <c r="CW1037" s="3"/>
      <c r="DG1037" s="4"/>
    </row>
    <row r="1038" customFormat="false" ht="11.25" hidden="false" customHeight="true" outlineLevel="0" collapsed="false">
      <c r="A1038" s="14"/>
      <c r="B1038" s="15"/>
      <c r="C1038" s="15"/>
      <c r="D1038" s="14"/>
      <c r="E1038" s="14"/>
      <c r="F1038" s="14"/>
      <c r="G1038" s="14"/>
      <c r="H1038" s="15"/>
      <c r="I1038" s="15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  <c r="AA1038" s="14"/>
      <c r="AB1038" s="14"/>
      <c r="AC1038" s="14"/>
      <c r="AD1038" s="14"/>
      <c r="AE1038" s="14"/>
      <c r="AF1038" s="14"/>
      <c r="AG1038" s="14"/>
      <c r="AH1038" s="14"/>
      <c r="AI1038" s="14"/>
      <c r="AJ1038" s="14"/>
      <c r="AK1038" s="14"/>
      <c r="AL1038" s="14"/>
      <c r="AM1038" s="14"/>
      <c r="AN1038" s="14"/>
      <c r="AO1038" s="14"/>
      <c r="AP1038" s="14"/>
      <c r="AQ1038" s="14"/>
      <c r="AR1038" s="14"/>
      <c r="AS1038" s="14"/>
      <c r="AT1038" s="14"/>
      <c r="AU1038" s="14"/>
      <c r="AV1038" s="14"/>
      <c r="AW1038" s="14"/>
      <c r="AX1038" s="14"/>
      <c r="AY1038" s="14"/>
      <c r="AZ1038" s="14"/>
      <c r="BA1038" s="14"/>
      <c r="BB1038" s="14"/>
      <c r="BC1038" s="14"/>
      <c r="BD1038" s="14"/>
      <c r="BE1038" s="14"/>
      <c r="BF1038" s="14"/>
      <c r="BG1038" s="14"/>
      <c r="BH1038" s="14"/>
      <c r="BI1038" s="14"/>
      <c r="BJ1038" s="14"/>
      <c r="BK1038" s="14"/>
      <c r="BL1038" s="14"/>
      <c r="BM1038" s="14"/>
      <c r="BN1038" s="14"/>
      <c r="BO1038" s="14"/>
      <c r="BP1038" s="14"/>
      <c r="BQ1038" s="14"/>
      <c r="BR1038" s="14"/>
      <c r="BS1038" s="14"/>
      <c r="BT1038" s="14"/>
      <c r="BU1038" s="14"/>
      <c r="BV1038" s="14"/>
      <c r="BW1038" s="14"/>
      <c r="BX1038" s="14"/>
      <c r="BY1038" s="14"/>
      <c r="BZ1038" s="14"/>
      <c r="CA1038" s="14"/>
      <c r="CB1038" s="14"/>
      <c r="CC1038" s="14"/>
      <c r="CD1038" s="14"/>
      <c r="CE1038" s="14"/>
      <c r="CF1038" s="14"/>
      <c r="CG1038" s="14"/>
      <c r="CH1038" s="14"/>
      <c r="CI1038" s="14"/>
      <c r="CJ1038" s="14"/>
      <c r="CK1038" s="14"/>
      <c r="CL1038" s="14"/>
      <c r="CT1038" s="14"/>
      <c r="CW1038" s="3"/>
      <c r="DG1038" s="4"/>
    </row>
    <row r="1039" customFormat="false" ht="11.25" hidden="false" customHeight="true" outlineLevel="0" collapsed="false">
      <c r="A1039" s="14"/>
      <c r="B1039" s="15"/>
      <c r="C1039" s="15"/>
      <c r="D1039" s="14"/>
      <c r="E1039" s="14"/>
      <c r="F1039" s="14"/>
      <c r="G1039" s="14"/>
      <c r="H1039" s="15"/>
      <c r="I1039" s="15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  <c r="AA1039" s="14"/>
      <c r="AB1039" s="14"/>
      <c r="AC1039" s="14"/>
      <c r="AD1039" s="14"/>
      <c r="AE1039" s="14"/>
      <c r="AF1039" s="14"/>
      <c r="AG1039" s="14"/>
      <c r="AH1039" s="14"/>
      <c r="AI1039" s="14"/>
      <c r="AJ1039" s="14"/>
      <c r="AK1039" s="14"/>
      <c r="AL1039" s="14"/>
      <c r="AM1039" s="14"/>
      <c r="AN1039" s="14"/>
      <c r="AO1039" s="14"/>
      <c r="AP1039" s="14"/>
      <c r="AQ1039" s="14"/>
      <c r="AR1039" s="14"/>
      <c r="AS1039" s="14"/>
      <c r="AT1039" s="14"/>
      <c r="AU1039" s="14"/>
      <c r="AV1039" s="14"/>
      <c r="AW1039" s="14"/>
      <c r="AX1039" s="14"/>
      <c r="AY1039" s="14"/>
      <c r="AZ1039" s="14"/>
      <c r="BA1039" s="14"/>
      <c r="BB1039" s="14"/>
      <c r="BC1039" s="14"/>
      <c r="BD1039" s="14"/>
      <c r="BE1039" s="14"/>
      <c r="BF1039" s="14"/>
      <c r="BG1039" s="14"/>
      <c r="BH1039" s="14"/>
      <c r="BI1039" s="14"/>
      <c r="BJ1039" s="14"/>
      <c r="BK1039" s="14"/>
      <c r="BL1039" s="14"/>
      <c r="BM1039" s="14"/>
      <c r="BN1039" s="14"/>
      <c r="BO1039" s="14"/>
      <c r="BP1039" s="14"/>
      <c r="BQ1039" s="14"/>
      <c r="BR1039" s="14"/>
      <c r="BS1039" s="14"/>
      <c r="BT1039" s="14"/>
      <c r="BU1039" s="14"/>
      <c r="BV1039" s="14"/>
      <c r="BW1039" s="14"/>
      <c r="BX1039" s="14"/>
      <c r="BY1039" s="14"/>
      <c r="BZ1039" s="14"/>
      <c r="CA1039" s="14"/>
      <c r="CB1039" s="14"/>
      <c r="CC1039" s="14"/>
      <c r="CD1039" s="14"/>
      <c r="CE1039" s="14"/>
      <c r="CF1039" s="14"/>
      <c r="CG1039" s="14"/>
      <c r="CH1039" s="14"/>
      <c r="CI1039" s="14"/>
      <c r="CJ1039" s="14"/>
      <c r="CK1039" s="14"/>
      <c r="CL1039" s="14"/>
      <c r="CT1039" s="14"/>
      <c r="CW1039" s="3"/>
      <c r="DG1039" s="4"/>
    </row>
    <row r="1040" customFormat="false" ht="11.25" hidden="false" customHeight="true" outlineLevel="0" collapsed="false">
      <c r="A1040" s="14"/>
      <c r="B1040" s="15"/>
      <c r="C1040" s="15"/>
      <c r="D1040" s="14"/>
      <c r="E1040" s="14"/>
      <c r="F1040" s="14"/>
      <c r="G1040" s="14"/>
      <c r="H1040" s="15"/>
      <c r="I1040" s="15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  <c r="AA1040" s="14"/>
      <c r="AB1040" s="14"/>
      <c r="AC1040" s="14"/>
      <c r="AD1040" s="14"/>
      <c r="AE1040" s="14"/>
      <c r="AF1040" s="14"/>
      <c r="AG1040" s="14"/>
      <c r="AH1040" s="14"/>
      <c r="AI1040" s="14"/>
      <c r="AJ1040" s="14"/>
      <c r="AK1040" s="14"/>
      <c r="AL1040" s="14"/>
      <c r="AM1040" s="14"/>
      <c r="AN1040" s="14"/>
      <c r="AO1040" s="14"/>
      <c r="AP1040" s="14"/>
      <c r="AQ1040" s="14"/>
      <c r="AR1040" s="14"/>
      <c r="AS1040" s="14"/>
      <c r="AT1040" s="14"/>
      <c r="AU1040" s="14"/>
      <c r="AV1040" s="14"/>
      <c r="AW1040" s="14"/>
      <c r="AX1040" s="14"/>
      <c r="AY1040" s="14"/>
      <c r="AZ1040" s="14"/>
      <c r="BA1040" s="14"/>
      <c r="BB1040" s="14"/>
      <c r="BC1040" s="14"/>
      <c r="BD1040" s="14"/>
      <c r="BE1040" s="14"/>
      <c r="BF1040" s="14"/>
      <c r="BG1040" s="14"/>
      <c r="BH1040" s="14"/>
      <c r="BI1040" s="14"/>
      <c r="BJ1040" s="14"/>
      <c r="BK1040" s="14"/>
      <c r="BL1040" s="14"/>
      <c r="BM1040" s="14"/>
      <c r="BN1040" s="14"/>
      <c r="BO1040" s="14"/>
      <c r="BP1040" s="14"/>
      <c r="BQ1040" s="14"/>
      <c r="BR1040" s="14"/>
      <c r="BS1040" s="14"/>
      <c r="BT1040" s="14"/>
      <c r="BU1040" s="14"/>
      <c r="BV1040" s="14"/>
      <c r="BW1040" s="14"/>
      <c r="BX1040" s="14"/>
      <c r="BY1040" s="14"/>
      <c r="BZ1040" s="14"/>
      <c r="CA1040" s="14"/>
      <c r="CB1040" s="14"/>
      <c r="CC1040" s="14"/>
      <c r="CD1040" s="14"/>
      <c r="CE1040" s="14"/>
      <c r="CF1040" s="14"/>
      <c r="CG1040" s="14"/>
      <c r="CH1040" s="14"/>
      <c r="CI1040" s="14"/>
      <c r="CJ1040" s="14"/>
      <c r="CK1040" s="14"/>
      <c r="CL1040" s="14"/>
      <c r="CT1040" s="14"/>
      <c r="CW1040" s="3"/>
      <c r="DG1040" s="4"/>
    </row>
    <row r="1041" customFormat="false" ht="11.25" hidden="false" customHeight="true" outlineLevel="0" collapsed="false">
      <c r="A1041" s="14"/>
      <c r="B1041" s="15"/>
      <c r="C1041" s="15"/>
      <c r="D1041" s="14"/>
      <c r="E1041" s="14"/>
      <c r="F1041" s="14"/>
      <c r="G1041" s="14"/>
      <c r="H1041" s="15"/>
      <c r="I1041" s="15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  <c r="AA1041" s="14"/>
      <c r="AB1041" s="14"/>
      <c r="AC1041" s="14"/>
      <c r="AD1041" s="14"/>
      <c r="AE1041" s="14"/>
      <c r="AF1041" s="14"/>
      <c r="AG1041" s="14"/>
      <c r="AH1041" s="14"/>
      <c r="AI1041" s="14"/>
      <c r="AJ1041" s="14"/>
      <c r="AK1041" s="14"/>
      <c r="AL1041" s="14"/>
      <c r="AM1041" s="14"/>
      <c r="AN1041" s="14"/>
      <c r="AO1041" s="14"/>
      <c r="AP1041" s="14"/>
      <c r="AQ1041" s="14"/>
      <c r="AR1041" s="14"/>
      <c r="AS1041" s="14"/>
      <c r="AT1041" s="14"/>
      <c r="AU1041" s="14"/>
      <c r="AV1041" s="14"/>
      <c r="AW1041" s="14"/>
      <c r="AX1041" s="14"/>
      <c r="AY1041" s="14"/>
      <c r="AZ1041" s="14"/>
      <c r="BA1041" s="14"/>
      <c r="BB1041" s="14"/>
      <c r="BC1041" s="14"/>
      <c r="BD1041" s="14"/>
      <c r="BE1041" s="14"/>
      <c r="BF1041" s="14"/>
      <c r="BG1041" s="14"/>
      <c r="BH1041" s="14"/>
      <c r="BI1041" s="14"/>
      <c r="BJ1041" s="14"/>
      <c r="BK1041" s="14"/>
      <c r="BL1041" s="14"/>
      <c r="BM1041" s="14"/>
      <c r="BN1041" s="14"/>
      <c r="BO1041" s="14"/>
      <c r="BP1041" s="14"/>
      <c r="BQ1041" s="14"/>
      <c r="BR1041" s="14"/>
      <c r="BS1041" s="14"/>
      <c r="BT1041" s="14"/>
      <c r="BU1041" s="14"/>
      <c r="BV1041" s="14"/>
      <c r="BW1041" s="14"/>
      <c r="BX1041" s="14"/>
      <c r="BY1041" s="14"/>
      <c r="BZ1041" s="14"/>
      <c r="CA1041" s="14"/>
      <c r="CB1041" s="14"/>
      <c r="CC1041" s="14"/>
      <c r="CD1041" s="14"/>
      <c r="CE1041" s="14"/>
      <c r="CF1041" s="14"/>
      <c r="CG1041" s="14"/>
      <c r="CH1041" s="14"/>
      <c r="CI1041" s="14"/>
      <c r="CJ1041" s="14"/>
      <c r="CK1041" s="14"/>
      <c r="CL1041" s="14"/>
      <c r="CT1041" s="14"/>
      <c r="CW1041" s="3"/>
      <c r="DG1041" s="4"/>
    </row>
    <row r="1042" customFormat="false" ht="11.25" hidden="false" customHeight="true" outlineLevel="0" collapsed="false">
      <c r="A1042" s="14"/>
      <c r="B1042" s="15"/>
      <c r="C1042" s="15"/>
      <c r="D1042" s="14"/>
      <c r="E1042" s="14"/>
      <c r="F1042" s="14"/>
      <c r="G1042" s="14"/>
      <c r="H1042" s="15"/>
      <c r="I1042" s="15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  <c r="AA1042" s="14"/>
      <c r="AB1042" s="14"/>
      <c r="AC1042" s="14"/>
      <c r="AD1042" s="14"/>
      <c r="AE1042" s="14"/>
      <c r="AF1042" s="14"/>
      <c r="AG1042" s="14"/>
      <c r="AH1042" s="14"/>
      <c r="AI1042" s="14"/>
      <c r="AJ1042" s="14"/>
      <c r="AK1042" s="14"/>
      <c r="AL1042" s="14"/>
      <c r="AM1042" s="14"/>
      <c r="AN1042" s="14"/>
      <c r="AO1042" s="14"/>
      <c r="AP1042" s="14"/>
      <c r="AQ1042" s="14"/>
      <c r="AR1042" s="14"/>
      <c r="AS1042" s="14"/>
      <c r="AT1042" s="14"/>
      <c r="AU1042" s="14"/>
      <c r="AV1042" s="14"/>
      <c r="AW1042" s="14"/>
      <c r="AX1042" s="14"/>
      <c r="AY1042" s="14"/>
      <c r="AZ1042" s="14"/>
      <c r="BA1042" s="14"/>
      <c r="BB1042" s="14"/>
      <c r="BC1042" s="14"/>
      <c r="BD1042" s="14"/>
      <c r="BE1042" s="14"/>
      <c r="BF1042" s="14"/>
      <c r="BG1042" s="14"/>
      <c r="BH1042" s="14"/>
      <c r="BI1042" s="14"/>
      <c r="BJ1042" s="14"/>
      <c r="BK1042" s="14"/>
      <c r="BL1042" s="14"/>
      <c r="BM1042" s="14"/>
      <c r="BN1042" s="14"/>
      <c r="BO1042" s="14"/>
      <c r="BP1042" s="14"/>
      <c r="BQ1042" s="14"/>
      <c r="BR1042" s="14"/>
      <c r="BS1042" s="14"/>
      <c r="BT1042" s="14"/>
      <c r="BU1042" s="14"/>
      <c r="BV1042" s="14"/>
      <c r="BW1042" s="14"/>
      <c r="BX1042" s="14"/>
      <c r="BY1042" s="14"/>
      <c r="BZ1042" s="14"/>
      <c r="CA1042" s="14"/>
      <c r="CB1042" s="14"/>
      <c r="CC1042" s="14"/>
      <c r="CD1042" s="14"/>
      <c r="CE1042" s="14"/>
      <c r="CF1042" s="14"/>
      <c r="CG1042" s="14"/>
      <c r="CH1042" s="14"/>
      <c r="CI1042" s="14"/>
      <c r="CJ1042" s="14"/>
      <c r="CK1042" s="14"/>
      <c r="CL1042" s="14"/>
      <c r="CT1042" s="14"/>
      <c r="CW1042" s="3"/>
      <c r="DG1042" s="4"/>
    </row>
    <row r="1043" customFormat="false" ht="11.25" hidden="false" customHeight="true" outlineLevel="0" collapsed="false">
      <c r="A1043" s="14"/>
      <c r="B1043" s="15"/>
      <c r="C1043" s="15"/>
      <c r="D1043" s="14"/>
      <c r="E1043" s="14"/>
      <c r="F1043" s="14"/>
      <c r="G1043" s="14"/>
      <c r="H1043" s="15"/>
      <c r="I1043" s="15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  <c r="AA1043" s="14"/>
      <c r="AB1043" s="14"/>
      <c r="AC1043" s="14"/>
      <c r="AD1043" s="14"/>
      <c r="AE1043" s="14"/>
      <c r="AF1043" s="14"/>
      <c r="AG1043" s="14"/>
      <c r="AH1043" s="14"/>
      <c r="AI1043" s="14"/>
      <c r="AJ1043" s="14"/>
      <c r="AK1043" s="14"/>
      <c r="AL1043" s="14"/>
      <c r="AM1043" s="14"/>
      <c r="AN1043" s="14"/>
      <c r="AO1043" s="14"/>
      <c r="AP1043" s="14"/>
      <c r="AQ1043" s="14"/>
      <c r="AR1043" s="14"/>
      <c r="AS1043" s="14"/>
      <c r="AT1043" s="14"/>
      <c r="AU1043" s="14"/>
      <c r="AV1043" s="14"/>
      <c r="AW1043" s="14"/>
      <c r="AX1043" s="14"/>
      <c r="AY1043" s="14"/>
      <c r="AZ1043" s="14"/>
      <c r="BA1043" s="14"/>
      <c r="BB1043" s="14"/>
      <c r="BC1043" s="14"/>
      <c r="BD1043" s="14"/>
      <c r="BE1043" s="14"/>
      <c r="BF1043" s="14"/>
      <c r="BG1043" s="14"/>
      <c r="BH1043" s="14"/>
      <c r="BI1043" s="14"/>
      <c r="BJ1043" s="14"/>
      <c r="BK1043" s="14"/>
      <c r="BL1043" s="14"/>
      <c r="BM1043" s="14"/>
      <c r="BN1043" s="14"/>
      <c r="BO1043" s="14"/>
      <c r="BP1043" s="14"/>
      <c r="BQ1043" s="14"/>
      <c r="BR1043" s="14"/>
      <c r="BS1043" s="14"/>
      <c r="BT1043" s="14"/>
      <c r="BU1043" s="14"/>
      <c r="BV1043" s="14"/>
      <c r="BW1043" s="14"/>
      <c r="BX1043" s="14"/>
      <c r="BY1043" s="14"/>
      <c r="BZ1043" s="14"/>
      <c r="CA1043" s="14"/>
      <c r="CB1043" s="14"/>
      <c r="CC1043" s="14"/>
      <c r="CD1043" s="14"/>
      <c r="CE1043" s="14"/>
      <c r="CF1043" s="14"/>
      <c r="CG1043" s="14"/>
      <c r="CH1043" s="14"/>
      <c r="CI1043" s="14"/>
      <c r="CJ1043" s="14"/>
      <c r="CK1043" s="14"/>
      <c r="CL1043" s="14"/>
      <c r="CT1043" s="14"/>
      <c r="CW1043" s="3"/>
      <c r="DG1043" s="4"/>
    </row>
    <row r="1044" customFormat="false" ht="11.25" hidden="false" customHeight="true" outlineLevel="0" collapsed="false">
      <c r="A1044" s="14"/>
      <c r="B1044" s="15"/>
      <c r="C1044" s="15"/>
      <c r="D1044" s="14"/>
      <c r="E1044" s="14"/>
      <c r="F1044" s="14"/>
      <c r="G1044" s="14"/>
      <c r="H1044" s="15"/>
      <c r="I1044" s="15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  <c r="AA1044" s="14"/>
      <c r="AB1044" s="14"/>
      <c r="AC1044" s="14"/>
      <c r="AD1044" s="14"/>
      <c r="AE1044" s="14"/>
      <c r="AF1044" s="14"/>
      <c r="AG1044" s="14"/>
      <c r="AH1044" s="14"/>
      <c r="AI1044" s="14"/>
      <c r="AJ1044" s="14"/>
      <c r="AK1044" s="14"/>
      <c r="AL1044" s="14"/>
      <c r="AM1044" s="14"/>
      <c r="AN1044" s="14"/>
      <c r="AO1044" s="14"/>
      <c r="AP1044" s="14"/>
      <c r="AQ1044" s="14"/>
      <c r="AR1044" s="14"/>
      <c r="AS1044" s="14"/>
      <c r="AT1044" s="14"/>
      <c r="AU1044" s="14"/>
      <c r="AV1044" s="14"/>
      <c r="AW1044" s="14"/>
      <c r="AX1044" s="14"/>
      <c r="AY1044" s="14"/>
      <c r="AZ1044" s="14"/>
      <c r="BA1044" s="14"/>
      <c r="BB1044" s="14"/>
      <c r="BC1044" s="14"/>
      <c r="BD1044" s="14"/>
      <c r="BE1044" s="14"/>
      <c r="BF1044" s="14"/>
      <c r="BG1044" s="14"/>
      <c r="BH1044" s="14"/>
      <c r="BI1044" s="14"/>
      <c r="BJ1044" s="14"/>
      <c r="BK1044" s="14"/>
      <c r="BL1044" s="14"/>
      <c r="BM1044" s="14"/>
      <c r="BN1044" s="14"/>
      <c r="BO1044" s="14"/>
      <c r="BP1044" s="14"/>
      <c r="BQ1044" s="14"/>
      <c r="BR1044" s="14"/>
      <c r="BS1044" s="14"/>
      <c r="BT1044" s="14"/>
      <c r="BU1044" s="14"/>
      <c r="BV1044" s="14"/>
      <c r="BW1044" s="14"/>
      <c r="BX1044" s="14"/>
      <c r="BY1044" s="14"/>
      <c r="BZ1044" s="14"/>
      <c r="CA1044" s="14"/>
      <c r="CB1044" s="14"/>
      <c r="CC1044" s="14"/>
      <c r="CD1044" s="14"/>
      <c r="CE1044" s="14"/>
      <c r="CF1044" s="14"/>
      <c r="CG1044" s="14"/>
      <c r="CH1044" s="14"/>
      <c r="CI1044" s="14"/>
      <c r="CJ1044" s="14"/>
      <c r="CK1044" s="14"/>
      <c r="CL1044" s="14"/>
      <c r="CT1044" s="14"/>
      <c r="CW1044" s="3"/>
      <c r="DG1044" s="4"/>
    </row>
    <row r="1045" customFormat="false" ht="11.25" hidden="false" customHeight="true" outlineLevel="0" collapsed="false">
      <c r="A1045" s="14"/>
      <c r="B1045" s="15"/>
      <c r="C1045" s="15"/>
      <c r="D1045" s="14"/>
      <c r="E1045" s="14"/>
      <c r="F1045" s="14"/>
      <c r="G1045" s="14"/>
      <c r="H1045" s="15"/>
      <c r="I1045" s="15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  <c r="AA1045" s="14"/>
      <c r="AB1045" s="14"/>
      <c r="AC1045" s="14"/>
      <c r="AD1045" s="14"/>
      <c r="AE1045" s="14"/>
      <c r="AF1045" s="14"/>
      <c r="AG1045" s="14"/>
      <c r="AH1045" s="14"/>
      <c r="AI1045" s="14"/>
      <c r="AJ1045" s="14"/>
      <c r="AK1045" s="14"/>
      <c r="AL1045" s="14"/>
      <c r="AM1045" s="14"/>
      <c r="AN1045" s="14"/>
      <c r="AO1045" s="14"/>
      <c r="AP1045" s="14"/>
      <c r="AQ1045" s="14"/>
      <c r="AR1045" s="14"/>
      <c r="AS1045" s="14"/>
      <c r="AT1045" s="14"/>
      <c r="AU1045" s="14"/>
      <c r="AV1045" s="14"/>
      <c r="AW1045" s="14"/>
      <c r="AX1045" s="14"/>
      <c r="AY1045" s="14"/>
      <c r="AZ1045" s="14"/>
      <c r="BA1045" s="14"/>
      <c r="BB1045" s="14"/>
      <c r="BC1045" s="14"/>
      <c r="BD1045" s="14"/>
      <c r="BE1045" s="14"/>
      <c r="BF1045" s="14"/>
      <c r="BG1045" s="14"/>
      <c r="BH1045" s="14"/>
      <c r="BI1045" s="14"/>
      <c r="BJ1045" s="14"/>
      <c r="BK1045" s="14"/>
      <c r="BL1045" s="14"/>
      <c r="BM1045" s="14"/>
      <c r="BN1045" s="14"/>
      <c r="BO1045" s="14"/>
      <c r="BP1045" s="14"/>
      <c r="BQ1045" s="14"/>
      <c r="BR1045" s="14"/>
      <c r="BS1045" s="14"/>
      <c r="BT1045" s="14"/>
      <c r="BU1045" s="14"/>
      <c r="BV1045" s="14"/>
      <c r="BW1045" s="14"/>
      <c r="BX1045" s="14"/>
      <c r="BY1045" s="14"/>
      <c r="BZ1045" s="14"/>
      <c r="CA1045" s="14"/>
      <c r="CB1045" s="14"/>
      <c r="CC1045" s="14"/>
      <c r="CD1045" s="14"/>
      <c r="CE1045" s="14"/>
      <c r="CF1045" s="14"/>
      <c r="CG1045" s="14"/>
      <c r="CH1045" s="14"/>
      <c r="CI1045" s="14"/>
      <c r="CJ1045" s="14"/>
      <c r="CK1045" s="14"/>
      <c r="CL1045" s="14"/>
      <c r="CT1045" s="14"/>
      <c r="CW1045" s="3"/>
      <c r="DG1045" s="4"/>
    </row>
    <row r="1046" customFormat="false" ht="11.25" hidden="false" customHeight="true" outlineLevel="0" collapsed="false">
      <c r="A1046" s="14"/>
      <c r="B1046" s="15"/>
      <c r="C1046" s="15"/>
      <c r="D1046" s="14"/>
      <c r="E1046" s="14"/>
      <c r="F1046" s="14"/>
      <c r="G1046" s="14"/>
      <c r="H1046" s="15"/>
      <c r="I1046" s="15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  <c r="AA1046" s="14"/>
      <c r="AB1046" s="14"/>
      <c r="AC1046" s="14"/>
      <c r="AD1046" s="14"/>
      <c r="AE1046" s="14"/>
      <c r="AF1046" s="14"/>
      <c r="AG1046" s="14"/>
      <c r="AH1046" s="14"/>
      <c r="AI1046" s="14"/>
      <c r="AJ1046" s="14"/>
      <c r="AK1046" s="14"/>
      <c r="AL1046" s="14"/>
      <c r="AM1046" s="14"/>
      <c r="AN1046" s="14"/>
      <c r="AO1046" s="14"/>
      <c r="AP1046" s="14"/>
      <c r="AQ1046" s="14"/>
      <c r="AR1046" s="14"/>
      <c r="AS1046" s="14"/>
      <c r="AT1046" s="14"/>
      <c r="AU1046" s="14"/>
      <c r="AV1046" s="14"/>
      <c r="AW1046" s="14"/>
      <c r="AX1046" s="14"/>
      <c r="AY1046" s="14"/>
      <c r="AZ1046" s="14"/>
      <c r="BA1046" s="14"/>
      <c r="BB1046" s="14"/>
      <c r="BC1046" s="14"/>
      <c r="BD1046" s="14"/>
      <c r="BE1046" s="14"/>
      <c r="BF1046" s="14"/>
      <c r="BG1046" s="14"/>
      <c r="BH1046" s="14"/>
      <c r="BI1046" s="14"/>
      <c r="BJ1046" s="14"/>
      <c r="BK1046" s="14"/>
      <c r="BL1046" s="14"/>
      <c r="BM1046" s="14"/>
      <c r="BN1046" s="14"/>
      <c r="BO1046" s="14"/>
      <c r="BP1046" s="14"/>
      <c r="BQ1046" s="14"/>
      <c r="BR1046" s="14"/>
      <c r="BS1046" s="14"/>
      <c r="BT1046" s="14"/>
      <c r="BU1046" s="14"/>
      <c r="BV1046" s="14"/>
      <c r="BW1046" s="14"/>
      <c r="BX1046" s="14"/>
      <c r="BY1046" s="14"/>
      <c r="BZ1046" s="14"/>
      <c r="CA1046" s="14"/>
      <c r="CB1046" s="14"/>
      <c r="CC1046" s="14"/>
      <c r="CD1046" s="14"/>
      <c r="CE1046" s="14"/>
      <c r="CF1046" s="14"/>
      <c r="CG1046" s="14"/>
      <c r="CH1046" s="14"/>
      <c r="CI1046" s="14"/>
      <c r="CJ1046" s="14"/>
      <c r="CK1046" s="14"/>
      <c r="CL1046" s="14"/>
      <c r="CT1046" s="14"/>
      <c r="CW1046" s="3"/>
      <c r="DG1046" s="4"/>
    </row>
    <row r="1047" customFormat="false" ht="11.25" hidden="false" customHeight="true" outlineLevel="0" collapsed="false">
      <c r="A1047" s="14"/>
      <c r="B1047" s="15"/>
      <c r="C1047" s="15"/>
      <c r="D1047" s="14"/>
      <c r="E1047" s="14"/>
      <c r="F1047" s="14"/>
      <c r="G1047" s="14"/>
      <c r="H1047" s="15"/>
      <c r="I1047" s="15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  <c r="AA1047" s="14"/>
      <c r="AB1047" s="14"/>
      <c r="AC1047" s="14"/>
      <c r="AD1047" s="14"/>
      <c r="AE1047" s="14"/>
      <c r="AF1047" s="14"/>
      <c r="AG1047" s="14"/>
      <c r="AH1047" s="14"/>
      <c r="AI1047" s="14"/>
      <c r="AJ1047" s="14"/>
      <c r="AK1047" s="14"/>
      <c r="AL1047" s="14"/>
      <c r="AM1047" s="14"/>
      <c r="AN1047" s="14"/>
      <c r="AO1047" s="14"/>
      <c r="AP1047" s="14"/>
      <c r="AQ1047" s="14"/>
      <c r="AR1047" s="14"/>
      <c r="AS1047" s="14"/>
      <c r="AT1047" s="14"/>
      <c r="AU1047" s="14"/>
      <c r="AV1047" s="14"/>
      <c r="AW1047" s="14"/>
      <c r="AX1047" s="14"/>
      <c r="AY1047" s="14"/>
      <c r="AZ1047" s="14"/>
      <c r="BA1047" s="14"/>
      <c r="BB1047" s="14"/>
      <c r="BC1047" s="14"/>
      <c r="BD1047" s="14"/>
      <c r="BE1047" s="14"/>
      <c r="BF1047" s="14"/>
      <c r="BG1047" s="14"/>
      <c r="BH1047" s="14"/>
      <c r="BI1047" s="14"/>
      <c r="BJ1047" s="14"/>
      <c r="BK1047" s="14"/>
      <c r="BL1047" s="14"/>
      <c r="BM1047" s="14"/>
      <c r="BN1047" s="14"/>
      <c r="BO1047" s="14"/>
      <c r="BP1047" s="14"/>
      <c r="BQ1047" s="14"/>
      <c r="BR1047" s="14"/>
      <c r="BS1047" s="14"/>
      <c r="BT1047" s="14"/>
      <c r="BU1047" s="14"/>
      <c r="BV1047" s="14"/>
      <c r="BW1047" s="14"/>
      <c r="BX1047" s="14"/>
      <c r="BY1047" s="14"/>
      <c r="BZ1047" s="14"/>
      <c r="CA1047" s="14"/>
      <c r="CB1047" s="14"/>
      <c r="CC1047" s="14"/>
      <c r="CD1047" s="14"/>
      <c r="CE1047" s="14"/>
      <c r="CF1047" s="14"/>
      <c r="CG1047" s="14"/>
      <c r="CH1047" s="14"/>
      <c r="CI1047" s="14"/>
      <c r="CJ1047" s="14"/>
      <c r="CK1047" s="14"/>
      <c r="CL1047" s="14"/>
      <c r="CT1047" s="14"/>
      <c r="CW1047" s="3"/>
      <c r="DG1047" s="4"/>
    </row>
    <row r="1048" customFormat="false" ht="11.25" hidden="false" customHeight="true" outlineLevel="0" collapsed="false">
      <c r="A1048" s="14"/>
      <c r="B1048" s="15"/>
      <c r="C1048" s="15"/>
      <c r="D1048" s="14"/>
      <c r="E1048" s="14"/>
      <c r="F1048" s="14"/>
      <c r="G1048" s="14"/>
      <c r="H1048" s="15"/>
      <c r="I1048" s="15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  <c r="AA1048" s="14"/>
      <c r="AB1048" s="14"/>
      <c r="AC1048" s="14"/>
      <c r="AD1048" s="14"/>
      <c r="AE1048" s="14"/>
      <c r="AF1048" s="14"/>
      <c r="AG1048" s="14"/>
      <c r="AH1048" s="14"/>
      <c r="AI1048" s="14"/>
      <c r="AJ1048" s="14"/>
      <c r="AK1048" s="14"/>
      <c r="AL1048" s="14"/>
      <c r="AM1048" s="14"/>
      <c r="AN1048" s="14"/>
      <c r="AO1048" s="14"/>
      <c r="AP1048" s="14"/>
      <c r="AQ1048" s="14"/>
      <c r="AR1048" s="14"/>
      <c r="AS1048" s="14"/>
      <c r="AT1048" s="14"/>
      <c r="AU1048" s="14"/>
      <c r="AV1048" s="14"/>
      <c r="AW1048" s="14"/>
      <c r="AX1048" s="14"/>
      <c r="AY1048" s="14"/>
      <c r="AZ1048" s="14"/>
      <c r="BA1048" s="14"/>
      <c r="BB1048" s="14"/>
      <c r="BC1048" s="14"/>
      <c r="BD1048" s="14"/>
      <c r="BE1048" s="14"/>
      <c r="BF1048" s="14"/>
      <c r="BG1048" s="14"/>
      <c r="BH1048" s="14"/>
      <c r="BI1048" s="14"/>
      <c r="BJ1048" s="14"/>
      <c r="BK1048" s="14"/>
      <c r="BL1048" s="14"/>
      <c r="BM1048" s="14"/>
      <c r="BN1048" s="14"/>
      <c r="BO1048" s="14"/>
      <c r="BP1048" s="14"/>
      <c r="BQ1048" s="14"/>
      <c r="BR1048" s="14"/>
      <c r="BS1048" s="14"/>
      <c r="BT1048" s="14"/>
      <c r="BU1048" s="14"/>
      <c r="BV1048" s="14"/>
      <c r="BW1048" s="14"/>
      <c r="BX1048" s="14"/>
      <c r="BY1048" s="14"/>
      <c r="BZ1048" s="14"/>
      <c r="CA1048" s="14"/>
      <c r="CB1048" s="14"/>
      <c r="CC1048" s="14"/>
      <c r="CD1048" s="14"/>
      <c r="CE1048" s="14"/>
      <c r="CF1048" s="14"/>
      <c r="CG1048" s="14"/>
      <c r="CH1048" s="14"/>
      <c r="CI1048" s="14"/>
      <c r="CJ1048" s="14"/>
      <c r="CK1048" s="14"/>
      <c r="CL1048" s="14"/>
      <c r="CT1048" s="14"/>
      <c r="CW1048" s="3"/>
      <c r="DG1048" s="4"/>
    </row>
    <row r="1049" customFormat="false" ht="11.25" hidden="false" customHeight="true" outlineLevel="0" collapsed="false">
      <c r="A1049" s="14"/>
      <c r="B1049" s="15"/>
      <c r="C1049" s="15"/>
      <c r="D1049" s="14"/>
      <c r="E1049" s="14"/>
      <c r="F1049" s="14"/>
      <c r="G1049" s="14"/>
      <c r="H1049" s="15"/>
      <c r="I1049" s="15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  <c r="AA1049" s="14"/>
      <c r="AB1049" s="14"/>
      <c r="AC1049" s="14"/>
      <c r="AD1049" s="14"/>
      <c r="AE1049" s="14"/>
      <c r="AF1049" s="14"/>
      <c r="AG1049" s="14"/>
      <c r="AH1049" s="14"/>
      <c r="AI1049" s="14"/>
      <c r="AJ1049" s="14"/>
      <c r="AK1049" s="14"/>
      <c r="AL1049" s="14"/>
      <c r="AM1049" s="14"/>
      <c r="AN1049" s="14"/>
      <c r="AO1049" s="14"/>
      <c r="AP1049" s="14"/>
      <c r="AQ1049" s="14"/>
      <c r="AR1049" s="14"/>
      <c r="AS1049" s="14"/>
      <c r="AT1049" s="14"/>
      <c r="AU1049" s="14"/>
      <c r="AV1049" s="14"/>
      <c r="AW1049" s="14"/>
      <c r="AX1049" s="14"/>
      <c r="AY1049" s="14"/>
      <c r="AZ1049" s="14"/>
      <c r="BA1049" s="14"/>
      <c r="BB1049" s="14"/>
      <c r="BC1049" s="14"/>
      <c r="BD1049" s="14"/>
      <c r="BE1049" s="14"/>
      <c r="BF1049" s="14"/>
      <c r="BG1049" s="14"/>
      <c r="BH1049" s="14"/>
      <c r="BI1049" s="14"/>
      <c r="BJ1049" s="14"/>
      <c r="BK1049" s="14"/>
      <c r="BL1049" s="14"/>
      <c r="BM1049" s="14"/>
      <c r="BN1049" s="14"/>
      <c r="BO1049" s="14"/>
      <c r="BP1049" s="14"/>
      <c r="BQ1049" s="14"/>
      <c r="BR1049" s="14"/>
      <c r="BS1049" s="14"/>
      <c r="BT1049" s="14"/>
      <c r="BU1049" s="14"/>
      <c r="BV1049" s="14"/>
      <c r="BW1049" s="14"/>
      <c r="BX1049" s="14"/>
      <c r="BY1049" s="14"/>
      <c r="BZ1049" s="14"/>
      <c r="CA1049" s="14"/>
      <c r="CB1049" s="14"/>
      <c r="CC1049" s="14"/>
      <c r="CD1049" s="14"/>
      <c r="CE1049" s="14"/>
      <c r="CF1049" s="14"/>
      <c r="CG1049" s="14"/>
      <c r="CH1049" s="14"/>
      <c r="CI1049" s="14"/>
      <c r="CJ1049" s="14"/>
      <c r="CK1049" s="14"/>
      <c r="CL1049" s="14"/>
      <c r="CT1049" s="14"/>
      <c r="CW1049" s="3"/>
      <c r="DG1049" s="4"/>
    </row>
    <row r="1050" customFormat="false" ht="11.25" hidden="false" customHeight="true" outlineLevel="0" collapsed="false">
      <c r="A1050" s="14"/>
      <c r="B1050" s="15"/>
      <c r="C1050" s="15"/>
      <c r="D1050" s="14"/>
      <c r="E1050" s="14"/>
      <c r="F1050" s="14"/>
      <c r="G1050" s="14"/>
      <c r="H1050" s="15"/>
      <c r="I1050" s="15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  <c r="AA1050" s="14"/>
      <c r="AB1050" s="14"/>
      <c r="AC1050" s="14"/>
      <c r="AD1050" s="14"/>
      <c r="AE1050" s="14"/>
      <c r="AF1050" s="14"/>
      <c r="AG1050" s="14"/>
      <c r="AH1050" s="14"/>
      <c r="AI1050" s="14"/>
      <c r="AJ1050" s="14"/>
      <c r="AK1050" s="14"/>
      <c r="AL1050" s="14"/>
      <c r="AM1050" s="14"/>
      <c r="AN1050" s="14"/>
      <c r="AO1050" s="14"/>
      <c r="AP1050" s="14"/>
      <c r="AQ1050" s="14"/>
      <c r="AR1050" s="14"/>
      <c r="AS1050" s="14"/>
      <c r="AT1050" s="14"/>
      <c r="AU1050" s="14"/>
      <c r="AV1050" s="14"/>
      <c r="AW1050" s="14"/>
      <c r="AX1050" s="14"/>
      <c r="AY1050" s="14"/>
      <c r="AZ1050" s="14"/>
      <c r="BA1050" s="14"/>
      <c r="BB1050" s="14"/>
      <c r="BC1050" s="14"/>
      <c r="BD1050" s="14"/>
      <c r="BE1050" s="14"/>
      <c r="BF1050" s="14"/>
      <c r="BG1050" s="14"/>
      <c r="BH1050" s="14"/>
      <c r="BI1050" s="14"/>
      <c r="BJ1050" s="14"/>
      <c r="BK1050" s="14"/>
      <c r="BL1050" s="14"/>
      <c r="BM1050" s="14"/>
      <c r="BN1050" s="14"/>
      <c r="BO1050" s="14"/>
      <c r="BP1050" s="14"/>
      <c r="BQ1050" s="14"/>
      <c r="BR1050" s="14"/>
      <c r="BS1050" s="14"/>
      <c r="BT1050" s="14"/>
      <c r="BU1050" s="14"/>
      <c r="BV1050" s="14"/>
      <c r="BW1050" s="14"/>
      <c r="BX1050" s="14"/>
      <c r="BY1050" s="14"/>
      <c r="BZ1050" s="14"/>
      <c r="CA1050" s="14"/>
      <c r="CB1050" s="14"/>
      <c r="CC1050" s="14"/>
      <c r="CD1050" s="14"/>
      <c r="CE1050" s="14"/>
      <c r="CF1050" s="14"/>
      <c r="CG1050" s="14"/>
      <c r="CH1050" s="14"/>
      <c r="CI1050" s="14"/>
      <c r="CJ1050" s="14"/>
      <c r="CK1050" s="14"/>
      <c r="CL1050" s="14"/>
      <c r="CT1050" s="14"/>
      <c r="CW1050" s="3"/>
      <c r="DG1050" s="4"/>
    </row>
    <row r="1051" customFormat="false" ht="11.25" hidden="false" customHeight="true" outlineLevel="0" collapsed="false">
      <c r="A1051" s="14"/>
      <c r="B1051" s="15"/>
      <c r="C1051" s="15"/>
      <c r="D1051" s="14"/>
      <c r="E1051" s="14"/>
      <c r="F1051" s="14"/>
      <c r="G1051" s="14"/>
      <c r="H1051" s="15"/>
      <c r="I1051" s="15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  <c r="AA1051" s="14"/>
      <c r="AB1051" s="14"/>
      <c r="AC1051" s="14"/>
      <c r="AD1051" s="14"/>
      <c r="AE1051" s="14"/>
      <c r="AF1051" s="14"/>
      <c r="AG1051" s="14"/>
      <c r="AH1051" s="14"/>
      <c r="AI1051" s="14"/>
      <c r="AJ1051" s="14"/>
      <c r="AK1051" s="14"/>
      <c r="AL1051" s="14"/>
      <c r="AM1051" s="14"/>
      <c r="AN1051" s="14"/>
      <c r="AO1051" s="14"/>
      <c r="AP1051" s="14"/>
      <c r="AQ1051" s="14"/>
      <c r="AR1051" s="14"/>
      <c r="AS1051" s="14"/>
      <c r="AT1051" s="14"/>
      <c r="AU1051" s="14"/>
      <c r="AV1051" s="14"/>
      <c r="AW1051" s="14"/>
      <c r="AX1051" s="14"/>
      <c r="AY1051" s="14"/>
      <c r="AZ1051" s="14"/>
      <c r="BA1051" s="14"/>
      <c r="BB1051" s="14"/>
      <c r="BC1051" s="14"/>
      <c r="BD1051" s="14"/>
      <c r="BE1051" s="14"/>
      <c r="BF1051" s="14"/>
      <c r="BG1051" s="14"/>
      <c r="BH1051" s="14"/>
      <c r="BI1051" s="14"/>
      <c r="BJ1051" s="14"/>
      <c r="BK1051" s="14"/>
      <c r="BL1051" s="14"/>
      <c r="BM1051" s="14"/>
      <c r="BN1051" s="14"/>
      <c r="BO1051" s="14"/>
      <c r="BP1051" s="14"/>
      <c r="BQ1051" s="14"/>
      <c r="BR1051" s="14"/>
      <c r="BS1051" s="14"/>
      <c r="BT1051" s="14"/>
      <c r="BU1051" s="14"/>
      <c r="BV1051" s="14"/>
      <c r="BW1051" s="14"/>
      <c r="BX1051" s="14"/>
      <c r="BY1051" s="14"/>
      <c r="BZ1051" s="14"/>
      <c r="CA1051" s="14"/>
      <c r="CB1051" s="14"/>
      <c r="CC1051" s="14"/>
      <c r="CD1051" s="14"/>
      <c r="CE1051" s="14"/>
      <c r="CF1051" s="14"/>
      <c r="CG1051" s="14"/>
      <c r="CH1051" s="14"/>
      <c r="CI1051" s="14"/>
      <c r="CJ1051" s="14"/>
      <c r="CK1051" s="14"/>
      <c r="CL1051" s="14"/>
      <c r="CT1051" s="14"/>
      <c r="CW1051" s="3"/>
      <c r="DG1051" s="4"/>
    </row>
    <row r="1052" customFormat="false" ht="11.25" hidden="false" customHeight="true" outlineLevel="0" collapsed="false">
      <c r="A1052" s="14"/>
      <c r="B1052" s="15"/>
      <c r="C1052" s="15"/>
      <c r="D1052" s="14"/>
      <c r="E1052" s="14"/>
      <c r="F1052" s="14"/>
      <c r="G1052" s="14"/>
      <c r="H1052" s="15"/>
      <c r="I1052" s="15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  <c r="AA1052" s="14"/>
      <c r="AB1052" s="14"/>
      <c r="AC1052" s="14"/>
      <c r="AD1052" s="14"/>
      <c r="AE1052" s="14"/>
      <c r="AF1052" s="14"/>
      <c r="AG1052" s="14"/>
      <c r="AH1052" s="14"/>
      <c r="AI1052" s="14"/>
      <c r="AJ1052" s="14"/>
      <c r="AK1052" s="14"/>
      <c r="AL1052" s="14"/>
      <c r="AM1052" s="14"/>
      <c r="AN1052" s="14"/>
      <c r="AO1052" s="14"/>
      <c r="AP1052" s="14"/>
      <c r="AQ1052" s="14"/>
      <c r="AR1052" s="14"/>
      <c r="AS1052" s="14"/>
      <c r="AT1052" s="14"/>
      <c r="AU1052" s="14"/>
      <c r="AV1052" s="14"/>
      <c r="AW1052" s="14"/>
      <c r="AX1052" s="14"/>
      <c r="AY1052" s="14"/>
      <c r="AZ1052" s="14"/>
      <c r="BA1052" s="14"/>
      <c r="BB1052" s="14"/>
      <c r="BC1052" s="14"/>
      <c r="BD1052" s="14"/>
      <c r="BE1052" s="14"/>
      <c r="BF1052" s="14"/>
      <c r="BG1052" s="14"/>
      <c r="BH1052" s="14"/>
      <c r="BI1052" s="14"/>
      <c r="BJ1052" s="14"/>
      <c r="BK1052" s="14"/>
      <c r="BL1052" s="14"/>
      <c r="BM1052" s="14"/>
      <c r="BN1052" s="14"/>
      <c r="BO1052" s="14"/>
      <c r="BP1052" s="14"/>
      <c r="BQ1052" s="14"/>
      <c r="BR1052" s="14"/>
      <c r="BS1052" s="14"/>
      <c r="BT1052" s="14"/>
      <c r="BU1052" s="14"/>
      <c r="BV1052" s="14"/>
      <c r="BW1052" s="14"/>
      <c r="BX1052" s="14"/>
      <c r="BY1052" s="14"/>
      <c r="BZ1052" s="14"/>
      <c r="CA1052" s="14"/>
      <c r="CB1052" s="14"/>
      <c r="CC1052" s="14"/>
      <c r="CD1052" s="14"/>
      <c r="CE1052" s="14"/>
      <c r="CF1052" s="14"/>
      <c r="CG1052" s="14"/>
      <c r="CH1052" s="14"/>
      <c r="CI1052" s="14"/>
      <c r="CJ1052" s="14"/>
      <c r="CK1052" s="14"/>
      <c r="CL1052" s="14"/>
      <c r="CT1052" s="14"/>
      <c r="CW1052" s="3"/>
      <c r="DG1052" s="4"/>
    </row>
    <row r="1053" customFormat="false" ht="11.25" hidden="false" customHeight="true" outlineLevel="0" collapsed="false">
      <c r="A1053" s="14"/>
      <c r="B1053" s="15"/>
      <c r="C1053" s="15"/>
      <c r="D1053" s="14"/>
      <c r="E1053" s="14"/>
      <c r="F1053" s="14"/>
      <c r="G1053" s="14"/>
      <c r="H1053" s="15"/>
      <c r="I1053" s="15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  <c r="AA1053" s="14"/>
      <c r="AB1053" s="14"/>
      <c r="AC1053" s="14"/>
      <c r="AD1053" s="14"/>
      <c r="AE1053" s="14"/>
      <c r="AF1053" s="14"/>
      <c r="AG1053" s="14"/>
      <c r="AH1053" s="14"/>
      <c r="AI1053" s="14"/>
      <c r="AJ1053" s="14"/>
      <c r="AK1053" s="14"/>
      <c r="AL1053" s="14"/>
      <c r="AM1053" s="14"/>
      <c r="AN1053" s="14"/>
      <c r="AO1053" s="14"/>
      <c r="AP1053" s="14"/>
      <c r="AQ1053" s="14"/>
      <c r="AR1053" s="14"/>
      <c r="AS1053" s="14"/>
      <c r="AT1053" s="14"/>
      <c r="AU1053" s="14"/>
      <c r="AV1053" s="14"/>
      <c r="AW1053" s="14"/>
      <c r="AX1053" s="14"/>
      <c r="AY1053" s="14"/>
      <c r="AZ1053" s="14"/>
      <c r="BA1053" s="14"/>
      <c r="BB1053" s="14"/>
      <c r="BC1053" s="14"/>
      <c r="BD1053" s="14"/>
      <c r="BE1053" s="14"/>
      <c r="BF1053" s="14"/>
      <c r="BG1053" s="14"/>
      <c r="BH1053" s="14"/>
      <c r="BI1053" s="14"/>
      <c r="BJ1053" s="14"/>
      <c r="BK1053" s="14"/>
      <c r="BL1053" s="14"/>
      <c r="BM1053" s="14"/>
      <c r="BN1053" s="14"/>
      <c r="BO1053" s="14"/>
      <c r="BP1053" s="14"/>
      <c r="BQ1053" s="14"/>
      <c r="BR1053" s="14"/>
      <c r="BS1053" s="14"/>
      <c r="BT1053" s="14"/>
      <c r="BU1053" s="14"/>
      <c r="BV1053" s="14"/>
      <c r="BW1053" s="14"/>
      <c r="BX1053" s="14"/>
      <c r="BY1053" s="14"/>
      <c r="BZ1053" s="14"/>
      <c r="CA1053" s="14"/>
      <c r="CB1053" s="14"/>
      <c r="CC1053" s="14"/>
      <c r="CD1053" s="14"/>
      <c r="CE1053" s="14"/>
      <c r="CF1053" s="14"/>
      <c r="CG1053" s="14"/>
      <c r="CH1053" s="14"/>
      <c r="CI1053" s="14"/>
      <c r="CJ1053" s="14"/>
      <c r="CK1053" s="14"/>
      <c r="CL1053" s="14"/>
      <c r="CT1053" s="14"/>
      <c r="CW1053" s="3"/>
      <c r="DG1053" s="4"/>
    </row>
    <row r="1054" customFormat="false" ht="11.25" hidden="false" customHeight="true" outlineLevel="0" collapsed="false">
      <c r="A1054" s="14"/>
      <c r="B1054" s="15"/>
      <c r="C1054" s="15"/>
      <c r="D1054" s="14"/>
      <c r="E1054" s="14"/>
      <c r="F1054" s="14"/>
      <c r="G1054" s="14"/>
      <c r="H1054" s="15"/>
      <c r="I1054" s="15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  <c r="AA1054" s="14"/>
      <c r="AB1054" s="14"/>
      <c r="AC1054" s="14"/>
      <c r="AD1054" s="14"/>
      <c r="AE1054" s="14"/>
      <c r="AF1054" s="14"/>
      <c r="AG1054" s="14"/>
      <c r="AH1054" s="14"/>
      <c r="AI1054" s="14"/>
      <c r="AJ1054" s="14"/>
      <c r="AK1054" s="14"/>
      <c r="AL1054" s="14"/>
      <c r="AM1054" s="14"/>
      <c r="AN1054" s="14"/>
      <c r="AO1054" s="14"/>
      <c r="AP1054" s="14"/>
      <c r="AQ1054" s="14"/>
      <c r="AR1054" s="14"/>
      <c r="AS1054" s="14"/>
      <c r="AT1054" s="14"/>
      <c r="AU1054" s="14"/>
      <c r="AV1054" s="14"/>
      <c r="AW1054" s="14"/>
      <c r="AX1054" s="14"/>
      <c r="AY1054" s="14"/>
      <c r="AZ1054" s="14"/>
      <c r="BA1054" s="14"/>
      <c r="BB1054" s="14"/>
      <c r="BC1054" s="14"/>
      <c r="BD1054" s="14"/>
      <c r="BE1054" s="14"/>
      <c r="BF1054" s="14"/>
      <c r="BG1054" s="14"/>
      <c r="BH1054" s="14"/>
      <c r="BI1054" s="14"/>
      <c r="BJ1054" s="14"/>
      <c r="BK1054" s="14"/>
      <c r="BL1054" s="14"/>
      <c r="BM1054" s="14"/>
      <c r="BN1054" s="14"/>
      <c r="BO1054" s="14"/>
      <c r="BP1054" s="14"/>
      <c r="BQ1054" s="14"/>
      <c r="BR1054" s="14"/>
      <c r="BS1054" s="14"/>
      <c r="BT1054" s="14"/>
      <c r="BU1054" s="14"/>
      <c r="BV1054" s="14"/>
      <c r="BW1054" s="14"/>
      <c r="BX1054" s="14"/>
      <c r="BY1054" s="14"/>
      <c r="BZ1054" s="14"/>
      <c r="CA1054" s="14"/>
      <c r="CB1054" s="14"/>
      <c r="CC1054" s="14"/>
      <c r="CD1054" s="14"/>
      <c r="CE1054" s="14"/>
      <c r="CF1054" s="14"/>
      <c r="CG1054" s="14"/>
      <c r="CH1054" s="14"/>
      <c r="CI1054" s="14"/>
      <c r="CJ1054" s="14"/>
      <c r="CK1054" s="14"/>
      <c r="CL1054" s="14"/>
      <c r="CT1054" s="14"/>
      <c r="CW1054" s="3"/>
      <c r="DG1054" s="4"/>
    </row>
    <row r="1055" customFormat="false" ht="11.25" hidden="false" customHeight="true" outlineLevel="0" collapsed="false">
      <c r="A1055" s="14"/>
      <c r="B1055" s="15"/>
      <c r="C1055" s="15"/>
      <c r="D1055" s="14"/>
      <c r="E1055" s="14"/>
      <c r="F1055" s="14"/>
      <c r="G1055" s="14"/>
      <c r="H1055" s="15"/>
      <c r="I1055" s="15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  <c r="AA1055" s="14"/>
      <c r="AB1055" s="14"/>
      <c r="AC1055" s="14"/>
      <c r="AD1055" s="14"/>
      <c r="AE1055" s="14"/>
      <c r="AF1055" s="14"/>
      <c r="AG1055" s="14"/>
      <c r="AH1055" s="14"/>
      <c r="AI1055" s="14"/>
      <c r="AJ1055" s="14"/>
      <c r="AK1055" s="14"/>
      <c r="AL1055" s="14"/>
      <c r="AM1055" s="14"/>
      <c r="AN1055" s="14"/>
      <c r="AO1055" s="14"/>
      <c r="AP1055" s="14"/>
      <c r="AQ1055" s="14"/>
      <c r="AR1055" s="14"/>
      <c r="AS1055" s="14"/>
      <c r="AT1055" s="14"/>
      <c r="AU1055" s="14"/>
      <c r="AV1055" s="14"/>
      <c r="AW1055" s="14"/>
      <c r="AX1055" s="14"/>
      <c r="AY1055" s="14"/>
      <c r="AZ1055" s="14"/>
      <c r="BA1055" s="14"/>
      <c r="BB1055" s="14"/>
      <c r="BC1055" s="14"/>
      <c r="BD1055" s="14"/>
      <c r="BE1055" s="14"/>
      <c r="BF1055" s="14"/>
      <c r="BG1055" s="14"/>
      <c r="BH1055" s="14"/>
      <c r="BI1055" s="14"/>
      <c r="BJ1055" s="14"/>
      <c r="BK1055" s="14"/>
      <c r="BL1055" s="14"/>
      <c r="BM1055" s="14"/>
      <c r="BN1055" s="14"/>
      <c r="BO1055" s="14"/>
      <c r="BP1055" s="14"/>
      <c r="BQ1055" s="14"/>
      <c r="BR1055" s="14"/>
      <c r="BS1055" s="14"/>
      <c r="BT1055" s="14"/>
      <c r="BU1055" s="14"/>
      <c r="BV1055" s="14"/>
      <c r="BW1055" s="14"/>
      <c r="BX1055" s="14"/>
      <c r="BY1055" s="14"/>
      <c r="BZ1055" s="14"/>
      <c r="CA1055" s="14"/>
      <c r="CB1055" s="14"/>
      <c r="CC1055" s="14"/>
      <c r="CD1055" s="14"/>
      <c r="CE1055" s="14"/>
      <c r="CF1055" s="14"/>
      <c r="CG1055" s="14"/>
      <c r="CH1055" s="14"/>
      <c r="CI1055" s="14"/>
      <c r="CJ1055" s="14"/>
      <c r="CK1055" s="14"/>
      <c r="CL1055" s="14"/>
      <c r="CT1055" s="14"/>
      <c r="CW1055" s="3"/>
      <c r="DG1055" s="4"/>
    </row>
    <row r="1056" customFormat="false" ht="11.25" hidden="false" customHeight="true" outlineLevel="0" collapsed="false">
      <c r="A1056" s="14"/>
      <c r="B1056" s="15"/>
      <c r="C1056" s="15"/>
      <c r="D1056" s="14"/>
      <c r="E1056" s="14"/>
      <c r="F1056" s="14"/>
      <c r="G1056" s="14"/>
      <c r="H1056" s="15"/>
      <c r="I1056" s="15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  <c r="AA1056" s="14"/>
      <c r="AB1056" s="14"/>
      <c r="AC1056" s="14"/>
      <c r="AD1056" s="14"/>
      <c r="AE1056" s="14"/>
      <c r="AF1056" s="14"/>
      <c r="AG1056" s="14"/>
      <c r="AH1056" s="14"/>
      <c r="AI1056" s="14"/>
      <c r="AJ1056" s="14"/>
      <c r="AK1056" s="14"/>
      <c r="AL1056" s="14"/>
      <c r="AM1056" s="14"/>
      <c r="AN1056" s="14"/>
      <c r="AO1056" s="14"/>
      <c r="AP1056" s="14"/>
      <c r="AQ1056" s="14"/>
      <c r="AR1056" s="14"/>
      <c r="AS1056" s="14"/>
      <c r="AT1056" s="14"/>
      <c r="AU1056" s="14"/>
      <c r="AV1056" s="14"/>
      <c r="AW1056" s="14"/>
      <c r="AX1056" s="14"/>
      <c r="AY1056" s="14"/>
      <c r="AZ1056" s="14"/>
      <c r="BA1056" s="14"/>
      <c r="BB1056" s="14"/>
      <c r="BC1056" s="14"/>
      <c r="BD1056" s="14"/>
      <c r="BE1056" s="14"/>
      <c r="BF1056" s="14"/>
      <c r="BG1056" s="14"/>
      <c r="BH1056" s="14"/>
      <c r="BI1056" s="14"/>
      <c r="BJ1056" s="14"/>
      <c r="BK1056" s="14"/>
      <c r="BL1056" s="14"/>
      <c r="BM1056" s="14"/>
      <c r="BN1056" s="14"/>
      <c r="BO1056" s="14"/>
      <c r="BP1056" s="14"/>
      <c r="BQ1056" s="14"/>
      <c r="BR1056" s="14"/>
      <c r="BS1056" s="14"/>
      <c r="BT1056" s="14"/>
      <c r="BU1056" s="14"/>
      <c r="BV1056" s="14"/>
      <c r="BW1056" s="14"/>
      <c r="BX1056" s="14"/>
      <c r="BY1056" s="14"/>
      <c r="BZ1056" s="14"/>
      <c r="CA1056" s="14"/>
      <c r="CB1056" s="14"/>
      <c r="CC1056" s="14"/>
      <c r="CD1056" s="14"/>
      <c r="CE1056" s="14"/>
      <c r="CF1056" s="14"/>
      <c r="CG1056" s="14"/>
      <c r="CH1056" s="14"/>
      <c r="CI1056" s="14"/>
      <c r="CJ1056" s="14"/>
      <c r="CK1056" s="14"/>
      <c r="CL1056" s="14"/>
      <c r="CT1056" s="14"/>
      <c r="CW1056" s="3"/>
      <c r="DG1056" s="4"/>
    </row>
    <row r="1057" customFormat="false" ht="11.25" hidden="false" customHeight="true" outlineLevel="0" collapsed="false">
      <c r="A1057" s="14"/>
      <c r="B1057" s="15"/>
      <c r="C1057" s="15"/>
      <c r="D1057" s="14"/>
      <c r="E1057" s="14"/>
      <c r="F1057" s="14"/>
      <c r="G1057" s="14"/>
      <c r="H1057" s="15"/>
      <c r="I1057" s="15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  <c r="AA1057" s="14"/>
      <c r="AB1057" s="14"/>
      <c r="AC1057" s="14"/>
      <c r="AD1057" s="14"/>
      <c r="AE1057" s="14"/>
      <c r="AF1057" s="14"/>
      <c r="AG1057" s="14"/>
      <c r="AH1057" s="14"/>
      <c r="AI1057" s="14"/>
      <c r="AJ1057" s="14"/>
      <c r="AK1057" s="14"/>
      <c r="AL1057" s="14"/>
      <c r="AM1057" s="14"/>
      <c r="AN1057" s="14"/>
      <c r="AO1057" s="14"/>
      <c r="AP1057" s="14"/>
      <c r="AQ1057" s="14"/>
      <c r="AR1057" s="14"/>
      <c r="AS1057" s="14"/>
      <c r="AT1057" s="14"/>
      <c r="AU1057" s="14"/>
      <c r="AV1057" s="14"/>
      <c r="AW1057" s="14"/>
      <c r="AX1057" s="14"/>
      <c r="AY1057" s="14"/>
      <c r="AZ1057" s="14"/>
      <c r="BA1057" s="14"/>
      <c r="BB1057" s="14"/>
      <c r="BC1057" s="14"/>
      <c r="BD1057" s="14"/>
      <c r="BE1057" s="14"/>
      <c r="BF1057" s="14"/>
      <c r="BG1057" s="14"/>
      <c r="BH1057" s="14"/>
      <c r="BI1057" s="14"/>
      <c r="BJ1057" s="14"/>
      <c r="BK1057" s="14"/>
      <c r="BL1057" s="14"/>
      <c r="BM1057" s="14"/>
      <c r="BN1057" s="14"/>
      <c r="BO1057" s="14"/>
      <c r="BP1057" s="14"/>
      <c r="BQ1057" s="14"/>
      <c r="BR1057" s="14"/>
      <c r="BS1057" s="14"/>
      <c r="BT1057" s="14"/>
      <c r="BU1057" s="14"/>
      <c r="BV1057" s="14"/>
      <c r="BW1057" s="14"/>
      <c r="BX1057" s="14"/>
      <c r="BY1057" s="14"/>
      <c r="BZ1057" s="14"/>
      <c r="CA1057" s="14"/>
      <c r="CB1057" s="14"/>
      <c r="CC1057" s="14"/>
      <c r="CD1057" s="14"/>
      <c r="CE1057" s="14"/>
      <c r="CF1057" s="14"/>
      <c r="CG1057" s="14"/>
      <c r="CH1057" s="14"/>
      <c r="CI1057" s="14"/>
      <c r="CJ1057" s="14"/>
      <c r="CK1057" s="14"/>
      <c r="CL1057" s="14"/>
      <c r="CT1057" s="14"/>
      <c r="CW1057" s="3"/>
      <c r="DG1057" s="4"/>
    </row>
    <row r="1058" customFormat="false" ht="11.25" hidden="false" customHeight="true" outlineLevel="0" collapsed="false">
      <c r="A1058" s="14"/>
      <c r="B1058" s="15"/>
      <c r="C1058" s="15"/>
      <c r="D1058" s="14"/>
      <c r="E1058" s="14"/>
      <c r="F1058" s="14"/>
      <c r="G1058" s="14"/>
      <c r="H1058" s="15"/>
      <c r="I1058" s="15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  <c r="AA1058" s="14"/>
      <c r="AB1058" s="14"/>
      <c r="AC1058" s="14"/>
      <c r="AD1058" s="14"/>
      <c r="AE1058" s="14"/>
      <c r="AF1058" s="14"/>
      <c r="AG1058" s="14"/>
      <c r="AH1058" s="14"/>
      <c r="AI1058" s="14"/>
      <c r="AJ1058" s="14"/>
      <c r="AK1058" s="14"/>
      <c r="AL1058" s="14"/>
      <c r="AM1058" s="14"/>
      <c r="AN1058" s="14"/>
      <c r="AO1058" s="14"/>
      <c r="AP1058" s="14"/>
      <c r="AQ1058" s="14"/>
      <c r="AR1058" s="14"/>
      <c r="AS1058" s="14"/>
      <c r="AT1058" s="14"/>
      <c r="AU1058" s="14"/>
      <c r="AV1058" s="14"/>
      <c r="AW1058" s="14"/>
      <c r="AX1058" s="14"/>
      <c r="AY1058" s="14"/>
      <c r="AZ1058" s="14"/>
      <c r="BA1058" s="14"/>
      <c r="BB1058" s="14"/>
      <c r="BC1058" s="14"/>
      <c r="BD1058" s="14"/>
      <c r="BE1058" s="14"/>
      <c r="BF1058" s="14"/>
      <c r="BG1058" s="14"/>
      <c r="BH1058" s="14"/>
      <c r="BI1058" s="14"/>
      <c r="BJ1058" s="14"/>
      <c r="BK1058" s="14"/>
      <c r="BL1058" s="14"/>
      <c r="BM1058" s="14"/>
      <c r="BN1058" s="14"/>
      <c r="BO1058" s="14"/>
      <c r="BP1058" s="14"/>
      <c r="BQ1058" s="14"/>
      <c r="BR1058" s="14"/>
      <c r="BS1058" s="14"/>
      <c r="BT1058" s="14"/>
      <c r="BU1058" s="14"/>
      <c r="BV1058" s="14"/>
      <c r="BW1058" s="14"/>
      <c r="BX1058" s="14"/>
      <c r="BY1058" s="14"/>
      <c r="BZ1058" s="14"/>
      <c r="CA1058" s="14"/>
      <c r="CB1058" s="14"/>
      <c r="CC1058" s="14"/>
      <c r="CD1058" s="14"/>
      <c r="CE1058" s="14"/>
      <c r="CF1058" s="14"/>
      <c r="CG1058" s="14"/>
      <c r="CH1058" s="14"/>
      <c r="CI1058" s="14"/>
      <c r="CJ1058" s="14"/>
      <c r="CK1058" s="14"/>
      <c r="CL1058" s="14"/>
      <c r="CT1058" s="14"/>
      <c r="CW1058" s="3"/>
      <c r="DG1058" s="4"/>
    </row>
    <row r="1059" customFormat="false" ht="11.25" hidden="false" customHeight="true" outlineLevel="0" collapsed="false">
      <c r="A1059" s="14"/>
      <c r="B1059" s="15"/>
      <c r="C1059" s="15"/>
      <c r="D1059" s="14"/>
      <c r="E1059" s="14"/>
      <c r="F1059" s="14"/>
      <c r="G1059" s="14"/>
      <c r="H1059" s="15"/>
      <c r="I1059" s="15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  <c r="AA1059" s="14"/>
      <c r="AB1059" s="14"/>
      <c r="AC1059" s="14"/>
      <c r="AD1059" s="14"/>
      <c r="AE1059" s="14"/>
      <c r="AF1059" s="14"/>
      <c r="AG1059" s="14"/>
      <c r="AH1059" s="14"/>
      <c r="AI1059" s="14"/>
      <c r="AJ1059" s="14"/>
      <c r="AK1059" s="14"/>
      <c r="AL1059" s="14"/>
      <c r="AM1059" s="14"/>
      <c r="AN1059" s="14"/>
      <c r="AO1059" s="14"/>
      <c r="AP1059" s="14"/>
      <c r="AQ1059" s="14"/>
      <c r="AR1059" s="14"/>
      <c r="AS1059" s="14"/>
      <c r="AT1059" s="14"/>
      <c r="AU1059" s="14"/>
      <c r="AV1059" s="14"/>
      <c r="AW1059" s="14"/>
      <c r="AX1059" s="14"/>
      <c r="AY1059" s="14"/>
      <c r="AZ1059" s="14"/>
      <c r="BA1059" s="14"/>
      <c r="BB1059" s="14"/>
      <c r="BC1059" s="14"/>
      <c r="BD1059" s="14"/>
      <c r="BE1059" s="14"/>
      <c r="BF1059" s="14"/>
      <c r="BG1059" s="14"/>
      <c r="BH1059" s="14"/>
      <c r="BI1059" s="14"/>
      <c r="BJ1059" s="14"/>
      <c r="BK1059" s="14"/>
      <c r="BL1059" s="14"/>
      <c r="BM1059" s="14"/>
      <c r="BN1059" s="14"/>
      <c r="BO1059" s="14"/>
      <c r="BP1059" s="14"/>
      <c r="BQ1059" s="14"/>
      <c r="BR1059" s="14"/>
      <c r="BS1059" s="14"/>
      <c r="BT1059" s="14"/>
      <c r="BU1059" s="14"/>
      <c r="BV1059" s="14"/>
      <c r="BW1059" s="14"/>
      <c r="BX1059" s="14"/>
      <c r="BY1059" s="14"/>
      <c r="BZ1059" s="14"/>
      <c r="CA1059" s="14"/>
      <c r="CB1059" s="14"/>
      <c r="CC1059" s="14"/>
      <c r="CD1059" s="14"/>
      <c r="CE1059" s="14"/>
      <c r="CF1059" s="14"/>
      <c r="CG1059" s="14"/>
      <c r="CH1059" s="14"/>
      <c r="CI1059" s="14"/>
      <c r="CJ1059" s="14"/>
      <c r="CK1059" s="14"/>
      <c r="CL1059" s="14"/>
      <c r="CT1059" s="14"/>
      <c r="CW1059" s="3"/>
      <c r="DG1059" s="4"/>
    </row>
    <row r="1060" customFormat="false" ht="11.25" hidden="false" customHeight="true" outlineLevel="0" collapsed="false">
      <c r="A1060" s="14"/>
      <c r="B1060" s="15"/>
      <c r="C1060" s="15"/>
      <c r="D1060" s="14"/>
      <c r="E1060" s="14"/>
      <c r="F1060" s="14"/>
      <c r="G1060" s="14"/>
      <c r="H1060" s="15"/>
      <c r="I1060" s="15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  <c r="AA1060" s="14"/>
      <c r="AB1060" s="14"/>
      <c r="AC1060" s="14"/>
      <c r="AD1060" s="14"/>
      <c r="AE1060" s="14"/>
      <c r="AF1060" s="14"/>
      <c r="AG1060" s="14"/>
      <c r="AH1060" s="14"/>
      <c r="AI1060" s="14"/>
      <c r="AJ1060" s="14"/>
      <c r="AK1060" s="14"/>
      <c r="AL1060" s="14"/>
      <c r="AM1060" s="14"/>
      <c r="AN1060" s="14"/>
      <c r="AO1060" s="14"/>
      <c r="AP1060" s="14"/>
      <c r="AQ1060" s="14"/>
      <c r="AR1060" s="14"/>
      <c r="AS1060" s="14"/>
      <c r="AT1060" s="14"/>
      <c r="AU1060" s="14"/>
      <c r="AV1060" s="14"/>
      <c r="AW1060" s="14"/>
      <c r="AX1060" s="14"/>
      <c r="AY1060" s="14"/>
      <c r="AZ1060" s="14"/>
      <c r="BA1060" s="14"/>
      <c r="BB1060" s="14"/>
      <c r="BC1060" s="14"/>
      <c r="BD1060" s="14"/>
      <c r="BE1060" s="14"/>
      <c r="BF1060" s="14"/>
      <c r="BG1060" s="14"/>
      <c r="BH1060" s="14"/>
      <c r="BI1060" s="14"/>
      <c r="BJ1060" s="14"/>
      <c r="BK1060" s="14"/>
      <c r="BL1060" s="14"/>
      <c r="BM1060" s="14"/>
      <c r="BN1060" s="14"/>
      <c r="BO1060" s="14"/>
      <c r="BP1060" s="14"/>
      <c r="BQ1060" s="14"/>
      <c r="BR1060" s="14"/>
      <c r="BS1060" s="14"/>
      <c r="BT1060" s="14"/>
      <c r="BU1060" s="14"/>
      <c r="BV1060" s="14"/>
      <c r="BW1060" s="14"/>
      <c r="BX1060" s="14"/>
      <c r="BY1060" s="14"/>
      <c r="BZ1060" s="14"/>
      <c r="CA1060" s="14"/>
      <c r="CB1060" s="14"/>
      <c r="CC1060" s="14"/>
      <c r="CD1060" s="14"/>
      <c r="CE1060" s="14"/>
      <c r="CF1060" s="14"/>
      <c r="CG1060" s="14"/>
      <c r="CH1060" s="14"/>
      <c r="CI1060" s="14"/>
      <c r="CJ1060" s="14"/>
      <c r="CK1060" s="14"/>
      <c r="CL1060" s="14"/>
      <c r="CT1060" s="14"/>
      <c r="CW1060" s="3"/>
      <c r="DG1060" s="4"/>
    </row>
    <row r="1061" customFormat="false" ht="11.25" hidden="false" customHeight="true" outlineLevel="0" collapsed="false">
      <c r="CK1061" s="1"/>
      <c r="CW1061" s="3"/>
      <c r="DG1061" s="4"/>
    </row>
    <row r="1062" customFormat="false" ht="11.25" hidden="false" customHeight="true" outlineLevel="0" collapsed="false">
      <c r="CK1062" s="1"/>
      <c r="CW1062" s="3"/>
      <c r="DG1062" s="4"/>
    </row>
    <row r="1063" customFormat="false" ht="11.25" hidden="false" customHeight="true" outlineLevel="0" collapsed="false">
      <c r="CK1063" s="1"/>
      <c r="CW1063" s="3"/>
      <c r="DG1063" s="4"/>
    </row>
    <row r="1064" customFormat="false" ht="11.25" hidden="false" customHeight="true" outlineLevel="0" collapsed="false">
      <c r="CK1064" s="1"/>
      <c r="CW1064" s="3"/>
      <c r="DG1064" s="4"/>
    </row>
    <row r="1065" customFormat="false" ht="11.25" hidden="false" customHeight="true" outlineLevel="0" collapsed="false">
      <c r="CK1065" s="1"/>
      <c r="CW1065" s="3"/>
      <c r="DG1065" s="4"/>
    </row>
    <row r="1066" customFormat="false" ht="11.25" hidden="false" customHeight="true" outlineLevel="0" collapsed="false">
      <c r="CK1066" s="1"/>
      <c r="CW1066" s="3"/>
      <c r="DG1066" s="4"/>
    </row>
    <row r="1067" customFormat="false" ht="11.25" hidden="false" customHeight="true" outlineLevel="0" collapsed="false">
      <c r="CK1067" s="1"/>
      <c r="CW1067" s="3"/>
      <c r="DG1067" s="4"/>
    </row>
    <row r="1068" customFormat="false" ht="11.25" hidden="false" customHeight="true" outlineLevel="0" collapsed="false">
      <c r="CK1068" s="1"/>
      <c r="CW1068" s="3"/>
      <c r="DG1068" s="4"/>
    </row>
    <row r="1069" customFormat="false" ht="11.25" hidden="false" customHeight="true" outlineLevel="0" collapsed="false">
      <c r="CK1069" s="1"/>
      <c r="CW1069" s="3"/>
      <c r="DG1069" s="4"/>
    </row>
    <row r="1070" customFormat="false" ht="11.25" hidden="false" customHeight="true" outlineLevel="0" collapsed="false">
      <c r="CK1070" s="1"/>
      <c r="CW1070" s="3"/>
      <c r="DG1070" s="4"/>
    </row>
    <row r="1071" customFormat="false" ht="11.25" hidden="false" customHeight="true" outlineLevel="0" collapsed="false">
      <c r="CK1071" s="1"/>
      <c r="CW1071" s="3"/>
      <c r="DG1071" s="4"/>
    </row>
    <row r="1072" customFormat="false" ht="11.25" hidden="false" customHeight="true" outlineLevel="0" collapsed="false">
      <c r="CK1072" s="1"/>
      <c r="CW1072" s="3"/>
      <c r="DG1072" s="4"/>
    </row>
    <row r="1073" customFormat="false" ht="11.25" hidden="false" customHeight="true" outlineLevel="0" collapsed="false">
      <c r="CK1073" s="1"/>
      <c r="CW1073" s="3"/>
      <c r="DG1073" s="4"/>
    </row>
    <row r="1074" customFormat="false" ht="11.25" hidden="false" customHeight="true" outlineLevel="0" collapsed="false">
      <c r="CK1074" s="1"/>
      <c r="CW1074" s="3"/>
      <c r="DG1074" s="4"/>
    </row>
    <row r="1075" customFormat="false" ht="11.25" hidden="false" customHeight="true" outlineLevel="0" collapsed="false">
      <c r="CK1075" s="1"/>
      <c r="CW1075" s="3"/>
      <c r="DG1075" s="4"/>
    </row>
    <row r="1076" customFormat="false" ht="11.25" hidden="false" customHeight="true" outlineLevel="0" collapsed="false">
      <c r="CK1076" s="1"/>
      <c r="CW1076" s="3"/>
      <c r="DG1076" s="4"/>
    </row>
    <row r="1077" customFormat="false" ht="11.25" hidden="false" customHeight="true" outlineLevel="0" collapsed="false">
      <c r="CK1077" s="1"/>
      <c r="CW1077" s="3"/>
      <c r="DG1077" s="4"/>
    </row>
    <row r="1078" customFormat="false" ht="11.25" hidden="false" customHeight="true" outlineLevel="0" collapsed="false">
      <c r="CK1078" s="1"/>
      <c r="CW1078" s="3"/>
      <c r="DG1078" s="4"/>
    </row>
    <row r="1079" customFormat="false" ht="11.25" hidden="false" customHeight="true" outlineLevel="0" collapsed="false">
      <c r="CK1079" s="1"/>
      <c r="CW1079" s="3"/>
      <c r="DG1079" s="4"/>
    </row>
    <row r="1080" customFormat="false" ht="11.25" hidden="false" customHeight="true" outlineLevel="0" collapsed="false">
      <c r="CK1080" s="1"/>
      <c r="CW1080" s="3"/>
      <c r="DG1080" s="4"/>
    </row>
    <row r="1081" customFormat="false" ht="11.25" hidden="false" customHeight="true" outlineLevel="0" collapsed="false">
      <c r="CK1081" s="1"/>
      <c r="CW1081" s="3"/>
      <c r="DG1081" s="4"/>
    </row>
    <row r="1082" customFormat="false" ht="11.25" hidden="false" customHeight="true" outlineLevel="0" collapsed="false">
      <c r="CK1082" s="1"/>
      <c r="CW1082" s="3"/>
      <c r="DG1082" s="4"/>
    </row>
    <row r="1083" customFormat="false" ht="11.25" hidden="false" customHeight="true" outlineLevel="0" collapsed="false">
      <c r="CK1083" s="1"/>
      <c r="CW1083" s="3"/>
      <c r="DG1083" s="4"/>
    </row>
    <row r="1084" customFormat="false" ht="11.25" hidden="false" customHeight="true" outlineLevel="0" collapsed="false">
      <c r="CK1084" s="1"/>
      <c r="CW1084" s="3"/>
      <c r="DG1084" s="4"/>
    </row>
    <row r="1085" customFormat="false" ht="11.25" hidden="false" customHeight="true" outlineLevel="0" collapsed="false">
      <c r="CK1085" s="1"/>
      <c r="CW1085" s="3"/>
      <c r="DG1085" s="4"/>
    </row>
    <row r="1086" customFormat="false" ht="11.25" hidden="false" customHeight="true" outlineLevel="0" collapsed="false">
      <c r="CK1086" s="1"/>
      <c r="CW1086" s="3"/>
      <c r="DG1086" s="4"/>
    </row>
    <row r="1087" customFormat="false" ht="11.25" hidden="false" customHeight="true" outlineLevel="0" collapsed="false">
      <c r="CK1087" s="1"/>
      <c r="CW1087" s="3"/>
      <c r="DG1087" s="4"/>
    </row>
    <row r="1088" customFormat="false" ht="11.25" hidden="false" customHeight="true" outlineLevel="0" collapsed="false">
      <c r="CK1088" s="1"/>
      <c r="CW1088" s="3"/>
      <c r="DG1088" s="4"/>
    </row>
    <row r="1089" customFormat="false" ht="11.25" hidden="false" customHeight="true" outlineLevel="0" collapsed="false">
      <c r="CK1089" s="1"/>
      <c r="CW1089" s="3"/>
      <c r="DG1089" s="4"/>
    </row>
    <row r="1090" customFormat="false" ht="11.25" hidden="false" customHeight="true" outlineLevel="0" collapsed="false">
      <c r="CK1090" s="1"/>
      <c r="CW1090" s="3"/>
      <c r="DG1090" s="4"/>
    </row>
    <row r="1091" customFormat="false" ht="11.25" hidden="false" customHeight="true" outlineLevel="0" collapsed="false">
      <c r="CK1091" s="1"/>
      <c r="CW1091" s="3"/>
      <c r="DG1091" s="4"/>
    </row>
    <row r="1092" customFormat="false" ht="11.25" hidden="false" customHeight="true" outlineLevel="0" collapsed="false">
      <c r="CK1092" s="1"/>
      <c r="CW1092" s="3"/>
      <c r="DG1092" s="4"/>
    </row>
    <row r="1093" customFormat="false" ht="11.25" hidden="false" customHeight="true" outlineLevel="0" collapsed="false">
      <c r="CK1093" s="1"/>
      <c r="CW1093" s="3"/>
      <c r="DG1093" s="4"/>
    </row>
    <row r="1094" customFormat="false" ht="11.25" hidden="false" customHeight="true" outlineLevel="0" collapsed="false">
      <c r="CK1094" s="1"/>
      <c r="CW1094" s="3"/>
      <c r="DG1094" s="4"/>
    </row>
    <row r="1095" customFormat="false" ht="11.25" hidden="false" customHeight="true" outlineLevel="0" collapsed="false">
      <c r="CK1095" s="1"/>
      <c r="CW1095" s="3"/>
      <c r="DG1095" s="4"/>
    </row>
    <row r="1096" customFormat="false" ht="11.25" hidden="false" customHeight="true" outlineLevel="0" collapsed="false">
      <c r="CK1096" s="1"/>
      <c r="CW1096" s="3"/>
      <c r="DG1096" s="4"/>
    </row>
    <row r="1097" customFormat="false" ht="11.25" hidden="false" customHeight="true" outlineLevel="0" collapsed="false">
      <c r="CK1097" s="1"/>
      <c r="CW1097" s="3"/>
      <c r="DG1097" s="4"/>
    </row>
    <row r="1098" customFormat="false" ht="11.25" hidden="false" customHeight="true" outlineLevel="0" collapsed="false">
      <c r="CK1098" s="1"/>
      <c r="CW1098" s="3"/>
      <c r="DG1098" s="4"/>
    </row>
    <row r="1099" customFormat="false" ht="11.25" hidden="false" customHeight="true" outlineLevel="0" collapsed="false">
      <c r="CK1099" s="1"/>
      <c r="CW1099" s="3"/>
      <c r="DG1099" s="4"/>
    </row>
    <row r="1100" customFormat="false" ht="11.25" hidden="false" customHeight="true" outlineLevel="0" collapsed="false">
      <c r="CK1100" s="1"/>
      <c r="CW1100" s="3"/>
      <c r="DG1100" s="4"/>
    </row>
    <row r="1101" customFormat="false" ht="11.25" hidden="false" customHeight="true" outlineLevel="0" collapsed="false">
      <c r="CK1101" s="1"/>
      <c r="CW1101" s="3"/>
      <c r="DG1101" s="4"/>
    </row>
    <row r="1102" customFormat="false" ht="11.25" hidden="false" customHeight="true" outlineLevel="0" collapsed="false">
      <c r="CK1102" s="1"/>
      <c r="CW1102" s="3"/>
      <c r="DG1102" s="4"/>
    </row>
    <row r="1103" customFormat="false" ht="11.25" hidden="false" customHeight="true" outlineLevel="0" collapsed="false">
      <c r="CK1103" s="1"/>
      <c r="CW1103" s="3"/>
      <c r="DG1103" s="4"/>
    </row>
    <row r="1104" customFormat="false" ht="11.25" hidden="false" customHeight="true" outlineLevel="0" collapsed="false">
      <c r="CK1104" s="1"/>
      <c r="CW1104" s="3"/>
      <c r="DG1104" s="4"/>
    </row>
    <row r="1105" customFormat="false" ht="11.25" hidden="false" customHeight="true" outlineLevel="0" collapsed="false">
      <c r="CK1105" s="1"/>
      <c r="CW1105" s="3"/>
      <c r="DG1105" s="4"/>
    </row>
    <row r="1106" customFormat="false" ht="11.25" hidden="false" customHeight="true" outlineLevel="0" collapsed="false">
      <c r="CK1106" s="1"/>
      <c r="CW1106" s="3"/>
      <c r="DG1106" s="4"/>
    </row>
    <row r="1107" customFormat="false" ht="11.25" hidden="false" customHeight="true" outlineLevel="0" collapsed="false">
      <c r="CK1107" s="1"/>
      <c r="CW1107" s="3"/>
      <c r="DG1107" s="4"/>
    </row>
    <row r="1108" customFormat="false" ht="11.25" hidden="false" customHeight="true" outlineLevel="0" collapsed="false">
      <c r="CK1108" s="1"/>
      <c r="CW1108" s="3"/>
      <c r="DG1108" s="4"/>
    </row>
    <row r="1109" customFormat="false" ht="11.25" hidden="false" customHeight="true" outlineLevel="0" collapsed="false">
      <c r="CK1109" s="1"/>
      <c r="CW1109" s="3"/>
      <c r="DG1109" s="4"/>
    </row>
    <row r="1110" customFormat="false" ht="11.25" hidden="false" customHeight="true" outlineLevel="0" collapsed="false">
      <c r="CK1110" s="1"/>
      <c r="CW1110" s="3"/>
      <c r="DG1110" s="4"/>
    </row>
    <row r="1111" customFormat="false" ht="11.25" hidden="false" customHeight="true" outlineLevel="0" collapsed="false">
      <c r="CK1111" s="1"/>
      <c r="CW1111" s="3"/>
      <c r="DG1111" s="4"/>
    </row>
    <row r="1112" customFormat="false" ht="11.25" hidden="false" customHeight="true" outlineLevel="0" collapsed="false">
      <c r="CK1112" s="1"/>
      <c r="CW1112" s="3"/>
      <c r="DG1112" s="4"/>
    </row>
    <row r="1113" customFormat="false" ht="11.25" hidden="false" customHeight="true" outlineLevel="0" collapsed="false">
      <c r="CK1113" s="1"/>
      <c r="CW1113" s="3"/>
      <c r="DG1113" s="4"/>
    </row>
    <row r="1114" customFormat="false" ht="11.25" hidden="false" customHeight="true" outlineLevel="0" collapsed="false">
      <c r="CK1114" s="1"/>
      <c r="CW1114" s="3"/>
      <c r="DG1114" s="4"/>
    </row>
    <row r="1115" customFormat="false" ht="11.25" hidden="false" customHeight="true" outlineLevel="0" collapsed="false">
      <c r="CK1115" s="1"/>
      <c r="CW1115" s="3"/>
      <c r="DG1115" s="4"/>
    </row>
    <row r="1116" customFormat="false" ht="11.25" hidden="false" customHeight="true" outlineLevel="0" collapsed="false">
      <c r="CK1116" s="1"/>
      <c r="CW1116" s="3"/>
      <c r="DG1116" s="4"/>
    </row>
    <row r="1117" customFormat="false" ht="11.25" hidden="false" customHeight="true" outlineLevel="0" collapsed="false">
      <c r="CK1117" s="1"/>
      <c r="CW1117" s="3"/>
      <c r="DG1117" s="4"/>
    </row>
    <row r="1118" customFormat="false" ht="11.25" hidden="false" customHeight="true" outlineLevel="0" collapsed="false">
      <c r="CK1118" s="1"/>
      <c r="CW1118" s="3"/>
      <c r="DG1118" s="4"/>
    </row>
    <row r="1119" customFormat="false" ht="11.25" hidden="false" customHeight="true" outlineLevel="0" collapsed="false">
      <c r="CK1119" s="1"/>
      <c r="CW1119" s="3"/>
      <c r="DG1119" s="4"/>
    </row>
    <row r="1120" customFormat="false" ht="11.25" hidden="false" customHeight="true" outlineLevel="0" collapsed="false">
      <c r="CK1120" s="1"/>
      <c r="CW1120" s="3"/>
      <c r="DG1120" s="4"/>
    </row>
    <row r="1121" customFormat="false" ht="11.25" hidden="false" customHeight="true" outlineLevel="0" collapsed="false">
      <c r="CK1121" s="1"/>
      <c r="CW1121" s="3"/>
      <c r="DG1121" s="4"/>
    </row>
    <row r="1122" customFormat="false" ht="11.25" hidden="false" customHeight="true" outlineLevel="0" collapsed="false">
      <c r="CK1122" s="1"/>
      <c r="CW1122" s="3"/>
      <c r="DG1122" s="4"/>
    </row>
    <row r="1123" customFormat="false" ht="11.25" hidden="false" customHeight="true" outlineLevel="0" collapsed="false">
      <c r="CK1123" s="1"/>
      <c r="CW1123" s="3"/>
      <c r="DG1123" s="4"/>
    </row>
    <row r="1124" customFormat="false" ht="11.25" hidden="false" customHeight="true" outlineLevel="0" collapsed="false">
      <c r="CK1124" s="1"/>
      <c r="CW1124" s="3"/>
      <c r="DG1124" s="4"/>
    </row>
    <row r="1125" customFormat="false" ht="11.25" hidden="false" customHeight="true" outlineLevel="0" collapsed="false">
      <c r="CK1125" s="1"/>
      <c r="CW1125" s="3"/>
      <c r="DG1125" s="4"/>
    </row>
    <row r="1126" customFormat="false" ht="11.25" hidden="false" customHeight="true" outlineLevel="0" collapsed="false">
      <c r="CK1126" s="1"/>
      <c r="CW1126" s="3"/>
      <c r="DG1126" s="4"/>
    </row>
    <row r="1127" customFormat="false" ht="11.25" hidden="false" customHeight="true" outlineLevel="0" collapsed="false">
      <c r="CK1127" s="1"/>
      <c r="CW1127" s="3"/>
      <c r="DG1127" s="4"/>
    </row>
    <row r="1128" customFormat="false" ht="11.25" hidden="false" customHeight="true" outlineLevel="0" collapsed="false">
      <c r="CK1128" s="1"/>
      <c r="CW1128" s="3"/>
      <c r="DG1128" s="4"/>
    </row>
    <row r="1129" customFormat="false" ht="11.25" hidden="false" customHeight="true" outlineLevel="0" collapsed="false">
      <c r="CK1129" s="1"/>
      <c r="CW1129" s="3"/>
      <c r="DG1129" s="4"/>
    </row>
    <row r="1130" customFormat="false" ht="11.25" hidden="false" customHeight="true" outlineLevel="0" collapsed="false">
      <c r="CK1130" s="1"/>
      <c r="CW1130" s="3"/>
      <c r="DG1130" s="4"/>
    </row>
    <row r="1131" customFormat="false" ht="11.25" hidden="false" customHeight="true" outlineLevel="0" collapsed="false">
      <c r="CK1131" s="1"/>
      <c r="CW1131" s="3"/>
      <c r="DG1131" s="4"/>
    </row>
    <row r="1132" customFormat="false" ht="11.25" hidden="false" customHeight="true" outlineLevel="0" collapsed="false">
      <c r="CK1132" s="1"/>
      <c r="CW1132" s="3"/>
      <c r="DG1132" s="4"/>
    </row>
    <row r="1133" customFormat="false" ht="11.25" hidden="false" customHeight="true" outlineLevel="0" collapsed="false">
      <c r="CK1133" s="1"/>
      <c r="CW1133" s="3"/>
      <c r="DG1133" s="4"/>
    </row>
    <row r="1134" customFormat="false" ht="11.25" hidden="false" customHeight="true" outlineLevel="0" collapsed="false">
      <c r="CK1134" s="1"/>
      <c r="CW1134" s="3"/>
      <c r="DG1134" s="4"/>
    </row>
    <row r="1135" customFormat="false" ht="11.25" hidden="false" customHeight="true" outlineLevel="0" collapsed="false">
      <c r="CK1135" s="1"/>
      <c r="CW1135" s="3"/>
      <c r="DG1135" s="4"/>
    </row>
    <row r="1136" customFormat="false" ht="11.25" hidden="false" customHeight="true" outlineLevel="0" collapsed="false">
      <c r="CK1136" s="1"/>
      <c r="CW1136" s="3"/>
      <c r="DG1136" s="4"/>
    </row>
    <row r="1137" customFormat="false" ht="11.25" hidden="false" customHeight="true" outlineLevel="0" collapsed="false">
      <c r="CK1137" s="1"/>
      <c r="CW1137" s="3"/>
      <c r="DG1137" s="4"/>
    </row>
    <row r="1138" customFormat="false" ht="11.25" hidden="false" customHeight="true" outlineLevel="0" collapsed="false">
      <c r="CK1138" s="1"/>
      <c r="CW1138" s="3"/>
      <c r="DG1138" s="4"/>
    </row>
    <row r="1139" customFormat="false" ht="11.25" hidden="false" customHeight="true" outlineLevel="0" collapsed="false">
      <c r="CK1139" s="1"/>
      <c r="CW1139" s="3"/>
      <c r="DG1139" s="4"/>
    </row>
    <row r="1140" customFormat="false" ht="11.25" hidden="false" customHeight="true" outlineLevel="0" collapsed="false">
      <c r="CK1140" s="1"/>
      <c r="CW1140" s="3"/>
      <c r="DG1140" s="4"/>
    </row>
    <row r="1141" customFormat="false" ht="11.25" hidden="false" customHeight="true" outlineLevel="0" collapsed="false">
      <c r="CK1141" s="1"/>
      <c r="CW1141" s="3"/>
      <c r="DG1141" s="4"/>
    </row>
    <row r="1142" customFormat="false" ht="11.25" hidden="false" customHeight="true" outlineLevel="0" collapsed="false">
      <c r="CK1142" s="1"/>
      <c r="CW1142" s="3"/>
      <c r="DG1142" s="4"/>
    </row>
    <row r="1143" customFormat="false" ht="11.25" hidden="false" customHeight="true" outlineLevel="0" collapsed="false">
      <c r="CK1143" s="1"/>
      <c r="CW1143" s="3"/>
      <c r="DG1143" s="4"/>
    </row>
    <row r="1144" customFormat="false" ht="11.25" hidden="false" customHeight="true" outlineLevel="0" collapsed="false">
      <c r="CK1144" s="1"/>
      <c r="CW1144" s="3"/>
      <c r="DG1144" s="4"/>
    </row>
    <row r="1145" customFormat="false" ht="11.25" hidden="false" customHeight="true" outlineLevel="0" collapsed="false">
      <c r="CK1145" s="1"/>
      <c r="CW1145" s="3"/>
      <c r="DG1145" s="4"/>
    </row>
    <row r="1146" customFormat="false" ht="11.25" hidden="false" customHeight="true" outlineLevel="0" collapsed="false">
      <c r="CK1146" s="1"/>
      <c r="CW1146" s="3"/>
      <c r="DG1146" s="4"/>
    </row>
    <row r="1147" customFormat="false" ht="11.25" hidden="false" customHeight="true" outlineLevel="0" collapsed="false">
      <c r="CK1147" s="1"/>
      <c r="CW1147" s="3"/>
      <c r="DG1147" s="4"/>
    </row>
    <row r="1148" customFormat="false" ht="11.25" hidden="false" customHeight="true" outlineLevel="0" collapsed="false">
      <c r="CK1148" s="1"/>
      <c r="CW1148" s="3"/>
      <c r="DG1148" s="4"/>
    </row>
    <row r="1149" customFormat="false" ht="11.25" hidden="false" customHeight="true" outlineLevel="0" collapsed="false">
      <c r="CK1149" s="1"/>
      <c r="CW1149" s="3"/>
      <c r="DG1149" s="4"/>
    </row>
    <row r="1150" customFormat="false" ht="11.25" hidden="false" customHeight="true" outlineLevel="0" collapsed="false">
      <c r="CK1150" s="1"/>
      <c r="CW1150" s="3"/>
      <c r="DG1150" s="4"/>
    </row>
    <row r="1151" customFormat="false" ht="11.25" hidden="false" customHeight="true" outlineLevel="0" collapsed="false">
      <c r="CK1151" s="1"/>
      <c r="CW1151" s="3"/>
      <c r="DG1151" s="4"/>
    </row>
    <row r="1152" customFormat="false" ht="11.25" hidden="false" customHeight="true" outlineLevel="0" collapsed="false">
      <c r="CK1152" s="1"/>
      <c r="CW1152" s="3"/>
      <c r="DG1152" s="4"/>
    </row>
    <row r="1153" customFormat="false" ht="11.25" hidden="false" customHeight="true" outlineLevel="0" collapsed="false">
      <c r="CK1153" s="1"/>
      <c r="CW1153" s="3"/>
      <c r="DG1153" s="4"/>
    </row>
    <row r="1154" customFormat="false" ht="11.25" hidden="false" customHeight="true" outlineLevel="0" collapsed="false">
      <c r="CK1154" s="1"/>
      <c r="CW1154" s="3"/>
      <c r="DG1154" s="4"/>
    </row>
    <row r="1155" customFormat="false" ht="11.25" hidden="false" customHeight="true" outlineLevel="0" collapsed="false">
      <c r="CK1155" s="1"/>
      <c r="CW1155" s="3"/>
      <c r="DG1155" s="4"/>
    </row>
    <row r="1156" customFormat="false" ht="11.25" hidden="false" customHeight="true" outlineLevel="0" collapsed="false">
      <c r="CK1156" s="1"/>
      <c r="CW1156" s="3"/>
      <c r="DG1156" s="4"/>
    </row>
    <row r="1157" customFormat="false" ht="11.25" hidden="false" customHeight="true" outlineLevel="0" collapsed="false">
      <c r="CK1157" s="1"/>
      <c r="CW1157" s="3"/>
      <c r="DG1157" s="4"/>
    </row>
    <row r="1158" customFormat="false" ht="11.25" hidden="false" customHeight="true" outlineLevel="0" collapsed="false">
      <c r="CK1158" s="1"/>
      <c r="CW1158" s="3"/>
      <c r="DG1158" s="4"/>
    </row>
    <row r="1159" customFormat="false" ht="11.25" hidden="false" customHeight="true" outlineLevel="0" collapsed="false">
      <c r="CK1159" s="1"/>
      <c r="CW1159" s="3"/>
      <c r="DG1159" s="4"/>
    </row>
    <row r="1160" customFormat="false" ht="11.25" hidden="false" customHeight="true" outlineLevel="0" collapsed="false">
      <c r="CK1160" s="1"/>
      <c r="CW1160" s="3"/>
      <c r="DG1160" s="4"/>
    </row>
    <row r="1161" customFormat="false" ht="11.25" hidden="false" customHeight="true" outlineLevel="0" collapsed="false">
      <c r="CK1161" s="1"/>
      <c r="CW1161" s="3"/>
      <c r="DG1161" s="4"/>
    </row>
    <row r="1162" customFormat="false" ht="11.25" hidden="false" customHeight="true" outlineLevel="0" collapsed="false">
      <c r="CK1162" s="1"/>
      <c r="CW1162" s="3"/>
      <c r="DG1162" s="4"/>
    </row>
    <row r="1163" customFormat="false" ht="11.25" hidden="false" customHeight="true" outlineLevel="0" collapsed="false">
      <c r="CK1163" s="1"/>
      <c r="CW1163" s="3"/>
      <c r="DG1163" s="4"/>
    </row>
    <row r="1164" customFormat="false" ht="11.25" hidden="false" customHeight="true" outlineLevel="0" collapsed="false">
      <c r="CK1164" s="1"/>
      <c r="CW1164" s="3"/>
      <c r="DG1164" s="4"/>
    </row>
    <row r="1165" customFormat="false" ht="11.25" hidden="false" customHeight="true" outlineLevel="0" collapsed="false">
      <c r="CK1165" s="1"/>
      <c r="CW1165" s="3"/>
      <c r="DG1165" s="4"/>
    </row>
    <row r="1166" customFormat="false" ht="11.25" hidden="false" customHeight="true" outlineLevel="0" collapsed="false">
      <c r="CK1166" s="1"/>
      <c r="CW1166" s="3"/>
      <c r="DG1166" s="4"/>
    </row>
    <row r="1167" customFormat="false" ht="11.25" hidden="false" customHeight="true" outlineLevel="0" collapsed="false">
      <c r="CK1167" s="1"/>
      <c r="CW1167" s="3"/>
      <c r="DG1167" s="4"/>
    </row>
    <row r="1168" customFormat="false" ht="11.25" hidden="false" customHeight="true" outlineLevel="0" collapsed="false">
      <c r="CK1168" s="1"/>
      <c r="CW1168" s="3"/>
      <c r="DG1168" s="4"/>
    </row>
    <row r="1169" customFormat="false" ht="11.25" hidden="false" customHeight="true" outlineLevel="0" collapsed="false">
      <c r="CK1169" s="1"/>
      <c r="CW1169" s="3"/>
      <c r="DG1169" s="4"/>
    </row>
    <row r="1170" customFormat="false" ht="11.25" hidden="false" customHeight="true" outlineLevel="0" collapsed="false">
      <c r="CK1170" s="1"/>
      <c r="CW1170" s="3"/>
      <c r="DG1170" s="4"/>
    </row>
    <row r="1171" customFormat="false" ht="11.25" hidden="false" customHeight="true" outlineLevel="0" collapsed="false">
      <c r="CK1171" s="1"/>
      <c r="CW1171" s="3"/>
      <c r="DG1171" s="4"/>
    </row>
    <row r="1172" customFormat="false" ht="11.25" hidden="false" customHeight="true" outlineLevel="0" collapsed="false">
      <c r="CK1172" s="1"/>
      <c r="CW1172" s="3"/>
      <c r="DG1172" s="4"/>
    </row>
    <row r="1173" customFormat="false" ht="11.25" hidden="false" customHeight="true" outlineLevel="0" collapsed="false">
      <c r="CK1173" s="1"/>
      <c r="CW1173" s="3"/>
      <c r="DG1173" s="4"/>
    </row>
    <row r="1174" customFormat="false" ht="11.25" hidden="false" customHeight="true" outlineLevel="0" collapsed="false">
      <c r="CK1174" s="1"/>
      <c r="CW1174" s="3"/>
      <c r="DG1174" s="4"/>
    </row>
    <row r="1175" customFormat="false" ht="11.25" hidden="false" customHeight="true" outlineLevel="0" collapsed="false">
      <c r="CK1175" s="1"/>
      <c r="CW1175" s="3"/>
      <c r="DG1175" s="4"/>
    </row>
    <row r="1176" customFormat="false" ht="11.25" hidden="false" customHeight="true" outlineLevel="0" collapsed="false">
      <c r="CK1176" s="1"/>
      <c r="CW1176" s="3"/>
      <c r="DG1176" s="4"/>
    </row>
    <row r="1177" customFormat="false" ht="11.25" hidden="false" customHeight="true" outlineLevel="0" collapsed="false">
      <c r="CK1177" s="1"/>
      <c r="CW1177" s="3"/>
      <c r="DG1177" s="4"/>
    </row>
    <row r="1178" customFormat="false" ht="11.25" hidden="false" customHeight="true" outlineLevel="0" collapsed="false">
      <c r="CK1178" s="1"/>
      <c r="CW1178" s="3"/>
      <c r="DG1178" s="4"/>
    </row>
    <row r="1179" customFormat="false" ht="11.25" hidden="false" customHeight="true" outlineLevel="0" collapsed="false">
      <c r="CK1179" s="1"/>
      <c r="CW1179" s="3"/>
      <c r="DG1179" s="4"/>
    </row>
    <row r="1180" customFormat="false" ht="11.25" hidden="false" customHeight="true" outlineLevel="0" collapsed="false">
      <c r="CK1180" s="1"/>
      <c r="CW1180" s="3"/>
      <c r="DG1180" s="4"/>
    </row>
    <row r="1181" customFormat="false" ht="11.25" hidden="false" customHeight="true" outlineLevel="0" collapsed="false">
      <c r="CK1181" s="1"/>
      <c r="CW1181" s="3"/>
      <c r="DG1181" s="4"/>
    </row>
    <row r="1182" customFormat="false" ht="11.25" hidden="false" customHeight="true" outlineLevel="0" collapsed="false">
      <c r="CK1182" s="1"/>
      <c r="CW1182" s="3"/>
      <c r="DG1182" s="4"/>
    </row>
    <row r="1183" customFormat="false" ht="11.25" hidden="false" customHeight="true" outlineLevel="0" collapsed="false">
      <c r="CK1183" s="1"/>
      <c r="CW1183" s="3"/>
      <c r="DG1183" s="4"/>
    </row>
    <row r="1184" customFormat="false" ht="11.25" hidden="false" customHeight="true" outlineLevel="0" collapsed="false">
      <c r="CK1184" s="1"/>
      <c r="CW1184" s="3"/>
      <c r="DG1184" s="4"/>
    </row>
    <row r="1185" customFormat="false" ht="11.25" hidden="false" customHeight="true" outlineLevel="0" collapsed="false">
      <c r="CK1185" s="1"/>
      <c r="CW1185" s="3"/>
      <c r="DG1185" s="4"/>
    </row>
    <row r="1186" customFormat="false" ht="11.25" hidden="false" customHeight="true" outlineLevel="0" collapsed="false">
      <c r="CK1186" s="1"/>
      <c r="CW1186" s="3"/>
      <c r="DG1186" s="4"/>
    </row>
    <row r="1187" customFormat="false" ht="11.25" hidden="false" customHeight="true" outlineLevel="0" collapsed="false">
      <c r="CK1187" s="1"/>
      <c r="CW1187" s="3"/>
      <c r="DG1187" s="4"/>
    </row>
    <row r="1188" customFormat="false" ht="11.25" hidden="false" customHeight="true" outlineLevel="0" collapsed="false">
      <c r="CK1188" s="1"/>
      <c r="CW1188" s="3"/>
      <c r="DG1188" s="4"/>
    </row>
    <row r="1189" customFormat="false" ht="11.25" hidden="false" customHeight="true" outlineLevel="0" collapsed="false">
      <c r="CK1189" s="1"/>
      <c r="CW1189" s="3"/>
      <c r="DG1189" s="4"/>
    </row>
    <row r="1190" customFormat="false" ht="11.25" hidden="false" customHeight="true" outlineLevel="0" collapsed="false">
      <c r="CK1190" s="1"/>
      <c r="CW1190" s="3"/>
      <c r="DG1190" s="4"/>
    </row>
    <row r="1191" customFormat="false" ht="11.25" hidden="false" customHeight="true" outlineLevel="0" collapsed="false">
      <c r="CK1191" s="1"/>
      <c r="CW1191" s="3"/>
      <c r="DG1191" s="4"/>
    </row>
    <row r="1192" customFormat="false" ht="11.25" hidden="false" customHeight="true" outlineLevel="0" collapsed="false">
      <c r="CK1192" s="1"/>
      <c r="CW1192" s="3"/>
      <c r="DG1192" s="4"/>
    </row>
    <row r="1193" customFormat="false" ht="11.25" hidden="false" customHeight="true" outlineLevel="0" collapsed="false">
      <c r="CK1193" s="1"/>
      <c r="CW1193" s="3"/>
      <c r="DG1193" s="4"/>
    </row>
    <row r="1194" customFormat="false" ht="11.25" hidden="false" customHeight="true" outlineLevel="0" collapsed="false">
      <c r="CK1194" s="1"/>
      <c r="CW1194" s="3"/>
      <c r="DG1194" s="4"/>
    </row>
    <row r="1195" customFormat="false" ht="11.25" hidden="false" customHeight="true" outlineLevel="0" collapsed="false">
      <c r="CK1195" s="1"/>
      <c r="CW1195" s="3"/>
      <c r="DG1195" s="4"/>
    </row>
    <row r="1196" customFormat="false" ht="11.25" hidden="false" customHeight="true" outlineLevel="0" collapsed="false">
      <c r="CK1196" s="1"/>
      <c r="CW1196" s="3"/>
      <c r="DG1196" s="4"/>
    </row>
    <row r="1197" customFormat="false" ht="11.25" hidden="false" customHeight="true" outlineLevel="0" collapsed="false">
      <c r="CK1197" s="1"/>
      <c r="CW1197" s="3"/>
      <c r="DG1197" s="4"/>
    </row>
    <row r="1198" customFormat="false" ht="11.25" hidden="false" customHeight="true" outlineLevel="0" collapsed="false">
      <c r="CK1198" s="1"/>
      <c r="CW1198" s="3"/>
      <c r="DG1198" s="4"/>
    </row>
    <row r="1199" customFormat="false" ht="11.25" hidden="false" customHeight="true" outlineLevel="0" collapsed="false">
      <c r="CK1199" s="1"/>
      <c r="CW1199" s="3"/>
      <c r="DG1199" s="4"/>
    </row>
    <row r="1200" customFormat="false" ht="11.25" hidden="false" customHeight="true" outlineLevel="0" collapsed="false">
      <c r="CK1200" s="1"/>
      <c r="CW1200" s="3"/>
      <c r="DG1200" s="4"/>
    </row>
    <row r="1201" customFormat="false" ht="11.25" hidden="false" customHeight="true" outlineLevel="0" collapsed="false">
      <c r="CK1201" s="1"/>
      <c r="CW1201" s="3"/>
      <c r="DG1201" s="4"/>
    </row>
    <row r="1202" customFormat="false" ht="11.25" hidden="false" customHeight="true" outlineLevel="0" collapsed="false">
      <c r="CK1202" s="1"/>
      <c r="CW1202" s="3"/>
      <c r="DG1202" s="4"/>
    </row>
    <row r="1203" customFormat="false" ht="11.25" hidden="false" customHeight="true" outlineLevel="0" collapsed="false">
      <c r="CK1203" s="1"/>
      <c r="CW1203" s="3"/>
      <c r="DG1203" s="4"/>
    </row>
    <row r="1204" customFormat="false" ht="11.25" hidden="false" customHeight="true" outlineLevel="0" collapsed="false">
      <c r="CK1204" s="1"/>
      <c r="CW1204" s="3"/>
      <c r="DG1204" s="4"/>
    </row>
    <row r="1205" customFormat="false" ht="11.25" hidden="false" customHeight="true" outlineLevel="0" collapsed="false">
      <c r="CK1205" s="1"/>
      <c r="CW1205" s="3"/>
      <c r="DG1205" s="4"/>
    </row>
    <row r="1206" customFormat="false" ht="11.25" hidden="false" customHeight="true" outlineLevel="0" collapsed="false">
      <c r="CK1206" s="1"/>
      <c r="CW1206" s="3"/>
      <c r="DG1206" s="4"/>
    </row>
    <row r="1207" customFormat="false" ht="11.25" hidden="false" customHeight="true" outlineLevel="0" collapsed="false">
      <c r="CK1207" s="1"/>
      <c r="CW1207" s="3"/>
      <c r="DG1207" s="4"/>
    </row>
    <row r="1208" customFormat="false" ht="11.25" hidden="false" customHeight="true" outlineLevel="0" collapsed="false">
      <c r="CK1208" s="1"/>
      <c r="CW1208" s="3"/>
      <c r="DG1208" s="4"/>
    </row>
    <row r="1209" customFormat="false" ht="11.25" hidden="false" customHeight="true" outlineLevel="0" collapsed="false">
      <c r="CK1209" s="1"/>
      <c r="CW1209" s="3"/>
      <c r="DG1209" s="4"/>
    </row>
    <row r="1210" customFormat="false" ht="11.25" hidden="false" customHeight="true" outlineLevel="0" collapsed="false">
      <c r="CK1210" s="1"/>
      <c r="CW1210" s="3"/>
      <c r="DG1210" s="4"/>
    </row>
    <row r="1211" customFormat="false" ht="11.25" hidden="false" customHeight="true" outlineLevel="0" collapsed="false">
      <c r="CK1211" s="1"/>
      <c r="CW1211" s="3"/>
      <c r="DG1211" s="4"/>
    </row>
    <row r="1212" customFormat="false" ht="11.25" hidden="false" customHeight="true" outlineLevel="0" collapsed="false">
      <c r="CK1212" s="1"/>
      <c r="CW1212" s="3"/>
      <c r="DG1212" s="4"/>
    </row>
    <row r="1213" customFormat="false" ht="11.25" hidden="false" customHeight="true" outlineLevel="0" collapsed="false">
      <c r="CK1213" s="1"/>
      <c r="CW1213" s="3"/>
      <c r="DG1213" s="4"/>
    </row>
    <row r="1214" customFormat="false" ht="11.25" hidden="false" customHeight="true" outlineLevel="0" collapsed="false">
      <c r="CK1214" s="1"/>
      <c r="CW1214" s="3"/>
      <c r="DG1214" s="4"/>
    </row>
    <row r="1215" customFormat="false" ht="11.25" hidden="false" customHeight="true" outlineLevel="0" collapsed="false">
      <c r="CK1215" s="1"/>
      <c r="CW1215" s="3"/>
      <c r="DG1215" s="4"/>
    </row>
    <row r="1216" customFormat="false" ht="11.25" hidden="false" customHeight="true" outlineLevel="0" collapsed="false">
      <c r="CK1216" s="1"/>
      <c r="CW1216" s="3"/>
      <c r="DG1216" s="4"/>
    </row>
    <row r="1217" customFormat="false" ht="11.25" hidden="false" customHeight="true" outlineLevel="0" collapsed="false">
      <c r="CK1217" s="1"/>
      <c r="CW1217" s="3"/>
      <c r="DG1217" s="4"/>
    </row>
    <row r="1218" customFormat="false" ht="11.25" hidden="false" customHeight="true" outlineLevel="0" collapsed="false">
      <c r="CK1218" s="1"/>
      <c r="CW1218" s="3"/>
      <c r="DG1218" s="4"/>
    </row>
    <row r="1219" customFormat="false" ht="11.25" hidden="false" customHeight="true" outlineLevel="0" collapsed="false">
      <c r="CK1219" s="1"/>
      <c r="CW1219" s="3"/>
      <c r="DG1219" s="4"/>
    </row>
    <row r="1220" customFormat="false" ht="11.25" hidden="false" customHeight="true" outlineLevel="0" collapsed="false">
      <c r="CK1220" s="1"/>
      <c r="CW1220" s="3"/>
      <c r="DG1220" s="4"/>
    </row>
    <row r="1221" customFormat="false" ht="11.25" hidden="false" customHeight="true" outlineLevel="0" collapsed="false">
      <c r="CK1221" s="1"/>
      <c r="CW1221" s="3"/>
      <c r="DG1221" s="4"/>
    </row>
    <row r="1222" customFormat="false" ht="11.25" hidden="false" customHeight="true" outlineLevel="0" collapsed="false">
      <c r="CK1222" s="1"/>
      <c r="CW1222" s="3"/>
      <c r="DG1222" s="4"/>
    </row>
    <row r="1223" customFormat="false" ht="11.25" hidden="false" customHeight="true" outlineLevel="0" collapsed="false">
      <c r="CK1223" s="1"/>
      <c r="CW1223" s="3"/>
      <c r="DG1223" s="4"/>
    </row>
    <row r="1224" customFormat="false" ht="11.25" hidden="false" customHeight="true" outlineLevel="0" collapsed="false">
      <c r="CK1224" s="1"/>
      <c r="CW1224" s="3"/>
      <c r="DG1224" s="4"/>
    </row>
    <row r="1225" customFormat="false" ht="11.25" hidden="false" customHeight="true" outlineLevel="0" collapsed="false">
      <c r="CK1225" s="1"/>
      <c r="CW1225" s="3"/>
      <c r="DG1225" s="4"/>
    </row>
    <row r="1226" customFormat="false" ht="11.25" hidden="false" customHeight="true" outlineLevel="0" collapsed="false">
      <c r="CK1226" s="1"/>
      <c r="CW1226" s="3"/>
      <c r="DG1226" s="4"/>
    </row>
    <row r="1227" customFormat="false" ht="11.25" hidden="false" customHeight="true" outlineLevel="0" collapsed="false">
      <c r="CK1227" s="1"/>
      <c r="CW1227" s="3"/>
      <c r="DG1227" s="4"/>
    </row>
    <row r="1228" customFormat="false" ht="11.25" hidden="false" customHeight="true" outlineLevel="0" collapsed="false">
      <c r="CK1228" s="1"/>
      <c r="CW1228" s="3"/>
      <c r="DG1228" s="4"/>
    </row>
    <row r="1229" customFormat="false" ht="11.25" hidden="false" customHeight="true" outlineLevel="0" collapsed="false">
      <c r="CK1229" s="1"/>
      <c r="CW1229" s="3"/>
      <c r="DG1229" s="4"/>
    </row>
    <row r="1230" customFormat="false" ht="11.25" hidden="false" customHeight="true" outlineLevel="0" collapsed="false">
      <c r="CK1230" s="1"/>
      <c r="CW1230" s="3"/>
      <c r="DG1230" s="4"/>
    </row>
    <row r="1231" customFormat="false" ht="11.25" hidden="false" customHeight="true" outlineLevel="0" collapsed="false">
      <c r="CK1231" s="1"/>
      <c r="CW1231" s="3"/>
      <c r="DG1231" s="4"/>
    </row>
    <row r="1232" customFormat="false" ht="11.25" hidden="false" customHeight="true" outlineLevel="0" collapsed="false">
      <c r="CK1232" s="1"/>
      <c r="CW1232" s="3"/>
      <c r="DG1232" s="4"/>
    </row>
    <row r="1233" customFormat="false" ht="11.25" hidden="false" customHeight="true" outlineLevel="0" collapsed="false">
      <c r="CK1233" s="1"/>
      <c r="CW1233" s="3"/>
      <c r="DG1233" s="4"/>
    </row>
    <row r="1234" customFormat="false" ht="11.25" hidden="false" customHeight="true" outlineLevel="0" collapsed="false">
      <c r="CK1234" s="1"/>
      <c r="CW1234" s="3"/>
      <c r="DG1234" s="4"/>
    </row>
    <row r="1235" customFormat="false" ht="11.25" hidden="false" customHeight="true" outlineLevel="0" collapsed="false">
      <c r="CK1235" s="1"/>
      <c r="CW1235" s="3"/>
      <c r="DG1235" s="4"/>
    </row>
    <row r="1236" customFormat="false" ht="11.25" hidden="false" customHeight="true" outlineLevel="0" collapsed="false">
      <c r="CK1236" s="1"/>
      <c r="CW1236" s="3"/>
      <c r="DG1236" s="4"/>
    </row>
    <row r="1237" customFormat="false" ht="11.25" hidden="false" customHeight="true" outlineLevel="0" collapsed="false">
      <c r="CK1237" s="1"/>
      <c r="CW1237" s="3"/>
      <c r="DG1237" s="4"/>
    </row>
    <row r="1238" customFormat="false" ht="11.25" hidden="false" customHeight="true" outlineLevel="0" collapsed="false">
      <c r="CK1238" s="1"/>
      <c r="CW1238" s="3"/>
      <c r="DG1238" s="4"/>
    </row>
    <row r="1239" customFormat="false" ht="11.25" hidden="false" customHeight="true" outlineLevel="0" collapsed="false">
      <c r="CK1239" s="1"/>
      <c r="CW1239" s="3"/>
      <c r="DG1239" s="4"/>
    </row>
    <row r="1240" customFormat="false" ht="11.25" hidden="false" customHeight="true" outlineLevel="0" collapsed="false">
      <c r="CK1240" s="1"/>
      <c r="CW1240" s="3"/>
      <c r="DG1240" s="4"/>
    </row>
    <row r="1241" customFormat="false" ht="11.25" hidden="false" customHeight="true" outlineLevel="0" collapsed="false">
      <c r="CK1241" s="1"/>
      <c r="CW1241" s="3"/>
      <c r="DG1241" s="4"/>
    </row>
    <row r="1242" customFormat="false" ht="11.25" hidden="false" customHeight="true" outlineLevel="0" collapsed="false">
      <c r="CK1242" s="1"/>
      <c r="CW1242" s="3"/>
      <c r="DG1242" s="4"/>
    </row>
    <row r="1243" customFormat="false" ht="11.25" hidden="false" customHeight="true" outlineLevel="0" collapsed="false">
      <c r="CK1243" s="1"/>
      <c r="CW1243" s="3"/>
      <c r="DG1243" s="4"/>
    </row>
    <row r="1244" customFormat="false" ht="11.25" hidden="false" customHeight="true" outlineLevel="0" collapsed="false">
      <c r="CK1244" s="1"/>
      <c r="CW1244" s="3"/>
      <c r="DG1244" s="4"/>
    </row>
    <row r="1245" customFormat="false" ht="11.25" hidden="false" customHeight="true" outlineLevel="0" collapsed="false">
      <c r="CK1245" s="1"/>
      <c r="CW1245" s="3"/>
      <c r="DG1245" s="4"/>
    </row>
    <row r="1246" customFormat="false" ht="11.25" hidden="false" customHeight="true" outlineLevel="0" collapsed="false">
      <c r="CK1246" s="1"/>
      <c r="CW1246" s="3"/>
      <c r="DG1246" s="4"/>
    </row>
    <row r="1247" customFormat="false" ht="11.25" hidden="false" customHeight="true" outlineLevel="0" collapsed="false">
      <c r="CK1247" s="1"/>
      <c r="CW1247" s="3"/>
      <c r="DG1247" s="4"/>
    </row>
    <row r="1248" customFormat="false" ht="11.25" hidden="false" customHeight="true" outlineLevel="0" collapsed="false">
      <c r="CK1248" s="1"/>
      <c r="CW1248" s="3"/>
      <c r="DG1248" s="4"/>
    </row>
    <row r="1249" customFormat="false" ht="11.25" hidden="false" customHeight="true" outlineLevel="0" collapsed="false">
      <c r="CK1249" s="1"/>
      <c r="CW1249" s="3"/>
      <c r="DG1249" s="4"/>
    </row>
    <row r="1250" customFormat="false" ht="11.25" hidden="false" customHeight="true" outlineLevel="0" collapsed="false">
      <c r="CK1250" s="1"/>
      <c r="CW1250" s="3"/>
      <c r="DG1250" s="4"/>
    </row>
    <row r="1251" customFormat="false" ht="11.25" hidden="false" customHeight="true" outlineLevel="0" collapsed="false">
      <c r="CK1251" s="1"/>
      <c r="CW1251" s="3"/>
      <c r="DG1251" s="4"/>
    </row>
    <row r="1252" customFormat="false" ht="11.25" hidden="false" customHeight="true" outlineLevel="0" collapsed="false">
      <c r="CK1252" s="1"/>
      <c r="CW1252" s="3"/>
      <c r="DG1252" s="4"/>
    </row>
    <row r="1253" customFormat="false" ht="11.25" hidden="false" customHeight="true" outlineLevel="0" collapsed="false">
      <c r="CK1253" s="1"/>
      <c r="CW1253" s="3"/>
      <c r="DG1253" s="4"/>
    </row>
    <row r="1254" customFormat="false" ht="11.25" hidden="false" customHeight="true" outlineLevel="0" collapsed="false">
      <c r="CK1254" s="1"/>
      <c r="CW1254" s="3"/>
      <c r="DG1254" s="4"/>
    </row>
    <row r="1255" customFormat="false" ht="11.25" hidden="false" customHeight="true" outlineLevel="0" collapsed="false">
      <c r="CK1255" s="1"/>
      <c r="CW1255" s="3"/>
      <c r="DG1255" s="4"/>
    </row>
    <row r="1256" customFormat="false" ht="11.25" hidden="false" customHeight="true" outlineLevel="0" collapsed="false">
      <c r="CK1256" s="1"/>
      <c r="CW1256" s="3"/>
      <c r="DG1256" s="4"/>
    </row>
    <row r="1257" customFormat="false" ht="11.25" hidden="false" customHeight="true" outlineLevel="0" collapsed="false">
      <c r="CK1257" s="1"/>
      <c r="CW1257" s="3"/>
      <c r="DG1257" s="4"/>
    </row>
    <row r="1258" customFormat="false" ht="11.25" hidden="false" customHeight="true" outlineLevel="0" collapsed="false">
      <c r="CK1258" s="1"/>
      <c r="CW1258" s="3"/>
      <c r="DG1258" s="4"/>
    </row>
    <row r="1259" customFormat="false" ht="11.25" hidden="false" customHeight="true" outlineLevel="0" collapsed="false">
      <c r="CK1259" s="1"/>
      <c r="CW1259" s="3"/>
      <c r="DG1259" s="4"/>
    </row>
    <row r="1260" customFormat="false" ht="11.25" hidden="false" customHeight="true" outlineLevel="0" collapsed="false">
      <c r="CK1260" s="1"/>
      <c r="CW1260" s="3"/>
      <c r="DG1260" s="4"/>
    </row>
    <row r="1261" customFormat="false" ht="11.25" hidden="false" customHeight="true" outlineLevel="0" collapsed="false">
      <c r="CK1261" s="1"/>
      <c r="CW1261" s="3"/>
      <c r="DG1261" s="4"/>
    </row>
    <row r="1262" customFormat="false" ht="11.25" hidden="false" customHeight="true" outlineLevel="0" collapsed="false">
      <c r="CK1262" s="1"/>
      <c r="CW1262" s="3"/>
      <c r="DG1262" s="4"/>
    </row>
    <row r="1263" customFormat="false" ht="11.25" hidden="false" customHeight="true" outlineLevel="0" collapsed="false">
      <c r="CK1263" s="1"/>
      <c r="CW1263" s="3"/>
      <c r="DG1263" s="4"/>
    </row>
    <row r="1264" customFormat="false" ht="11.25" hidden="false" customHeight="true" outlineLevel="0" collapsed="false">
      <c r="CK1264" s="1"/>
      <c r="CW1264" s="3"/>
      <c r="DG1264" s="4"/>
    </row>
    <row r="1265" customFormat="false" ht="11.25" hidden="false" customHeight="true" outlineLevel="0" collapsed="false">
      <c r="CK1265" s="1"/>
      <c r="CW1265" s="3"/>
      <c r="DG1265" s="4"/>
    </row>
    <row r="1266" customFormat="false" ht="11.25" hidden="false" customHeight="true" outlineLevel="0" collapsed="false">
      <c r="CK1266" s="1"/>
      <c r="CW1266" s="3"/>
      <c r="DG1266" s="4"/>
    </row>
    <row r="1267" customFormat="false" ht="11.25" hidden="false" customHeight="true" outlineLevel="0" collapsed="false">
      <c r="CK1267" s="1"/>
      <c r="CW1267" s="3"/>
      <c r="DG1267" s="4"/>
    </row>
    <row r="1268" customFormat="false" ht="11.25" hidden="false" customHeight="true" outlineLevel="0" collapsed="false">
      <c r="CK1268" s="1"/>
      <c r="CW1268" s="3"/>
      <c r="DG1268" s="4"/>
    </row>
    <row r="1269" customFormat="false" ht="11.25" hidden="false" customHeight="true" outlineLevel="0" collapsed="false">
      <c r="CK1269" s="1"/>
      <c r="CW1269" s="3"/>
      <c r="DG1269" s="4"/>
    </row>
    <row r="1270" customFormat="false" ht="11.25" hidden="false" customHeight="true" outlineLevel="0" collapsed="false">
      <c r="CK1270" s="1"/>
      <c r="CW1270" s="3"/>
      <c r="DG1270" s="4"/>
    </row>
    <row r="1271" customFormat="false" ht="11.25" hidden="false" customHeight="true" outlineLevel="0" collapsed="false">
      <c r="CK1271" s="1"/>
      <c r="CW1271" s="3"/>
      <c r="DG1271" s="4"/>
    </row>
    <row r="1272" customFormat="false" ht="11.25" hidden="false" customHeight="true" outlineLevel="0" collapsed="false">
      <c r="CK1272" s="1"/>
      <c r="CW1272" s="3"/>
      <c r="DG1272" s="4"/>
    </row>
    <row r="1273" customFormat="false" ht="11.25" hidden="false" customHeight="true" outlineLevel="0" collapsed="false">
      <c r="CK1273" s="1"/>
      <c r="CW1273" s="3"/>
      <c r="DG1273" s="4"/>
    </row>
    <row r="1274" customFormat="false" ht="11.25" hidden="false" customHeight="true" outlineLevel="0" collapsed="false">
      <c r="CK1274" s="1"/>
      <c r="CW1274" s="3"/>
      <c r="DG1274" s="4"/>
    </row>
    <row r="1275" customFormat="false" ht="11.25" hidden="false" customHeight="true" outlineLevel="0" collapsed="false">
      <c r="CK1275" s="1"/>
      <c r="CW1275" s="3"/>
      <c r="DG1275" s="4"/>
    </row>
    <row r="1276" customFormat="false" ht="11.25" hidden="false" customHeight="true" outlineLevel="0" collapsed="false">
      <c r="CK1276" s="1"/>
      <c r="CW1276" s="3"/>
      <c r="DG1276" s="4"/>
    </row>
    <row r="1277" customFormat="false" ht="11.25" hidden="false" customHeight="true" outlineLevel="0" collapsed="false">
      <c r="CK1277" s="1"/>
      <c r="CW1277" s="3"/>
      <c r="DG1277" s="4"/>
    </row>
    <row r="1278" customFormat="false" ht="11.25" hidden="false" customHeight="true" outlineLevel="0" collapsed="false">
      <c r="CK1278" s="1"/>
      <c r="CW1278" s="3"/>
      <c r="DG1278" s="4"/>
    </row>
    <row r="1279" customFormat="false" ht="11.25" hidden="false" customHeight="true" outlineLevel="0" collapsed="false">
      <c r="CK1279" s="1"/>
      <c r="CW1279" s="3"/>
      <c r="DG1279" s="4"/>
    </row>
    <row r="1280" customFormat="false" ht="11.25" hidden="false" customHeight="true" outlineLevel="0" collapsed="false">
      <c r="CK1280" s="1"/>
      <c r="CW1280" s="3"/>
      <c r="DG1280" s="4"/>
    </row>
    <row r="1281" customFormat="false" ht="11.25" hidden="false" customHeight="true" outlineLevel="0" collapsed="false">
      <c r="CK1281" s="1"/>
      <c r="CW1281" s="3"/>
      <c r="DG1281" s="4"/>
    </row>
    <row r="1282" customFormat="false" ht="11.25" hidden="false" customHeight="true" outlineLevel="0" collapsed="false">
      <c r="CK1282" s="1"/>
      <c r="CW1282" s="3"/>
      <c r="DG1282" s="4"/>
    </row>
    <row r="1283" customFormat="false" ht="11.25" hidden="false" customHeight="true" outlineLevel="0" collapsed="false">
      <c r="CK1283" s="1"/>
      <c r="CW1283" s="3"/>
      <c r="DG1283" s="4"/>
    </row>
    <row r="1284" customFormat="false" ht="11.25" hidden="false" customHeight="true" outlineLevel="0" collapsed="false">
      <c r="CK1284" s="1"/>
      <c r="CW1284" s="3"/>
      <c r="DG1284" s="4"/>
    </row>
    <row r="1285" customFormat="false" ht="11.25" hidden="false" customHeight="true" outlineLevel="0" collapsed="false">
      <c r="CK1285" s="1"/>
      <c r="CW1285" s="3"/>
      <c r="DG1285" s="4"/>
    </row>
    <row r="1286" customFormat="false" ht="11.25" hidden="false" customHeight="true" outlineLevel="0" collapsed="false">
      <c r="CK1286" s="1"/>
      <c r="CW1286" s="3"/>
      <c r="DG1286" s="4"/>
    </row>
    <row r="1287" customFormat="false" ht="11.25" hidden="false" customHeight="true" outlineLevel="0" collapsed="false">
      <c r="CK1287" s="1"/>
      <c r="CW1287" s="3"/>
      <c r="DG1287" s="4"/>
    </row>
    <row r="1288" customFormat="false" ht="11.25" hidden="false" customHeight="true" outlineLevel="0" collapsed="false">
      <c r="CK1288" s="1"/>
      <c r="CW1288" s="3"/>
      <c r="DG1288" s="4"/>
    </row>
    <row r="1289" customFormat="false" ht="11.25" hidden="false" customHeight="true" outlineLevel="0" collapsed="false">
      <c r="CK1289" s="1"/>
      <c r="CW1289" s="3"/>
      <c r="DG1289" s="4"/>
    </row>
    <row r="1290" customFormat="false" ht="11.25" hidden="false" customHeight="true" outlineLevel="0" collapsed="false">
      <c r="CK1290" s="1"/>
      <c r="CW1290" s="3"/>
      <c r="DG1290" s="4"/>
    </row>
    <row r="1291" customFormat="false" ht="11.25" hidden="false" customHeight="true" outlineLevel="0" collapsed="false">
      <c r="CK1291" s="1"/>
      <c r="CW1291" s="3"/>
      <c r="DG1291" s="4"/>
    </row>
    <row r="1292" customFormat="false" ht="11.25" hidden="false" customHeight="true" outlineLevel="0" collapsed="false">
      <c r="CK1292" s="1"/>
      <c r="CW1292" s="3"/>
      <c r="DG1292" s="4"/>
    </row>
    <row r="1293" customFormat="false" ht="11.25" hidden="false" customHeight="true" outlineLevel="0" collapsed="false">
      <c r="CK1293" s="1"/>
      <c r="CW1293" s="3"/>
      <c r="DG1293" s="4"/>
    </row>
    <row r="1294" customFormat="false" ht="11.25" hidden="false" customHeight="true" outlineLevel="0" collapsed="false">
      <c r="CK1294" s="1"/>
      <c r="CW1294" s="3"/>
      <c r="DG1294" s="4"/>
    </row>
    <row r="1295" customFormat="false" ht="11.25" hidden="false" customHeight="true" outlineLevel="0" collapsed="false">
      <c r="CK1295" s="1"/>
      <c r="CW1295" s="3"/>
      <c r="DG1295" s="4"/>
    </row>
    <row r="1296" customFormat="false" ht="11.25" hidden="false" customHeight="true" outlineLevel="0" collapsed="false">
      <c r="CK1296" s="1"/>
      <c r="CW1296" s="3"/>
      <c r="DG1296" s="4"/>
    </row>
    <row r="1297" customFormat="false" ht="11.25" hidden="false" customHeight="true" outlineLevel="0" collapsed="false">
      <c r="CK1297" s="1"/>
      <c r="CW1297" s="3"/>
      <c r="DG1297" s="4"/>
    </row>
    <row r="1298" customFormat="false" ht="11.25" hidden="false" customHeight="true" outlineLevel="0" collapsed="false">
      <c r="CK1298" s="1"/>
      <c r="CW1298" s="3"/>
      <c r="DG1298" s="4"/>
    </row>
    <row r="1299" customFormat="false" ht="11.25" hidden="false" customHeight="true" outlineLevel="0" collapsed="false">
      <c r="CK1299" s="1"/>
      <c r="CW1299" s="3"/>
      <c r="DG1299" s="4"/>
    </row>
    <row r="1300" customFormat="false" ht="11.25" hidden="false" customHeight="true" outlineLevel="0" collapsed="false">
      <c r="CK1300" s="1"/>
      <c r="CW1300" s="3"/>
      <c r="DG1300" s="4"/>
    </row>
    <row r="1301" customFormat="false" ht="11.25" hidden="false" customHeight="true" outlineLevel="0" collapsed="false">
      <c r="CK1301" s="1"/>
      <c r="CW1301" s="3"/>
      <c r="DG1301" s="4"/>
    </row>
    <row r="1302" customFormat="false" ht="11.25" hidden="false" customHeight="true" outlineLevel="0" collapsed="false"/>
    <row r="1303" customFormat="false" ht="11.25" hidden="false" customHeight="true" outlineLevel="0" collapsed="false"/>
    <row r="1304" customFormat="false" ht="11.25" hidden="false" customHeight="true" outlineLevel="0" collapsed="false"/>
    <row r="1305" customFormat="false" ht="11.25" hidden="false" customHeight="true" outlineLevel="0" collapsed="false"/>
    <row r="1306" customFormat="false" ht="11.25" hidden="false" customHeight="true" outlineLevel="0" collapsed="false"/>
    <row r="1307" customFormat="false" ht="11.25" hidden="false" customHeight="true" outlineLevel="0" collapsed="false"/>
    <row r="1308" customFormat="false" ht="11.25" hidden="false" customHeight="true" outlineLevel="0" collapsed="false"/>
    <row r="1309" customFormat="false" ht="11.25" hidden="false" customHeight="true" outlineLevel="0" collapsed="false"/>
    <row r="1310" customFormat="false" ht="11.25" hidden="false" customHeight="true" outlineLevel="0" collapsed="false"/>
    <row r="1311" customFormat="false" ht="11.25" hidden="false" customHeight="true" outlineLevel="0" collapsed="false"/>
    <row r="1312" customFormat="false" ht="11.25" hidden="false" customHeight="true" outlineLevel="0" collapsed="false"/>
    <row r="1313" customFormat="false" ht="11.25" hidden="false" customHeight="true" outlineLevel="0" collapsed="false"/>
    <row r="1314" customFormat="false" ht="11.25" hidden="false" customHeight="true" outlineLevel="0" collapsed="false"/>
    <row r="1315" customFormat="false" ht="11.25" hidden="false" customHeight="true" outlineLevel="0" collapsed="false"/>
    <row r="1316" customFormat="false" ht="11.25" hidden="false" customHeight="true" outlineLevel="0" collapsed="false"/>
    <row r="1317" customFormat="false" ht="11.25" hidden="false" customHeight="true" outlineLevel="0" collapsed="false"/>
    <row r="1318" customFormat="false" ht="11.25" hidden="false" customHeight="true" outlineLevel="0" collapsed="false"/>
    <row r="1319" customFormat="false" ht="11.25" hidden="false" customHeight="true" outlineLevel="0" collapsed="false"/>
    <row r="1320" customFormat="false" ht="11.25" hidden="false" customHeight="true" outlineLevel="0" collapsed="false"/>
    <row r="1321" customFormat="false" ht="11.25" hidden="false" customHeight="true" outlineLevel="0" collapsed="false"/>
    <row r="1322" customFormat="false" ht="11.25" hidden="false" customHeight="true" outlineLevel="0" collapsed="false"/>
    <row r="1323" customFormat="false" ht="11.25" hidden="false" customHeight="true" outlineLevel="0" collapsed="false"/>
    <row r="1324" customFormat="false" ht="11.25" hidden="false" customHeight="true" outlineLevel="0" collapsed="false"/>
    <row r="1325" customFormat="false" ht="11.25" hidden="false" customHeight="true" outlineLevel="0" collapsed="false"/>
    <row r="1326" customFormat="false" ht="11.25" hidden="false" customHeight="true" outlineLevel="0" collapsed="false"/>
    <row r="1327" customFormat="false" ht="11.25" hidden="false" customHeight="true" outlineLevel="0" collapsed="false"/>
    <row r="1328" customFormat="false" ht="11.25" hidden="false" customHeight="true" outlineLevel="0" collapsed="false"/>
    <row r="1329" customFormat="false" ht="11.25" hidden="false" customHeight="true" outlineLevel="0" collapsed="false"/>
    <row r="1330" customFormat="false" ht="11.25" hidden="false" customHeight="true" outlineLevel="0" collapsed="false"/>
    <row r="1331" customFormat="false" ht="11.25" hidden="false" customHeight="true" outlineLevel="0" collapsed="false"/>
    <row r="1332" customFormat="false" ht="11.25" hidden="false" customHeight="true" outlineLevel="0" collapsed="false"/>
    <row r="1333" customFormat="false" ht="11.25" hidden="false" customHeight="true" outlineLevel="0" collapsed="false"/>
    <row r="1334" customFormat="false" ht="11.25" hidden="false" customHeight="true" outlineLevel="0" collapsed="false"/>
    <row r="1335" customFormat="false" ht="11.25" hidden="false" customHeight="true" outlineLevel="0" collapsed="false"/>
    <row r="1336" customFormat="false" ht="11.25" hidden="false" customHeight="true" outlineLevel="0" collapsed="false"/>
    <row r="1337" customFormat="false" ht="11.25" hidden="false" customHeight="true" outlineLevel="0" collapsed="false"/>
    <row r="1338" customFormat="false" ht="11.25" hidden="false" customHeight="true" outlineLevel="0" collapsed="false"/>
    <row r="1339" customFormat="false" ht="11.25" hidden="false" customHeight="true" outlineLevel="0" collapsed="false"/>
    <row r="1340" customFormat="false" ht="11.25" hidden="false" customHeight="true" outlineLevel="0" collapsed="false"/>
    <row r="1341" customFormat="false" ht="11.25" hidden="false" customHeight="true" outlineLevel="0" collapsed="false"/>
    <row r="1342" customFormat="false" ht="11.25" hidden="false" customHeight="true" outlineLevel="0" collapsed="false"/>
    <row r="1343" customFormat="false" ht="11.25" hidden="false" customHeight="true" outlineLevel="0" collapsed="false"/>
    <row r="1344" customFormat="false" ht="11.25" hidden="false" customHeight="true" outlineLevel="0" collapsed="false"/>
    <row r="1345" customFormat="false" ht="11.25" hidden="false" customHeight="true" outlineLevel="0" collapsed="false"/>
    <row r="1346" customFormat="false" ht="11.25" hidden="false" customHeight="true" outlineLevel="0" collapsed="false"/>
    <row r="1347" customFormat="false" ht="11.25" hidden="false" customHeight="true" outlineLevel="0" collapsed="false"/>
    <row r="1348" customFormat="false" ht="11.25" hidden="false" customHeight="true" outlineLevel="0" collapsed="false"/>
    <row r="1349" customFormat="false" ht="11.25" hidden="false" customHeight="true" outlineLevel="0" collapsed="false"/>
    <row r="1350" customFormat="false" ht="11.25" hidden="false" customHeight="true" outlineLevel="0" collapsed="false"/>
    <row r="1351" customFormat="false" ht="11.25" hidden="false" customHeight="true" outlineLevel="0" collapsed="false"/>
    <row r="1352" customFormat="false" ht="11.25" hidden="false" customHeight="true" outlineLevel="0" collapsed="false"/>
    <row r="1353" customFormat="false" ht="11.25" hidden="false" customHeight="true" outlineLevel="0" collapsed="false"/>
    <row r="1354" customFormat="false" ht="11.25" hidden="false" customHeight="true" outlineLevel="0" collapsed="false"/>
    <row r="1355" customFormat="false" ht="11.25" hidden="false" customHeight="true" outlineLevel="0" collapsed="false"/>
    <row r="1356" customFormat="false" ht="11.25" hidden="false" customHeight="true" outlineLevel="0" collapsed="false"/>
    <row r="1357" customFormat="false" ht="11.25" hidden="false" customHeight="true" outlineLevel="0" collapsed="false"/>
    <row r="1358" customFormat="false" ht="11.25" hidden="false" customHeight="true" outlineLevel="0" collapsed="false"/>
    <row r="1359" customFormat="false" ht="11.25" hidden="false" customHeight="true" outlineLevel="0" collapsed="false"/>
    <row r="1360" customFormat="false" ht="11.25" hidden="false" customHeight="true" outlineLevel="0" collapsed="false"/>
    <row r="1361" customFormat="false" ht="11.25" hidden="false" customHeight="true" outlineLevel="0" collapsed="false"/>
    <row r="1362" customFormat="false" ht="11.25" hidden="false" customHeight="true" outlineLevel="0" collapsed="false"/>
    <row r="1363" customFormat="false" ht="11.25" hidden="false" customHeight="true" outlineLevel="0" collapsed="false"/>
    <row r="1364" customFormat="false" ht="11.25" hidden="false" customHeight="true" outlineLevel="0" collapsed="false"/>
    <row r="1365" customFormat="false" ht="11.25" hidden="false" customHeight="true" outlineLevel="0" collapsed="false"/>
    <row r="1366" customFormat="false" ht="11.25" hidden="false" customHeight="true" outlineLevel="0" collapsed="false"/>
    <row r="1367" customFormat="false" ht="11.25" hidden="false" customHeight="true" outlineLevel="0" collapsed="false"/>
    <row r="1368" customFormat="false" ht="11.25" hidden="false" customHeight="true" outlineLevel="0" collapsed="false"/>
    <row r="1369" customFormat="false" ht="11.25" hidden="false" customHeight="true" outlineLevel="0" collapsed="false"/>
    <row r="1370" customFormat="false" ht="11.25" hidden="false" customHeight="true" outlineLevel="0" collapsed="false"/>
    <row r="1371" customFormat="false" ht="11.25" hidden="false" customHeight="true" outlineLevel="0" collapsed="false"/>
    <row r="1372" customFormat="false" ht="11.25" hidden="false" customHeight="true" outlineLevel="0" collapsed="false"/>
    <row r="1373" customFormat="false" ht="11.25" hidden="false" customHeight="true" outlineLevel="0" collapsed="false"/>
    <row r="1374" customFormat="false" ht="11.25" hidden="false" customHeight="true" outlineLevel="0" collapsed="false"/>
    <row r="1375" customFormat="false" ht="11.25" hidden="false" customHeight="true" outlineLevel="0" collapsed="false"/>
    <row r="1376" customFormat="false" ht="11.25" hidden="false" customHeight="true" outlineLevel="0" collapsed="false"/>
    <row r="1377" customFormat="false" ht="11.25" hidden="false" customHeight="true" outlineLevel="0" collapsed="false"/>
    <row r="1378" customFormat="false" ht="11.25" hidden="false" customHeight="true" outlineLevel="0" collapsed="false"/>
    <row r="1379" customFormat="false" ht="11.25" hidden="false" customHeight="true" outlineLevel="0" collapsed="false"/>
    <row r="1380" customFormat="false" ht="11.25" hidden="false" customHeight="true" outlineLevel="0" collapsed="false"/>
    <row r="1381" customFormat="false" ht="11.25" hidden="false" customHeight="true" outlineLevel="0" collapsed="false"/>
    <row r="1382" customFormat="false" ht="11.25" hidden="false" customHeight="true" outlineLevel="0" collapsed="false"/>
    <row r="1383" customFormat="false" ht="11.25" hidden="false" customHeight="true" outlineLevel="0" collapsed="false"/>
    <row r="1384" customFormat="false" ht="11.25" hidden="false" customHeight="true" outlineLevel="0" collapsed="false"/>
    <row r="1385" customFormat="false" ht="11.25" hidden="false" customHeight="true" outlineLevel="0" collapsed="false"/>
    <row r="1386" customFormat="false" ht="11.25" hidden="false" customHeight="true" outlineLevel="0" collapsed="false"/>
    <row r="1387" customFormat="false" ht="11.25" hidden="false" customHeight="true" outlineLevel="0" collapsed="false"/>
    <row r="1388" customFormat="false" ht="11.25" hidden="false" customHeight="true" outlineLevel="0" collapsed="false"/>
    <row r="1389" customFormat="false" ht="11.25" hidden="false" customHeight="true" outlineLevel="0" collapsed="false"/>
    <row r="1390" customFormat="false" ht="11.25" hidden="false" customHeight="true" outlineLevel="0" collapsed="false"/>
    <row r="1391" customFormat="false" ht="11.25" hidden="false" customHeight="true" outlineLevel="0" collapsed="false"/>
    <row r="1392" customFormat="false" ht="11.25" hidden="false" customHeight="true" outlineLevel="0" collapsed="false"/>
    <row r="1393" customFormat="false" ht="11.25" hidden="false" customHeight="true" outlineLevel="0" collapsed="false"/>
    <row r="1394" customFormat="false" ht="11.25" hidden="false" customHeight="true" outlineLevel="0" collapsed="false"/>
    <row r="1395" customFormat="false" ht="11.25" hidden="false" customHeight="true" outlineLevel="0" collapsed="false"/>
    <row r="1396" customFormat="false" ht="11.25" hidden="false" customHeight="true" outlineLevel="0" collapsed="false"/>
    <row r="1397" customFormat="false" ht="11.25" hidden="false" customHeight="true" outlineLevel="0" collapsed="false"/>
    <row r="1398" customFormat="false" ht="11.25" hidden="false" customHeight="true" outlineLevel="0" collapsed="false"/>
    <row r="1399" customFormat="false" ht="11.25" hidden="false" customHeight="true" outlineLevel="0" collapsed="false"/>
    <row r="1400" customFormat="false" ht="11.25" hidden="false" customHeight="true" outlineLevel="0" collapsed="false"/>
    <row r="1401" customFormat="false" ht="11.25" hidden="false" customHeight="true" outlineLevel="0" collapsed="false"/>
    <row r="1402" customFormat="false" ht="11.25" hidden="false" customHeight="true" outlineLevel="0" collapsed="false"/>
    <row r="1403" customFormat="false" ht="11.25" hidden="false" customHeight="true" outlineLevel="0" collapsed="false"/>
    <row r="1404" customFormat="false" ht="11.25" hidden="false" customHeight="true" outlineLevel="0" collapsed="false"/>
    <row r="1405" customFormat="false" ht="11.25" hidden="false" customHeight="true" outlineLevel="0" collapsed="false"/>
    <row r="1406" customFormat="false" ht="11.25" hidden="false" customHeight="true" outlineLevel="0" collapsed="false"/>
    <row r="1407" customFormat="false" ht="11.25" hidden="false" customHeight="true" outlineLevel="0" collapsed="false"/>
    <row r="1408" customFormat="false" ht="11.25" hidden="false" customHeight="true" outlineLevel="0" collapsed="false"/>
    <row r="1409" customFormat="false" ht="11.25" hidden="false" customHeight="true" outlineLevel="0" collapsed="false"/>
    <row r="1410" customFormat="false" ht="11.25" hidden="false" customHeight="true" outlineLevel="0" collapsed="false"/>
    <row r="1411" customFormat="false" ht="11.25" hidden="false" customHeight="true" outlineLevel="0" collapsed="false"/>
    <row r="1412" customFormat="false" ht="11.25" hidden="false" customHeight="true" outlineLevel="0" collapsed="false"/>
    <row r="1413" customFormat="false" ht="11.25" hidden="false" customHeight="true" outlineLevel="0" collapsed="false"/>
    <row r="1414" customFormat="false" ht="11.25" hidden="false" customHeight="true" outlineLevel="0" collapsed="false"/>
    <row r="1415" customFormat="false" ht="11.25" hidden="false" customHeight="true" outlineLevel="0" collapsed="false"/>
    <row r="1416" customFormat="false" ht="11.25" hidden="false" customHeight="true" outlineLevel="0" collapsed="false"/>
    <row r="1417" customFormat="false" ht="11.25" hidden="false" customHeight="true" outlineLevel="0" collapsed="false"/>
    <row r="1418" customFormat="false" ht="11.25" hidden="false" customHeight="true" outlineLevel="0" collapsed="false"/>
    <row r="1419" customFormat="false" ht="11.25" hidden="false" customHeight="true" outlineLevel="0" collapsed="false"/>
    <row r="1420" customFormat="false" ht="11.25" hidden="false" customHeight="true" outlineLevel="0" collapsed="false"/>
    <row r="1421" customFormat="false" ht="11.25" hidden="false" customHeight="true" outlineLevel="0" collapsed="false"/>
    <row r="1422" customFormat="false" ht="11.25" hidden="false" customHeight="true" outlineLevel="0" collapsed="false"/>
    <row r="1423" customFormat="false" ht="11.25" hidden="false" customHeight="true" outlineLevel="0" collapsed="false"/>
    <row r="1424" customFormat="false" ht="11.25" hidden="false" customHeight="true" outlineLevel="0" collapsed="false"/>
    <row r="1425" customFormat="false" ht="11.25" hidden="false" customHeight="true" outlineLevel="0" collapsed="false"/>
    <row r="1426" customFormat="false" ht="11.25" hidden="false" customHeight="true" outlineLevel="0" collapsed="false"/>
    <row r="1427" customFormat="false" ht="11.25" hidden="false" customHeight="true" outlineLevel="0" collapsed="false"/>
    <row r="1428" customFormat="false" ht="11.25" hidden="false" customHeight="true" outlineLevel="0" collapsed="false"/>
    <row r="1429" customFormat="false" ht="11.25" hidden="false" customHeight="true" outlineLevel="0" collapsed="false"/>
    <row r="1430" customFormat="false" ht="11.25" hidden="false" customHeight="true" outlineLevel="0" collapsed="false"/>
    <row r="1431" customFormat="false" ht="11.25" hidden="false" customHeight="true" outlineLevel="0" collapsed="false"/>
    <row r="1432" customFormat="false" ht="11.25" hidden="false" customHeight="true" outlineLevel="0" collapsed="false"/>
    <row r="1433" customFormat="false" ht="11.25" hidden="false" customHeight="true" outlineLevel="0" collapsed="false"/>
    <row r="1434" customFormat="false" ht="11.25" hidden="false" customHeight="true" outlineLevel="0" collapsed="false"/>
    <row r="1435" customFormat="false" ht="11.25" hidden="false" customHeight="true" outlineLevel="0" collapsed="false"/>
    <row r="1436" customFormat="false" ht="11.25" hidden="false" customHeight="true" outlineLevel="0" collapsed="false"/>
    <row r="1437" customFormat="false" ht="11.25" hidden="false" customHeight="true" outlineLevel="0" collapsed="false"/>
    <row r="1438" customFormat="false" ht="11.25" hidden="false" customHeight="true" outlineLevel="0" collapsed="false"/>
    <row r="1439" customFormat="false" ht="11.25" hidden="false" customHeight="true" outlineLevel="0" collapsed="false"/>
    <row r="1440" customFormat="false" ht="11.25" hidden="false" customHeight="true" outlineLevel="0" collapsed="false"/>
    <row r="1441" customFormat="false" ht="11.25" hidden="false" customHeight="true" outlineLevel="0" collapsed="false"/>
    <row r="1442" customFormat="false" ht="11.25" hidden="false" customHeight="true" outlineLevel="0" collapsed="false"/>
    <row r="1443" customFormat="false" ht="11.25" hidden="false" customHeight="true" outlineLevel="0" collapsed="false"/>
    <row r="1444" customFormat="false" ht="11.25" hidden="false" customHeight="true" outlineLevel="0" collapsed="false"/>
    <row r="1445" customFormat="false" ht="11.25" hidden="false" customHeight="true" outlineLevel="0" collapsed="false"/>
    <row r="1446" customFormat="false" ht="11.25" hidden="false" customHeight="true" outlineLevel="0" collapsed="false"/>
    <row r="1447" customFormat="false" ht="11.25" hidden="false" customHeight="true" outlineLevel="0" collapsed="false"/>
    <row r="1448" customFormat="false" ht="11.25" hidden="false" customHeight="true" outlineLevel="0" collapsed="false"/>
    <row r="1449" customFormat="false" ht="11.25" hidden="false" customHeight="true" outlineLevel="0" collapsed="false"/>
    <row r="1450" customFormat="false" ht="11.25" hidden="false" customHeight="true" outlineLevel="0" collapsed="false"/>
    <row r="1451" customFormat="false" ht="11.25" hidden="false" customHeight="true" outlineLevel="0" collapsed="false"/>
    <row r="1452" customFormat="false" ht="11.25" hidden="false" customHeight="true" outlineLevel="0" collapsed="false"/>
    <row r="1453" customFormat="false" ht="11.25" hidden="false" customHeight="true" outlineLevel="0" collapsed="false"/>
    <row r="1454" customFormat="false" ht="11.25" hidden="false" customHeight="true" outlineLevel="0" collapsed="false"/>
    <row r="1455" customFormat="false" ht="11.25" hidden="false" customHeight="true" outlineLevel="0" collapsed="false"/>
    <row r="1456" customFormat="false" ht="11.25" hidden="false" customHeight="true" outlineLevel="0" collapsed="false"/>
    <row r="1457" customFormat="false" ht="11.25" hidden="false" customHeight="true" outlineLevel="0" collapsed="false"/>
    <row r="1458" customFormat="false" ht="11.25" hidden="false" customHeight="true" outlineLevel="0" collapsed="false"/>
    <row r="1459" customFormat="false" ht="11.25" hidden="false" customHeight="true" outlineLevel="0" collapsed="false"/>
    <row r="1460" customFormat="false" ht="11.25" hidden="false" customHeight="true" outlineLevel="0" collapsed="false"/>
    <row r="1461" customFormat="false" ht="11.25" hidden="false" customHeight="true" outlineLevel="0" collapsed="false"/>
    <row r="1462" customFormat="false" ht="11.25" hidden="false" customHeight="true" outlineLevel="0" collapsed="false"/>
    <row r="1463" customFormat="false" ht="11.25" hidden="false" customHeight="true" outlineLevel="0" collapsed="false"/>
    <row r="1464" customFormat="false" ht="11.25" hidden="false" customHeight="true" outlineLevel="0" collapsed="false"/>
    <row r="1465" customFormat="false" ht="11.25" hidden="false" customHeight="true" outlineLevel="0" collapsed="false"/>
    <row r="1466" customFormat="false" ht="11.25" hidden="false" customHeight="true" outlineLevel="0" collapsed="false"/>
    <row r="1467" customFormat="false" ht="11.25" hidden="false" customHeight="true" outlineLevel="0" collapsed="false"/>
    <row r="1468" customFormat="false" ht="11.25" hidden="false" customHeight="true" outlineLevel="0" collapsed="false"/>
    <row r="1469" customFormat="false" ht="11.25" hidden="false" customHeight="true" outlineLevel="0" collapsed="false"/>
    <row r="1470" customFormat="false" ht="11.25" hidden="false" customHeight="true" outlineLevel="0" collapsed="false"/>
    <row r="1471" customFormat="false" ht="11.25" hidden="false" customHeight="true" outlineLevel="0" collapsed="false"/>
    <row r="1472" customFormat="false" ht="11.25" hidden="false" customHeight="true" outlineLevel="0" collapsed="false"/>
    <row r="1473" customFormat="false" ht="11.25" hidden="false" customHeight="true" outlineLevel="0" collapsed="false"/>
    <row r="1474" customFormat="false" ht="11.25" hidden="false" customHeight="true" outlineLevel="0" collapsed="false"/>
    <row r="1475" customFormat="false" ht="11.25" hidden="false" customHeight="true" outlineLevel="0" collapsed="false"/>
    <row r="1476" customFormat="false" ht="11.25" hidden="false" customHeight="true" outlineLevel="0" collapsed="false"/>
    <row r="1477" customFormat="false" ht="11.25" hidden="false" customHeight="true" outlineLevel="0" collapsed="false"/>
    <row r="1478" customFormat="false" ht="11.25" hidden="false" customHeight="true" outlineLevel="0" collapsed="false"/>
    <row r="1479" customFormat="false" ht="11.25" hidden="false" customHeight="true" outlineLevel="0" collapsed="false"/>
    <row r="1480" customFormat="false" ht="11.25" hidden="false" customHeight="true" outlineLevel="0" collapsed="false"/>
    <row r="1481" customFormat="false" ht="11.25" hidden="false" customHeight="true" outlineLevel="0" collapsed="false"/>
    <row r="1482" customFormat="false" ht="11.25" hidden="false" customHeight="true" outlineLevel="0" collapsed="false"/>
    <row r="1483" customFormat="false" ht="11.25" hidden="false" customHeight="true" outlineLevel="0" collapsed="false"/>
    <row r="1484" customFormat="false" ht="11.25" hidden="false" customHeight="true" outlineLevel="0" collapsed="false"/>
    <row r="1485" customFormat="false" ht="11.25" hidden="false" customHeight="true" outlineLevel="0" collapsed="false"/>
    <row r="1486" customFormat="false" ht="11.25" hidden="false" customHeight="true" outlineLevel="0" collapsed="false"/>
    <row r="1487" customFormat="false" ht="11.25" hidden="false" customHeight="true" outlineLevel="0" collapsed="false"/>
    <row r="1488" customFormat="false" ht="11.25" hidden="false" customHeight="true" outlineLevel="0" collapsed="false"/>
    <row r="1489" customFormat="false" ht="11.25" hidden="false" customHeight="true" outlineLevel="0" collapsed="false"/>
    <row r="1490" customFormat="false" ht="11.25" hidden="false" customHeight="true" outlineLevel="0" collapsed="false"/>
    <row r="1491" customFormat="false" ht="11.25" hidden="false" customHeight="true" outlineLevel="0" collapsed="false"/>
    <row r="1492" customFormat="false" ht="11.25" hidden="false" customHeight="true" outlineLevel="0" collapsed="false"/>
    <row r="1493" customFormat="false" ht="11.25" hidden="false" customHeight="true" outlineLevel="0" collapsed="false"/>
    <row r="1494" customFormat="false" ht="11.25" hidden="false" customHeight="true" outlineLevel="0" collapsed="false"/>
    <row r="1495" customFormat="false" ht="11.25" hidden="false" customHeight="true" outlineLevel="0" collapsed="false"/>
    <row r="1496" customFormat="false" ht="11.25" hidden="false" customHeight="true" outlineLevel="0" collapsed="false"/>
    <row r="1497" customFormat="false" ht="11.25" hidden="false" customHeight="true" outlineLevel="0" collapsed="false"/>
    <row r="1498" customFormat="false" ht="11.25" hidden="false" customHeight="true" outlineLevel="0" collapsed="false"/>
    <row r="1499" customFormat="false" ht="11.25" hidden="false" customHeight="true" outlineLevel="0" collapsed="false"/>
    <row r="1500" customFormat="false" ht="11.25" hidden="false" customHeight="true" outlineLevel="0" collapsed="false"/>
    <row r="1501" customFormat="false" ht="11.25" hidden="false" customHeight="true" outlineLevel="0" collapsed="false"/>
    <row r="1502" customFormat="false" ht="11.25" hidden="false" customHeight="true" outlineLevel="0" collapsed="false"/>
    <row r="1503" customFormat="false" ht="11.25" hidden="false" customHeight="true" outlineLevel="0" collapsed="false"/>
    <row r="1504" customFormat="false" ht="11.25" hidden="false" customHeight="true" outlineLevel="0" collapsed="false"/>
    <row r="1505" customFormat="false" ht="11.25" hidden="false" customHeight="true" outlineLevel="0" collapsed="false"/>
    <row r="1506" customFormat="false" ht="11.25" hidden="false" customHeight="true" outlineLevel="0" collapsed="false"/>
    <row r="1507" customFormat="false" ht="11.25" hidden="false" customHeight="true" outlineLevel="0" collapsed="false"/>
    <row r="1508" customFormat="false" ht="11.25" hidden="false" customHeight="true" outlineLevel="0" collapsed="false"/>
    <row r="1509" customFormat="false" ht="11.25" hidden="false" customHeight="true" outlineLevel="0" collapsed="false"/>
    <row r="1510" customFormat="false" ht="11.25" hidden="false" customHeight="true" outlineLevel="0" collapsed="false"/>
    <row r="1511" customFormat="false" ht="11.25" hidden="false" customHeight="true" outlineLevel="0" collapsed="false"/>
    <row r="1512" customFormat="false" ht="11.25" hidden="false" customHeight="true" outlineLevel="0" collapsed="false"/>
    <row r="1513" customFormat="false" ht="11.25" hidden="false" customHeight="true" outlineLevel="0" collapsed="false"/>
    <row r="1514" customFormat="false" ht="11.25" hidden="false" customHeight="true" outlineLevel="0" collapsed="false"/>
    <row r="1515" customFormat="false" ht="11.25" hidden="false" customHeight="true" outlineLevel="0" collapsed="false"/>
    <row r="1516" customFormat="false" ht="11.25" hidden="false" customHeight="true" outlineLevel="0" collapsed="false"/>
    <row r="1517" customFormat="false" ht="11.25" hidden="false" customHeight="true" outlineLevel="0" collapsed="false"/>
    <row r="1518" customFormat="false" ht="11.25" hidden="false" customHeight="true" outlineLevel="0" collapsed="false"/>
    <row r="1519" customFormat="false" ht="11.25" hidden="false" customHeight="true" outlineLevel="0" collapsed="false"/>
    <row r="1520" customFormat="false" ht="11.25" hidden="false" customHeight="true" outlineLevel="0" collapsed="false"/>
    <row r="1521" customFormat="false" ht="11.25" hidden="false" customHeight="true" outlineLevel="0" collapsed="false"/>
    <row r="1522" customFormat="false" ht="11.25" hidden="false" customHeight="true" outlineLevel="0" collapsed="false"/>
    <row r="1523" customFormat="false" ht="11.25" hidden="false" customHeight="true" outlineLevel="0" collapsed="false"/>
    <row r="1524" customFormat="false" ht="11.25" hidden="false" customHeight="true" outlineLevel="0" collapsed="false"/>
    <row r="1525" customFormat="false" ht="11.25" hidden="false" customHeight="true" outlineLevel="0" collapsed="false"/>
    <row r="1526" customFormat="false" ht="11.25" hidden="false" customHeight="true" outlineLevel="0" collapsed="false"/>
    <row r="1527" customFormat="false" ht="11.25" hidden="false" customHeight="true" outlineLevel="0" collapsed="false"/>
    <row r="1528" customFormat="false" ht="11.25" hidden="false" customHeight="true" outlineLevel="0" collapsed="false"/>
    <row r="1529" customFormat="false" ht="11.25" hidden="false" customHeight="true" outlineLevel="0" collapsed="false"/>
    <row r="1530" customFormat="false" ht="11.25" hidden="false" customHeight="true" outlineLevel="0" collapsed="false"/>
    <row r="1531" customFormat="false" ht="11.25" hidden="false" customHeight="true" outlineLevel="0" collapsed="false"/>
    <row r="1532" customFormat="false" ht="11.25" hidden="false" customHeight="true" outlineLevel="0" collapsed="false"/>
    <row r="1533" customFormat="false" ht="11.25" hidden="false" customHeight="true" outlineLevel="0" collapsed="false"/>
    <row r="1534" customFormat="false" ht="11.25" hidden="false" customHeight="true" outlineLevel="0" collapsed="false"/>
    <row r="1535" customFormat="false" ht="11.25" hidden="false" customHeight="true" outlineLevel="0" collapsed="false"/>
    <row r="1536" customFormat="false" ht="11.25" hidden="false" customHeight="true" outlineLevel="0" collapsed="false"/>
    <row r="1537" customFormat="false" ht="11.25" hidden="false" customHeight="true" outlineLevel="0" collapsed="false"/>
    <row r="1538" customFormat="false" ht="11.25" hidden="false" customHeight="true" outlineLevel="0" collapsed="false"/>
    <row r="1539" customFormat="false" ht="11.25" hidden="false" customHeight="true" outlineLevel="0" collapsed="false"/>
    <row r="1540" customFormat="false" ht="11.25" hidden="false" customHeight="true" outlineLevel="0" collapsed="false"/>
    <row r="1541" customFormat="false" ht="11.25" hidden="false" customHeight="true" outlineLevel="0" collapsed="false"/>
    <row r="1542" customFormat="false" ht="11.25" hidden="false" customHeight="true" outlineLevel="0" collapsed="false"/>
    <row r="1543" customFormat="false" ht="11.25" hidden="false" customHeight="true" outlineLevel="0" collapsed="false"/>
    <row r="1544" customFormat="false" ht="11.25" hidden="false" customHeight="true" outlineLevel="0" collapsed="false"/>
    <row r="1545" customFormat="false" ht="11.25" hidden="false" customHeight="true" outlineLevel="0" collapsed="false"/>
    <row r="1546" customFormat="false" ht="11.25" hidden="false" customHeight="true" outlineLevel="0" collapsed="false"/>
    <row r="1547" customFormat="false" ht="11.25" hidden="false" customHeight="true" outlineLevel="0" collapsed="false"/>
    <row r="1548" customFormat="false" ht="11.25" hidden="false" customHeight="true" outlineLevel="0" collapsed="false"/>
    <row r="1549" customFormat="false" ht="11.25" hidden="false" customHeight="true" outlineLevel="0" collapsed="false"/>
    <row r="1550" customFormat="false" ht="11.25" hidden="false" customHeight="true" outlineLevel="0" collapsed="false"/>
    <row r="1551" customFormat="false" ht="11.25" hidden="false" customHeight="true" outlineLevel="0" collapsed="false"/>
    <row r="1552" customFormat="false" ht="11.25" hidden="false" customHeight="true" outlineLevel="0" collapsed="false"/>
    <row r="1553" customFormat="false" ht="11.25" hidden="false" customHeight="true" outlineLevel="0" collapsed="false"/>
    <row r="1554" customFormat="false" ht="11.25" hidden="false" customHeight="true" outlineLevel="0" collapsed="false"/>
    <row r="1555" customFormat="false" ht="11.25" hidden="false" customHeight="true" outlineLevel="0" collapsed="false"/>
    <row r="1556" customFormat="false" ht="11.25" hidden="false" customHeight="true" outlineLevel="0" collapsed="false"/>
    <row r="1557" customFormat="false" ht="11.25" hidden="false" customHeight="true" outlineLevel="0" collapsed="false"/>
    <row r="1558" customFormat="false" ht="11.25" hidden="false" customHeight="true" outlineLevel="0" collapsed="false"/>
    <row r="1559" customFormat="false" ht="11.25" hidden="false" customHeight="true" outlineLevel="0" collapsed="false"/>
    <row r="1560" customFormat="false" ht="11.25" hidden="false" customHeight="true" outlineLevel="0" collapsed="false"/>
    <row r="1561" customFormat="false" ht="11.25" hidden="false" customHeight="true" outlineLevel="0" collapsed="false"/>
    <row r="1562" customFormat="false" ht="11.25" hidden="false" customHeight="true" outlineLevel="0" collapsed="false"/>
    <row r="1563" customFormat="false" ht="11.25" hidden="false" customHeight="true" outlineLevel="0" collapsed="false"/>
    <row r="1564" customFormat="false" ht="11.25" hidden="false" customHeight="true" outlineLevel="0" collapsed="false"/>
    <row r="1565" customFormat="false" ht="11.25" hidden="false" customHeight="true" outlineLevel="0" collapsed="false"/>
    <row r="1566" customFormat="false" ht="11.25" hidden="false" customHeight="true" outlineLevel="0" collapsed="false"/>
    <row r="1567" customFormat="false" ht="11.25" hidden="false" customHeight="true" outlineLevel="0" collapsed="false"/>
    <row r="1568" customFormat="false" ht="11.25" hidden="false" customHeight="true" outlineLevel="0" collapsed="false"/>
    <row r="1569" customFormat="false" ht="11.25" hidden="false" customHeight="true" outlineLevel="0" collapsed="false"/>
    <row r="1570" customFormat="false" ht="11.25" hidden="false" customHeight="true" outlineLevel="0" collapsed="false"/>
    <row r="1571" customFormat="false" ht="11.25" hidden="false" customHeight="true" outlineLevel="0" collapsed="false"/>
    <row r="1572" customFormat="false" ht="11.25" hidden="false" customHeight="true" outlineLevel="0" collapsed="false"/>
    <row r="1573" customFormat="false" ht="11.25" hidden="false" customHeight="true" outlineLevel="0" collapsed="false"/>
    <row r="1574" customFormat="false" ht="11.25" hidden="false" customHeight="true" outlineLevel="0" collapsed="false"/>
    <row r="1575" customFormat="false" ht="11.25" hidden="false" customHeight="true" outlineLevel="0" collapsed="false"/>
    <row r="1576" customFormat="false" ht="11.25" hidden="false" customHeight="true" outlineLevel="0" collapsed="false"/>
    <row r="1577" customFormat="false" ht="11.25" hidden="false" customHeight="true" outlineLevel="0" collapsed="false"/>
    <row r="1578" customFormat="false" ht="11.25" hidden="false" customHeight="true" outlineLevel="0" collapsed="false"/>
    <row r="1579" customFormat="false" ht="11.25" hidden="false" customHeight="true" outlineLevel="0" collapsed="false"/>
    <row r="1580" customFormat="false" ht="11.25" hidden="false" customHeight="true" outlineLevel="0" collapsed="false"/>
    <row r="1581" customFormat="false" ht="11.25" hidden="false" customHeight="true" outlineLevel="0" collapsed="false"/>
    <row r="1582" customFormat="false" ht="11.25" hidden="false" customHeight="true" outlineLevel="0" collapsed="false"/>
    <row r="1583" customFormat="false" ht="11.25" hidden="false" customHeight="true" outlineLevel="0" collapsed="false"/>
    <row r="1584" customFormat="false" ht="11.25" hidden="false" customHeight="true" outlineLevel="0" collapsed="false"/>
    <row r="1585" customFormat="false" ht="11.25" hidden="false" customHeight="true" outlineLevel="0" collapsed="false"/>
    <row r="1586" customFormat="false" ht="11.25" hidden="false" customHeight="true" outlineLevel="0" collapsed="false"/>
    <row r="1587" customFormat="false" ht="11.25" hidden="false" customHeight="true" outlineLevel="0" collapsed="false"/>
    <row r="1588" customFormat="false" ht="11.25" hidden="false" customHeight="true" outlineLevel="0" collapsed="false"/>
    <row r="1589" customFormat="false" ht="11.25" hidden="false" customHeight="true" outlineLevel="0" collapsed="false"/>
    <row r="1590" customFormat="false" ht="11.25" hidden="false" customHeight="true" outlineLevel="0" collapsed="false"/>
    <row r="1591" customFormat="false" ht="11.25" hidden="false" customHeight="true" outlineLevel="0" collapsed="false"/>
    <row r="1592" customFormat="false" ht="11.25" hidden="false" customHeight="true" outlineLevel="0" collapsed="false"/>
    <row r="1593" customFormat="false" ht="11.25" hidden="false" customHeight="true" outlineLevel="0" collapsed="false"/>
    <row r="1594" customFormat="false" ht="11.25" hidden="false" customHeight="true" outlineLevel="0" collapsed="false"/>
    <row r="1595" customFormat="false" ht="11.25" hidden="false" customHeight="true" outlineLevel="0" collapsed="false"/>
    <row r="1596" customFormat="false" ht="11.25" hidden="false" customHeight="true" outlineLevel="0" collapsed="false"/>
    <row r="1597" customFormat="false" ht="11.25" hidden="false" customHeight="true" outlineLevel="0" collapsed="false"/>
    <row r="1598" customFormat="false" ht="11.25" hidden="false" customHeight="true" outlineLevel="0" collapsed="false"/>
    <row r="1599" customFormat="false" ht="11.25" hidden="false" customHeight="true" outlineLevel="0" collapsed="false"/>
    <row r="1600" customFormat="false" ht="11.25" hidden="false" customHeight="true" outlineLevel="0" collapsed="false"/>
    <row r="1601" customFormat="false" ht="11.25" hidden="false" customHeight="true" outlineLevel="0" collapsed="false"/>
    <row r="1602" customFormat="false" ht="11.25" hidden="false" customHeight="true" outlineLevel="0" collapsed="false"/>
    <row r="1603" customFormat="false" ht="11.25" hidden="false" customHeight="true" outlineLevel="0" collapsed="false"/>
    <row r="1604" customFormat="false" ht="11.25" hidden="false" customHeight="true" outlineLevel="0" collapsed="false"/>
    <row r="1605" customFormat="false" ht="11.25" hidden="false" customHeight="true" outlineLevel="0" collapsed="false"/>
    <row r="1606" customFormat="false" ht="11.25" hidden="false" customHeight="true" outlineLevel="0" collapsed="false"/>
    <row r="1607" customFormat="false" ht="11.25" hidden="false" customHeight="true" outlineLevel="0" collapsed="false"/>
    <row r="1608" customFormat="false" ht="11.25" hidden="false" customHeight="true" outlineLevel="0" collapsed="false"/>
    <row r="1609" customFormat="false" ht="11.25" hidden="false" customHeight="true" outlineLevel="0" collapsed="false"/>
    <row r="1610" customFormat="false" ht="11.25" hidden="false" customHeight="true" outlineLevel="0" collapsed="false"/>
    <row r="1611" customFormat="false" ht="11.25" hidden="false" customHeight="true" outlineLevel="0" collapsed="false"/>
    <row r="1612" customFormat="false" ht="11.25" hidden="false" customHeight="true" outlineLevel="0" collapsed="false"/>
    <row r="1613" customFormat="false" ht="11.25" hidden="false" customHeight="true" outlineLevel="0" collapsed="false"/>
    <row r="1614" customFormat="false" ht="11.25" hidden="false" customHeight="true" outlineLevel="0" collapsed="false"/>
    <row r="1615" customFormat="false" ht="11.25" hidden="false" customHeight="true" outlineLevel="0" collapsed="false"/>
    <row r="1616" customFormat="false" ht="11.25" hidden="false" customHeight="true" outlineLevel="0" collapsed="false"/>
    <row r="1617" customFormat="false" ht="11.25" hidden="false" customHeight="true" outlineLevel="0" collapsed="false"/>
    <row r="1618" customFormat="false" ht="11.25" hidden="false" customHeight="true" outlineLevel="0" collapsed="false"/>
    <row r="1619" customFormat="false" ht="11.25" hidden="false" customHeight="true" outlineLevel="0" collapsed="false"/>
    <row r="1620" customFormat="false" ht="11.25" hidden="false" customHeight="true" outlineLevel="0" collapsed="false"/>
    <row r="1621" customFormat="false" ht="11.25" hidden="false" customHeight="true" outlineLevel="0" collapsed="false"/>
    <row r="1622" customFormat="false" ht="11.25" hidden="false" customHeight="true" outlineLevel="0" collapsed="false"/>
    <row r="1623" customFormat="false" ht="11.25" hidden="false" customHeight="true" outlineLevel="0" collapsed="false"/>
    <row r="1624" customFormat="false" ht="11.25" hidden="false" customHeight="true" outlineLevel="0" collapsed="false"/>
    <row r="1625" customFormat="false" ht="11.25" hidden="false" customHeight="true" outlineLevel="0" collapsed="false"/>
    <row r="1626" customFormat="false" ht="11.25" hidden="false" customHeight="true" outlineLevel="0" collapsed="false"/>
    <row r="1627" customFormat="false" ht="11.25" hidden="false" customHeight="true" outlineLevel="0" collapsed="false"/>
    <row r="1628" customFormat="false" ht="11.25" hidden="false" customHeight="true" outlineLevel="0" collapsed="false"/>
    <row r="1629" customFormat="false" ht="11.25" hidden="false" customHeight="true" outlineLevel="0" collapsed="false"/>
    <row r="1630" customFormat="false" ht="11.25" hidden="false" customHeight="true" outlineLevel="0" collapsed="false"/>
    <row r="1631" customFormat="false" ht="11.25" hidden="false" customHeight="true" outlineLevel="0" collapsed="false"/>
    <row r="1632" customFormat="false" ht="11.25" hidden="false" customHeight="true" outlineLevel="0" collapsed="false"/>
    <row r="1633" customFormat="false" ht="11.25" hidden="false" customHeight="true" outlineLevel="0" collapsed="false"/>
    <row r="1634" customFormat="false" ht="11.25" hidden="false" customHeight="true" outlineLevel="0" collapsed="false"/>
    <row r="1635" customFormat="false" ht="11.25" hidden="false" customHeight="true" outlineLevel="0" collapsed="false"/>
    <row r="1636" customFormat="false" ht="11.25" hidden="false" customHeight="true" outlineLevel="0" collapsed="false"/>
    <row r="1637" customFormat="false" ht="11.25" hidden="false" customHeight="true" outlineLevel="0" collapsed="false"/>
    <row r="1638" customFormat="false" ht="11.25" hidden="false" customHeight="true" outlineLevel="0" collapsed="false"/>
    <row r="1639" customFormat="false" ht="11.25" hidden="false" customHeight="true" outlineLevel="0" collapsed="false"/>
    <row r="1640" customFormat="false" ht="11.25" hidden="false" customHeight="true" outlineLevel="0" collapsed="false"/>
    <row r="1641" customFormat="false" ht="11.25" hidden="false" customHeight="true" outlineLevel="0" collapsed="false"/>
    <row r="1642" customFormat="false" ht="11.25" hidden="false" customHeight="true" outlineLevel="0" collapsed="false"/>
    <row r="1643" customFormat="false" ht="11.25" hidden="false" customHeight="true" outlineLevel="0" collapsed="false"/>
    <row r="1644" customFormat="false" ht="11.25" hidden="false" customHeight="true" outlineLevel="0" collapsed="false"/>
    <row r="1645" customFormat="false" ht="11.25" hidden="false" customHeight="true" outlineLevel="0" collapsed="false"/>
    <row r="1646" customFormat="false" ht="11.25" hidden="false" customHeight="true" outlineLevel="0" collapsed="false"/>
    <row r="1647" customFormat="false" ht="11.25" hidden="false" customHeight="true" outlineLevel="0" collapsed="false"/>
    <row r="1648" customFormat="false" ht="11.25" hidden="false" customHeight="true" outlineLevel="0" collapsed="false"/>
    <row r="1649" customFormat="false" ht="11.25" hidden="false" customHeight="true" outlineLevel="0" collapsed="false"/>
    <row r="1650" customFormat="false" ht="11.25" hidden="false" customHeight="true" outlineLevel="0" collapsed="false"/>
    <row r="1651" customFormat="false" ht="11.25" hidden="false" customHeight="true" outlineLevel="0" collapsed="false"/>
    <row r="1652" customFormat="false" ht="11.25" hidden="false" customHeight="true" outlineLevel="0" collapsed="false"/>
    <row r="1653" customFormat="false" ht="11.25" hidden="false" customHeight="true" outlineLevel="0" collapsed="false"/>
    <row r="1654" customFormat="false" ht="11.25" hidden="false" customHeight="true" outlineLevel="0" collapsed="false"/>
    <row r="1655" customFormat="false" ht="11.25" hidden="false" customHeight="true" outlineLevel="0" collapsed="false"/>
    <row r="1656" customFormat="false" ht="11.25" hidden="false" customHeight="true" outlineLevel="0" collapsed="false"/>
    <row r="1657" customFormat="false" ht="11.25" hidden="false" customHeight="true" outlineLevel="0" collapsed="false"/>
    <row r="1658" customFormat="false" ht="11.25" hidden="false" customHeight="true" outlineLevel="0" collapsed="false"/>
    <row r="1659" customFormat="false" ht="11.25" hidden="false" customHeight="true" outlineLevel="0" collapsed="false"/>
    <row r="1660" customFormat="false" ht="11.25" hidden="false" customHeight="true" outlineLevel="0" collapsed="false"/>
    <row r="1661" customFormat="false" ht="11.25" hidden="false" customHeight="true" outlineLevel="0" collapsed="false"/>
    <row r="1662" customFormat="false" ht="11.25" hidden="false" customHeight="true" outlineLevel="0" collapsed="false"/>
    <row r="1663" customFormat="false" ht="11.25" hidden="false" customHeight="true" outlineLevel="0" collapsed="false"/>
    <row r="1664" customFormat="false" ht="11.25" hidden="false" customHeight="true" outlineLevel="0" collapsed="false"/>
    <row r="1665" customFormat="false" ht="11.25" hidden="false" customHeight="true" outlineLevel="0" collapsed="false"/>
    <row r="1666" customFormat="false" ht="11.25" hidden="false" customHeight="true" outlineLevel="0" collapsed="false"/>
    <row r="1667" customFormat="false" ht="11.25" hidden="false" customHeight="true" outlineLevel="0" collapsed="false"/>
    <row r="1668" customFormat="false" ht="11.25" hidden="false" customHeight="true" outlineLevel="0" collapsed="false"/>
    <row r="1669" customFormat="false" ht="11.25" hidden="false" customHeight="true" outlineLevel="0" collapsed="false"/>
    <row r="1670" customFormat="false" ht="11.25" hidden="false" customHeight="true" outlineLevel="0" collapsed="false"/>
    <row r="1671" customFormat="false" ht="11.25" hidden="false" customHeight="true" outlineLevel="0" collapsed="false"/>
    <row r="1672" customFormat="false" ht="11.25" hidden="false" customHeight="true" outlineLevel="0" collapsed="false"/>
    <row r="1673" customFormat="false" ht="11.25" hidden="false" customHeight="true" outlineLevel="0" collapsed="false"/>
    <row r="1674" customFormat="false" ht="11.25" hidden="false" customHeight="true" outlineLevel="0" collapsed="false"/>
    <row r="1675" customFormat="false" ht="11.25" hidden="false" customHeight="true" outlineLevel="0" collapsed="false"/>
    <row r="1676" customFormat="false" ht="11.25" hidden="false" customHeight="true" outlineLevel="0" collapsed="false"/>
    <row r="1677" customFormat="false" ht="11.25" hidden="false" customHeight="true" outlineLevel="0" collapsed="false"/>
    <row r="1678" customFormat="false" ht="11.25" hidden="false" customHeight="true" outlineLevel="0" collapsed="false"/>
    <row r="1679" customFormat="false" ht="11.25" hidden="false" customHeight="true" outlineLevel="0" collapsed="false"/>
    <row r="1680" customFormat="false" ht="11.25" hidden="false" customHeight="true" outlineLevel="0" collapsed="false"/>
    <row r="1681" customFormat="false" ht="11.25" hidden="false" customHeight="true" outlineLevel="0" collapsed="false"/>
    <row r="1682" customFormat="false" ht="11.25" hidden="false" customHeight="true" outlineLevel="0" collapsed="false"/>
    <row r="1683" customFormat="false" ht="11.25" hidden="false" customHeight="true" outlineLevel="0" collapsed="false"/>
    <row r="1684" customFormat="false" ht="11.25" hidden="false" customHeight="true" outlineLevel="0" collapsed="false"/>
    <row r="1685" customFormat="false" ht="11.25" hidden="false" customHeight="true" outlineLevel="0" collapsed="false"/>
    <row r="1686" customFormat="false" ht="11.25" hidden="false" customHeight="true" outlineLevel="0" collapsed="false"/>
    <row r="1687" customFormat="false" ht="11.25" hidden="false" customHeight="true" outlineLevel="0" collapsed="false"/>
    <row r="1688" customFormat="false" ht="11.25" hidden="false" customHeight="true" outlineLevel="0" collapsed="false"/>
    <row r="1689" customFormat="false" ht="11.25" hidden="false" customHeight="true" outlineLevel="0" collapsed="false"/>
    <row r="1690" customFormat="false" ht="11.25" hidden="false" customHeight="true" outlineLevel="0" collapsed="false"/>
    <row r="1691" customFormat="false" ht="11.25" hidden="false" customHeight="true" outlineLevel="0" collapsed="false"/>
    <row r="1692" customFormat="false" ht="11.25" hidden="false" customHeight="true" outlineLevel="0" collapsed="false"/>
    <row r="1693" customFormat="false" ht="11.25" hidden="false" customHeight="true" outlineLevel="0" collapsed="false"/>
    <row r="1694" customFormat="false" ht="11.25" hidden="false" customHeight="true" outlineLevel="0" collapsed="false"/>
    <row r="1695" customFormat="false" ht="11.25" hidden="false" customHeight="true" outlineLevel="0" collapsed="false"/>
    <row r="1696" customFormat="false" ht="11.25" hidden="false" customHeight="true" outlineLevel="0" collapsed="false"/>
    <row r="1697" customFormat="false" ht="11.25" hidden="false" customHeight="true" outlineLevel="0" collapsed="false"/>
    <row r="1698" customFormat="false" ht="11.25" hidden="false" customHeight="true" outlineLevel="0" collapsed="false"/>
    <row r="1699" customFormat="false" ht="11.25" hidden="false" customHeight="true" outlineLevel="0" collapsed="false"/>
    <row r="1700" customFormat="false" ht="11.25" hidden="false" customHeight="true" outlineLevel="0" collapsed="false"/>
    <row r="1701" customFormat="false" ht="11.25" hidden="false" customHeight="true" outlineLevel="0" collapsed="false"/>
    <row r="1702" customFormat="false" ht="11.25" hidden="false" customHeight="true" outlineLevel="0" collapsed="false"/>
    <row r="1703" customFormat="false" ht="11.25" hidden="false" customHeight="true" outlineLevel="0" collapsed="false"/>
    <row r="1704" customFormat="false" ht="11.25" hidden="false" customHeight="true" outlineLevel="0" collapsed="false"/>
    <row r="1705" customFormat="false" ht="11.25" hidden="false" customHeight="true" outlineLevel="0" collapsed="false"/>
    <row r="1706" customFormat="false" ht="11.25" hidden="false" customHeight="true" outlineLevel="0" collapsed="false"/>
    <row r="1707" customFormat="false" ht="11.25" hidden="false" customHeight="true" outlineLevel="0" collapsed="false"/>
    <row r="1708" customFormat="false" ht="11.25" hidden="false" customHeight="true" outlineLevel="0" collapsed="false"/>
    <row r="1709" customFormat="false" ht="11.25" hidden="false" customHeight="true" outlineLevel="0" collapsed="false"/>
    <row r="1710" customFormat="false" ht="11.25" hidden="false" customHeight="true" outlineLevel="0" collapsed="false"/>
    <row r="1711" customFormat="false" ht="11.25" hidden="false" customHeight="true" outlineLevel="0" collapsed="false"/>
    <row r="1712" customFormat="false" ht="11.25" hidden="false" customHeight="true" outlineLevel="0" collapsed="false"/>
    <row r="1713" customFormat="false" ht="11.25" hidden="false" customHeight="true" outlineLevel="0" collapsed="false"/>
    <row r="1714" customFormat="false" ht="11.25" hidden="false" customHeight="true" outlineLevel="0" collapsed="false"/>
    <row r="1715" customFormat="false" ht="11.25" hidden="false" customHeight="true" outlineLevel="0" collapsed="false"/>
    <row r="1716" customFormat="false" ht="11.25" hidden="false" customHeight="true" outlineLevel="0" collapsed="false"/>
    <row r="1717" customFormat="false" ht="11.25" hidden="false" customHeight="true" outlineLevel="0" collapsed="false"/>
    <row r="1718" customFormat="false" ht="11.25" hidden="false" customHeight="true" outlineLevel="0" collapsed="false"/>
    <row r="1719" customFormat="false" ht="11.25" hidden="false" customHeight="true" outlineLevel="0" collapsed="false"/>
    <row r="1720" customFormat="false" ht="11.25" hidden="false" customHeight="true" outlineLevel="0" collapsed="false"/>
    <row r="1721" customFormat="false" ht="11.25" hidden="false" customHeight="true" outlineLevel="0" collapsed="false"/>
    <row r="1722" customFormat="false" ht="11.25" hidden="false" customHeight="true" outlineLevel="0" collapsed="false"/>
    <row r="1723" customFormat="false" ht="11.25" hidden="false" customHeight="true" outlineLevel="0" collapsed="false"/>
    <row r="1724" customFormat="false" ht="11.25" hidden="false" customHeight="true" outlineLevel="0" collapsed="false"/>
    <row r="1725" customFormat="false" ht="11.25" hidden="false" customHeight="true" outlineLevel="0" collapsed="false"/>
    <row r="1726" customFormat="false" ht="11.25" hidden="false" customHeight="true" outlineLevel="0" collapsed="false"/>
    <row r="1727" customFormat="false" ht="11.25" hidden="false" customHeight="true" outlineLevel="0" collapsed="false"/>
    <row r="1728" customFormat="false" ht="11.25" hidden="false" customHeight="true" outlineLevel="0" collapsed="false"/>
    <row r="1729" customFormat="false" ht="11.25" hidden="false" customHeight="true" outlineLevel="0" collapsed="false"/>
    <row r="1730" customFormat="false" ht="11.25" hidden="false" customHeight="true" outlineLevel="0" collapsed="false"/>
    <row r="1731" customFormat="false" ht="11.25" hidden="false" customHeight="true" outlineLevel="0" collapsed="false"/>
    <row r="1732" customFormat="false" ht="11.25" hidden="false" customHeight="true" outlineLevel="0" collapsed="false"/>
    <row r="1733" customFormat="false" ht="11.25" hidden="false" customHeight="true" outlineLevel="0" collapsed="false"/>
    <row r="1734" customFormat="false" ht="11.25" hidden="false" customHeight="true" outlineLevel="0" collapsed="false"/>
    <row r="1735" customFormat="false" ht="11.25" hidden="false" customHeight="true" outlineLevel="0" collapsed="false"/>
    <row r="1736" customFormat="false" ht="11.25" hidden="false" customHeight="true" outlineLevel="0" collapsed="false"/>
    <row r="1737" customFormat="false" ht="11.25" hidden="false" customHeight="true" outlineLevel="0" collapsed="false"/>
    <row r="1738" customFormat="false" ht="11.25" hidden="false" customHeight="true" outlineLevel="0" collapsed="false"/>
    <row r="1739" customFormat="false" ht="11.25" hidden="false" customHeight="true" outlineLevel="0" collapsed="false"/>
    <row r="1740" customFormat="false" ht="11.25" hidden="false" customHeight="true" outlineLevel="0" collapsed="false"/>
    <row r="1741" customFormat="false" ht="11.25" hidden="false" customHeight="true" outlineLevel="0" collapsed="false"/>
    <row r="1742" customFormat="false" ht="11.25" hidden="false" customHeight="true" outlineLevel="0" collapsed="false"/>
    <row r="1743" customFormat="false" ht="11.25" hidden="false" customHeight="true" outlineLevel="0" collapsed="false"/>
    <row r="1744" customFormat="false" ht="11.25" hidden="false" customHeight="true" outlineLevel="0" collapsed="false"/>
    <row r="1745" customFormat="false" ht="11.25" hidden="false" customHeight="true" outlineLevel="0" collapsed="false"/>
    <row r="1746" customFormat="false" ht="11.25" hidden="false" customHeight="true" outlineLevel="0" collapsed="false"/>
    <row r="1747" customFormat="false" ht="11.25" hidden="false" customHeight="true" outlineLevel="0" collapsed="false"/>
    <row r="1748" customFormat="false" ht="11.25" hidden="false" customHeight="true" outlineLevel="0" collapsed="false"/>
    <row r="1749" customFormat="false" ht="11.25" hidden="false" customHeight="true" outlineLevel="0" collapsed="false"/>
    <row r="1750" customFormat="false" ht="11.25" hidden="false" customHeight="true" outlineLevel="0" collapsed="false"/>
    <row r="1751" customFormat="false" ht="11.25" hidden="false" customHeight="true" outlineLevel="0" collapsed="false"/>
    <row r="1752" customFormat="false" ht="11.25" hidden="false" customHeight="true" outlineLevel="0" collapsed="false"/>
    <row r="1753" customFormat="false" ht="11.25" hidden="false" customHeight="true" outlineLevel="0" collapsed="false"/>
    <row r="1754" customFormat="false" ht="11.25" hidden="false" customHeight="true" outlineLevel="0" collapsed="false"/>
    <row r="1755" customFormat="false" ht="11.25" hidden="false" customHeight="true" outlineLevel="0" collapsed="false"/>
    <row r="1756" customFormat="false" ht="11.25" hidden="false" customHeight="true" outlineLevel="0" collapsed="false"/>
    <row r="1757" customFormat="false" ht="11.25" hidden="false" customHeight="true" outlineLevel="0" collapsed="false"/>
    <row r="1758" customFormat="false" ht="11.25" hidden="false" customHeight="true" outlineLevel="0" collapsed="false"/>
    <row r="1759" customFormat="false" ht="11.25" hidden="false" customHeight="true" outlineLevel="0" collapsed="false"/>
    <row r="1760" customFormat="false" ht="11.25" hidden="false" customHeight="true" outlineLevel="0" collapsed="false"/>
    <row r="1761" customFormat="false" ht="11.25" hidden="false" customHeight="true" outlineLevel="0" collapsed="false"/>
    <row r="1762" customFormat="false" ht="11.25" hidden="false" customHeight="true" outlineLevel="0" collapsed="false"/>
    <row r="1763" customFormat="false" ht="11.25" hidden="false" customHeight="true" outlineLevel="0" collapsed="false"/>
    <row r="1764" customFormat="false" ht="11.25" hidden="false" customHeight="true" outlineLevel="0" collapsed="false"/>
    <row r="1765" customFormat="false" ht="11.25" hidden="false" customHeight="true" outlineLevel="0" collapsed="false"/>
    <row r="1766" customFormat="false" ht="11.25" hidden="false" customHeight="true" outlineLevel="0" collapsed="false"/>
    <row r="1767" customFormat="false" ht="11.25" hidden="false" customHeight="true" outlineLevel="0" collapsed="false"/>
    <row r="1768" customFormat="false" ht="11.25" hidden="false" customHeight="true" outlineLevel="0" collapsed="false"/>
    <row r="1769" customFormat="false" ht="11.25" hidden="false" customHeight="true" outlineLevel="0" collapsed="false"/>
    <row r="1770" customFormat="false" ht="11.25" hidden="false" customHeight="true" outlineLevel="0" collapsed="false"/>
    <row r="1771" customFormat="false" ht="11.25" hidden="false" customHeight="true" outlineLevel="0" collapsed="false"/>
    <row r="1772" customFormat="false" ht="11.25" hidden="false" customHeight="true" outlineLevel="0" collapsed="false"/>
    <row r="1773" customFormat="false" ht="11.25" hidden="false" customHeight="true" outlineLevel="0" collapsed="false"/>
    <row r="1774" customFormat="false" ht="11.25" hidden="false" customHeight="true" outlineLevel="0" collapsed="false"/>
    <row r="1775" customFormat="false" ht="11.25" hidden="false" customHeight="true" outlineLevel="0" collapsed="false"/>
    <row r="1776" customFormat="false" ht="11.25" hidden="false" customHeight="true" outlineLevel="0" collapsed="false"/>
    <row r="1777" customFormat="false" ht="11.25" hidden="false" customHeight="true" outlineLevel="0" collapsed="false"/>
    <row r="1778" customFormat="false" ht="11.25" hidden="false" customHeight="true" outlineLevel="0" collapsed="false"/>
    <row r="1779" customFormat="false" ht="11.25" hidden="false" customHeight="true" outlineLevel="0" collapsed="false"/>
    <row r="1780" customFormat="false" ht="11.25" hidden="false" customHeight="true" outlineLevel="0" collapsed="false"/>
    <row r="1781" customFormat="false" ht="11.25" hidden="false" customHeight="true" outlineLevel="0" collapsed="false"/>
    <row r="1782" customFormat="false" ht="11.25" hidden="false" customHeight="true" outlineLevel="0" collapsed="false"/>
    <row r="1783" customFormat="false" ht="11.25" hidden="false" customHeight="true" outlineLevel="0" collapsed="false"/>
    <row r="1784" customFormat="false" ht="11.25" hidden="false" customHeight="true" outlineLevel="0" collapsed="false"/>
    <row r="1785" customFormat="false" ht="11.25" hidden="false" customHeight="true" outlineLevel="0" collapsed="false"/>
    <row r="1786" customFormat="false" ht="11.25" hidden="false" customHeight="true" outlineLevel="0" collapsed="false"/>
    <row r="1787" customFormat="false" ht="11.25" hidden="false" customHeight="true" outlineLevel="0" collapsed="false"/>
    <row r="1788" customFormat="false" ht="11.25" hidden="false" customHeight="true" outlineLevel="0" collapsed="false"/>
    <row r="1789" customFormat="false" ht="11.25" hidden="false" customHeight="true" outlineLevel="0" collapsed="false"/>
    <row r="1790" customFormat="false" ht="11.25" hidden="false" customHeight="true" outlineLevel="0" collapsed="false"/>
    <row r="1791" customFormat="false" ht="11.25" hidden="false" customHeight="true" outlineLevel="0" collapsed="false"/>
    <row r="1792" customFormat="false" ht="11.25" hidden="false" customHeight="true" outlineLevel="0" collapsed="false"/>
    <row r="1793" customFormat="false" ht="11.25" hidden="false" customHeight="true" outlineLevel="0" collapsed="false"/>
    <row r="1794" customFormat="false" ht="11.25" hidden="false" customHeight="true" outlineLevel="0" collapsed="false"/>
    <row r="1795" customFormat="false" ht="11.25" hidden="false" customHeight="true" outlineLevel="0" collapsed="false"/>
    <row r="1796" customFormat="false" ht="11.25" hidden="false" customHeight="true" outlineLevel="0" collapsed="false"/>
    <row r="1797" customFormat="false" ht="11.25" hidden="false" customHeight="true" outlineLevel="0" collapsed="false"/>
    <row r="1798" customFormat="false" ht="11.25" hidden="false" customHeight="true" outlineLevel="0" collapsed="false"/>
    <row r="1799" customFormat="false" ht="11.25" hidden="false" customHeight="true" outlineLevel="0" collapsed="false"/>
    <row r="1800" customFormat="false" ht="11.25" hidden="false" customHeight="true" outlineLevel="0" collapsed="false"/>
    <row r="1801" customFormat="false" ht="11.25" hidden="false" customHeight="true" outlineLevel="0" collapsed="false"/>
    <row r="1802" customFormat="false" ht="11.25" hidden="false" customHeight="true" outlineLevel="0" collapsed="false"/>
    <row r="1803" customFormat="false" ht="11.25" hidden="false" customHeight="true" outlineLevel="0" collapsed="false"/>
    <row r="1804" customFormat="false" ht="11.25" hidden="false" customHeight="true" outlineLevel="0" collapsed="false"/>
    <row r="1805" customFormat="false" ht="11.25" hidden="false" customHeight="true" outlineLevel="0" collapsed="false"/>
    <row r="1806" customFormat="false" ht="11.25" hidden="false" customHeight="true" outlineLevel="0" collapsed="false"/>
    <row r="1807" customFormat="false" ht="11.25" hidden="false" customHeight="true" outlineLevel="0" collapsed="false"/>
    <row r="1808" customFormat="false" ht="11.25" hidden="false" customHeight="true" outlineLevel="0" collapsed="false"/>
    <row r="1809" customFormat="false" ht="11.25" hidden="false" customHeight="true" outlineLevel="0" collapsed="false"/>
    <row r="1810" customFormat="false" ht="11.25" hidden="false" customHeight="true" outlineLevel="0" collapsed="false"/>
    <row r="1811" customFormat="false" ht="11.25" hidden="false" customHeight="true" outlineLevel="0" collapsed="false"/>
    <row r="1812" customFormat="false" ht="11.25" hidden="false" customHeight="true" outlineLevel="0" collapsed="false"/>
    <row r="1813" customFormat="false" ht="11.25" hidden="false" customHeight="true" outlineLevel="0" collapsed="false"/>
    <row r="1814" customFormat="false" ht="11.25" hidden="false" customHeight="true" outlineLevel="0" collapsed="false"/>
    <row r="1815" customFormat="false" ht="11.25" hidden="false" customHeight="true" outlineLevel="0" collapsed="false"/>
    <row r="1816" customFormat="false" ht="11.25" hidden="false" customHeight="true" outlineLevel="0" collapsed="false"/>
    <row r="1817" customFormat="false" ht="11.25" hidden="false" customHeight="true" outlineLevel="0" collapsed="false"/>
    <row r="1818" customFormat="false" ht="11.25" hidden="false" customHeight="true" outlineLevel="0" collapsed="false"/>
    <row r="1819" customFormat="false" ht="11.25" hidden="false" customHeight="true" outlineLevel="0" collapsed="false"/>
    <row r="1820" customFormat="false" ht="11.25" hidden="false" customHeight="true" outlineLevel="0" collapsed="false"/>
    <row r="1821" customFormat="false" ht="11.25" hidden="false" customHeight="true" outlineLevel="0" collapsed="false"/>
    <row r="1822" customFormat="false" ht="11.25" hidden="false" customHeight="true" outlineLevel="0" collapsed="false"/>
    <row r="1823" customFormat="false" ht="11.25" hidden="false" customHeight="true" outlineLevel="0" collapsed="false"/>
    <row r="1824" customFormat="false" ht="11.25" hidden="false" customHeight="true" outlineLevel="0" collapsed="false"/>
    <row r="1825" customFormat="false" ht="11.25" hidden="false" customHeight="true" outlineLevel="0" collapsed="false"/>
    <row r="1826" customFormat="false" ht="11.25" hidden="false" customHeight="true" outlineLevel="0" collapsed="false"/>
    <row r="1827" customFormat="false" ht="11.25" hidden="false" customHeight="true" outlineLevel="0" collapsed="false"/>
    <row r="1828" customFormat="false" ht="11.25" hidden="false" customHeight="true" outlineLevel="0" collapsed="false"/>
    <row r="1829" customFormat="false" ht="11.25" hidden="false" customHeight="true" outlineLevel="0" collapsed="false"/>
    <row r="1830" customFormat="false" ht="11.25" hidden="false" customHeight="true" outlineLevel="0" collapsed="false"/>
    <row r="1831" customFormat="false" ht="11.25" hidden="false" customHeight="true" outlineLevel="0" collapsed="false"/>
    <row r="1832" customFormat="false" ht="11.25" hidden="false" customHeight="true" outlineLevel="0" collapsed="false"/>
    <row r="1833" customFormat="false" ht="11.25" hidden="false" customHeight="true" outlineLevel="0" collapsed="false"/>
    <row r="1834" customFormat="false" ht="11.25" hidden="false" customHeight="true" outlineLevel="0" collapsed="false"/>
    <row r="1835" customFormat="false" ht="11.25" hidden="false" customHeight="true" outlineLevel="0" collapsed="false"/>
    <row r="1836" customFormat="false" ht="11.25" hidden="false" customHeight="true" outlineLevel="0" collapsed="false"/>
    <row r="1837" customFormat="false" ht="11.25" hidden="false" customHeight="true" outlineLevel="0" collapsed="false"/>
    <row r="1838" customFormat="false" ht="11.25" hidden="false" customHeight="true" outlineLevel="0" collapsed="false"/>
    <row r="1839" customFormat="false" ht="11.25" hidden="false" customHeight="true" outlineLevel="0" collapsed="false"/>
    <row r="1840" customFormat="false" ht="11.25" hidden="false" customHeight="true" outlineLevel="0" collapsed="false"/>
    <row r="1841" customFormat="false" ht="11.25" hidden="false" customHeight="true" outlineLevel="0" collapsed="false"/>
    <row r="1842" customFormat="false" ht="11.25" hidden="false" customHeight="true" outlineLevel="0" collapsed="false"/>
    <row r="1843" customFormat="false" ht="11.25" hidden="false" customHeight="true" outlineLevel="0" collapsed="false"/>
    <row r="1844" customFormat="false" ht="11.25" hidden="false" customHeight="true" outlineLevel="0" collapsed="false"/>
    <row r="1845" customFormat="false" ht="11.25" hidden="false" customHeight="true" outlineLevel="0" collapsed="false"/>
    <row r="1846" customFormat="false" ht="11.25" hidden="false" customHeight="true" outlineLevel="0" collapsed="false"/>
    <row r="1847" customFormat="false" ht="11.25" hidden="false" customHeight="true" outlineLevel="0" collapsed="false"/>
    <row r="1848" customFormat="false" ht="11.25" hidden="false" customHeight="true" outlineLevel="0" collapsed="false"/>
    <row r="1849" customFormat="false" ht="11.25" hidden="false" customHeight="true" outlineLevel="0" collapsed="false"/>
    <row r="1850" customFormat="false" ht="11.25" hidden="false" customHeight="true" outlineLevel="0" collapsed="false"/>
    <row r="1851" customFormat="false" ht="11.25" hidden="false" customHeight="true" outlineLevel="0" collapsed="false"/>
    <row r="1852" customFormat="false" ht="11.25" hidden="false" customHeight="true" outlineLevel="0" collapsed="false"/>
    <row r="1853" customFormat="false" ht="11.25" hidden="false" customHeight="true" outlineLevel="0" collapsed="false"/>
    <row r="1854" customFormat="false" ht="11.25" hidden="false" customHeight="true" outlineLevel="0" collapsed="false"/>
    <row r="1855" customFormat="false" ht="11.25" hidden="false" customHeight="true" outlineLevel="0" collapsed="false"/>
    <row r="1856" customFormat="false" ht="11.25" hidden="false" customHeight="true" outlineLevel="0" collapsed="false"/>
    <row r="1857" customFormat="false" ht="11.25" hidden="false" customHeight="true" outlineLevel="0" collapsed="false"/>
    <row r="1858" customFormat="false" ht="11.25" hidden="false" customHeight="true" outlineLevel="0" collapsed="false"/>
    <row r="1859" customFormat="false" ht="11.25" hidden="false" customHeight="true" outlineLevel="0" collapsed="false"/>
    <row r="1860" customFormat="false" ht="11.25" hidden="false" customHeight="true" outlineLevel="0" collapsed="false"/>
    <row r="1861" customFormat="false" ht="11.25" hidden="false" customHeight="true" outlineLevel="0" collapsed="false"/>
    <row r="1862" customFormat="false" ht="11.25" hidden="false" customHeight="true" outlineLevel="0" collapsed="false"/>
    <row r="1863" customFormat="false" ht="11.25" hidden="false" customHeight="true" outlineLevel="0" collapsed="false"/>
    <row r="1864" customFormat="false" ht="11.25" hidden="false" customHeight="true" outlineLevel="0" collapsed="false"/>
    <row r="1865" customFormat="false" ht="11.25" hidden="false" customHeight="true" outlineLevel="0" collapsed="false"/>
    <row r="1866" customFormat="false" ht="11.25" hidden="false" customHeight="true" outlineLevel="0" collapsed="false"/>
    <row r="1867" customFormat="false" ht="11.25" hidden="false" customHeight="true" outlineLevel="0" collapsed="false"/>
    <row r="1868" customFormat="false" ht="11.25" hidden="false" customHeight="true" outlineLevel="0" collapsed="false"/>
    <row r="1869" customFormat="false" ht="11.25" hidden="false" customHeight="true" outlineLevel="0" collapsed="false"/>
    <row r="1870" customFormat="false" ht="11.25" hidden="false" customHeight="true" outlineLevel="0" collapsed="false"/>
    <row r="1871" customFormat="false" ht="11.25" hidden="false" customHeight="true" outlineLevel="0" collapsed="false"/>
    <row r="1872" customFormat="false" ht="11.25" hidden="false" customHeight="true" outlineLevel="0" collapsed="false"/>
    <row r="1873" customFormat="false" ht="11.25" hidden="false" customHeight="true" outlineLevel="0" collapsed="false"/>
    <row r="1874" customFormat="false" ht="11.25" hidden="false" customHeight="true" outlineLevel="0" collapsed="false"/>
    <row r="1875" customFormat="false" ht="11.25" hidden="false" customHeight="true" outlineLevel="0" collapsed="false"/>
    <row r="1876" customFormat="false" ht="11.25" hidden="false" customHeight="true" outlineLevel="0" collapsed="false"/>
    <row r="1877" customFormat="false" ht="11.25" hidden="false" customHeight="true" outlineLevel="0" collapsed="false"/>
    <row r="1878" customFormat="false" ht="11.25" hidden="false" customHeight="true" outlineLevel="0" collapsed="false"/>
    <row r="1879" customFormat="false" ht="11.25" hidden="false" customHeight="true" outlineLevel="0" collapsed="false"/>
    <row r="1880" customFormat="false" ht="11.25" hidden="false" customHeight="true" outlineLevel="0" collapsed="false"/>
    <row r="1881" customFormat="false" ht="11.25" hidden="false" customHeight="true" outlineLevel="0" collapsed="false"/>
    <row r="1882" customFormat="false" ht="11.25" hidden="false" customHeight="true" outlineLevel="0" collapsed="false"/>
    <row r="1883" customFormat="false" ht="11.25" hidden="false" customHeight="true" outlineLevel="0" collapsed="false"/>
    <row r="1884" customFormat="false" ht="11.25" hidden="false" customHeight="true" outlineLevel="0" collapsed="false"/>
    <row r="1885" customFormat="false" ht="11.25" hidden="false" customHeight="true" outlineLevel="0" collapsed="false"/>
    <row r="1886" customFormat="false" ht="11.25" hidden="false" customHeight="true" outlineLevel="0" collapsed="false"/>
    <row r="1887" customFormat="false" ht="11.25" hidden="false" customHeight="true" outlineLevel="0" collapsed="false"/>
    <row r="1888" customFormat="false" ht="11.25" hidden="false" customHeight="true" outlineLevel="0" collapsed="false"/>
    <row r="1889" customFormat="false" ht="11.25" hidden="false" customHeight="true" outlineLevel="0" collapsed="false"/>
    <row r="1890" customFormat="false" ht="11.25" hidden="false" customHeight="true" outlineLevel="0" collapsed="false"/>
    <row r="1891" customFormat="false" ht="11.25" hidden="false" customHeight="true" outlineLevel="0" collapsed="false"/>
    <row r="1892" customFormat="false" ht="11.25" hidden="false" customHeight="true" outlineLevel="0" collapsed="false"/>
    <row r="1893" customFormat="false" ht="11.25" hidden="false" customHeight="true" outlineLevel="0" collapsed="false"/>
    <row r="1894" customFormat="false" ht="11.25" hidden="false" customHeight="true" outlineLevel="0" collapsed="false"/>
    <row r="1895" customFormat="false" ht="11.25" hidden="false" customHeight="true" outlineLevel="0" collapsed="false"/>
    <row r="1896" customFormat="false" ht="11.25" hidden="false" customHeight="true" outlineLevel="0" collapsed="false"/>
    <row r="1897" customFormat="false" ht="11.25" hidden="false" customHeight="true" outlineLevel="0" collapsed="false"/>
    <row r="1898" customFormat="false" ht="11.25" hidden="false" customHeight="true" outlineLevel="0" collapsed="false"/>
    <row r="1899" customFormat="false" ht="11.25" hidden="false" customHeight="true" outlineLevel="0" collapsed="false"/>
    <row r="1900" customFormat="false" ht="11.25" hidden="false" customHeight="true" outlineLevel="0" collapsed="false"/>
    <row r="1901" customFormat="false" ht="11.25" hidden="false" customHeight="true" outlineLevel="0" collapsed="false"/>
    <row r="1902" customFormat="false" ht="11.25" hidden="false" customHeight="true" outlineLevel="0" collapsed="false"/>
    <row r="1903" customFormat="false" ht="11.25" hidden="false" customHeight="true" outlineLevel="0" collapsed="false"/>
    <row r="1904" customFormat="false" ht="11.25" hidden="false" customHeight="true" outlineLevel="0" collapsed="false"/>
    <row r="1905" customFormat="false" ht="11.25" hidden="false" customHeight="true" outlineLevel="0" collapsed="false"/>
    <row r="1906" customFormat="false" ht="11.25" hidden="false" customHeight="true" outlineLevel="0" collapsed="false"/>
    <row r="1907" customFormat="false" ht="11.25" hidden="false" customHeight="true" outlineLevel="0" collapsed="false"/>
    <row r="1908" customFormat="false" ht="11.25" hidden="false" customHeight="true" outlineLevel="0" collapsed="false"/>
    <row r="1909" customFormat="false" ht="11.25" hidden="false" customHeight="true" outlineLevel="0" collapsed="false"/>
    <row r="1910" customFormat="false" ht="11.25" hidden="false" customHeight="true" outlineLevel="0" collapsed="false"/>
    <row r="1911" customFormat="false" ht="11.25" hidden="false" customHeight="true" outlineLevel="0" collapsed="false"/>
    <row r="1912" customFormat="false" ht="11.25" hidden="false" customHeight="true" outlineLevel="0" collapsed="false"/>
    <row r="1913" customFormat="false" ht="11.25" hidden="false" customHeight="true" outlineLevel="0" collapsed="false"/>
    <row r="1914" customFormat="false" ht="11.25" hidden="false" customHeight="true" outlineLevel="0" collapsed="false"/>
    <row r="1915" customFormat="false" ht="11.25" hidden="false" customHeight="true" outlineLevel="0" collapsed="false"/>
    <row r="1916" customFormat="false" ht="11.25" hidden="false" customHeight="true" outlineLevel="0" collapsed="false"/>
    <row r="1917" customFormat="false" ht="11.25" hidden="false" customHeight="true" outlineLevel="0" collapsed="false"/>
    <row r="1918" customFormat="false" ht="11.25" hidden="false" customHeight="true" outlineLevel="0" collapsed="false"/>
    <row r="1919" customFormat="false" ht="11.25" hidden="false" customHeight="true" outlineLevel="0" collapsed="false"/>
    <row r="1920" customFormat="false" ht="11.25" hidden="false" customHeight="true" outlineLevel="0" collapsed="false"/>
    <row r="1921" customFormat="false" ht="11.25" hidden="false" customHeight="true" outlineLevel="0" collapsed="false"/>
    <row r="1922" customFormat="false" ht="11.25" hidden="false" customHeight="true" outlineLevel="0" collapsed="false"/>
    <row r="1923" customFormat="false" ht="11.25" hidden="false" customHeight="true" outlineLevel="0" collapsed="false"/>
    <row r="1924" customFormat="false" ht="11.25" hidden="false" customHeight="true" outlineLevel="0" collapsed="false"/>
    <row r="1925" customFormat="false" ht="11.25" hidden="false" customHeight="true" outlineLevel="0" collapsed="false"/>
    <row r="1926" customFormat="false" ht="11.25" hidden="false" customHeight="true" outlineLevel="0" collapsed="false"/>
    <row r="1927" customFormat="false" ht="11.25" hidden="false" customHeight="true" outlineLevel="0" collapsed="false"/>
    <row r="1928" customFormat="false" ht="11.25" hidden="false" customHeight="true" outlineLevel="0" collapsed="false"/>
    <row r="1929" customFormat="false" ht="11.25" hidden="false" customHeight="true" outlineLevel="0" collapsed="false"/>
    <row r="1930" customFormat="false" ht="11.25" hidden="false" customHeight="true" outlineLevel="0" collapsed="false"/>
    <row r="1931" customFormat="false" ht="11.25" hidden="false" customHeight="true" outlineLevel="0" collapsed="false"/>
    <row r="1932" customFormat="false" ht="11.25" hidden="false" customHeight="true" outlineLevel="0" collapsed="false"/>
    <row r="1933" customFormat="false" ht="11.25" hidden="false" customHeight="true" outlineLevel="0" collapsed="false"/>
    <row r="1934" customFormat="false" ht="11.25" hidden="false" customHeight="true" outlineLevel="0" collapsed="false"/>
    <row r="1935" customFormat="false" ht="11.25" hidden="false" customHeight="true" outlineLevel="0" collapsed="false"/>
    <row r="1936" customFormat="false" ht="11.25" hidden="false" customHeight="true" outlineLevel="0" collapsed="false"/>
    <row r="1937" customFormat="false" ht="11.25" hidden="false" customHeight="true" outlineLevel="0" collapsed="false"/>
    <row r="1938" customFormat="false" ht="11.25" hidden="false" customHeight="true" outlineLevel="0" collapsed="false"/>
    <row r="1939" customFormat="false" ht="11.25" hidden="false" customHeight="true" outlineLevel="0" collapsed="false"/>
    <row r="1940" customFormat="false" ht="11.25" hidden="false" customHeight="true" outlineLevel="0" collapsed="false"/>
    <row r="1941" customFormat="false" ht="11.25" hidden="false" customHeight="true" outlineLevel="0" collapsed="false"/>
    <row r="1942" customFormat="false" ht="11.25" hidden="false" customHeight="true" outlineLevel="0" collapsed="false"/>
    <row r="1943" customFormat="false" ht="11.25" hidden="false" customHeight="true" outlineLevel="0" collapsed="false"/>
    <row r="1944" customFormat="false" ht="11.25" hidden="false" customHeight="true" outlineLevel="0" collapsed="false"/>
    <row r="1945" customFormat="false" ht="11.25" hidden="false" customHeight="true" outlineLevel="0" collapsed="false"/>
    <row r="1946" customFormat="false" ht="11.25" hidden="false" customHeight="true" outlineLevel="0" collapsed="false"/>
    <row r="1947" customFormat="false" ht="11.25" hidden="false" customHeight="true" outlineLevel="0" collapsed="false"/>
    <row r="1948" customFormat="false" ht="11.25" hidden="false" customHeight="true" outlineLevel="0" collapsed="false"/>
    <row r="1949" customFormat="false" ht="11.25" hidden="false" customHeight="true" outlineLevel="0" collapsed="false"/>
    <row r="1950" customFormat="false" ht="11.25" hidden="false" customHeight="true" outlineLevel="0" collapsed="false"/>
    <row r="1951" customFormat="false" ht="11.25" hidden="false" customHeight="true" outlineLevel="0" collapsed="false"/>
    <row r="1952" customFormat="false" ht="11.25" hidden="false" customHeight="true" outlineLevel="0" collapsed="false"/>
    <row r="1953" customFormat="false" ht="11.25" hidden="false" customHeight="true" outlineLevel="0" collapsed="false"/>
    <row r="1954" customFormat="false" ht="11.25" hidden="false" customHeight="true" outlineLevel="0" collapsed="false"/>
    <row r="1955" customFormat="false" ht="11.25" hidden="false" customHeight="true" outlineLevel="0" collapsed="false"/>
    <row r="1956" customFormat="false" ht="11.25" hidden="false" customHeight="true" outlineLevel="0" collapsed="false"/>
    <row r="1957" customFormat="false" ht="11.25" hidden="false" customHeight="true" outlineLevel="0" collapsed="false"/>
    <row r="1958" customFormat="false" ht="11.25" hidden="false" customHeight="true" outlineLevel="0" collapsed="false"/>
    <row r="1959" customFormat="false" ht="11.25" hidden="false" customHeight="true" outlineLevel="0" collapsed="false"/>
    <row r="1960" customFormat="false" ht="11.25" hidden="false" customHeight="true" outlineLevel="0" collapsed="false"/>
    <row r="1961" customFormat="false" ht="11.25" hidden="false" customHeight="true" outlineLevel="0" collapsed="false"/>
    <row r="1962" customFormat="false" ht="11.25" hidden="false" customHeight="true" outlineLevel="0" collapsed="false"/>
    <row r="1963" customFormat="false" ht="11.25" hidden="false" customHeight="true" outlineLevel="0" collapsed="false"/>
    <row r="1964" customFormat="false" ht="11.25" hidden="false" customHeight="true" outlineLevel="0" collapsed="false"/>
    <row r="1965" customFormat="false" ht="11.25" hidden="false" customHeight="true" outlineLevel="0" collapsed="false"/>
    <row r="1966" customFormat="false" ht="11.25" hidden="false" customHeight="true" outlineLevel="0" collapsed="false"/>
    <row r="1967" customFormat="false" ht="11.25" hidden="false" customHeight="true" outlineLevel="0" collapsed="false"/>
    <row r="1968" customFormat="false" ht="11.25" hidden="false" customHeight="true" outlineLevel="0" collapsed="false"/>
    <row r="1969" customFormat="false" ht="11.25" hidden="false" customHeight="true" outlineLevel="0" collapsed="false"/>
    <row r="1970" customFormat="false" ht="11.25" hidden="false" customHeight="true" outlineLevel="0" collapsed="false"/>
    <row r="1971" customFormat="false" ht="11.25" hidden="false" customHeight="true" outlineLevel="0" collapsed="false"/>
    <row r="1972" customFormat="false" ht="11.25" hidden="false" customHeight="true" outlineLevel="0" collapsed="false"/>
    <row r="1973" customFormat="false" ht="11.25" hidden="false" customHeight="true" outlineLevel="0" collapsed="false"/>
    <row r="1974" customFormat="false" ht="11.25" hidden="false" customHeight="true" outlineLevel="0" collapsed="false"/>
    <row r="1975" customFormat="false" ht="11.25" hidden="false" customHeight="true" outlineLevel="0" collapsed="false"/>
    <row r="1976" customFormat="false" ht="11.25" hidden="false" customHeight="true" outlineLevel="0" collapsed="false"/>
    <row r="1977" customFormat="false" ht="11.25" hidden="false" customHeight="true" outlineLevel="0" collapsed="false"/>
    <row r="1978" customFormat="false" ht="11.25" hidden="false" customHeight="true" outlineLevel="0" collapsed="false"/>
    <row r="1979" customFormat="false" ht="11.25" hidden="false" customHeight="true" outlineLevel="0" collapsed="false"/>
    <row r="1980" customFormat="false" ht="11.25" hidden="false" customHeight="true" outlineLevel="0" collapsed="false"/>
    <row r="1981" customFormat="false" ht="11.25" hidden="false" customHeight="true" outlineLevel="0" collapsed="false"/>
    <row r="1982" customFormat="false" ht="11.25" hidden="false" customHeight="true" outlineLevel="0" collapsed="false"/>
    <row r="1983" customFormat="false" ht="11.25" hidden="false" customHeight="true" outlineLevel="0" collapsed="false"/>
    <row r="1984" customFormat="false" ht="11.25" hidden="false" customHeight="true" outlineLevel="0" collapsed="false"/>
    <row r="1985" customFormat="false" ht="11.25" hidden="false" customHeight="true" outlineLevel="0" collapsed="false"/>
    <row r="1986" customFormat="false" ht="11.25" hidden="false" customHeight="true" outlineLevel="0" collapsed="false"/>
    <row r="1987" customFormat="false" ht="11.25" hidden="false" customHeight="true" outlineLevel="0" collapsed="false"/>
    <row r="1988" customFormat="false" ht="11.25" hidden="false" customHeight="true" outlineLevel="0" collapsed="false"/>
    <row r="1989" customFormat="false" ht="11.25" hidden="false" customHeight="true" outlineLevel="0" collapsed="false"/>
    <row r="1990" customFormat="false" ht="11.25" hidden="false" customHeight="true" outlineLevel="0" collapsed="false"/>
    <row r="1991" customFormat="false" ht="11.25" hidden="false" customHeight="true" outlineLevel="0" collapsed="false"/>
    <row r="1992" customFormat="false" ht="11.25" hidden="false" customHeight="true" outlineLevel="0" collapsed="false"/>
    <row r="1993" customFormat="false" ht="11.25" hidden="false" customHeight="true" outlineLevel="0" collapsed="false"/>
    <row r="1994" customFormat="false" ht="11.25" hidden="false" customHeight="true" outlineLevel="0" collapsed="false"/>
    <row r="1995" customFormat="false" ht="11.25" hidden="false" customHeight="true" outlineLevel="0" collapsed="false"/>
    <row r="1996" customFormat="false" ht="11.25" hidden="false" customHeight="true" outlineLevel="0" collapsed="false"/>
    <row r="1997" customFormat="false" ht="11.25" hidden="false" customHeight="true" outlineLevel="0" collapsed="false"/>
    <row r="1998" customFormat="false" ht="11.25" hidden="false" customHeight="true" outlineLevel="0" collapsed="false"/>
    <row r="1999" customFormat="false" ht="11.25" hidden="false" customHeight="true" outlineLevel="0" collapsed="false"/>
    <row r="2000" customFormat="false" ht="11.25" hidden="false" customHeight="true" outlineLevel="0" collapsed="false"/>
    <row r="2001" customFormat="false" ht="11.25" hidden="false" customHeight="true" outlineLevel="0" collapsed="false"/>
    <row r="2002" customFormat="false" ht="11.25" hidden="false" customHeight="true" outlineLevel="0" collapsed="false"/>
    <row r="2003" customFormat="false" ht="11.25" hidden="false" customHeight="true" outlineLevel="0" collapsed="false"/>
    <row r="2004" customFormat="false" ht="11.25" hidden="false" customHeight="true" outlineLevel="0" collapsed="false"/>
    <row r="2005" customFormat="false" ht="11.25" hidden="false" customHeight="true" outlineLevel="0" collapsed="false"/>
    <row r="2006" customFormat="false" ht="11.25" hidden="false" customHeight="true" outlineLevel="0" collapsed="false"/>
    <row r="2007" customFormat="false" ht="11.25" hidden="false" customHeight="true" outlineLevel="0" collapsed="false"/>
    <row r="2008" customFormat="false" ht="11.25" hidden="false" customHeight="true" outlineLevel="0" collapsed="false"/>
    <row r="2009" customFormat="false" ht="11.25" hidden="false" customHeight="true" outlineLevel="0" collapsed="false"/>
    <row r="2010" customFormat="false" ht="11.25" hidden="false" customHeight="true" outlineLevel="0" collapsed="false"/>
    <row r="2011" customFormat="false" ht="11.25" hidden="false" customHeight="true" outlineLevel="0" collapsed="false"/>
    <row r="2012" customFormat="false" ht="11.25" hidden="false" customHeight="true" outlineLevel="0" collapsed="false"/>
    <row r="2013" customFormat="false" ht="11.25" hidden="false" customHeight="true" outlineLevel="0" collapsed="false"/>
    <row r="2014" customFormat="false" ht="11.25" hidden="false" customHeight="true" outlineLevel="0" collapsed="false"/>
    <row r="2015" customFormat="false" ht="11.25" hidden="false" customHeight="true" outlineLevel="0" collapsed="false"/>
    <row r="2016" customFormat="false" ht="11.25" hidden="false" customHeight="true" outlineLevel="0" collapsed="false"/>
    <row r="2017" customFormat="false" ht="11.25" hidden="false" customHeight="true" outlineLevel="0" collapsed="false"/>
    <row r="2018" customFormat="false" ht="11.25" hidden="false" customHeight="true" outlineLevel="0" collapsed="false"/>
    <row r="2019" customFormat="false" ht="11.25" hidden="false" customHeight="true" outlineLevel="0" collapsed="false"/>
    <row r="2020" customFormat="false" ht="11.25" hidden="false" customHeight="true" outlineLevel="0" collapsed="false"/>
    <row r="2021" customFormat="false" ht="11.25" hidden="false" customHeight="true" outlineLevel="0" collapsed="false"/>
    <row r="2022" customFormat="false" ht="11.25" hidden="false" customHeight="true" outlineLevel="0" collapsed="false"/>
    <row r="2023" customFormat="false" ht="11.25" hidden="false" customHeight="true" outlineLevel="0" collapsed="false"/>
    <row r="2024" customFormat="false" ht="11.25" hidden="false" customHeight="true" outlineLevel="0" collapsed="false"/>
    <row r="2025" customFormat="false" ht="11.25" hidden="false" customHeight="true" outlineLevel="0" collapsed="false"/>
    <row r="2026" customFormat="false" ht="11.25" hidden="false" customHeight="true" outlineLevel="0" collapsed="false"/>
    <row r="2027" customFormat="false" ht="11.25" hidden="false" customHeight="true" outlineLevel="0" collapsed="false"/>
    <row r="2028" customFormat="false" ht="11.25" hidden="false" customHeight="true" outlineLevel="0" collapsed="false"/>
    <row r="2029" customFormat="false" ht="11.25" hidden="false" customHeight="true" outlineLevel="0" collapsed="false"/>
    <row r="2030" customFormat="false" ht="11.25" hidden="false" customHeight="true" outlineLevel="0" collapsed="false"/>
    <row r="2031" customFormat="false" ht="11.25" hidden="false" customHeight="true" outlineLevel="0" collapsed="false"/>
    <row r="2032" customFormat="false" ht="11.25" hidden="false" customHeight="true" outlineLevel="0" collapsed="false"/>
    <row r="2033" customFormat="false" ht="11.25" hidden="false" customHeight="true" outlineLevel="0" collapsed="false"/>
    <row r="2034" customFormat="false" ht="11.25" hidden="false" customHeight="true" outlineLevel="0" collapsed="false"/>
    <row r="2035" customFormat="false" ht="11.25" hidden="false" customHeight="true" outlineLevel="0" collapsed="false"/>
    <row r="2036" customFormat="false" ht="11.25" hidden="false" customHeight="true" outlineLevel="0" collapsed="false"/>
    <row r="2037" customFormat="false" ht="11.25" hidden="false" customHeight="true" outlineLevel="0" collapsed="false"/>
    <row r="2038" customFormat="false" ht="11.25" hidden="false" customHeight="true" outlineLevel="0" collapsed="false"/>
    <row r="2039" customFormat="false" ht="11.25" hidden="false" customHeight="true" outlineLevel="0" collapsed="false"/>
    <row r="2040" customFormat="false" ht="11.25" hidden="false" customHeight="true" outlineLevel="0" collapsed="false"/>
    <row r="2041" customFormat="false" ht="11.25" hidden="false" customHeight="true" outlineLevel="0" collapsed="false"/>
    <row r="2042" customFormat="false" ht="11.25" hidden="false" customHeight="true" outlineLevel="0" collapsed="false"/>
    <row r="2043" customFormat="false" ht="11.25" hidden="false" customHeight="true" outlineLevel="0" collapsed="false"/>
    <row r="2044" customFormat="false" ht="11.25" hidden="false" customHeight="true" outlineLevel="0" collapsed="false"/>
    <row r="2045" customFormat="false" ht="11.25" hidden="false" customHeight="true" outlineLevel="0" collapsed="false"/>
    <row r="2046" customFormat="false" ht="11.25" hidden="false" customHeight="true" outlineLevel="0" collapsed="false"/>
    <row r="2047" customFormat="false" ht="11.25" hidden="false" customHeight="true" outlineLevel="0" collapsed="false"/>
    <row r="2048" customFormat="false" ht="11.25" hidden="false" customHeight="true" outlineLevel="0" collapsed="false"/>
    <row r="2049" customFormat="false" ht="11.25" hidden="false" customHeight="true" outlineLevel="0" collapsed="false"/>
    <row r="2050" customFormat="false" ht="11.25" hidden="false" customHeight="true" outlineLevel="0" collapsed="false"/>
    <row r="2051" customFormat="false" ht="11.25" hidden="false" customHeight="true" outlineLevel="0" collapsed="false"/>
    <row r="2052" customFormat="false" ht="11.25" hidden="false" customHeight="true" outlineLevel="0" collapsed="false"/>
    <row r="2053" customFormat="false" ht="11.25" hidden="false" customHeight="true" outlineLevel="0" collapsed="false"/>
    <row r="2054" customFormat="false" ht="11.25" hidden="false" customHeight="true" outlineLevel="0" collapsed="false"/>
    <row r="2055" customFormat="false" ht="11.25" hidden="false" customHeight="true" outlineLevel="0" collapsed="false"/>
    <row r="2056" customFormat="false" ht="11.25" hidden="false" customHeight="true" outlineLevel="0" collapsed="false"/>
    <row r="2057" customFormat="false" ht="11.25" hidden="false" customHeight="true" outlineLevel="0" collapsed="false"/>
    <row r="2058" customFormat="false" ht="11.25" hidden="false" customHeight="true" outlineLevel="0" collapsed="false"/>
    <row r="2059" customFormat="false" ht="11.25" hidden="false" customHeight="true" outlineLevel="0" collapsed="false"/>
    <row r="2060" customFormat="false" ht="11.25" hidden="false" customHeight="true" outlineLevel="0" collapsed="false"/>
    <row r="2061" customFormat="false" ht="11.25" hidden="false" customHeight="true" outlineLevel="0" collapsed="false"/>
    <row r="2062" customFormat="false" ht="11.25" hidden="false" customHeight="true" outlineLevel="0" collapsed="false"/>
    <row r="2063" customFormat="false" ht="11.25" hidden="false" customHeight="true" outlineLevel="0" collapsed="false"/>
    <row r="2064" customFormat="false" ht="11.25" hidden="false" customHeight="true" outlineLevel="0" collapsed="false"/>
    <row r="2065" customFormat="false" ht="11.25" hidden="false" customHeight="true" outlineLevel="0" collapsed="false"/>
    <row r="2066" customFormat="false" ht="11.25" hidden="false" customHeight="true" outlineLevel="0" collapsed="false"/>
    <row r="2067" customFormat="false" ht="11.25" hidden="false" customHeight="true" outlineLevel="0" collapsed="false"/>
    <row r="2068" customFormat="false" ht="11.25" hidden="false" customHeight="true" outlineLevel="0" collapsed="false"/>
    <row r="2069" customFormat="false" ht="11.25" hidden="false" customHeight="true" outlineLevel="0" collapsed="false"/>
    <row r="2070" customFormat="false" ht="11.25" hidden="false" customHeight="true" outlineLevel="0" collapsed="false"/>
    <row r="2071" customFormat="false" ht="11.25" hidden="false" customHeight="true" outlineLevel="0" collapsed="false"/>
    <row r="2072" customFormat="false" ht="11.25" hidden="false" customHeight="true" outlineLevel="0" collapsed="false"/>
    <row r="2073" customFormat="false" ht="11.25" hidden="false" customHeight="true" outlineLevel="0" collapsed="false"/>
    <row r="2074" customFormat="false" ht="11.25" hidden="false" customHeight="true" outlineLevel="0" collapsed="false"/>
    <row r="2075" customFormat="false" ht="11.25" hidden="false" customHeight="true" outlineLevel="0" collapsed="false"/>
    <row r="2076" customFormat="false" ht="11.25" hidden="false" customHeight="true" outlineLevel="0" collapsed="false"/>
    <row r="2077" customFormat="false" ht="11.25" hidden="false" customHeight="true" outlineLevel="0" collapsed="false"/>
    <row r="2078" customFormat="false" ht="11.25" hidden="false" customHeight="true" outlineLevel="0" collapsed="false"/>
    <row r="2079" customFormat="false" ht="11.25" hidden="false" customHeight="true" outlineLevel="0" collapsed="false"/>
    <row r="2080" customFormat="false" ht="11.25" hidden="false" customHeight="true" outlineLevel="0" collapsed="false"/>
    <row r="2081" customFormat="false" ht="11.25" hidden="false" customHeight="true" outlineLevel="0" collapsed="false"/>
    <row r="2082" customFormat="false" ht="11.25" hidden="false" customHeight="true" outlineLevel="0" collapsed="false"/>
    <row r="2083" customFormat="false" ht="11.25" hidden="false" customHeight="true" outlineLevel="0" collapsed="false"/>
    <row r="2084" customFormat="false" ht="11.25" hidden="false" customHeight="true" outlineLevel="0" collapsed="false"/>
    <row r="2085" customFormat="false" ht="11.25" hidden="false" customHeight="true" outlineLevel="0" collapsed="false"/>
    <row r="2086" customFormat="false" ht="11.25" hidden="false" customHeight="true" outlineLevel="0" collapsed="false"/>
    <row r="2087" customFormat="false" ht="11.25" hidden="false" customHeight="true" outlineLevel="0" collapsed="false"/>
    <row r="2088" customFormat="false" ht="11.25" hidden="false" customHeight="true" outlineLevel="0" collapsed="false"/>
    <row r="2089" customFormat="false" ht="11.25" hidden="false" customHeight="true" outlineLevel="0" collapsed="false"/>
    <row r="2090" customFormat="false" ht="11.25" hidden="false" customHeight="true" outlineLevel="0" collapsed="false"/>
    <row r="2091" customFormat="false" ht="11.25" hidden="false" customHeight="true" outlineLevel="0" collapsed="false"/>
    <row r="2092" customFormat="false" ht="11.25" hidden="false" customHeight="true" outlineLevel="0" collapsed="false"/>
    <row r="2093" customFormat="false" ht="11.25" hidden="false" customHeight="true" outlineLevel="0" collapsed="false"/>
    <row r="2094" customFormat="false" ht="11.25" hidden="false" customHeight="true" outlineLevel="0" collapsed="false"/>
    <row r="2095" customFormat="false" ht="11.25" hidden="false" customHeight="true" outlineLevel="0" collapsed="false"/>
    <row r="2096" customFormat="false" ht="11.25" hidden="false" customHeight="true" outlineLevel="0" collapsed="false"/>
    <row r="2097" customFormat="false" ht="11.25" hidden="false" customHeight="true" outlineLevel="0" collapsed="false"/>
    <row r="2098" customFormat="false" ht="11.25" hidden="false" customHeight="true" outlineLevel="0" collapsed="false"/>
    <row r="2099" customFormat="false" ht="11.25" hidden="false" customHeight="true" outlineLevel="0" collapsed="false"/>
    <row r="2100" customFormat="false" ht="11.25" hidden="false" customHeight="true" outlineLevel="0" collapsed="false"/>
    <row r="2101" customFormat="false" ht="11.25" hidden="false" customHeight="true" outlineLevel="0" collapsed="false"/>
    <row r="2102" customFormat="false" ht="11.25" hidden="false" customHeight="true" outlineLevel="0" collapsed="false"/>
    <row r="2103" customFormat="false" ht="11.25" hidden="false" customHeight="true" outlineLevel="0" collapsed="false"/>
    <row r="2104" customFormat="false" ht="11.25" hidden="false" customHeight="true" outlineLevel="0" collapsed="false"/>
    <row r="2105" customFormat="false" ht="11.25" hidden="false" customHeight="true" outlineLevel="0" collapsed="false"/>
    <row r="2106" customFormat="false" ht="11.25" hidden="false" customHeight="true" outlineLevel="0" collapsed="false"/>
    <row r="2107" customFormat="false" ht="11.25" hidden="false" customHeight="true" outlineLevel="0" collapsed="false"/>
    <row r="2108" customFormat="false" ht="11.25" hidden="false" customHeight="true" outlineLevel="0" collapsed="false"/>
    <row r="2109" customFormat="false" ht="11.25" hidden="false" customHeight="true" outlineLevel="0" collapsed="false"/>
    <row r="2110" customFormat="false" ht="11.25" hidden="false" customHeight="true" outlineLevel="0" collapsed="false"/>
    <row r="2111" customFormat="false" ht="11.25" hidden="false" customHeight="true" outlineLevel="0" collapsed="false"/>
    <row r="2112" customFormat="false" ht="11.25" hidden="false" customHeight="true" outlineLevel="0" collapsed="false"/>
    <row r="2113" customFormat="false" ht="11.25" hidden="false" customHeight="true" outlineLevel="0" collapsed="false"/>
    <row r="2114" customFormat="false" ht="11.25" hidden="false" customHeight="true" outlineLevel="0" collapsed="false"/>
    <row r="2115" customFormat="false" ht="11.25" hidden="false" customHeight="true" outlineLevel="0" collapsed="false"/>
    <row r="2116" customFormat="false" ht="11.25" hidden="false" customHeight="true" outlineLevel="0" collapsed="false"/>
    <row r="2117" customFormat="false" ht="11.25" hidden="false" customHeight="true" outlineLevel="0" collapsed="false"/>
    <row r="2118" customFormat="false" ht="11.25" hidden="false" customHeight="true" outlineLevel="0" collapsed="false"/>
    <row r="2119" customFormat="false" ht="11.25" hidden="false" customHeight="true" outlineLevel="0" collapsed="false"/>
    <row r="2120" customFormat="false" ht="11.25" hidden="false" customHeight="true" outlineLevel="0" collapsed="false"/>
    <row r="2121" customFormat="false" ht="11.25" hidden="false" customHeight="true" outlineLevel="0" collapsed="false"/>
    <row r="2122" customFormat="false" ht="11.25" hidden="false" customHeight="true" outlineLevel="0" collapsed="false"/>
    <row r="2123" customFormat="false" ht="11.25" hidden="false" customHeight="true" outlineLevel="0" collapsed="false"/>
    <row r="2124" customFormat="false" ht="11.25" hidden="false" customHeight="true" outlineLevel="0" collapsed="false"/>
    <row r="2125" customFormat="false" ht="11.25" hidden="false" customHeight="true" outlineLevel="0" collapsed="false"/>
    <row r="2126" customFormat="false" ht="11.25" hidden="false" customHeight="true" outlineLevel="0" collapsed="false"/>
    <row r="2127" customFormat="false" ht="11.25" hidden="false" customHeight="true" outlineLevel="0" collapsed="false"/>
    <row r="2128" customFormat="false" ht="11.25" hidden="false" customHeight="true" outlineLevel="0" collapsed="false"/>
    <row r="2129" customFormat="false" ht="11.25" hidden="false" customHeight="true" outlineLevel="0" collapsed="false"/>
    <row r="2130" customFormat="false" ht="11.25" hidden="false" customHeight="true" outlineLevel="0" collapsed="false"/>
    <row r="2131" customFormat="false" ht="11.25" hidden="false" customHeight="true" outlineLevel="0" collapsed="false"/>
    <row r="2132" customFormat="false" ht="11.25" hidden="false" customHeight="true" outlineLevel="0" collapsed="false"/>
    <row r="2133" customFormat="false" ht="11.25" hidden="false" customHeight="true" outlineLevel="0" collapsed="false"/>
    <row r="2134" customFormat="false" ht="11.25" hidden="false" customHeight="true" outlineLevel="0" collapsed="false"/>
    <row r="2135" customFormat="false" ht="11.25" hidden="false" customHeight="true" outlineLevel="0" collapsed="false"/>
    <row r="2136" customFormat="false" ht="11.25" hidden="false" customHeight="true" outlineLevel="0" collapsed="false"/>
    <row r="2137" customFormat="false" ht="11.25" hidden="false" customHeight="true" outlineLevel="0" collapsed="false"/>
    <row r="2138" customFormat="false" ht="11.25" hidden="false" customHeight="true" outlineLevel="0" collapsed="false"/>
    <row r="2139" customFormat="false" ht="11.25" hidden="false" customHeight="true" outlineLevel="0" collapsed="false"/>
    <row r="2140" customFormat="false" ht="11.25" hidden="false" customHeight="true" outlineLevel="0" collapsed="false"/>
    <row r="2141" customFormat="false" ht="11.25" hidden="false" customHeight="true" outlineLevel="0" collapsed="false"/>
    <row r="2142" customFormat="false" ht="11.25" hidden="false" customHeight="true" outlineLevel="0" collapsed="false"/>
    <row r="2143" customFormat="false" ht="11.25" hidden="false" customHeight="true" outlineLevel="0" collapsed="false"/>
    <row r="2144" customFormat="false" ht="11.25" hidden="false" customHeight="true" outlineLevel="0" collapsed="false"/>
    <row r="2145" customFormat="false" ht="11.25" hidden="false" customHeight="true" outlineLevel="0" collapsed="false"/>
    <row r="2146" customFormat="false" ht="11.25" hidden="false" customHeight="true" outlineLevel="0" collapsed="false"/>
    <row r="2147" customFormat="false" ht="11.25" hidden="false" customHeight="true" outlineLevel="0" collapsed="false"/>
    <row r="2148" customFormat="false" ht="11.25" hidden="false" customHeight="true" outlineLevel="0" collapsed="false"/>
    <row r="2149" customFormat="false" ht="11.25" hidden="false" customHeight="true" outlineLevel="0" collapsed="false"/>
    <row r="2150" customFormat="false" ht="11.25" hidden="false" customHeight="true" outlineLevel="0" collapsed="false"/>
    <row r="2151" customFormat="false" ht="11.25" hidden="false" customHeight="true" outlineLevel="0" collapsed="false"/>
    <row r="2152" customFormat="false" ht="11.25" hidden="false" customHeight="true" outlineLevel="0" collapsed="false"/>
    <row r="2153" customFormat="false" ht="11.25" hidden="false" customHeight="true" outlineLevel="0" collapsed="false"/>
    <row r="2154" customFormat="false" ht="11.25" hidden="false" customHeight="true" outlineLevel="0" collapsed="false"/>
    <row r="2155" customFormat="false" ht="11.25" hidden="false" customHeight="true" outlineLevel="0" collapsed="false"/>
    <row r="2156" customFormat="false" ht="11.25" hidden="false" customHeight="true" outlineLevel="0" collapsed="false"/>
    <row r="2157" customFormat="false" ht="11.25" hidden="false" customHeight="true" outlineLevel="0" collapsed="false"/>
    <row r="2158" customFormat="false" ht="11.25" hidden="false" customHeight="true" outlineLevel="0" collapsed="false"/>
    <row r="2159" customFormat="false" ht="11.25" hidden="false" customHeight="true" outlineLevel="0" collapsed="false"/>
    <row r="2160" customFormat="false" ht="11.25" hidden="false" customHeight="true" outlineLevel="0" collapsed="false"/>
    <row r="2161" customFormat="false" ht="11.25" hidden="false" customHeight="true" outlineLevel="0" collapsed="false"/>
    <row r="2162" customFormat="false" ht="11.25" hidden="false" customHeight="true" outlineLevel="0" collapsed="false"/>
    <row r="2163" customFormat="false" ht="11.25" hidden="false" customHeight="true" outlineLevel="0" collapsed="false"/>
    <row r="2164" customFormat="false" ht="11.25" hidden="false" customHeight="true" outlineLevel="0" collapsed="false"/>
    <row r="2165" customFormat="false" ht="11.25" hidden="false" customHeight="true" outlineLevel="0" collapsed="false"/>
    <row r="2166" customFormat="false" ht="11.25" hidden="false" customHeight="true" outlineLevel="0" collapsed="false"/>
    <row r="2167" customFormat="false" ht="11.25" hidden="false" customHeight="true" outlineLevel="0" collapsed="false"/>
    <row r="2168" customFormat="false" ht="11.25" hidden="false" customHeight="true" outlineLevel="0" collapsed="false"/>
    <row r="2169" customFormat="false" ht="11.25" hidden="false" customHeight="true" outlineLevel="0" collapsed="false"/>
    <row r="2170" customFormat="false" ht="11.25" hidden="false" customHeight="true" outlineLevel="0" collapsed="false"/>
    <row r="2171" customFormat="false" ht="11.25" hidden="false" customHeight="true" outlineLevel="0" collapsed="false"/>
    <row r="2172" customFormat="false" ht="11.25" hidden="false" customHeight="true" outlineLevel="0" collapsed="false"/>
    <row r="2173" customFormat="false" ht="11.25" hidden="false" customHeight="true" outlineLevel="0" collapsed="false"/>
    <row r="2174" customFormat="false" ht="11.25" hidden="false" customHeight="true" outlineLevel="0" collapsed="false"/>
    <row r="2175" customFormat="false" ht="11.25" hidden="false" customHeight="true" outlineLevel="0" collapsed="false"/>
    <row r="2176" customFormat="false" ht="11.25" hidden="false" customHeight="true" outlineLevel="0" collapsed="false"/>
    <row r="2177" customFormat="false" ht="11.25" hidden="false" customHeight="true" outlineLevel="0" collapsed="false"/>
    <row r="2178" customFormat="false" ht="11.25" hidden="false" customHeight="true" outlineLevel="0" collapsed="false"/>
    <row r="2179" customFormat="false" ht="11.25" hidden="false" customHeight="true" outlineLevel="0" collapsed="false"/>
    <row r="2180" customFormat="false" ht="11.25" hidden="false" customHeight="true" outlineLevel="0" collapsed="false"/>
    <row r="2181" customFormat="false" ht="11.25" hidden="false" customHeight="true" outlineLevel="0" collapsed="false"/>
    <row r="2182" customFormat="false" ht="11.25" hidden="false" customHeight="true" outlineLevel="0" collapsed="false"/>
    <row r="2183" customFormat="false" ht="11.25" hidden="false" customHeight="true" outlineLevel="0" collapsed="false"/>
    <row r="2184" customFormat="false" ht="11.25" hidden="false" customHeight="true" outlineLevel="0" collapsed="false"/>
    <row r="2185" customFormat="false" ht="11.25" hidden="false" customHeight="true" outlineLevel="0" collapsed="false"/>
    <row r="2186" customFormat="false" ht="11.25" hidden="false" customHeight="true" outlineLevel="0" collapsed="false"/>
    <row r="2187" customFormat="false" ht="11.25" hidden="false" customHeight="true" outlineLevel="0" collapsed="false"/>
    <row r="2188" customFormat="false" ht="11.25" hidden="false" customHeight="true" outlineLevel="0" collapsed="false"/>
    <row r="2189" customFormat="false" ht="11.25" hidden="false" customHeight="true" outlineLevel="0" collapsed="false"/>
    <row r="2190" customFormat="false" ht="11.25" hidden="false" customHeight="true" outlineLevel="0" collapsed="false"/>
    <row r="2191" customFormat="false" ht="11.25" hidden="false" customHeight="true" outlineLevel="0" collapsed="false"/>
    <row r="2192" customFormat="false" ht="11.25" hidden="false" customHeight="true" outlineLevel="0" collapsed="false"/>
    <row r="2193" customFormat="false" ht="11.25" hidden="false" customHeight="true" outlineLevel="0" collapsed="false"/>
    <row r="2194" customFormat="false" ht="11.25" hidden="false" customHeight="true" outlineLevel="0" collapsed="false"/>
    <row r="2195" customFormat="false" ht="11.25" hidden="false" customHeight="true" outlineLevel="0" collapsed="false"/>
    <row r="2196" customFormat="false" ht="11.25" hidden="false" customHeight="true" outlineLevel="0" collapsed="false"/>
    <row r="2197" customFormat="false" ht="11.25" hidden="false" customHeight="true" outlineLevel="0" collapsed="false"/>
    <row r="2198" customFormat="false" ht="11.25" hidden="false" customHeight="true" outlineLevel="0" collapsed="false"/>
    <row r="2199" customFormat="false" ht="11.25" hidden="false" customHeight="true" outlineLevel="0" collapsed="false"/>
    <row r="2200" customFormat="false" ht="11.25" hidden="false" customHeight="true" outlineLevel="0" collapsed="false"/>
    <row r="2201" customFormat="false" ht="11.25" hidden="false" customHeight="true" outlineLevel="0" collapsed="false"/>
    <row r="2202" customFormat="false" ht="11.25" hidden="false" customHeight="true" outlineLevel="0" collapsed="false"/>
    <row r="2203" customFormat="false" ht="11.25" hidden="false" customHeight="true" outlineLevel="0" collapsed="false"/>
    <row r="2204" customFormat="false" ht="11.25" hidden="false" customHeight="true" outlineLevel="0" collapsed="false"/>
    <row r="2205" customFormat="false" ht="11.25" hidden="false" customHeight="true" outlineLevel="0" collapsed="false"/>
    <row r="2206" customFormat="false" ht="11.25" hidden="false" customHeight="true" outlineLevel="0" collapsed="false"/>
    <row r="2207" customFormat="false" ht="11.25" hidden="false" customHeight="true" outlineLevel="0" collapsed="false"/>
    <row r="2208" customFormat="false" ht="11.25" hidden="false" customHeight="true" outlineLevel="0" collapsed="false"/>
    <row r="2209" customFormat="false" ht="11.25" hidden="false" customHeight="true" outlineLevel="0" collapsed="false"/>
    <row r="2210" customFormat="false" ht="11.25" hidden="false" customHeight="true" outlineLevel="0" collapsed="false"/>
    <row r="2211" customFormat="false" ht="11.25" hidden="false" customHeight="true" outlineLevel="0" collapsed="false"/>
    <row r="2212" customFormat="false" ht="11.25" hidden="false" customHeight="true" outlineLevel="0" collapsed="false"/>
    <row r="2213" customFormat="false" ht="11.25" hidden="false" customHeight="true" outlineLevel="0" collapsed="false"/>
    <row r="2214" customFormat="false" ht="11.25" hidden="false" customHeight="true" outlineLevel="0" collapsed="false"/>
    <row r="2215" customFormat="false" ht="11.25" hidden="false" customHeight="true" outlineLevel="0" collapsed="false"/>
    <row r="2216" customFormat="false" ht="11.25" hidden="false" customHeight="true" outlineLevel="0" collapsed="false"/>
    <row r="2217" customFormat="false" ht="11.25" hidden="false" customHeight="true" outlineLevel="0" collapsed="false"/>
    <row r="2218" customFormat="false" ht="11.25" hidden="false" customHeight="true" outlineLevel="0" collapsed="false"/>
    <row r="2219" customFormat="false" ht="11.25" hidden="false" customHeight="true" outlineLevel="0" collapsed="false"/>
    <row r="2220" customFormat="false" ht="11.25" hidden="false" customHeight="true" outlineLevel="0" collapsed="false"/>
    <row r="2221" customFormat="false" ht="11.25" hidden="false" customHeight="true" outlineLevel="0" collapsed="false"/>
    <row r="2222" customFormat="false" ht="11.25" hidden="false" customHeight="true" outlineLevel="0" collapsed="false"/>
    <row r="2223" customFormat="false" ht="11.25" hidden="false" customHeight="true" outlineLevel="0" collapsed="false"/>
    <row r="2224" customFormat="false" ht="11.25" hidden="false" customHeight="true" outlineLevel="0" collapsed="false"/>
    <row r="2225" customFormat="false" ht="11.25" hidden="false" customHeight="true" outlineLevel="0" collapsed="false"/>
    <row r="2226" customFormat="false" ht="11.25" hidden="false" customHeight="true" outlineLevel="0" collapsed="false"/>
    <row r="2227" customFormat="false" ht="11.25" hidden="false" customHeight="true" outlineLevel="0" collapsed="false"/>
    <row r="2228" customFormat="false" ht="11.25" hidden="false" customHeight="true" outlineLevel="0" collapsed="false"/>
    <row r="2229" customFormat="false" ht="11.25" hidden="false" customHeight="true" outlineLevel="0" collapsed="false"/>
    <row r="2230" customFormat="false" ht="11.25" hidden="false" customHeight="true" outlineLevel="0" collapsed="false"/>
    <row r="2231" customFormat="false" ht="11.25" hidden="false" customHeight="true" outlineLevel="0" collapsed="false"/>
    <row r="2232" customFormat="false" ht="11.25" hidden="false" customHeight="true" outlineLevel="0" collapsed="false"/>
    <row r="2233" customFormat="false" ht="11.25" hidden="false" customHeight="true" outlineLevel="0" collapsed="false"/>
    <row r="2234" customFormat="false" ht="11.25" hidden="false" customHeight="true" outlineLevel="0" collapsed="false"/>
    <row r="2235" customFormat="false" ht="11.25" hidden="false" customHeight="true" outlineLevel="0" collapsed="false"/>
    <row r="2236" customFormat="false" ht="11.25" hidden="false" customHeight="true" outlineLevel="0" collapsed="false"/>
    <row r="2237" customFormat="false" ht="11.25" hidden="false" customHeight="true" outlineLevel="0" collapsed="false"/>
    <row r="2238" customFormat="false" ht="11.25" hidden="false" customHeight="true" outlineLevel="0" collapsed="false"/>
    <row r="2239" customFormat="false" ht="11.25" hidden="false" customHeight="true" outlineLevel="0" collapsed="false"/>
    <row r="2240" customFormat="false" ht="11.25" hidden="false" customHeight="true" outlineLevel="0" collapsed="false"/>
    <row r="2241" customFormat="false" ht="11.25" hidden="false" customHeight="true" outlineLevel="0" collapsed="false"/>
    <row r="2242" customFormat="false" ht="11.25" hidden="false" customHeight="true" outlineLevel="0" collapsed="false"/>
    <row r="2243" customFormat="false" ht="11.25" hidden="false" customHeight="true" outlineLevel="0" collapsed="false"/>
    <row r="2244" customFormat="false" ht="11.25" hidden="false" customHeight="true" outlineLevel="0" collapsed="false"/>
    <row r="2245" customFormat="false" ht="11.25" hidden="false" customHeight="true" outlineLevel="0" collapsed="false"/>
    <row r="2246" customFormat="false" ht="11.25" hidden="false" customHeight="true" outlineLevel="0" collapsed="false"/>
    <row r="2247" customFormat="false" ht="11.25" hidden="false" customHeight="true" outlineLevel="0" collapsed="false"/>
    <row r="2248" customFormat="false" ht="11.25" hidden="false" customHeight="true" outlineLevel="0" collapsed="false"/>
    <row r="2249" customFormat="false" ht="11.25" hidden="false" customHeight="true" outlineLevel="0" collapsed="false"/>
    <row r="2250" customFormat="false" ht="11.25" hidden="false" customHeight="true" outlineLevel="0" collapsed="false"/>
    <row r="2251" customFormat="false" ht="11.25" hidden="false" customHeight="true" outlineLevel="0" collapsed="false"/>
    <row r="2252" customFormat="false" ht="11.25" hidden="false" customHeight="true" outlineLevel="0" collapsed="false"/>
    <row r="2253" customFormat="false" ht="11.25" hidden="false" customHeight="true" outlineLevel="0" collapsed="false"/>
    <row r="2254" customFormat="false" ht="11.25" hidden="false" customHeight="true" outlineLevel="0" collapsed="false"/>
    <row r="2255" customFormat="false" ht="11.25" hidden="false" customHeight="true" outlineLevel="0" collapsed="false"/>
    <row r="2256" customFormat="false" ht="11.25" hidden="false" customHeight="true" outlineLevel="0" collapsed="false"/>
    <row r="2257" customFormat="false" ht="11.25" hidden="false" customHeight="true" outlineLevel="0" collapsed="false"/>
    <row r="2258" customFormat="false" ht="11.25" hidden="false" customHeight="true" outlineLevel="0" collapsed="false"/>
    <row r="2259" customFormat="false" ht="11.25" hidden="false" customHeight="true" outlineLevel="0" collapsed="false"/>
    <row r="2260" customFormat="false" ht="11.25" hidden="false" customHeight="true" outlineLevel="0" collapsed="false"/>
    <row r="2261" customFormat="false" ht="11.25" hidden="false" customHeight="true" outlineLevel="0" collapsed="false"/>
    <row r="2262" customFormat="false" ht="11.25" hidden="false" customHeight="true" outlineLevel="0" collapsed="false"/>
    <row r="2263" customFormat="false" ht="11.25" hidden="false" customHeight="true" outlineLevel="0" collapsed="false"/>
    <row r="2264" customFormat="false" ht="11.25" hidden="false" customHeight="true" outlineLevel="0" collapsed="false"/>
    <row r="2265" customFormat="false" ht="11.25" hidden="false" customHeight="true" outlineLevel="0" collapsed="false"/>
    <row r="2266" customFormat="false" ht="11.25" hidden="false" customHeight="true" outlineLevel="0" collapsed="false"/>
    <row r="2267" customFormat="false" ht="11.25" hidden="false" customHeight="true" outlineLevel="0" collapsed="false"/>
    <row r="2268" customFormat="false" ht="11.25" hidden="false" customHeight="true" outlineLevel="0" collapsed="false"/>
    <row r="2269" customFormat="false" ht="11.25" hidden="false" customHeight="true" outlineLevel="0" collapsed="false"/>
    <row r="2270" customFormat="false" ht="11.25" hidden="false" customHeight="true" outlineLevel="0" collapsed="false"/>
    <row r="2271" customFormat="false" ht="11.25" hidden="false" customHeight="true" outlineLevel="0" collapsed="false"/>
    <row r="2272" customFormat="false" ht="11.25" hidden="false" customHeight="true" outlineLevel="0" collapsed="false"/>
    <row r="2273" customFormat="false" ht="11.25" hidden="false" customHeight="true" outlineLevel="0" collapsed="false"/>
    <row r="2274" customFormat="false" ht="11.25" hidden="false" customHeight="true" outlineLevel="0" collapsed="false"/>
    <row r="2275" customFormat="false" ht="11.25" hidden="false" customHeight="true" outlineLevel="0" collapsed="false"/>
    <row r="2276" customFormat="false" ht="11.25" hidden="false" customHeight="true" outlineLevel="0" collapsed="false"/>
    <row r="2277" customFormat="false" ht="11.25" hidden="false" customHeight="true" outlineLevel="0" collapsed="false"/>
    <row r="2278" customFormat="false" ht="11.25" hidden="false" customHeight="true" outlineLevel="0" collapsed="false"/>
    <row r="2279" customFormat="false" ht="11.25" hidden="false" customHeight="true" outlineLevel="0" collapsed="false"/>
    <row r="2280" customFormat="false" ht="11.25" hidden="false" customHeight="true" outlineLevel="0" collapsed="false"/>
    <row r="2281" customFormat="false" ht="11.25" hidden="false" customHeight="true" outlineLevel="0" collapsed="false"/>
    <row r="2282" customFormat="false" ht="11.25" hidden="false" customHeight="true" outlineLevel="0" collapsed="false"/>
    <row r="2283" customFormat="false" ht="11.25" hidden="false" customHeight="true" outlineLevel="0" collapsed="false"/>
    <row r="2284" customFormat="false" ht="11.25" hidden="false" customHeight="true" outlineLevel="0" collapsed="false"/>
    <row r="2285" customFormat="false" ht="11.25" hidden="false" customHeight="true" outlineLevel="0" collapsed="false"/>
    <row r="2286" customFormat="false" ht="11.25" hidden="false" customHeight="true" outlineLevel="0" collapsed="false"/>
    <row r="2287" customFormat="false" ht="11.25" hidden="false" customHeight="true" outlineLevel="0" collapsed="false"/>
    <row r="2288" customFormat="false" ht="11.25" hidden="false" customHeight="true" outlineLevel="0" collapsed="false"/>
    <row r="2289" customFormat="false" ht="11.25" hidden="false" customHeight="true" outlineLevel="0" collapsed="false"/>
    <row r="2290" customFormat="false" ht="11.25" hidden="false" customHeight="true" outlineLevel="0" collapsed="false"/>
    <row r="2291" customFormat="false" ht="11.25" hidden="false" customHeight="true" outlineLevel="0" collapsed="false"/>
    <row r="2292" customFormat="false" ht="11.25" hidden="false" customHeight="true" outlineLevel="0" collapsed="false"/>
    <row r="2293" customFormat="false" ht="11.25" hidden="false" customHeight="true" outlineLevel="0" collapsed="false"/>
    <row r="2294" customFormat="false" ht="11.25" hidden="false" customHeight="true" outlineLevel="0" collapsed="false"/>
    <row r="2295" customFormat="false" ht="11.25" hidden="false" customHeight="true" outlineLevel="0" collapsed="false"/>
    <row r="2296" customFormat="false" ht="11.25" hidden="false" customHeight="true" outlineLevel="0" collapsed="false"/>
    <row r="2297" customFormat="false" ht="11.25" hidden="false" customHeight="true" outlineLevel="0" collapsed="false"/>
    <row r="2298" customFormat="false" ht="11.25" hidden="false" customHeight="true" outlineLevel="0" collapsed="false"/>
    <row r="2299" customFormat="false" ht="11.25" hidden="false" customHeight="true" outlineLevel="0" collapsed="false"/>
    <row r="2300" customFormat="false" ht="11.25" hidden="false" customHeight="true" outlineLevel="0" collapsed="false"/>
    <row r="2301" customFormat="false" ht="11.25" hidden="false" customHeight="true" outlineLevel="0" collapsed="false"/>
    <row r="2302" customFormat="false" ht="11.25" hidden="false" customHeight="true" outlineLevel="0" collapsed="false"/>
    <row r="2303" customFormat="false" ht="11.25" hidden="false" customHeight="true" outlineLevel="0" collapsed="false"/>
    <row r="2304" customFormat="false" ht="11.25" hidden="false" customHeight="true" outlineLevel="0" collapsed="false"/>
    <row r="2305" customFormat="false" ht="11.25" hidden="false" customHeight="true" outlineLevel="0" collapsed="false"/>
    <row r="2306" customFormat="false" ht="11.25" hidden="false" customHeight="true" outlineLevel="0" collapsed="false"/>
    <row r="2307" customFormat="false" ht="11.25" hidden="false" customHeight="true" outlineLevel="0" collapsed="false"/>
    <row r="2308" customFormat="false" ht="11.25" hidden="false" customHeight="true" outlineLevel="0" collapsed="false"/>
    <row r="2309" customFormat="false" ht="11.25" hidden="false" customHeight="true" outlineLevel="0" collapsed="false"/>
    <row r="2310" customFormat="false" ht="11.25" hidden="false" customHeight="true" outlineLevel="0" collapsed="false"/>
    <row r="2311" customFormat="false" ht="11.25" hidden="false" customHeight="true" outlineLevel="0" collapsed="false"/>
    <row r="2312" customFormat="false" ht="11.25" hidden="false" customHeight="true" outlineLevel="0" collapsed="false"/>
    <row r="2313" customFormat="false" ht="11.25" hidden="false" customHeight="true" outlineLevel="0" collapsed="false"/>
    <row r="2314" customFormat="false" ht="11.25" hidden="false" customHeight="true" outlineLevel="0" collapsed="false"/>
    <row r="2315" customFormat="false" ht="11.25" hidden="false" customHeight="true" outlineLevel="0" collapsed="false"/>
    <row r="2316" customFormat="false" ht="11.25" hidden="false" customHeight="true" outlineLevel="0" collapsed="false"/>
    <row r="2317" customFormat="false" ht="11.25" hidden="false" customHeight="true" outlineLevel="0" collapsed="false"/>
    <row r="2318" customFormat="false" ht="11.25" hidden="false" customHeight="true" outlineLevel="0" collapsed="false"/>
    <row r="2319" customFormat="false" ht="11.25" hidden="false" customHeight="true" outlineLevel="0" collapsed="false"/>
    <row r="2320" customFormat="false" ht="11.25" hidden="false" customHeight="true" outlineLevel="0" collapsed="false"/>
    <row r="2321" customFormat="false" ht="11.25" hidden="false" customHeight="true" outlineLevel="0" collapsed="false"/>
    <row r="2322" customFormat="false" ht="11.25" hidden="false" customHeight="true" outlineLevel="0" collapsed="false"/>
    <row r="2323" customFormat="false" ht="11.25" hidden="false" customHeight="true" outlineLevel="0" collapsed="false"/>
    <row r="2324" customFormat="false" ht="11.25" hidden="false" customHeight="true" outlineLevel="0" collapsed="false"/>
    <row r="2325" customFormat="false" ht="11.25" hidden="false" customHeight="true" outlineLevel="0" collapsed="false"/>
    <row r="2326" customFormat="false" ht="11.25" hidden="false" customHeight="true" outlineLevel="0" collapsed="false"/>
    <row r="2327" customFormat="false" ht="11.25" hidden="false" customHeight="true" outlineLevel="0" collapsed="false"/>
    <row r="2328" customFormat="false" ht="11.25" hidden="false" customHeight="true" outlineLevel="0" collapsed="false"/>
    <row r="2329" customFormat="false" ht="11.25" hidden="false" customHeight="true" outlineLevel="0" collapsed="false"/>
    <row r="2330" customFormat="false" ht="11.25" hidden="false" customHeight="true" outlineLevel="0" collapsed="false"/>
    <row r="2331" customFormat="false" ht="11.25" hidden="false" customHeight="true" outlineLevel="0" collapsed="false"/>
    <row r="2332" customFormat="false" ht="11.25" hidden="false" customHeight="true" outlineLevel="0" collapsed="false"/>
    <row r="2333" customFormat="false" ht="11.25" hidden="false" customHeight="true" outlineLevel="0" collapsed="false"/>
    <row r="2334" customFormat="false" ht="11.25" hidden="false" customHeight="true" outlineLevel="0" collapsed="false"/>
    <row r="2335" customFormat="false" ht="11.25" hidden="false" customHeight="true" outlineLevel="0" collapsed="false"/>
    <row r="2336" customFormat="false" ht="11.25" hidden="false" customHeight="true" outlineLevel="0" collapsed="false"/>
    <row r="2337" customFormat="false" ht="11.25" hidden="false" customHeight="true" outlineLevel="0" collapsed="false"/>
    <row r="2338" customFormat="false" ht="11.25" hidden="false" customHeight="true" outlineLevel="0" collapsed="false"/>
    <row r="2339" customFormat="false" ht="11.25" hidden="false" customHeight="true" outlineLevel="0" collapsed="false"/>
    <row r="2340" customFormat="false" ht="11.25" hidden="false" customHeight="true" outlineLevel="0" collapsed="false"/>
    <row r="2341" customFormat="false" ht="11.25" hidden="false" customHeight="true" outlineLevel="0" collapsed="false"/>
    <row r="2342" customFormat="false" ht="11.25" hidden="false" customHeight="true" outlineLevel="0" collapsed="false"/>
    <row r="2343" customFormat="false" ht="11.25" hidden="false" customHeight="true" outlineLevel="0" collapsed="false"/>
    <row r="2344" customFormat="false" ht="11.25" hidden="false" customHeight="true" outlineLevel="0" collapsed="false"/>
    <row r="2345" customFormat="false" ht="11.25" hidden="false" customHeight="true" outlineLevel="0" collapsed="false"/>
    <row r="2346" customFormat="false" ht="11.25" hidden="false" customHeight="true" outlineLevel="0" collapsed="false"/>
    <row r="2347" customFormat="false" ht="11.25" hidden="false" customHeight="true" outlineLevel="0" collapsed="false"/>
    <row r="2348" customFormat="false" ht="11.25" hidden="false" customHeight="true" outlineLevel="0" collapsed="false"/>
    <row r="2349" customFormat="false" ht="11.25" hidden="false" customHeight="true" outlineLevel="0" collapsed="false"/>
    <row r="2350" customFormat="false" ht="11.25" hidden="false" customHeight="true" outlineLevel="0" collapsed="false"/>
    <row r="2351" customFormat="false" ht="11.25" hidden="false" customHeight="true" outlineLevel="0" collapsed="false"/>
    <row r="2352" customFormat="false" ht="11.25" hidden="false" customHeight="true" outlineLevel="0" collapsed="false"/>
    <row r="2353" customFormat="false" ht="11.25" hidden="false" customHeight="true" outlineLevel="0" collapsed="false"/>
    <row r="2354" customFormat="false" ht="11.25" hidden="false" customHeight="true" outlineLevel="0" collapsed="false"/>
    <row r="2355" customFormat="false" ht="11.25" hidden="false" customHeight="true" outlineLevel="0" collapsed="false"/>
    <row r="2356" customFormat="false" ht="11.25" hidden="false" customHeight="true" outlineLevel="0" collapsed="false"/>
    <row r="2357" customFormat="false" ht="11.25" hidden="false" customHeight="true" outlineLevel="0" collapsed="false"/>
    <row r="2358" customFormat="false" ht="11.25" hidden="false" customHeight="true" outlineLevel="0" collapsed="false"/>
    <row r="2359" customFormat="false" ht="11.25" hidden="false" customHeight="true" outlineLevel="0" collapsed="false"/>
    <row r="2360" customFormat="false" ht="11.25" hidden="false" customHeight="true" outlineLevel="0" collapsed="false"/>
    <row r="2361" customFormat="false" ht="11.25" hidden="false" customHeight="true" outlineLevel="0" collapsed="false"/>
    <row r="2362" customFormat="false" ht="11.25" hidden="false" customHeight="true" outlineLevel="0" collapsed="false"/>
    <row r="2363" customFormat="false" ht="11.25" hidden="false" customHeight="true" outlineLevel="0" collapsed="false"/>
    <row r="2364" customFormat="false" ht="11.25" hidden="false" customHeight="true" outlineLevel="0" collapsed="false"/>
    <row r="2365" customFormat="false" ht="11.25" hidden="false" customHeight="true" outlineLevel="0" collapsed="false"/>
    <row r="2366" customFormat="false" ht="11.25" hidden="false" customHeight="true" outlineLevel="0" collapsed="false"/>
    <row r="2367" customFormat="false" ht="11.25" hidden="false" customHeight="true" outlineLevel="0" collapsed="false"/>
    <row r="2368" customFormat="false" ht="11.25" hidden="false" customHeight="true" outlineLevel="0" collapsed="false"/>
    <row r="2369" customFormat="false" ht="11.25" hidden="false" customHeight="true" outlineLevel="0" collapsed="false"/>
    <row r="2370" customFormat="false" ht="11.25" hidden="false" customHeight="true" outlineLevel="0" collapsed="false"/>
    <row r="2371" customFormat="false" ht="11.25" hidden="false" customHeight="true" outlineLevel="0" collapsed="false"/>
    <row r="2372" customFormat="false" ht="11.25" hidden="false" customHeight="true" outlineLevel="0" collapsed="false"/>
    <row r="2373" customFormat="false" ht="11.25" hidden="false" customHeight="true" outlineLevel="0" collapsed="false"/>
    <row r="2374" customFormat="false" ht="11.25" hidden="false" customHeight="true" outlineLevel="0" collapsed="false"/>
    <row r="2375" customFormat="false" ht="11.25" hidden="false" customHeight="true" outlineLevel="0" collapsed="false"/>
    <row r="2376" customFormat="false" ht="11.25" hidden="false" customHeight="true" outlineLevel="0" collapsed="false"/>
    <row r="2377" customFormat="false" ht="11.25" hidden="false" customHeight="true" outlineLevel="0" collapsed="false"/>
    <row r="2378" customFormat="false" ht="11.25" hidden="false" customHeight="true" outlineLevel="0" collapsed="false"/>
    <row r="2379" customFormat="false" ht="11.25" hidden="false" customHeight="true" outlineLevel="0" collapsed="false"/>
    <row r="2380" customFormat="false" ht="11.25" hidden="false" customHeight="true" outlineLevel="0" collapsed="false"/>
    <row r="2381" customFormat="false" ht="11.25" hidden="false" customHeight="true" outlineLevel="0" collapsed="false"/>
    <row r="2382" customFormat="false" ht="11.25" hidden="false" customHeight="true" outlineLevel="0" collapsed="false"/>
    <row r="2383" customFormat="false" ht="11.25" hidden="false" customHeight="true" outlineLevel="0" collapsed="false"/>
    <row r="2384" customFormat="false" ht="11.25" hidden="false" customHeight="true" outlineLevel="0" collapsed="false"/>
    <row r="2385" customFormat="false" ht="11.25" hidden="false" customHeight="true" outlineLevel="0" collapsed="false"/>
    <row r="2386" customFormat="false" ht="11.25" hidden="false" customHeight="true" outlineLevel="0" collapsed="false"/>
    <row r="2387" customFormat="false" ht="11.25" hidden="false" customHeight="true" outlineLevel="0" collapsed="false"/>
    <row r="2388" customFormat="false" ht="11.25" hidden="false" customHeight="true" outlineLevel="0" collapsed="false"/>
    <row r="2389" customFormat="false" ht="11.25" hidden="false" customHeight="true" outlineLevel="0" collapsed="false"/>
    <row r="2390" customFormat="false" ht="11.25" hidden="false" customHeight="true" outlineLevel="0" collapsed="false"/>
    <row r="2391" customFormat="false" ht="11.25" hidden="false" customHeight="true" outlineLevel="0" collapsed="false"/>
    <row r="2392" customFormat="false" ht="11.25" hidden="false" customHeight="true" outlineLevel="0" collapsed="false"/>
    <row r="2393" customFormat="false" ht="11.25" hidden="false" customHeight="true" outlineLevel="0" collapsed="false"/>
    <row r="2394" customFormat="false" ht="11.25" hidden="false" customHeight="true" outlineLevel="0" collapsed="false"/>
    <row r="2395" customFormat="false" ht="11.25" hidden="false" customHeight="true" outlineLevel="0" collapsed="false"/>
    <row r="2396" customFormat="false" ht="11.25" hidden="false" customHeight="true" outlineLevel="0" collapsed="false"/>
    <row r="2397" customFormat="false" ht="11.25" hidden="false" customHeight="true" outlineLevel="0" collapsed="false"/>
    <row r="2398" customFormat="false" ht="11.25" hidden="false" customHeight="true" outlineLevel="0" collapsed="false"/>
    <row r="2399" customFormat="false" ht="11.25" hidden="false" customHeight="true" outlineLevel="0" collapsed="false"/>
    <row r="2400" customFormat="false" ht="11.25" hidden="false" customHeight="true" outlineLevel="0" collapsed="false"/>
    <row r="2401" customFormat="false" ht="11.25" hidden="false" customHeight="true" outlineLevel="0" collapsed="false"/>
    <row r="2402" customFormat="false" ht="11.25" hidden="false" customHeight="true" outlineLevel="0" collapsed="false"/>
    <row r="2403" customFormat="false" ht="11.25" hidden="false" customHeight="true" outlineLevel="0" collapsed="false"/>
    <row r="2404" customFormat="false" ht="11.25" hidden="false" customHeight="true" outlineLevel="0" collapsed="false"/>
    <row r="2405" customFormat="false" ht="11.25" hidden="false" customHeight="true" outlineLevel="0" collapsed="false"/>
    <row r="2406" customFormat="false" ht="11.25" hidden="false" customHeight="true" outlineLevel="0" collapsed="false"/>
    <row r="2407" customFormat="false" ht="11.25" hidden="false" customHeight="true" outlineLevel="0" collapsed="false"/>
    <row r="2408" customFormat="false" ht="11.25" hidden="false" customHeight="true" outlineLevel="0" collapsed="false"/>
    <row r="2409" customFormat="false" ht="11.25" hidden="false" customHeight="true" outlineLevel="0" collapsed="false"/>
    <row r="2410" customFormat="false" ht="11.25" hidden="false" customHeight="true" outlineLevel="0" collapsed="false"/>
    <row r="2411" customFormat="false" ht="11.25" hidden="false" customHeight="true" outlineLevel="0" collapsed="false"/>
    <row r="2412" customFormat="false" ht="11.25" hidden="false" customHeight="true" outlineLevel="0" collapsed="false"/>
    <row r="2413" customFormat="false" ht="11.25" hidden="false" customHeight="true" outlineLevel="0" collapsed="false"/>
    <row r="2414" customFormat="false" ht="11.25" hidden="false" customHeight="true" outlineLevel="0" collapsed="false"/>
    <row r="2415" customFormat="false" ht="11.25" hidden="false" customHeight="true" outlineLevel="0" collapsed="false"/>
    <row r="2416" customFormat="false" ht="11.25" hidden="false" customHeight="true" outlineLevel="0" collapsed="false"/>
    <row r="2417" customFormat="false" ht="11.25" hidden="false" customHeight="true" outlineLevel="0" collapsed="false"/>
    <row r="2418" customFormat="false" ht="11.25" hidden="false" customHeight="true" outlineLevel="0" collapsed="false"/>
    <row r="2419" customFormat="false" ht="11.25" hidden="false" customHeight="true" outlineLevel="0" collapsed="false"/>
    <row r="2420" customFormat="false" ht="11.25" hidden="false" customHeight="true" outlineLevel="0" collapsed="false"/>
    <row r="2421" customFormat="false" ht="11.25" hidden="false" customHeight="true" outlineLevel="0" collapsed="false"/>
    <row r="2422" customFormat="false" ht="11.25" hidden="false" customHeight="true" outlineLevel="0" collapsed="false"/>
    <row r="2423" customFormat="false" ht="11.25" hidden="false" customHeight="true" outlineLevel="0" collapsed="false"/>
    <row r="2424" customFormat="false" ht="11.25" hidden="false" customHeight="true" outlineLevel="0" collapsed="false"/>
    <row r="2425" customFormat="false" ht="11.25" hidden="false" customHeight="true" outlineLevel="0" collapsed="false"/>
    <row r="2426" customFormat="false" ht="11.25" hidden="false" customHeight="true" outlineLevel="0" collapsed="false"/>
    <row r="2427" customFormat="false" ht="11.25" hidden="false" customHeight="true" outlineLevel="0" collapsed="false"/>
    <row r="2428" customFormat="false" ht="11.25" hidden="false" customHeight="true" outlineLevel="0" collapsed="false"/>
    <row r="2429" customFormat="false" ht="11.25" hidden="false" customHeight="true" outlineLevel="0" collapsed="false"/>
    <row r="2430" customFormat="false" ht="11.25" hidden="false" customHeight="true" outlineLevel="0" collapsed="false"/>
    <row r="2431" customFormat="false" ht="11.25" hidden="false" customHeight="true" outlineLevel="0" collapsed="false"/>
    <row r="2432" customFormat="false" ht="11.25" hidden="false" customHeight="true" outlineLevel="0" collapsed="false"/>
    <row r="2433" customFormat="false" ht="11.25" hidden="false" customHeight="true" outlineLevel="0" collapsed="false"/>
    <row r="2434" customFormat="false" ht="11.25" hidden="false" customHeight="true" outlineLevel="0" collapsed="false"/>
    <row r="2435" customFormat="false" ht="11.25" hidden="false" customHeight="true" outlineLevel="0" collapsed="false"/>
    <row r="2436" customFormat="false" ht="11.25" hidden="false" customHeight="true" outlineLevel="0" collapsed="false"/>
    <row r="2437" customFormat="false" ht="11.25" hidden="false" customHeight="true" outlineLevel="0" collapsed="false"/>
    <row r="2438" customFormat="false" ht="11.25" hidden="false" customHeight="true" outlineLevel="0" collapsed="false"/>
    <row r="2439" customFormat="false" ht="11.25" hidden="false" customHeight="true" outlineLevel="0" collapsed="false"/>
    <row r="2440" customFormat="false" ht="11.25" hidden="false" customHeight="true" outlineLevel="0" collapsed="false"/>
    <row r="2441" customFormat="false" ht="11.25" hidden="false" customHeight="true" outlineLevel="0" collapsed="false"/>
    <row r="2442" customFormat="false" ht="11.25" hidden="false" customHeight="true" outlineLevel="0" collapsed="false"/>
    <row r="2443" customFormat="false" ht="11.25" hidden="false" customHeight="true" outlineLevel="0" collapsed="false"/>
    <row r="2444" customFormat="false" ht="11.25" hidden="false" customHeight="true" outlineLevel="0" collapsed="false"/>
    <row r="2445" customFormat="false" ht="11.25" hidden="false" customHeight="true" outlineLevel="0" collapsed="false"/>
    <row r="2446" customFormat="false" ht="11.25" hidden="false" customHeight="true" outlineLevel="0" collapsed="false"/>
    <row r="2447" customFormat="false" ht="11.25" hidden="false" customHeight="true" outlineLevel="0" collapsed="false"/>
    <row r="2448" customFormat="false" ht="11.25" hidden="false" customHeight="true" outlineLevel="0" collapsed="false"/>
    <row r="2449" customFormat="false" ht="11.25" hidden="false" customHeight="true" outlineLevel="0" collapsed="false"/>
    <row r="2450" customFormat="false" ht="11.25" hidden="false" customHeight="true" outlineLevel="0" collapsed="false"/>
    <row r="2451" customFormat="false" ht="11.25" hidden="false" customHeight="true" outlineLevel="0" collapsed="false"/>
    <row r="2452" customFormat="false" ht="11.25" hidden="false" customHeight="true" outlineLevel="0" collapsed="false"/>
    <row r="2453" customFormat="false" ht="11.25" hidden="false" customHeight="true" outlineLevel="0" collapsed="false"/>
    <row r="2454" customFormat="false" ht="11.25" hidden="false" customHeight="true" outlineLevel="0" collapsed="false"/>
    <row r="2455" customFormat="false" ht="11.25" hidden="false" customHeight="true" outlineLevel="0" collapsed="false"/>
    <row r="2456" customFormat="false" ht="11.25" hidden="false" customHeight="true" outlineLevel="0" collapsed="false"/>
    <row r="2457" customFormat="false" ht="11.25" hidden="false" customHeight="true" outlineLevel="0" collapsed="false"/>
    <row r="2458" customFormat="false" ht="11.25" hidden="false" customHeight="true" outlineLevel="0" collapsed="false"/>
    <row r="2459" customFormat="false" ht="11.25" hidden="false" customHeight="true" outlineLevel="0" collapsed="false"/>
    <row r="2460" customFormat="false" ht="11.25" hidden="false" customHeight="true" outlineLevel="0" collapsed="false"/>
    <row r="2461" customFormat="false" ht="11.25" hidden="false" customHeight="true" outlineLevel="0" collapsed="false"/>
    <row r="2462" customFormat="false" ht="11.25" hidden="false" customHeight="true" outlineLevel="0" collapsed="false"/>
    <row r="2463" customFormat="false" ht="11.25" hidden="false" customHeight="true" outlineLevel="0" collapsed="false"/>
    <row r="2464" customFormat="false" ht="11.25" hidden="false" customHeight="true" outlineLevel="0" collapsed="false"/>
    <row r="2465" customFormat="false" ht="11.25" hidden="false" customHeight="true" outlineLevel="0" collapsed="false"/>
    <row r="2466" customFormat="false" ht="11.25" hidden="false" customHeight="true" outlineLevel="0" collapsed="false"/>
    <row r="2467" customFormat="false" ht="11.25" hidden="false" customHeight="true" outlineLevel="0" collapsed="false"/>
    <row r="2468" customFormat="false" ht="11.25" hidden="false" customHeight="true" outlineLevel="0" collapsed="false"/>
    <row r="2469" customFormat="false" ht="11.25" hidden="false" customHeight="true" outlineLevel="0" collapsed="false"/>
    <row r="2470" customFormat="false" ht="11.25" hidden="false" customHeight="true" outlineLevel="0" collapsed="false"/>
    <row r="2471" customFormat="false" ht="11.25" hidden="false" customHeight="true" outlineLevel="0" collapsed="false"/>
    <row r="2472" customFormat="false" ht="11.25" hidden="false" customHeight="true" outlineLevel="0" collapsed="false"/>
    <row r="2473" customFormat="false" ht="11.25" hidden="false" customHeight="true" outlineLevel="0" collapsed="false"/>
    <row r="2474" customFormat="false" ht="11.25" hidden="false" customHeight="true" outlineLevel="0" collapsed="false"/>
    <row r="2475" customFormat="false" ht="11.25" hidden="false" customHeight="true" outlineLevel="0" collapsed="false"/>
    <row r="2476" customFormat="false" ht="11.25" hidden="false" customHeight="true" outlineLevel="0" collapsed="false"/>
    <row r="2477" customFormat="false" ht="11.25" hidden="false" customHeight="true" outlineLevel="0" collapsed="false"/>
    <row r="2478" customFormat="false" ht="11.25" hidden="false" customHeight="true" outlineLevel="0" collapsed="false"/>
    <row r="2479" customFormat="false" ht="11.25" hidden="false" customHeight="true" outlineLevel="0" collapsed="false"/>
    <row r="2480" customFormat="false" ht="11.25" hidden="false" customHeight="true" outlineLevel="0" collapsed="false"/>
    <row r="2481" customFormat="false" ht="11.25" hidden="false" customHeight="true" outlineLevel="0" collapsed="false"/>
    <row r="2482" customFormat="false" ht="11.25" hidden="false" customHeight="true" outlineLevel="0" collapsed="false"/>
    <row r="2483" customFormat="false" ht="11.25" hidden="false" customHeight="true" outlineLevel="0" collapsed="false"/>
    <row r="2484" customFormat="false" ht="11.25" hidden="false" customHeight="true" outlineLevel="0" collapsed="false"/>
    <row r="2485" customFormat="false" ht="11.25" hidden="false" customHeight="true" outlineLevel="0" collapsed="false"/>
    <row r="2486" customFormat="false" ht="11.25" hidden="false" customHeight="true" outlineLevel="0" collapsed="false"/>
    <row r="2487" customFormat="false" ht="11.25" hidden="false" customHeight="true" outlineLevel="0" collapsed="false"/>
    <row r="2488" customFormat="false" ht="11.25" hidden="false" customHeight="true" outlineLevel="0" collapsed="false"/>
    <row r="2489" customFormat="false" ht="11.25" hidden="false" customHeight="true" outlineLevel="0" collapsed="false"/>
    <row r="2490" customFormat="false" ht="11.25" hidden="false" customHeight="true" outlineLevel="0" collapsed="false"/>
    <row r="2491" customFormat="false" ht="11.25" hidden="false" customHeight="true" outlineLevel="0" collapsed="false"/>
    <row r="2492" customFormat="false" ht="11.25" hidden="false" customHeight="true" outlineLevel="0" collapsed="false"/>
    <row r="2493" customFormat="false" ht="11.25" hidden="false" customHeight="true" outlineLevel="0" collapsed="false"/>
    <row r="2494" customFormat="false" ht="11.25" hidden="false" customHeight="true" outlineLevel="0" collapsed="false"/>
    <row r="2495" customFormat="false" ht="11.25" hidden="false" customHeight="true" outlineLevel="0" collapsed="false"/>
    <row r="2496" customFormat="false" ht="11.25" hidden="false" customHeight="true" outlineLevel="0" collapsed="false"/>
    <row r="2497" customFormat="false" ht="11.25" hidden="false" customHeight="true" outlineLevel="0" collapsed="false"/>
    <row r="2498" customFormat="false" ht="11.25" hidden="false" customHeight="true" outlineLevel="0" collapsed="false"/>
    <row r="2499" customFormat="false" ht="11.25" hidden="false" customHeight="true" outlineLevel="0" collapsed="false"/>
    <row r="2500" customFormat="false" ht="11.25" hidden="false" customHeight="true" outlineLevel="0" collapsed="false"/>
    <row r="2501" customFormat="false" ht="11.25" hidden="false" customHeight="true" outlineLevel="0" collapsed="false"/>
    <row r="2502" customFormat="false" ht="11.25" hidden="false" customHeight="true" outlineLevel="0" collapsed="false"/>
    <row r="2503" customFormat="false" ht="11.25" hidden="false" customHeight="true" outlineLevel="0" collapsed="false"/>
    <row r="2504" customFormat="false" ht="11.25" hidden="false" customHeight="true" outlineLevel="0" collapsed="false"/>
    <row r="2505" customFormat="false" ht="11.25" hidden="false" customHeight="true" outlineLevel="0" collapsed="false"/>
    <row r="2506" customFormat="false" ht="11.25" hidden="false" customHeight="true" outlineLevel="0" collapsed="false"/>
    <row r="2507" customFormat="false" ht="11.25" hidden="false" customHeight="true" outlineLevel="0" collapsed="false"/>
    <row r="2508" customFormat="false" ht="11.25" hidden="false" customHeight="true" outlineLevel="0" collapsed="false"/>
    <row r="2509" customFormat="false" ht="11.25" hidden="false" customHeight="true" outlineLevel="0" collapsed="false"/>
    <row r="2510" customFormat="false" ht="11.25" hidden="false" customHeight="true" outlineLevel="0" collapsed="false"/>
    <row r="2511" customFormat="false" ht="11.25" hidden="false" customHeight="true" outlineLevel="0" collapsed="false"/>
    <row r="2512" customFormat="false" ht="11.25" hidden="false" customHeight="true" outlineLevel="0" collapsed="false"/>
    <row r="2513" customFormat="false" ht="11.25" hidden="false" customHeight="true" outlineLevel="0" collapsed="false"/>
    <row r="2514" customFormat="false" ht="11.25" hidden="false" customHeight="true" outlineLevel="0" collapsed="false"/>
    <row r="2515" customFormat="false" ht="11.25" hidden="false" customHeight="true" outlineLevel="0" collapsed="false"/>
    <row r="2516" customFormat="false" ht="11.25" hidden="false" customHeight="true" outlineLevel="0" collapsed="false"/>
    <row r="2517" customFormat="false" ht="11.25" hidden="false" customHeight="true" outlineLevel="0" collapsed="false"/>
    <row r="2518" customFormat="false" ht="11.25" hidden="false" customHeight="true" outlineLevel="0" collapsed="false"/>
    <row r="2519" customFormat="false" ht="11.25" hidden="false" customHeight="true" outlineLevel="0" collapsed="false"/>
    <row r="2520" customFormat="false" ht="11.25" hidden="false" customHeight="true" outlineLevel="0" collapsed="false"/>
    <row r="2521" customFormat="false" ht="11.25" hidden="false" customHeight="true" outlineLevel="0" collapsed="false"/>
    <row r="2522" customFormat="false" ht="11.25" hidden="false" customHeight="true" outlineLevel="0" collapsed="false"/>
    <row r="2523" customFormat="false" ht="11.25" hidden="false" customHeight="true" outlineLevel="0" collapsed="false"/>
    <row r="2524" customFormat="false" ht="11.25" hidden="false" customHeight="true" outlineLevel="0" collapsed="false"/>
    <row r="2525" customFormat="false" ht="11.25" hidden="false" customHeight="true" outlineLevel="0" collapsed="false"/>
    <row r="2526" customFormat="false" ht="11.25" hidden="false" customHeight="true" outlineLevel="0" collapsed="false"/>
    <row r="2527" customFormat="false" ht="11.25" hidden="false" customHeight="true" outlineLevel="0" collapsed="false"/>
    <row r="2528" customFormat="false" ht="11.25" hidden="false" customHeight="true" outlineLevel="0" collapsed="false"/>
    <row r="2529" customFormat="false" ht="11.25" hidden="false" customHeight="true" outlineLevel="0" collapsed="false"/>
    <row r="2530" customFormat="false" ht="11.25" hidden="false" customHeight="true" outlineLevel="0" collapsed="false"/>
    <row r="2531" customFormat="false" ht="11.25" hidden="false" customHeight="true" outlineLevel="0" collapsed="false"/>
    <row r="2532" customFormat="false" ht="11.25" hidden="false" customHeight="true" outlineLevel="0" collapsed="false"/>
    <row r="2533" customFormat="false" ht="11.25" hidden="false" customHeight="true" outlineLevel="0" collapsed="false"/>
    <row r="2534" customFormat="false" ht="11.25" hidden="false" customHeight="true" outlineLevel="0" collapsed="false"/>
    <row r="2535" customFormat="false" ht="11.25" hidden="false" customHeight="true" outlineLevel="0" collapsed="false"/>
    <row r="2536" customFormat="false" ht="11.25" hidden="false" customHeight="true" outlineLevel="0" collapsed="false"/>
    <row r="2537" customFormat="false" ht="11.25" hidden="false" customHeight="true" outlineLevel="0" collapsed="false"/>
    <row r="2538" customFormat="false" ht="11.25" hidden="false" customHeight="true" outlineLevel="0" collapsed="false"/>
    <row r="2539" customFormat="false" ht="11.25" hidden="false" customHeight="true" outlineLevel="0" collapsed="false"/>
    <row r="2540" customFormat="false" ht="11.25" hidden="false" customHeight="true" outlineLevel="0" collapsed="false"/>
    <row r="2541" customFormat="false" ht="11.25" hidden="false" customHeight="true" outlineLevel="0" collapsed="false"/>
    <row r="2542" customFormat="false" ht="11.25" hidden="false" customHeight="true" outlineLevel="0" collapsed="false"/>
    <row r="2543" customFormat="false" ht="11.25" hidden="false" customHeight="true" outlineLevel="0" collapsed="false"/>
    <row r="2544" customFormat="false" ht="11.25" hidden="false" customHeight="true" outlineLevel="0" collapsed="false"/>
    <row r="2545" customFormat="false" ht="11.25" hidden="false" customHeight="true" outlineLevel="0" collapsed="false"/>
    <row r="2546" customFormat="false" ht="11.25" hidden="false" customHeight="true" outlineLevel="0" collapsed="false"/>
    <row r="2547" customFormat="false" ht="11.25" hidden="false" customHeight="true" outlineLevel="0" collapsed="false"/>
    <row r="2548" customFormat="false" ht="11.25" hidden="false" customHeight="true" outlineLevel="0" collapsed="false"/>
    <row r="2549" customFormat="false" ht="11.25" hidden="false" customHeight="true" outlineLevel="0" collapsed="false"/>
    <row r="2550" customFormat="false" ht="11.25" hidden="false" customHeight="true" outlineLevel="0" collapsed="false"/>
    <row r="2551" customFormat="false" ht="11.25" hidden="false" customHeight="true" outlineLevel="0" collapsed="false"/>
    <row r="2552" customFormat="false" ht="11.25" hidden="false" customHeight="true" outlineLevel="0" collapsed="false"/>
    <row r="2553" customFormat="false" ht="11.25" hidden="false" customHeight="true" outlineLevel="0" collapsed="false"/>
    <row r="2554" customFormat="false" ht="11.25" hidden="false" customHeight="true" outlineLevel="0" collapsed="false"/>
    <row r="2555" customFormat="false" ht="11.25" hidden="false" customHeight="true" outlineLevel="0" collapsed="false"/>
    <row r="2556" customFormat="false" ht="11.25" hidden="false" customHeight="true" outlineLevel="0" collapsed="false"/>
    <row r="2557" customFormat="false" ht="11.25" hidden="false" customHeight="true" outlineLevel="0" collapsed="false"/>
    <row r="2558" customFormat="false" ht="11.25" hidden="false" customHeight="true" outlineLevel="0" collapsed="false"/>
    <row r="2559" customFormat="false" ht="11.25" hidden="false" customHeight="true" outlineLevel="0" collapsed="false"/>
    <row r="2560" customFormat="false" ht="11.25" hidden="false" customHeight="true" outlineLevel="0" collapsed="false"/>
    <row r="2561" customFormat="false" ht="11.25" hidden="false" customHeight="true" outlineLevel="0" collapsed="false"/>
    <row r="2562" customFormat="false" ht="11.25" hidden="false" customHeight="true" outlineLevel="0" collapsed="false"/>
    <row r="2563" customFormat="false" ht="11.25" hidden="false" customHeight="true" outlineLevel="0" collapsed="false"/>
    <row r="2564" customFormat="false" ht="11.25" hidden="false" customHeight="true" outlineLevel="0" collapsed="false"/>
    <row r="2565" customFormat="false" ht="11.25" hidden="false" customHeight="true" outlineLevel="0" collapsed="false"/>
    <row r="2566" customFormat="false" ht="11.25" hidden="false" customHeight="true" outlineLevel="0" collapsed="false"/>
    <row r="2567" customFormat="false" ht="11.25" hidden="false" customHeight="true" outlineLevel="0" collapsed="false"/>
    <row r="2568" customFormat="false" ht="11.25" hidden="false" customHeight="true" outlineLevel="0" collapsed="false"/>
    <row r="2569" customFormat="false" ht="11.25" hidden="false" customHeight="true" outlineLevel="0" collapsed="false"/>
    <row r="2570" customFormat="false" ht="11.25" hidden="false" customHeight="true" outlineLevel="0" collapsed="false"/>
    <row r="2571" customFormat="false" ht="11.25" hidden="false" customHeight="true" outlineLevel="0" collapsed="false"/>
    <row r="2572" customFormat="false" ht="11.25" hidden="false" customHeight="true" outlineLevel="0" collapsed="false"/>
    <row r="2573" customFormat="false" ht="11.25" hidden="false" customHeight="true" outlineLevel="0" collapsed="false"/>
    <row r="2574" customFormat="false" ht="11.25" hidden="false" customHeight="true" outlineLevel="0" collapsed="false"/>
    <row r="2575" customFormat="false" ht="11.25" hidden="false" customHeight="true" outlineLevel="0" collapsed="false"/>
    <row r="2576" customFormat="false" ht="11.25" hidden="false" customHeight="true" outlineLevel="0" collapsed="false"/>
    <row r="2577" customFormat="false" ht="11.25" hidden="false" customHeight="true" outlineLevel="0" collapsed="false"/>
    <row r="2578" customFormat="false" ht="11.25" hidden="false" customHeight="true" outlineLevel="0" collapsed="false"/>
    <row r="2579" customFormat="false" ht="11.25" hidden="false" customHeight="true" outlineLevel="0" collapsed="false"/>
    <row r="2580" customFormat="false" ht="11.25" hidden="false" customHeight="true" outlineLevel="0" collapsed="false"/>
    <row r="2581" customFormat="false" ht="11.25" hidden="false" customHeight="true" outlineLevel="0" collapsed="false"/>
    <row r="2582" customFormat="false" ht="11.25" hidden="false" customHeight="true" outlineLevel="0" collapsed="false"/>
    <row r="2583" customFormat="false" ht="11.25" hidden="false" customHeight="true" outlineLevel="0" collapsed="false"/>
    <row r="2584" customFormat="false" ht="11.25" hidden="false" customHeight="true" outlineLevel="0" collapsed="false"/>
    <row r="2585" customFormat="false" ht="11.25" hidden="false" customHeight="true" outlineLevel="0" collapsed="false"/>
    <row r="2586" customFormat="false" ht="11.25" hidden="false" customHeight="true" outlineLevel="0" collapsed="false"/>
    <row r="2587" customFormat="false" ht="11.25" hidden="false" customHeight="true" outlineLevel="0" collapsed="false"/>
    <row r="2588" customFormat="false" ht="11.25" hidden="false" customHeight="true" outlineLevel="0" collapsed="false"/>
    <row r="2589" customFormat="false" ht="11.25" hidden="false" customHeight="true" outlineLevel="0" collapsed="false"/>
    <row r="2590" customFormat="false" ht="11.25" hidden="false" customHeight="true" outlineLevel="0" collapsed="false"/>
    <row r="2591" customFormat="false" ht="11.25" hidden="false" customHeight="true" outlineLevel="0" collapsed="false"/>
    <row r="2592" customFormat="false" ht="11.25" hidden="false" customHeight="true" outlineLevel="0" collapsed="false"/>
    <row r="2593" customFormat="false" ht="11.25" hidden="false" customHeight="true" outlineLevel="0" collapsed="false"/>
    <row r="2594" customFormat="false" ht="11.25" hidden="false" customHeight="true" outlineLevel="0" collapsed="false"/>
    <row r="2595" customFormat="false" ht="11.25" hidden="false" customHeight="true" outlineLevel="0" collapsed="false"/>
    <row r="2596" customFormat="false" ht="11.25" hidden="false" customHeight="true" outlineLevel="0" collapsed="false"/>
    <row r="2597" customFormat="false" ht="11.25" hidden="false" customHeight="true" outlineLevel="0" collapsed="false"/>
    <row r="2598" customFormat="false" ht="11.25" hidden="false" customHeight="true" outlineLevel="0" collapsed="false"/>
    <row r="2599" customFormat="false" ht="11.25" hidden="false" customHeight="true" outlineLevel="0" collapsed="false"/>
    <row r="2600" customFormat="false" ht="11.25" hidden="false" customHeight="true" outlineLevel="0" collapsed="false"/>
    <row r="2601" customFormat="false" ht="11.25" hidden="false" customHeight="true" outlineLevel="0" collapsed="false"/>
    <row r="2602" customFormat="false" ht="11.25" hidden="false" customHeight="true" outlineLevel="0" collapsed="false"/>
    <row r="2603" customFormat="false" ht="11.25" hidden="false" customHeight="true" outlineLevel="0" collapsed="false"/>
    <row r="2604" customFormat="false" ht="11.25" hidden="false" customHeight="true" outlineLevel="0" collapsed="false"/>
    <row r="2605" customFormat="false" ht="11.25" hidden="false" customHeight="true" outlineLevel="0" collapsed="false"/>
    <row r="2606" customFormat="false" ht="11.25" hidden="false" customHeight="true" outlineLevel="0" collapsed="false"/>
    <row r="2607" customFormat="false" ht="11.25" hidden="false" customHeight="true" outlineLevel="0" collapsed="false"/>
    <row r="2608" customFormat="false" ht="11.25" hidden="false" customHeight="true" outlineLevel="0" collapsed="false"/>
    <row r="2609" customFormat="false" ht="11.25" hidden="false" customHeight="true" outlineLevel="0" collapsed="false"/>
    <row r="2610" customFormat="false" ht="11.25" hidden="false" customHeight="true" outlineLevel="0" collapsed="false"/>
    <row r="2611" customFormat="false" ht="11.25" hidden="false" customHeight="true" outlineLevel="0" collapsed="false"/>
    <row r="2612" customFormat="false" ht="11.25" hidden="false" customHeight="true" outlineLevel="0" collapsed="false"/>
    <row r="2613" customFormat="false" ht="11.25" hidden="false" customHeight="true" outlineLevel="0" collapsed="false"/>
    <row r="2614" customFormat="false" ht="11.25" hidden="false" customHeight="true" outlineLevel="0" collapsed="false"/>
    <row r="2615" customFormat="false" ht="11.25" hidden="false" customHeight="true" outlineLevel="0" collapsed="false"/>
    <row r="2616" customFormat="false" ht="11.25" hidden="false" customHeight="true" outlineLevel="0" collapsed="false"/>
    <row r="2617" customFormat="false" ht="11.25" hidden="false" customHeight="true" outlineLevel="0" collapsed="false"/>
    <row r="2618" customFormat="false" ht="11.25" hidden="false" customHeight="true" outlineLevel="0" collapsed="false"/>
    <row r="2619" customFormat="false" ht="11.25" hidden="false" customHeight="true" outlineLevel="0" collapsed="false"/>
    <row r="2620" customFormat="false" ht="11.25" hidden="false" customHeight="true" outlineLevel="0" collapsed="false"/>
    <row r="2621" customFormat="false" ht="11.25" hidden="false" customHeight="true" outlineLevel="0" collapsed="false"/>
    <row r="2622" customFormat="false" ht="11.25" hidden="false" customHeight="true" outlineLevel="0" collapsed="false"/>
    <row r="2623" customFormat="false" ht="11.25" hidden="false" customHeight="true" outlineLevel="0" collapsed="false"/>
    <row r="2624" customFormat="false" ht="11.25" hidden="false" customHeight="true" outlineLevel="0" collapsed="false"/>
    <row r="2625" customFormat="false" ht="11.25" hidden="false" customHeight="true" outlineLevel="0" collapsed="false"/>
    <row r="2626" customFormat="false" ht="11.25" hidden="false" customHeight="true" outlineLevel="0" collapsed="false"/>
    <row r="2627" customFormat="false" ht="11.25" hidden="false" customHeight="true" outlineLevel="0" collapsed="false"/>
    <row r="2628" customFormat="false" ht="11.25" hidden="false" customHeight="true" outlineLevel="0" collapsed="false"/>
    <row r="2629" customFormat="false" ht="11.25" hidden="false" customHeight="true" outlineLevel="0" collapsed="false"/>
    <row r="2630" customFormat="false" ht="11.25" hidden="false" customHeight="true" outlineLevel="0" collapsed="false"/>
    <row r="2631" customFormat="false" ht="11.25" hidden="false" customHeight="true" outlineLevel="0" collapsed="false"/>
    <row r="2632" customFormat="false" ht="11.25" hidden="false" customHeight="true" outlineLevel="0" collapsed="false"/>
    <row r="2633" customFormat="false" ht="11.25" hidden="false" customHeight="true" outlineLevel="0" collapsed="false"/>
    <row r="2634" customFormat="false" ht="11.25" hidden="false" customHeight="true" outlineLevel="0" collapsed="false"/>
    <row r="2635" customFormat="false" ht="11.25" hidden="false" customHeight="true" outlineLevel="0" collapsed="false"/>
    <row r="2636" customFormat="false" ht="11.25" hidden="false" customHeight="true" outlineLevel="0" collapsed="false"/>
    <row r="2637" customFormat="false" ht="11.25" hidden="false" customHeight="true" outlineLevel="0" collapsed="false"/>
    <row r="2638" customFormat="false" ht="11.25" hidden="false" customHeight="true" outlineLevel="0" collapsed="false"/>
    <row r="2639" customFormat="false" ht="11.25" hidden="false" customHeight="true" outlineLevel="0" collapsed="false"/>
    <row r="2640" customFormat="false" ht="11.25" hidden="false" customHeight="true" outlineLevel="0" collapsed="false"/>
    <row r="2641" customFormat="false" ht="11.25" hidden="false" customHeight="true" outlineLevel="0" collapsed="false"/>
    <row r="2642" customFormat="false" ht="11.25" hidden="false" customHeight="true" outlineLevel="0" collapsed="false"/>
    <row r="2643" customFormat="false" ht="11.25" hidden="false" customHeight="true" outlineLevel="0" collapsed="false"/>
    <row r="2644" customFormat="false" ht="11.25" hidden="false" customHeight="true" outlineLevel="0" collapsed="false"/>
    <row r="2645" customFormat="false" ht="11.25" hidden="false" customHeight="true" outlineLevel="0" collapsed="false"/>
    <row r="2646" customFormat="false" ht="11.25" hidden="false" customHeight="true" outlineLevel="0" collapsed="false"/>
    <row r="2647" customFormat="false" ht="11.25" hidden="false" customHeight="true" outlineLevel="0" collapsed="false"/>
    <row r="2648" customFormat="false" ht="11.25" hidden="false" customHeight="true" outlineLevel="0" collapsed="false"/>
    <row r="2649" customFormat="false" ht="11.25" hidden="false" customHeight="true" outlineLevel="0" collapsed="false"/>
    <row r="2650" customFormat="false" ht="11.25" hidden="false" customHeight="true" outlineLevel="0" collapsed="false"/>
    <row r="2651" customFormat="false" ht="11.25" hidden="false" customHeight="true" outlineLevel="0" collapsed="false"/>
    <row r="2652" customFormat="false" ht="11.25" hidden="false" customHeight="true" outlineLevel="0" collapsed="false"/>
    <row r="2653" customFormat="false" ht="11.25" hidden="false" customHeight="true" outlineLevel="0" collapsed="false"/>
    <row r="2654" customFormat="false" ht="11.25" hidden="false" customHeight="true" outlineLevel="0" collapsed="false"/>
    <row r="2655" customFormat="false" ht="11.25" hidden="false" customHeight="true" outlineLevel="0" collapsed="false"/>
    <row r="2656" customFormat="false" ht="11.25" hidden="false" customHeight="true" outlineLevel="0" collapsed="false"/>
    <row r="2657" customFormat="false" ht="11.25" hidden="false" customHeight="true" outlineLevel="0" collapsed="false"/>
    <row r="2658" customFormat="false" ht="11.25" hidden="false" customHeight="true" outlineLevel="0" collapsed="false"/>
    <row r="2659" customFormat="false" ht="11.25" hidden="false" customHeight="true" outlineLevel="0" collapsed="false"/>
    <row r="2660" customFormat="false" ht="11.25" hidden="false" customHeight="true" outlineLevel="0" collapsed="false"/>
    <row r="2661" customFormat="false" ht="11.25" hidden="false" customHeight="true" outlineLevel="0" collapsed="false"/>
    <row r="2662" customFormat="false" ht="11.25" hidden="false" customHeight="true" outlineLevel="0" collapsed="false"/>
    <row r="2663" customFormat="false" ht="11.25" hidden="false" customHeight="true" outlineLevel="0" collapsed="false"/>
    <row r="2664" customFormat="false" ht="11.25" hidden="false" customHeight="true" outlineLevel="0" collapsed="false"/>
    <row r="2665" customFormat="false" ht="11.25" hidden="false" customHeight="true" outlineLevel="0" collapsed="false"/>
    <row r="2666" customFormat="false" ht="11.25" hidden="false" customHeight="true" outlineLevel="0" collapsed="false"/>
    <row r="2667" customFormat="false" ht="11.25" hidden="false" customHeight="true" outlineLevel="0" collapsed="false"/>
    <row r="2668" customFormat="false" ht="11.25" hidden="false" customHeight="true" outlineLevel="0" collapsed="false"/>
    <row r="2669" customFormat="false" ht="11.25" hidden="false" customHeight="true" outlineLevel="0" collapsed="false"/>
    <row r="2670" customFormat="false" ht="11.25" hidden="false" customHeight="true" outlineLevel="0" collapsed="false"/>
    <row r="2671" customFormat="false" ht="11.25" hidden="false" customHeight="true" outlineLevel="0" collapsed="false"/>
    <row r="2672" customFormat="false" ht="11.25" hidden="false" customHeight="true" outlineLevel="0" collapsed="false"/>
    <row r="2673" customFormat="false" ht="11.25" hidden="false" customHeight="true" outlineLevel="0" collapsed="false"/>
    <row r="2674" customFormat="false" ht="11.25" hidden="false" customHeight="true" outlineLevel="0" collapsed="false"/>
    <row r="2675" customFormat="false" ht="11.25" hidden="false" customHeight="true" outlineLevel="0" collapsed="false"/>
    <row r="2676" customFormat="false" ht="11.25" hidden="false" customHeight="true" outlineLevel="0" collapsed="false"/>
    <row r="2677" customFormat="false" ht="11.25" hidden="false" customHeight="true" outlineLevel="0" collapsed="false"/>
    <row r="2678" customFormat="false" ht="11.25" hidden="false" customHeight="true" outlineLevel="0" collapsed="false"/>
    <row r="2679" customFormat="false" ht="11.25" hidden="false" customHeight="true" outlineLevel="0" collapsed="false"/>
    <row r="2680" customFormat="false" ht="11.25" hidden="false" customHeight="true" outlineLevel="0" collapsed="false"/>
    <row r="2681" customFormat="false" ht="11.25" hidden="false" customHeight="true" outlineLevel="0" collapsed="false"/>
    <row r="2682" customFormat="false" ht="11.25" hidden="false" customHeight="true" outlineLevel="0" collapsed="false"/>
    <row r="2683" customFormat="false" ht="11.25" hidden="false" customHeight="true" outlineLevel="0" collapsed="false"/>
    <row r="2684" customFormat="false" ht="11.25" hidden="false" customHeight="true" outlineLevel="0" collapsed="false"/>
    <row r="2685" customFormat="false" ht="11.25" hidden="false" customHeight="true" outlineLevel="0" collapsed="false"/>
    <row r="2686" customFormat="false" ht="11.25" hidden="false" customHeight="true" outlineLevel="0" collapsed="false"/>
    <row r="2687" customFormat="false" ht="11.25" hidden="false" customHeight="true" outlineLevel="0" collapsed="false"/>
    <row r="2688" customFormat="false" ht="11.25" hidden="false" customHeight="true" outlineLevel="0" collapsed="false"/>
    <row r="2689" customFormat="false" ht="11.25" hidden="false" customHeight="true" outlineLevel="0" collapsed="false"/>
    <row r="2690" customFormat="false" ht="11.25" hidden="false" customHeight="true" outlineLevel="0" collapsed="false"/>
    <row r="2691" customFormat="false" ht="11.25" hidden="false" customHeight="true" outlineLevel="0" collapsed="false"/>
    <row r="2692" customFormat="false" ht="11.25" hidden="false" customHeight="true" outlineLevel="0" collapsed="false"/>
    <row r="2693" customFormat="false" ht="11.25" hidden="false" customHeight="true" outlineLevel="0" collapsed="false"/>
    <row r="2694" customFormat="false" ht="11.25" hidden="false" customHeight="true" outlineLevel="0" collapsed="false"/>
    <row r="2695" customFormat="false" ht="11.25" hidden="false" customHeight="true" outlineLevel="0" collapsed="false"/>
    <row r="2696" customFormat="false" ht="11.25" hidden="false" customHeight="true" outlineLevel="0" collapsed="false"/>
    <row r="2697" customFormat="false" ht="11.25" hidden="false" customHeight="true" outlineLevel="0" collapsed="false"/>
    <row r="2698" customFormat="false" ht="11.25" hidden="false" customHeight="true" outlineLevel="0" collapsed="false"/>
    <row r="2699" customFormat="false" ht="11.25" hidden="false" customHeight="true" outlineLevel="0" collapsed="false"/>
    <row r="2700" customFormat="false" ht="11.25" hidden="false" customHeight="true" outlineLevel="0" collapsed="false"/>
    <row r="2701" customFormat="false" ht="11.25" hidden="false" customHeight="true" outlineLevel="0" collapsed="false"/>
    <row r="2702" customFormat="false" ht="11.25" hidden="false" customHeight="true" outlineLevel="0" collapsed="false"/>
    <row r="2703" customFormat="false" ht="11.25" hidden="false" customHeight="true" outlineLevel="0" collapsed="false"/>
    <row r="2704" customFormat="false" ht="11.25" hidden="false" customHeight="true" outlineLevel="0" collapsed="false"/>
    <row r="2705" customFormat="false" ht="11.25" hidden="false" customHeight="true" outlineLevel="0" collapsed="false"/>
    <row r="2706" customFormat="false" ht="11.25" hidden="false" customHeight="true" outlineLevel="0" collapsed="false"/>
    <row r="2707" customFormat="false" ht="11.25" hidden="false" customHeight="true" outlineLevel="0" collapsed="false"/>
    <row r="2708" customFormat="false" ht="11.25" hidden="false" customHeight="true" outlineLevel="0" collapsed="false"/>
    <row r="2709" customFormat="false" ht="11.25" hidden="false" customHeight="true" outlineLevel="0" collapsed="false"/>
    <row r="2710" customFormat="false" ht="11.25" hidden="false" customHeight="true" outlineLevel="0" collapsed="false"/>
    <row r="2711" customFormat="false" ht="11.25" hidden="false" customHeight="true" outlineLevel="0" collapsed="false"/>
    <row r="2712" customFormat="false" ht="11.25" hidden="false" customHeight="true" outlineLevel="0" collapsed="false"/>
    <row r="2713" customFormat="false" ht="11.25" hidden="false" customHeight="true" outlineLevel="0" collapsed="false"/>
    <row r="2714" customFormat="false" ht="11.25" hidden="false" customHeight="true" outlineLevel="0" collapsed="false"/>
    <row r="2715" customFormat="false" ht="11.25" hidden="false" customHeight="true" outlineLevel="0" collapsed="false"/>
    <row r="2716" customFormat="false" ht="11.25" hidden="false" customHeight="true" outlineLevel="0" collapsed="false"/>
    <row r="2717" customFormat="false" ht="11.25" hidden="false" customHeight="true" outlineLevel="0" collapsed="false"/>
    <row r="2718" customFormat="false" ht="11.25" hidden="false" customHeight="true" outlineLevel="0" collapsed="false"/>
    <row r="2719" customFormat="false" ht="11.25" hidden="false" customHeight="true" outlineLevel="0" collapsed="false"/>
    <row r="2720" customFormat="false" ht="11.25" hidden="false" customHeight="true" outlineLevel="0" collapsed="false"/>
    <row r="2721" customFormat="false" ht="11.25" hidden="false" customHeight="true" outlineLevel="0" collapsed="false"/>
    <row r="2722" customFormat="false" ht="11.25" hidden="false" customHeight="true" outlineLevel="0" collapsed="false"/>
    <row r="2723" customFormat="false" ht="11.25" hidden="false" customHeight="true" outlineLevel="0" collapsed="false"/>
    <row r="2724" customFormat="false" ht="11.25" hidden="false" customHeight="true" outlineLevel="0" collapsed="false"/>
    <row r="2725" customFormat="false" ht="11.25" hidden="false" customHeight="true" outlineLevel="0" collapsed="false"/>
    <row r="2726" customFormat="false" ht="11.25" hidden="false" customHeight="true" outlineLevel="0" collapsed="false"/>
    <row r="2727" customFormat="false" ht="11.25" hidden="false" customHeight="true" outlineLevel="0" collapsed="false"/>
    <row r="2728" customFormat="false" ht="11.25" hidden="false" customHeight="true" outlineLevel="0" collapsed="false"/>
    <row r="2729" customFormat="false" ht="11.25" hidden="false" customHeight="true" outlineLevel="0" collapsed="false"/>
    <row r="2730" customFormat="false" ht="11.25" hidden="false" customHeight="true" outlineLevel="0" collapsed="false"/>
    <row r="2731" customFormat="false" ht="11.25" hidden="false" customHeight="true" outlineLevel="0" collapsed="false"/>
    <row r="2732" customFormat="false" ht="11.25" hidden="false" customHeight="true" outlineLevel="0" collapsed="false"/>
    <row r="2733" customFormat="false" ht="11.25" hidden="false" customHeight="true" outlineLevel="0" collapsed="false"/>
    <row r="2734" customFormat="false" ht="11.25" hidden="false" customHeight="true" outlineLevel="0" collapsed="false"/>
    <row r="2735" customFormat="false" ht="11.25" hidden="false" customHeight="true" outlineLevel="0" collapsed="false"/>
    <row r="2736" customFormat="false" ht="11.25" hidden="false" customHeight="true" outlineLevel="0" collapsed="false"/>
    <row r="2737" customFormat="false" ht="11.25" hidden="false" customHeight="true" outlineLevel="0" collapsed="false"/>
    <row r="2738" customFormat="false" ht="11.25" hidden="false" customHeight="true" outlineLevel="0" collapsed="false"/>
    <row r="2739" customFormat="false" ht="11.25" hidden="false" customHeight="true" outlineLevel="0" collapsed="false"/>
    <row r="2740" customFormat="false" ht="11.25" hidden="false" customHeight="true" outlineLevel="0" collapsed="false"/>
    <row r="2741" customFormat="false" ht="11.25" hidden="false" customHeight="true" outlineLevel="0" collapsed="false"/>
    <row r="2742" customFormat="false" ht="11.25" hidden="false" customHeight="true" outlineLevel="0" collapsed="false"/>
    <row r="2743" customFormat="false" ht="11.25" hidden="false" customHeight="true" outlineLevel="0" collapsed="false"/>
    <row r="2744" customFormat="false" ht="11.25" hidden="false" customHeight="true" outlineLevel="0" collapsed="false"/>
    <row r="2745" customFormat="false" ht="11.25" hidden="false" customHeight="true" outlineLevel="0" collapsed="false"/>
    <row r="2746" customFormat="false" ht="11.25" hidden="false" customHeight="true" outlineLevel="0" collapsed="false"/>
    <row r="2747" customFormat="false" ht="11.25" hidden="false" customHeight="true" outlineLevel="0" collapsed="false"/>
    <row r="2748" customFormat="false" ht="11.25" hidden="false" customHeight="true" outlineLevel="0" collapsed="false"/>
    <row r="2749" customFormat="false" ht="11.25" hidden="false" customHeight="true" outlineLevel="0" collapsed="false"/>
    <row r="2750" customFormat="false" ht="11.25" hidden="false" customHeight="true" outlineLevel="0" collapsed="false"/>
    <row r="2751" customFormat="false" ht="11.25" hidden="false" customHeight="true" outlineLevel="0" collapsed="false"/>
    <row r="2752" customFormat="false" ht="11.25" hidden="false" customHeight="true" outlineLevel="0" collapsed="false"/>
    <row r="2753" customFormat="false" ht="11.25" hidden="false" customHeight="true" outlineLevel="0" collapsed="false"/>
    <row r="2754" customFormat="false" ht="11.25" hidden="false" customHeight="true" outlineLevel="0" collapsed="false"/>
    <row r="2755" customFormat="false" ht="11.25" hidden="false" customHeight="true" outlineLevel="0" collapsed="false"/>
    <row r="2756" customFormat="false" ht="11.25" hidden="false" customHeight="true" outlineLevel="0" collapsed="false"/>
    <row r="2757" customFormat="false" ht="11.25" hidden="false" customHeight="true" outlineLevel="0" collapsed="false"/>
    <row r="2758" customFormat="false" ht="11.25" hidden="false" customHeight="true" outlineLevel="0" collapsed="false"/>
    <row r="2759" customFormat="false" ht="11.25" hidden="false" customHeight="true" outlineLevel="0" collapsed="false"/>
    <row r="2760" customFormat="false" ht="11.25" hidden="false" customHeight="true" outlineLevel="0" collapsed="false"/>
    <row r="2761" customFormat="false" ht="11.25" hidden="false" customHeight="true" outlineLevel="0" collapsed="false"/>
    <row r="2762" customFormat="false" ht="11.25" hidden="false" customHeight="true" outlineLevel="0" collapsed="false"/>
    <row r="2763" customFormat="false" ht="11.25" hidden="false" customHeight="true" outlineLevel="0" collapsed="false"/>
    <row r="2764" customFormat="false" ht="11.25" hidden="false" customHeight="true" outlineLevel="0" collapsed="false"/>
    <row r="2765" customFormat="false" ht="11.25" hidden="false" customHeight="true" outlineLevel="0" collapsed="false"/>
    <row r="2766" customFormat="false" ht="11.25" hidden="false" customHeight="true" outlineLevel="0" collapsed="false"/>
    <row r="2767" customFormat="false" ht="11.25" hidden="false" customHeight="true" outlineLevel="0" collapsed="false"/>
    <row r="2768" customFormat="false" ht="11.25" hidden="false" customHeight="true" outlineLevel="0" collapsed="false"/>
    <row r="2769" customFormat="false" ht="11.25" hidden="false" customHeight="true" outlineLevel="0" collapsed="false"/>
    <row r="2770" customFormat="false" ht="11.25" hidden="false" customHeight="true" outlineLevel="0" collapsed="false"/>
    <row r="2771" customFormat="false" ht="11.25" hidden="false" customHeight="true" outlineLevel="0" collapsed="false"/>
    <row r="2772" customFormat="false" ht="11.25" hidden="false" customHeight="true" outlineLevel="0" collapsed="false"/>
    <row r="2773" customFormat="false" ht="11.25" hidden="false" customHeight="true" outlineLevel="0" collapsed="false"/>
    <row r="2774" customFormat="false" ht="11.25" hidden="false" customHeight="true" outlineLevel="0" collapsed="false"/>
    <row r="2775" customFormat="false" ht="11.25" hidden="false" customHeight="true" outlineLevel="0" collapsed="false"/>
    <row r="2776" customFormat="false" ht="11.25" hidden="false" customHeight="true" outlineLevel="0" collapsed="false"/>
    <row r="2777" customFormat="false" ht="11.25" hidden="false" customHeight="true" outlineLevel="0" collapsed="false"/>
    <row r="2778" customFormat="false" ht="11.25" hidden="false" customHeight="true" outlineLevel="0" collapsed="false"/>
    <row r="2779" customFormat="false" ht="11.25" hidden="false" customHeight="true" outlineLevel="0" collapsed="false"/>
    <row r="2780" customFormat="false" ht="11.25" hidden="false" customHeight="true" outlineLevel="0" collapsed="false"/>
    <row r="2781" customFormat="false" ht="11.25" hidden="false" customHeight="true" outlineLevel="0" collapsed="false"/>
    <row r="2782" customFormat="false" ht="11.25" hidden="false" customHeight="true" outlineLevel="0" collapsed="false"/>
    <row r="2783" customFormat="false" ht="11.25" hidden="false" customHeight="true" outlineLevel="0" collapsed="false"/>
    <row r="2784" customFormat="false" ht="11.25" hidden="false" customHeight="true" outlineLevel="0" collapsed="false"/>
    <row r="2785" customFormat="false" ht="11.25" hidden="false" customHeight="true" outlineLevel="0" collapsed="false"/>
    <row r="2786" customFormat="false" ht="11.25" hidden="false" customHeight="true" outlineLevel="0" collapsed="false"/>
    <row r="2787" customFormat="false" ht="11.25" hidden="false" customHeight="true" outlineLevel="0" collapsed="false"/>
    <row r="2788" customFormat="false" ht="11.25" hidden="false" customHeight="true" outlineLevel="0" collapsed="false"/>
    <row r="2789" customFormat="false" ht="11.25" hidden="false" customHeight="true" outlineLevel="0" collapsed="false"/>
    <row r="2790" customFormat="false" ht="11.25" hidden="false" customHeight="true" outlineLevel="0" collapsed="false"/>
    <row r="2791" customFormat="false" ht="11.25" hidden="false" customHeight="true" outlineLevel="0" collapsed="false"/>
    <row r="2792" customFormat="false" ht="11.25" hidden="false" customHeight="true" outlineLevel="0" collapsed="false"/>
    <row r="2793" customFormat="false" ht="11.25" hidden="false" customHeight="true" outlineLevel="0" collapsed="false"/>
    <row r="2794" customFormat="false" ht="11.25" hidden="false" customHeight="true" outlineLevel="0" collapsed="false"/>
    <row r="2795" customFormat="false" ht="11.25" hidden="false" customHeight="true" outlineLevel="0" collapsed="false"/>
    <row r="2796" customFormat="false" ht="11.25" hidden="false" customHeight="true" outlineLevel="0" collapsed="false"/>
    <row r="2797" customFormat="false" ht="11.25" hidden="false" customHeight="true" outlineLevel="0" collapsed="false"/>
    <row r="2798" customFormat="false" ht="11.25" hidden="false" customHeight="true" outlineLevel="0" collapsed="false"/>
    <row r="2799" customFormat="false" ht="11.25" hidden="false" customHeight="true" outlineLevel="0" collapsed="false"/>
    <row r="2800" customFormat="false" ht="11.25" hidden="false" customHeight="true" outlineLevel="0" collapsed="false"/>
    <row r="2801" customFormat="false" ht="11.25" hidden="false" customHeight="true" outlineLevel="0" collapsed="false"/>
    <row r="2802" customFormat="false" ht="11.25" hidden="false" customHeight="true" outlineLevel="0" collapsed="false"/>
    <row r="2803" customFormat="false" ht="11.25" hidden="false" customHeight="true" outlineLevel="0" collapsed="false"/>
    <row r="2804" customFormat="false" ht="11.25" hidden="false" customHeight="true" outlineLevel="0" collapsed="false"/>
    <row r="2805" customFormat="false" ht="11.25" hidden="false" customHeight="true" outlineLevel="0" collapsed="false"/>
    <row r="2806" customFormat="false" ht="11.25" hidden="false" customHeight="true" outlineLevel="0" collapsed="false"/>
    <row r="2807" customFormat="false" ht="11.25" hidden="false" customHeight="true" outlineLevel="0" collapsed="false"/>
    <row r="2808" customFormat="false" ht="11.25" hidden="false" customHeight="true" outlineLevel="0" collapsed="false"/>
    <row r="2809" customFormat="false" ht="11.25" hidden="false" customHeight="true" outlineLevel="0" collapsed="false"/>
    <row r="2810" customFormat="false" ht="11.25" hidden="false" customHeight="true" outlineLevel="0" collapsed="false"/>
    <row r="2811" customFormat="false" ht="11.25" hidden="false" customHeight="true" outlineLevel="0" collapsed="false"/>
    <row r="2812" customFormat="false" ht="11.25" hidden="false" customHeight="true" outlineLevel="0" collapsed="false"/>
    <row r="2813" customFormat="false" ht="11.25" hidden="false" customHeight="true" outlineLevel="0" collapsed="false"/>
    <row r="2814" customFormat="false" ht="11.25" hidden="false" customHeight="true" outlineLevel="0" collapsed="false"/>
    <row r="2815" customFormat="false" ht="11.25" hidden="false" customHeight="true" outlineLevel="0" collapsed="false"/>
    <row r="2816" customFormat="false" ht="11.25" hidden="false" customHeight="true" outlineLevel="0" collapsed="false"/>
    <row r="2817" customFormat="false" ht="11.25" hidden="false" customHeight="true" outlineLevel="0" collapsed="false"/>
    <row r="2818" customFormat="false" ht="11.25" hidden="false" customHeight="true" outlineLevel="0" collapsed="false"/>
    <row r="2819" customFormat="false" ht="11.25" hidden="false" customHeight="true" outlineLevel="0" collapsed="false"/>
    <row r="2820" customFormat="false" ht="11.25" hidden="false" customHeight="true" outlineLevel="0" collapsed="false"/>
    <row r="2821" customFormat="false" ht="11.25" hidden="false" customHeight="true" outlineLevel="0" collapsed="false"/>
    <row r="2822" customFormat="false" ht="11.25" hidden="false" customHeight="true" outlineLevel="0" collapsed="false"/>
    <row r="2823" customFormat="false" ht="11.25" hidden="false" customHeight="true" outlineLevel="0" collapsed="false"/>
    <row r="2824" customFormat="false" ht="11.25" hidden="false" customHeight="true" outlineLevel="0" collapsed="false"/>
    <row r="2825" customFormat="false" ht="11.25" hidden="false" customHeight="true" outlineLevel="0" collapsed="false"/>
    <row r="2826" customFormat="false" ht="11.25" hidden="false" customHeight="true" outlineLevel="0" collapsed="false"/>
    <row r="2827" customFormat="false" ht="11.25" hidden="false" customHeight="true" outlineLevel="0" collapsed="false"/>
    <row r="2828" customFormat="false" ht="11.25" hidden="false" customHeight="true" outlineLevel="0" collapsed="false"/>
    <row r="2829" customFormat="false" ht="11.25" hidden="false" customHeight="true" outlineLevel="0" collapsed="false"/>
    <row r="2830" customFormat="false" ht="11.25" hidden="false" customHeight="true" outlineLevel="0" collapsed="false"/>
    <row r="2831" customFormat="false" ht="11.25" hidden="false" customHeight="true" outlineLevel="0" collapsed="false"/>
    <row r="2832" customFormat="false" ht="11.25" hidden="false" customHeight="true" outlineLevel="0" collapsed="false"/>
    <row r="2833" customFormat="false" ht="11.25" hidden="false" customHeight="true" outlineLevel="0" collapsed="false"/>
    <row r="2834" customFormat="false" ht="11.25" hidden="false" customHeight="true" outlineLevel="0" collapsed="false"/>
    <row r="2835" customFormat="false" ht="11.25" hidden="false" customHeight="true" outlineLevel="0" collapsed="false"/>
    <row r="2836" customFormat="false" ht="11.25" hidden="false" customHeight="true" outlineLevel="0" collapsed="false"/>
    <row r="2837" customFormat="false" ht="11.25" hidden="false" customHeight="true" outlineLevel="0" collapsed="false"/>
    <row r="2838" customFormat="false" ht="11.25" hidden="false" customHeight="true" outlineLevel="0" collapsed="false"/>
    <row r="2839" customFormat="false" ht="11.25" hidden="false" customHeight="true" outlineLevel="0" collapsed="false"/>
    <row r="2840" customFormat="false" ht="11.25" hidden="false" customHeight="true" outlineLevel="0" collapsed="false"/>
    <row r="2841" customFormat="false" ht="11.25" hidden="false" customHeight="true" outlineLevel="0" collapsed="false"/>
    <row r="2842" customFormat="false" ht="11.25" hidden="false" customHeight="true" outlineLevel="0" collapsed="false"/>
    <row r="2843" customFormat="false" ht="11.25" hidden="false" customHeight="true" outlineLevel="0" collapsed="false"/>
    <row r="2844" customFormat="false" ht="11.25" hidden="false" customHeight="true" outlineLevel="0" collapsed="false"/>
    <row r="2845" customFormat="false" ht="11.25" hidden="false" customHeight="true" outlineLevel="0" collapsed="false"/>
    <row r="2846" customFormat="false" ht="11.25" hidden="false" customHeight="true" outlineLevel="0" collapsed="false"/>
    <row r="2847" customFormat="false" ht="11.25" hidden="false" customHeight="true" outlineLevel="0" collapsed="false"/>
    <row r="2848" customFormat="false" ht="11.25" hidden="false" customHeight="true" outlineLevel="0" collapsed="false"/>
    <row r="2849" customFormat="false" ht="11.25" hidden="false" customHeight="true" outlineLevel="0" collapsed="false"/>
    <row r="2850" customFormat="false" ht="11.25" hidden="false" customHeight="true" outlineLevel="0" collapsed="false"/>
    <row r="2851" customFormat="false" ht="11.25" hidden="false" customHeight="true" outlineLevel="0" collapsed="false"/>
    <row r="2852" customFormat="false" ht="11.25" hidden="false" customHeight="true" outlineLevel="0" collapsed="false"/>
    <row r="2853" customFormat="false" ht="11.25" hidden="false" customHeight="true" outlineLevel="0" collapsed="false"/>
    <row r="2854" customFormat="false" ht="11.25" hidden="false" customHeight="true" outlineLevel="0" collapsed="false"/>
    <row r="2855" customFormat="false" ht="11.25" hidden="false" customHeight="true" outlineLevel="0" collapsed="false"/>
    <row r="2856" customFormat="false" ht="11.25" hidden="false" customHeight="true" outlineLevel="0" collapsed="false"/>
    <row r="2857" customFormat="false" ht="11.25" hidden="false" customHeight="true" outlineLevel="0" collapsed="false"/>
    <row r="2858" customFormat="false" ht="11.25" hidden="false" customHeight="true" outlineLevel="0" collapsed="false"/>
    <row r="2859" customFormat="false" ht="11.25" hidden="false" customHeight="true" outlineLevel="0" collapsed="false"/>
    <row r="2860" customFormat="false" ht="11.25" hidden="false" customHeight="true" outlineLevel="0" collapsed="false"/>
    <row r="2861" customFormat="false" ht="11.25" hidden="false" customHeight="true" outlineLevel="0" collapsed="false"/>
    <row r="2862" customFormat="false" ht="11.25" hidden="false" customHeight="true" outlineLevel="0" collapsed="false"/>
    <row r="2863" customFormat="false" ht="11.25" hidden="false" customHeight="true" outlineLevel="0" collapsed="false"/>
    <row r="2864" customFormat="false" ht="11.25" hidden="false" customHeight="true" outlineLevel="0" collapsed="false"/>
    <row r="2865" customFormat="false" ht="11.25" hidden="false" customHeight="true" outlineLevel="0" collapsed="false"/>
    <row r="2866" customFormat="false" ht="11.25" hidden="false" customHeight="true" outlineLevel="0" collapsed="false"/>
    <row r="2867" customFormat="false" ht="11.25" hidden="false" customHeight="true" outlineLevel="0" collapsed="false"/>
    <row r="2868" customFormat="false" ht="11.25" hidden="false" customHeight="true" outlineLevel="0" collapsed="false"/>
    <row r="2869" customFormat="false" ht="11.25" hidden="false" customHeight="true" outlineLevel="0" collapsed="false"/>
    <row r="2870" customFormat="false" ht="11.25" hidden="false" customHeight="true" outlineLevel="0" collapsed="false"/>
    <row r="2871" customFormat="false" ht="11.25" hidden="false" customHeight="true" outlineLevel="0" collapsed="false"/>
    <row r="2872" customFormat="false" ht="11.25" hidden="false" customHeight="true" outlineLevel="0" collapsed="false"/>
    <row r="2873" customFormat="false" ht="11.25" hidden="false" customHeight="true" outlineLevel="0" collapsed="false"/>
    <row r="2874" customFormat="false" ht="11.25" hidden="false" customHeight="true" outlineLevel="0" collapsed="false"/>
    <row r="2875" customFormat="false" ht="11.25" hidden="false" customHeight="true" outlineLevel="0" collapsed="false"/>
    <row r="2876" customFormat="false" ht="11.25" hidden="false" customHeight="true" outlineLevel="0" collapsed="false"/>
    <row r="2877" customFormat="false" ht="11.25" hidden="false" customHeight="true" outlineLevel="0" collapsed="false"/>
    <row r="2878" customFormat="false" ht="11.25" hidden="false" customHeight="true" outlineLevel="0" collapsed="false"/>
    <row r="2879" customFormat="false" ht="11.25" hidden="false" customHeight="true" outlineLevel="0" collapsed="false"/>
    <row r="2880" customFormat="false" ht="11.25" hidden="false" customHeight="true" outlineLevel="0" collapsed="false"/>
    <row r="2881" customFormat="false" ht="11.25" hidden="false" customHeight="true" outlineLevel="0" collapsed="false"/>
    <row r="2882" customFormat="false" ht="11.25" hidden="false" customHeight="true" outlineLevel="0" collapsed="false"/>
    <row r="2883" customFormat="false" ht="11.25" hidden="false" customHeight="true" outlineLevel="0" collapsed="false"/>
    <row r="2884" customFormat="false" ht="11.25" hidden="false" customHeight="true" outlineLevel="0" collapsed="false"/>
    <row r="2885" customFormat="false" ht="11.25" hidden="false" customHeight="true" outlineLevel="0" collapsed="false"/>
    <row r="2886" customFormat="false" ht="11.25" hidden="false" customHeight="true" outlineLevel="0" collapsed="false"/>
    <row r="2887" customFormat="false" ht="11.25" hidden="false" customHeight="true" outlineLevel="0" collapsed="false"/>
    <row r="2888" customFormat="false" ht="11.25" hidden="false" customHeight="true" outlineLevel="0" collapsed="false"/>
    <row r="2889" customFormat="false" ht="11.25" hidden="false" customHeight="true" outlineLevel="0" collapsed="false"/>
    <row r="2890" customFormat="false" ht="11.25" hidden="false" customHeight="true" outlineLevel="0" collapsed="false"/>
    <row r="2891" customFormat="false" ht="11.25" hidden="false" customHeight="true" outlineLevel="0" collapsed="false"/>
    <row r="2892" customFormat="false" ht="11.25" hidden="false" customHeight="true" outlineLevel="0" collapsed="false"/>
    <row r="2893" customFormat="false" ht="11.25" hidden="false" customHeight="true" outlineLevel="0" collapsed="false"/>
    <row r="2894" customFormat="false" ht="11.25" hidden="false" customHeight="true" outlineLevel="0" collapsed="false"/>
    <row r="2895" customFormat="false" ht="11.25" hidden="false" customHeight="true" outlineLevel="0" collapsed="false"/>
    <row r="2896" customFormat="false" ht="11.25" hidden="false" customHeight="true" outlineLevel="0" collapsed="false"/>
    <row r="2897" customFormat="false" ht="11.25" hidden="false" customHeight="true" outlineLevel="0" collapsed="false"/>
    <row r="2898" customFormat="false" ht="11.25" hidden="false" customHeight="true" outlineLevel="0" collapsed="false"/>
    <row r="2899" customFormat="false" ht="11.25" hidden="false" customHeight="true" outlineLevel="0" collapsed="false"/>
    <row r="2900" customFormat="false" ht="11.25" hidden="false" customHeight="true" outlineLevel="0" collapsed="false"/>
    <row r="2901" customFormat="false" ht="11.25" hidden="false" customHeight="true" outlineLevel="0" collapsed="false"/>
    <row r="2902" customFormat="false" ht="11.25" hidden="false" customHeight="true" outlineLevel="0" collapsed="false"/>
    <row r="2903" customFormat="false" ht="11.25" hidden="false" customHeight="true" outlineLevel="0" collapsed="false"/>
    <row r="2904" customFormat="false" ht="11.25" hidden="false" customHeight="true" outlineLevel="0" collapsed="false"/>
    <row r="2905" customFormat="false" ht="11.25" hidden="false" customHeight="true" outlineLevel="0" collapsed="false"/>
    <row r="2906" customFormat="false" ht="11.25" hidden="false" customHeight="true" outlineLevel="0" collapsed="false"/>
    <row r="2907" customFormat="false" ht="11.25" hidden="false" customHeight="true" outlineLevel="0" collapsed="false"/>
    <row r="2908" customFormat="false" ht="11.25" hidden="false" customHeight="true" outlineLevel="0" collapsed="false"/>
    <row r="2909" customFormat="false" ht="11.25" hidden="false" customHeight="true" outlineLevel="0" collapsed="false"/>
    <row r="2910" customFormat="false" ht="11.25" hidden="false" customHeight="true" outlineLevel="0" collapsed="false"/>
    <row r="2911" customFormat="false" ht="11.25" hidden="false" customHeight="true" outlineLevel="0" collapsed="false"/>
    <row r="2912" customFormat="false" ht="11.25" hidden="false" customHeight="true" outlineLevel="0" collapsed="false"/>
    <row r="2913" customFormat="false" ht="11.25" hidden="false" customHeight="true" outlineLevel="0" collapsed="false"/>
    <row r="2914" customFormat="false" ht="11.25" hidden="false" customHeight="true" outlineLevel="0" collapsed="false"/>
    <row r="2915" customFormat="false" ht="11.25" hidden="false" customHeight="true" outlineLevel="0" collapsed="false"/>
    <row r="2916" customFormat="false" ht="11.25" hidden="false" customHeight="true" outlineLevel="0" collapsed="false"/>
    <row r="2917" customFormat="false" ht="11.25" hidden="false" customHeight="true" outlineLevel="0" collapsed="false"/>
    <row r="2918" customFormat="false" ht="11.25" hidden="false" customHeight="true" outlineLevel="0" collapsed="false"/>
    <row r="2919" customFormat="false" ht="11.25" hidden="false" customHeight="true" outlineLevel="0" collapsed="false"/>
    <row r="2920" customFormat="false" ht="11.25" hidden="false" customHeight="true" outlineLevel="0" collapsed="false"/>
    <row r="2921" customFormat="false" ht="11.25" hidden="false" customHeight="true" outlineLevel="0" collapsed="false"/>
    <row r="2922" customFormat="false" ht="11.25" hidden="false" customHeight="true" outlineLevel="0" collapsed="false"/>
    <row r="2923" customFormat="false" ht="11.25" hidden="false" customHeight="true" outlineLevel="0" collapsed="false"/>
    <row r="2924" customFormat="false" ht="11.25" hidden="false" customHeight="true" outlineLevel="0" collapsed="false"/>
    <row r="2925" customFormat="false" ht="11.25" hidden="false" customHeight="true" outlineLevel="0" collapsed="false"/>
    <row r="2926" customFormat="false" ht="11.25" hidden="false" customHeight="true" outlineLevel="0" collapsed="false"/>
    <row r="2927" customFormat="false" ht="11.25" hidden="false" customHeight="true" outlineLevel="0" collapsed="false"/>
    <row r="2928" customFormat="false" ht="11.25" hidden="false" customHeight="true" outlineLevel="0" collapsed="false"/>
    <row r="2929" customFormat="false" ht="11.25" hidden="false" customHeight="true" outlineLevel="0" collapsed="false"/>
    <row r="2930" customFormat="false" ht="11.25" hidden="false" customHeight="true" outlineLevel="0" collapsed="false"/>
    <row r="2931" customFormat="false" ht="11.25" hidden="false" customHeight="true" outlineLevel="0" collapsed="false"/>
    <row r="2932" customFormat="false" ht="11.25" hidden="false" customHeight="true" outlineLevel="0" collapsed="false"/>
    <row r="2933" customFormat="false" ht="11.25" hidden="false" customHeight="true" outlineLevel="0" collapsed="false"/>
    <row r="2934" customFormat="false" ht="11.25" hidden="false" customHeight="true" outlineLevel="0" collapsed="false"/>
    <row r="2935" customFormat="false" ht="11.25" hidden="false" customHeight="true" outlineLevel="0" collapsed="false"/>
    <row r="2936" customFormat="false" ht="11.25" hidden="false" customHeight="true" outlineLevel="0" collapsed="false"/>
    <row r="2937" customFormat="false" ht="11.25" hidden="false" customHeight="true" outlineLevel="0" collapsed="false"/>
    <row r="2938" customFormat="false" ht="11.25" hidden="false" customHeight="true" outlineLevel="0" collapsed="false"/>
    <row r="2939" customFormat="false" ht="11.25" hidden="false" customHeight="true" outlineLevel="0" collapsed="false"/>
    <row r="2940" customFormat="false" ht="11.25" hidden="false" customHeight="true" outlineLevel="0" collapsed="false"/>
    <row r="2941" customFormat="false" ht="11.25" hidden="false" customHeight="true" outlineLevel="0" collapsed="false"/>
    <row r="2942" customFormat="false" ht="11.25" hidden="false" customHeight="true" outlineLevel="0" collapsed="false"/>
    <row r="2943" customFormat="false" ht="11.25" hidden="false" customHeight="true" outlineLevel="0" collapsed="false"/>
    <row r="2944" customFormat="false" ht="11.25" hidden="false" customHeight="true" outlineLevel="0" collapsed="false"/>
    <row r="2945" customFormat="false" ht="11.25" hidden="false" customHeight="true" outlineLevel="0" collapsed="false"/>
    <row r="2946" customFormat="false" ht="11.25" hidden="false" customHeight="true" outlineLevel="0" collapsed="false"/>
    <row r="2947" customFormat="false" ht="11.25" hidden="false" customHeight="true" outlineLevel="0" collapsed="false"/>
    <row r="2948" customFormat="false" ht="11.25" hidden="false" customHeight="true" outlineLevel="0" collapsed="false"/>
    <row r="2949" customFormat="false" ht="11.25" hidden="false" customHeight="true" outlineLevel="0" collapsed="false"/>
    <row r="2950" customFormat="false" ht="11.25" hidden="false" customHeight="true" outlineLevel="0" collapsed="false"/>
    <row r="2951" customFormat="false" ht="11.25" hidden="false" customHeight="true" outlineLevel="0" collapsed="false"/>
    <row r="2952" customFormat="false" ht="11.25" hidden="false" customHeight="true" outlineLevel="0" collapsed="false"/>
    <row r="2953" customFormat="false" ht="11.25" hidden="false" customHeight="true" outlineLevel="0" collapsed="false"/>
    <row r="2954" customFormat="false" ht="11.25" hidden="false" customHeight="true" outlineLevel="0" collapsed="false"/>
    <row r="2955" customFormat="false" ht="11.25" hidden="false" customHeight="true" outlineLevel="0" collapsed="false"/>
    <row r="2956" customFormat="false" ht="11.25" hidden="false" customHeight="true" outlineLevel="0" collapsed="false"/>
    <row r="2957" customFormat="false" ht="11.25" hidden="false" customHeight="true" outlineLevel="0" collapsed="false"/>
    <row r="2958" customFormat="false" ht="11.25" hidden="false" customHeight="true" outlineLevel="0" collapsed="false"/>
    <row r="2959" customFormat="false" ht="11.25" hidden="false" customHeight="true" outlineLevel="0" collapsed="false"/>
    <row r="2960" customFormat="false" ht="11.25" hidden="false" customHeight="true" outlineLevel="0" collapsed="false"/>
    <row r="2961" customFormat="false" ht="11.25" hidden="false" customHeight="true" outlineLevel="0" collapsed="false"/>
    <row r="2962" customFormat="false" ht="11.25" hidden="false" customHeight="true" outlineLevel="0" collapsed="false"/>
    <row r="2963" customFormat="false" ht="11.25" hidden="false" customHeight="true" outlineLevel="0" collapsed="false"/>
    <row r="2964" customFormat="false" ht="11.25" hidden="false" customHeight="true" outlineLevel="0" collapsed="false"/>
    <row r="2965" customFormat="false" ht="11.25" hidden="false" customHeight="true" outlineLevel="0" collapsed="false"/>
    <row r="2966" customFormat="false" ht="11.25" hidden="false" customHeight="true" outlineLevel="0" collapsed="false"/>
    <row r="2967" customFormat="false" ht="11.25" hidden="false" customHeight="true" outlineLevel="0" collapsed="false"/>
    <row r="2968" customFormat="false" ht="11.25" hidden="false" customHeight="true" outlineLevel="0" collapsed="false"/>
    <row r="2969" customFormat="false" ht="11.25" hidden="false" customHeight="true" outlineLevel="0" collapsed="false"/>
    <row r="2970" customFormat="false" ht="11.25" hidden="false" customHeight="true" outlineLevel="0" collapsed="false"/>
    <row r="2971" customFormat="false" ht="11.25" hidden="false" customHeight="true" outlineLevel="0" collapsed="false"/>
    <row r="2972" customFormat="false" ht="11.25" hidden="false" customHeight="true" outlineLevel="0" collapsed="false"/>
    <row r="2973" customFormat="false" ht="11.25" hidden="false" customHeight="true" outlineLevel="0" collapsed="false"/>
    <row r="2974" customFormat="false" ht="11.25" hidden="false" customHeight="true" outlineLevel="0" collapsed="false"/>
    <row r="2975" customFormat="false" ht="11.25" hidden="false" customHeight="true" outlineLevel="0" collapsed="false"/>
    <row r="2976" customFormat="false" ht="11.25" hidden="false" customHeight="true" outlineLevel="0" collapsed="false"/>
    <row r="2977" customFormat="false" ht="11.25" hidden="false" customHeight="true" outlineLevel="0" collapsed="false"/>
    <row r="2978" customFormat="false" ht="11.25" hidden="false" customHeight="true" outlineLevel="0" collapsed="false"/>
    <row r="2979" customFormat="false" ht="11.25" hidden="false" customHeight="true" outlineLevel="0" collapsed="false"/>
    <row r="2980" customFormat="false" ht="11.25" hidden="false" customHeight="true" outlineLevel="0" collapsed="false"/>
    <row r="2981" customFormat="false" ht="11.25" hidden="false" customHeight="true" outlineLevel="0" collapsed="false"/>
    <row r="2982" customFormat="false" ht="11.25" hidden="false" customHeight="true" outlineLevel="0" collapsed="false"/>
    <row r="2983" customFormat="false" ht="11.25" hidden="false" customHeight="true" outlineLevel="0" collapsed="false"/>
    <row r="2984" customFormat="false" ht="11.25" hidden="false" customHeight="true" outlineLevel="0" collapsed="false"/>
    <row r="2985" customFormat="false" ht="11.25" hidden="false" customHeight="true" outlineLevel="0" collapsed="false"/>
    <row r="2986" customFormat="false" ht="11.25" hidden="false" customHeight="true" outlineLevel="0" collapsed="false"/>
    <row r="2987" customFormat="false" ht="11.25" hidden="false" customHeight="true" outlineLevel="0" collapsed="false"/>
    <row r="2988" customFormat="false" ht="11.25" hidden="false" customHeight="true" outlineLevel="0" collapsed="false"/>
    <row r="2989" customFormat="false" ht="11.25" hidden="false" customHeight="true" outlineLevel="0" collapsed="false"/>
    <row r="2990" customFormat="false" ht="11.25" hidden="false" customHeight="true" outlineLevel="0" collapsed="false"/>
    <row r="2991" customFormat="false" ht="11.25" hidden="false" customHeight="true" outlineLevel="0" collapsed="false"/>
    <row r="2992" customFormat="false" ht="11.25" hidden="false" customHeight="true" outlineLevel="0" collapsed="false"/>
    <row r="2993" customFormat="false" ht="11.25" hidden="false" customHeight="true" outlineLevel="0" collapsed="false"/>
    <row r="2994" customFormat="false" ht="11.25" hidden="false" customHeight="true" outlineLevel="0" collapsed="false"/>
    <row r="2995" customFormat="false" ht="11.25" hidden="false" customHeight="true" outlineLevel="0" collapsed="false"/>
    <row r="2996" customFormat="false" ht="11.25" hidden="false" customHeight="true" outlineLevel="0" collapsed="false"/>
    <row r="2997" customFormat="false" ht="11.25" hidden="false" customHeight="true" outlineLevel="0" collapsed="false"/>
    <row r="2998" customFormat="false" ht="11.25" hidden="false" customHeight="true" outlineLevel="0" collapsed="false"/>
    <row r="2999" customFormat="false" ht="11.25" hidden="false" customHeight="true" outlineLevel="0" collapsed="false"/>
    <row r="3000" customFormat="false" ht="11.25" hidden="false" customHeight="true" outlineLevel="0" collapsed="false"/>
    <row r="3001" customFormat="false" ht="11.25" hidden="false" customHeight="true" outlineLevel="0" collapsed="false"/>
    <row r="3002" customFormat="false" ht="11.25" hidden="false" customHeight="true" outlineLevel="0" collapsed="false"/>
    <row r="3003" customFormat="false" ht="11.25" hidden="false" customHeight="true" outlineLevel="0" collapsed="false"/>
    <row r="3004" customFormat="false" ht="11.25" hidden="false" customHeight="true" outlineLevel="0" collapsed="false"/>
    <row r="3005" customFormat="false" ht="11.25" hidden="false" customHeight="true" outlineLevel="0" collapsed="false"/>
    <row r="3006" customFormat="false" ht="11.25" hidden="false" customHeight="true" outlineLevel="0" collapsed="false"/>
    <row r="3007" customFormat="false" ht="11.25" hidden="false" customHeight="true" outlineLevel="0" collapsed="false"/>
    <row r="3008" customFormat="false" ht="11.25" hidden="false" customHeight="true" outlineLevel="0" collapsed="false"/>
    <row r="3009" customFormat="false" ht="11.25" hidden="false" customHeight="true" outlineLevel="0" collapsed="false"/>
    <row r="3010" customFormat="false" ht="11.25" hidden="false" customHeight="true" outlineLevel="0" collapsed="false"/>
    <row r="3011" customFormat="false" ht="11.25" hidden="false" customHeight="true" outlineLevel="0" collapsed="false"/>
    <row r="3012" customFormat="false" ht="11.25" hidden="false" customHeight="true" outlineLevel="0" collapsed="false"/>
    <row r="3013" customFormat="false" ht="11.25" hidden="false" customHeight="true" outlineLevel="0" collapsed="false"/>
    <row r="3014" customFormat="false" ht="11.25" hidden="false" customHeight="true" outlineLevel="0" collapsed="false"/>
    <row r="3015" customFormat="false" ht="11.25" hidden="false" customHeight="true" outlineLevel="0" collapsed="false"/>
    <row r="3016" customFormat="false" ht="11.25" hidden="false" customHeight="true" outlineLevel="0" collapsed="false"/>
    <row r="3017" customFormat="false" ht="11.25" hidden="false" customHeight="true" outlineLevel="0" collapsed="false"/>
    <row r="3018" customFormat="false" ht="11.25" hidden="false" customHeight="true" outlineLevel="0" collapsed="false"/>
    <row r="3019" customFormat="false" ht="11.25" hidden="false" customHeight="true" outlineLevel="0" collapsed="false"/>
    <row r="3020" customFormat="false" ht="11.25" hidden="false" customHeight="true" outlineLevel="0" collapsed="false"/>
    <row r="3021" customFormat="false" ht="11.25" hidden="false" customHeight="true" outlineLevel="0" collapsed="false"/>
    <row r="3022" customFormat="false" ht="11.25" hidden="false" customHeight="true" outlineLevel="0" collapsed="false"/>
    <row r="3023" customFormat="false" ht="11.25" hidden="false" customHeight="true" outlineLevel="0" collapsed="false"/>
    <row r="3024" customFormat="false" ht="11.25" hidden="false" customHeight="true" outlineLevel="0" collapsed="false"/>
    <row r="3025" customFormat="false" ht="11.25" hidden="false" customHeight="true" outlineLevel="0" collapsed="false"/>
    <row r="3026" customFormat="false" ht="11.25" hidden="false" customHeight="true" outlineLevel="0" collapsed="false"/>
    <row r="3027" customFormat="false" ht="11.25" hidden="false" customHeight="true" outlineLevel="0" collapsed="false"/>
    <row r="3028" customFormat="false" ht="11.25" hidden="false" customHeight="true" outlineLevel="0" collapsed="false"/>
    <row r="3029" customFormat="false" ht="11.25" hidden="false" customHeight="true" outlineLevel="0" collapsed="false"/>
    <row r="3030" customFormat="false" ht="11.25" hidden="false" customHeight="true" outlineLevel="0" collapsed="false"/>
    <row r="3031" customFormat="false" ht="11.25" hidden="false" customHeight="true" outlineLevel="0" collapsed="false"/>
    <row r="3032" customFormat="false" ht="11.25" hidden="false" customHeight="true" outlineLevel="0" collapsed="false"/>
    <row r="3033" customFormat="false" ht="11.25" hidden="false" customHeight="true" outlineLevel="0" collapsed="false"/>
    <row r="3034" customFormat="false" ht="11.25" hidden="false" customHeight="true" outlineLevel="0" collapsed="false"/>
    <row r="3035" customFormat="false" ht="11.25" hidden="false" customHeight="true" outlineLevel="0" collapsed="false"/>
    <row r="3036" customFormat="false" ht="11.25" hidden="false" customHeight="true" outlineLevel="0" collapsed="false"/>
    <row r="3037" customFormat="false" ht="11.25" hidden="false" customHeight="true" outlineLevel="0" collapsed="false"/>
    <row r="3038" customFormat="false" ht="11.25" hidden="false" customHeight="true" outlineLevel="0" collapsed="false"/>
    <row r="3039" customFormat="false" ht="11.25" hidden="false" customHeight="true" outlineLevel="0" collapsed="false"/>
    <row r="3040" customFormat="false" ht="11.25" hidden="false" customHeight="true" outlineLevel="0" collapsed="false"/>
    <row r="3041" customFormat="false" ht="11.25" hidden="false" customHeight="true" outlineLevel="0" collapsed="false"/>
    <row r="3042" customFormat="false" ht="11.25" hidden="false" customHeight="true" outlineLevel="0" collapsed="false"/>
    <row r="3043" customFormat="false" ht="11.25" hidden="false" customHeight="true" outlineLevel="0" collapsed="false"/>
    <row r="3044" customFormat="false" ht="11.25" hidden="false" customHeight="true" outlineLevel="0" collapsed="false"/>
    <row r="3045" customFormat="false" ht="11.25" hidden="false" customHeight="true" outlineLevel="0" collapsed="false"/>
    <row r="3046" customFormat="false" ht="11.25" hidden="false" customHeight="true" outlineLevel="0" collapsed="false"/>
    <row r="3047" customFormat="false" ht="11.25" hidden="false" customHeight="true" outlineLevel="0" collapsed="false"/>
    <row r="3048" customFormat="false" ht="11.25" hidden="false" customHeight="true" outlineLevel="0" collapsed="false"/>
    <row r="3049" customFormat="false" ht="11.25" hidden="false" customHeight="true" outlineLevel="0" collapsed="false"/>
    <row r="3050" customFormat="false" ht="11.25" hidden="false" customHeight="true" outlineLevel="0" collapsed="false"/>
    <row r="3051" customFormat="false" ht="11.25" hidden="false" customHeight="true" outlineLevel="0" collapsed="false"/>
    <row r="3052" customFormat="false" ht="11.25" hidden="false" customHeight="true" outlineLevel="0" collapsed="false"/>
    <row r="3053" customFormat="false" ht="11.25" hidden="false" customHeight="true" outlineLevel="0" collapsed="false"/>
    <row r="3054" customFormat="false" ht="11.25" hidden="false" customHeight="true" outlineLevel="0" collapsed="false"/>
    <row r="3055" customFormat="false" ht="11.25" hidden="false" customHeight="true" outlineLevel="0" collapsed="false"/>
    <row r="3056" customFormat="false" ht="11.25" hidden="false" customHeight="true" outlineLevel="0" collapsed="false"/>
    <row r="3057" customFormat="false" ht="11.25" hidden="false" customHeight="true" outlineLevel="0" collapsed="false"/>
    <row r="3058" customFormat="false" ht="11.25" hidden="false" customHeight="true" outlineLevel="0" collapsed="false"/>
    <row r="3059" customFormat="false" ht="11.25" hidden="false" customHeight="true" outlineLevel="0" collapsed="false"/>
    <row r="3060" customFormat="false" ht="11.25" hidden="false" customHeight="true" outlineLevel="0" collapsed="false"/>
    <row r="3061" customFormat="false" ht="11.25" hidden="false" customHeight="true" outlineLevel="0" collapsed="false"/>
    <row r="3062" customFormat="false" ht="11.25" hidden="false" customHeight="true" outlineLevel="0" collapsed="false"/>
    <row r="3063" customFormat="false" ht="11.25" hidden="false" customHeight="true" outlineLevel="0" collapsed="false"/>
    <row r="3064" customFormat="false" ht="11.25" hidden="false" customHeight="true" outlineLevel="0" collapsed="false"/>
    <row r="3065" customFormat="false" ht="11.25" hidden="false" customHeight="true" outlineLevel="0" collapsed="false"/>
    <row r="3066" customFormat="false" ht="11.25" hidden="false" customHeight="true" outlineLevel="0" collapsed="false"/>
    <row r="3067" customFormat="false" ht="11.25" hidden="false" customHeight="true" outlineLevel="0" collapsed="false"/>
    <row r="3068" customFormat="false" ht="11.25" hidden="false" customHeight="true" outlineLevel="0" collapsed="false"/>
    <row r="3069" customFormat="false" ht="11.25" hidden="false" customHeight="true" outlineLevel="0" collapsed="false"/>
    <row r="3070" customFormat="false" ht="11.25" hidden="false" customHeight="true" outlineLevel="0" collapsed="false"/>
    <row r="3071" customFormat="false" ht="11.25" hidden="false" customHeight="true" outlineLevel="0" collapsed="false"/>
    <row r="3072" customFormat="false" ht="11.25" hidden="false" customHeight="true" outlineLevel="0" collapsed="false"/>
    <row r="3073" customFormat="false" ht="11.25" hidden="false" customHeight="true" outlineLevel="0" collapsed="false"/>
    <row r="3074" customFormat="false" ht="11.25" hidden="false" customHeight="true" outlineLevel="0" collapsed="false"/>
    <row r="3075" customFormat="false" ht="11.25" hidden="false" customHeight="true" outlineLevel="0" collapsed="false"/>
    <row r="3076" customFormat="false" ht="11.25" hidden="false" customHeight="true" outlineLevel="0" collapsed="false"/>
    <row r="3077" customFormat="false" ht="11.25" hidden="false" customHeight="true" outlineLevel="0" collapsed="false"/>
    <row r="3078" customFormat="false" ht="11.25" hidden="false" customHeight="true" outlineLevel="0" collapsed="false"/>
    <row r="3079" customFormat="false" ht="11.25" hidden="false" customHeight="true" outlineLevel="0" collapsed="false"/>
    <row r="3080" customFormat="false" ht="11.25" hidden="false" customHeight="true" outlineLevel="0" collapsed="false"/>
    <row r="3081" customFormat="false" ht="11.25" hidden="false" customHeight="true" outlineLevel="0" collapsed="false"/>
    <row r="3082" customFormat="false" ht="11.25" hidden="false" customHeight="true" outlineLevel="0" collapsed="false"/>
    <row r="3083" customFormat="false" ht="11.25" hidden="false" customHeight="true" outlineLevel="0" collapsed="false"/>
    <row r="3084" customFormat="false" ht="11.25" hidden="false" customHeight="true" outlineLevel="0" collapsed="false"/>
    <row r="3085" customFormat="false" ht="11.25" hidden="false" customHeight="true" outlineLevel="0" collapsed="false"/>
    <row r="3086" customFormat="false" ht="11.25" hidden="false" customHeight="true" outlineLevel="0" collapsed="false"/>
    <row r="3087" customFormat="false" ht="11.25" hidden="false" customHeight="true" outlineLevel="0" collapsed="false"/>
    <row r="3088" customFormat="false" ht="11.25" hidden="false" customHeight="true" outlineLevel="0" collapsed="false"/>
    <row r="3089" customFormat="false" ht="11.25" hidden="false" customHeight="true" outlineLevel="0" collapsed="false"/>
    <row r="3090" customFormat="false" ht="11.25" hidden="false" customHeight="true" outlineLevel="0" collapsed="false"/>
    <row r="3091" customFormat="false" ht="11.25" hidden="false" customHeight="true" outlineLevel="0" collapsed="false"/>
    <row r="3092" customFormat="false" ht="11.25" hidden="false" customHeight="true" outlineLevel="0" collapsed="false"/>
    <row r="3093" customFormat="false" ht="11.25" hidden="false" customHeight="true" outlineLevel="0" collapsed="false"/>
    <row r="3094" customFormat="false" ht="11.25" hidden="false" customHeight="true" outlineLevel="0" collapsed="false"/>
    <row r="3095" customFormat="false" ht="11.25" hidden="false" customHeight="true" outlineLevel="0" collapsed="false"/>
    <row r="3096" customFormat="false" ht="11.25" hidden="false" customHeight="true" outlineLevel="0" collapsed="false"/>
    <row r="3097" customFormat="false" ht="11.25" hidden="false" customHeight="true" outlineLevel="0" collapsed="false"/>
    <row r="3098" customFormat="false" ht="11.25" hidden="false" customHeight="true" outlineLevel="0" collapsed="false"/>
    <row r="3099" customFormat="false" ht="11.25" hidden="false" customHeight="true" outlineLevel="0" collapsed="false"/>
    <row r="3100" customFormat="false" ht="11.25" hidden="false" customHeight="true" outlineLevel="0" collapsed="false"/>
    <row r="3101" customFormat="false" ht="11.25" hidden="false" customHeight="true" outlineLevel="0" collapsed="false"/>
    <row r="3102" customFormat="false" ht="11.25" hidden="false" customHeight="true" outlineLevel="0" collapsed="false"/>
    <row r="3103" customFormat="false" ht="11.25" hidden="false" customHeight="true" outlineLevel="0" collapsed="false"/>
    <row r="3104" customFormat="false" ht="11.25" hidden="false" customHeight="true" outlineLevel="0" collapsed="false"/>
    <row r="3105" customFormat="false" ht="11.25" hidden="false" customHeight="true" outlineLevel="0" collapsed="false"/>
    <row r="3106" customFormat="false" ht="11.25" hidden="false" customHeight="true" outlineLevel="0" collapsed="false"/>
    <row r="3107" customFormat="false" ht="11.25" hidden="false" customHeight="true" outlineLevel="0" collapsed="false"/>
    <row r="3108" customFormat="false" ht="11.25" hidden="false" customHeight="true" outlineLevel="0" collapsed="false"/>
    <row r="3109" customFormat="false" ht="11.25" hidden="false" customHeight="true" outlineLevel="0" collapsed="false"/>
    <row r="3110" customFormat="false" ht="11.25" hidden="false" customHeight="true" outlineLevel="0" collapsed="false"/>
    <row r="3111" customFormat="false" ht="11.25" hidden="false" customHeight="true" outlineLevel="0" collapsed="false"/>
    <row r="3112" customFormat="false" ht="11.25" hidden="false" customHeight="true" outlineLevel="0" collapsed="false"/>
    <row r="3113" customFormat="false" ht="11.25" hidden="false" customHeight="true" outlineLevel="0" collapsed="false"/>
    <row r="3114" customFormat="false" ht="11.25" hidden="false" customHeight="true" outlineLevel="0" collapsed="false"/>
    <row r="3115" customFormat="false" ht="11.25" hidden="false" customHeight="true" outlineLevel="0" collapsed="false"/>
    <row r="3116" customFormat="false" ht="11.25" hidden="false" customHeight="true" outlineLevel="0" collapsed="false"/>
    <row r="3117" customFormat="false" ht="11.25" hidden="false" customHeight="true" outlineLevel="0" collapsed="false"/>
    <row r="3118" customFormat="false" ht="11.25" hidden="false" customHeight="true" outlineLevel="0" collapsed="false"/>
    <row r="3119" customFormat="false" ht="11.25" hidden="false" customHeight="true" outlineLevel="0" collapsed="false"/>
    <row r="3120" customFormat="false" ht="11.25" hidden="false" customHeight="true" outlineLevel="0" collapsed="false"/>
    <row r="3121" customFormat="false" ht="11.25" hidden="false" customHeight="true" outlineLevel="0" collapsed="false"/>
    <row r="3122" customFormat="false" ht="11.25" hidden="false" customHeight="true" outlineLevel="0" collapsed="false"/>
    <row r="3123" customFormat="false" ht="11.25" hidden="false" customHeight="true" outlineLevel="0" collapsed="false"/>
    <row r="3124" customFormat="false" ht="11.25" hidden="false" customHeight="true" outlineLevel="0" collapsed="false"/>
    <row r="3125" customFormat="false" ht="11.25" hidden="false" customHeight="true" outlineLevel="0" collapsed="false"/>
    <row r="3126" customFormat="false" ht="11.25" hidden="false" customHeight="true" outlineLevel="0" collapsed="false"/>
    <row r="3127" customFormat="false" ht="11.25" hidden="false" customHeight="true" outlineLevel="0" collapsed="false"/>
    <row r="3128" customFormat="false" ht="11.25" hidden="false" customHeight="true" outlineLevel="0" collapsed="false"/>
    <row r="3129" customFormat="false" ht="11.25" hidden="false" customHeight="true" outlineLevel="0" collapsed="false"/>
    <row r="3130" customFormat="false" ht="11.25" hidden="false" customHeight="true" outlineLevel="0" collapsed="false"/>
    <row r="3131" customFormat="false" ht="11.25" hidden="false" customHeight="true" outlineLevel="0" collapsed="false"/>
    <row r="3132" customFormat="false" ht="11.25" hidden="false" customHeight="true" outlineLevel="0" collapsed="false"/>
    <row r="3133" customFormat="false" ht="11.25" hidden="false" customHeight="true" outlineLevel="0" collapsed="false"/>
    <row r="3134" customFormat="false" ht="11.25" hidden="false" customHeight="true" outlineLevel="0" collapsed="false"/>
    <row r="3135" customFormat="false" ht="11.25" hidden="false" customHeight="true" outlineLevel="0" collapsed="false"/>
    <row r="3136" customFormat="false" ht="11.25" hidden="false" customHeight="true" outlineLevel="0" collapsed="false"/>
    <row r="3137" customFormat="false" ht="11.25" hidden="false" customHeight="true" outlineLevel="0" collapsed="false"/>
    <row r="3138" customFormat="false" ht="11.25" hidden="false" customHeight="true" outlineLevel="0" collapsed="false"/>
    <row r="3139" customFormat="false" ht="11.25" hidden="false" customHeight="true" outlineLevel="0" collapsed="false"/>
    <row r="3140" customFormat="false" ht="11.25" hidden="false" customHeight="true" outlineLevel="0" collapsed="false"/>
    <row r="3141" customFormat="false" ht="11.25" hidden="false" customHeight="true" outlineLevel="0" collapsed="false"/>
    <row r="3142" customFormat="false" ht="11.25" hidden="false" customHeight="true" outlineLevel="0" collapsed="false"/>
    <row r="3143" customFormat="false" ht="11.25" hidden="false" customHeight="true" outlineLevel="0" collapsed="false"/>
    <row r="3144" customFormat="false" ht="11.25" hidden="false" customHeight="true" outlineLevel="0" collapsed="false"/>
    <row r="3145" customFormat="false" ht="11.25" hidden="false" customHeight="true" outlineLevel="0" collapsed="false"/>
    <row r="3146" customFormat="false" ht="11.25" hidden="false" customHeight="true" outlineLevel="0" collapsed="false"/>
    <row r="3147" customFormat="false" ht="11.25" hidden="false" customHeight="true" outlineLevel="0" collapsed="false"/>
    <row r="3148" customFormat="false" ht="11.25" hidden="false" customHeight="true" outlineLevel="0" collapsed="false"/>
    <row r="3149" customFormat="false" ht="11.25" hidden="false" customHeight="true" outlineLevel="0" collapsed="false"/>
    <row r="3150" customFormat="false" ht="11.25" hidden="false" customHeight="true" outlineLevel="0" collapsed="false"/>
    <row r="3151" customFormat="false" ht="11.25" hidden="false" customHeight="true" outlineLevel="0" collapsed="false"/>
    <row r="3152" customFormat="false" ht="11.25" hidden="false" customHeight="true" outlineLevel="0" collapsed="false"/>
    <row r="3153" customFormat="false" ht="11.25" hidden="false" customHeight="true" outlineLevel="0" collapsed="false"/>
    <row r="3154" customFormat="false" ht="11.25" hidden="false" customHeight="true" outlineLevel="0" collapsed="false"/>
    <row r="3155" customFormat="false" ht="11.25" hidden="false" customHeight="true" outlineLevel="0" collapsed="false"/>
    <row r="3156" customFormat="false" ht="11.25" hidden="false" customHeight="true" outlineLevel="0" collapsed="false"/>
    <row r="3157" customFormat="false" ht="11.25" hidden="false" customHeight="true" outlineLevel="0" collapsed="false"/>
    <row r="3158" customFormat="false" ht="11.25" hidden="false" customHeight="true" outlineLevel="0" collapsed="false"/>
    <row r="3159" customFormat="false" ht="11.25" hidden="false" customHeight="true" outlineLevel="0" collapsed="false"/>
    <row r="3160" customFormat="false" ht="11.25" hidden="false" customHeight="true" outlineLevel="0" collapsed="false"/>
    <row r="3161" customFormat="false" ht="11.25" hidden="false" customHeight="true" outlineLevel="0" collapsed="false"/>
    <row r="3162" customFormat="false" ht="11.25" hidden="false" customHeight="true" outlineLevel="0" collapsed="false"/>
    <row r="3163" customFormat="false" ht="11.25" hidden="false" customHeight="true" outlineLevel="0" collapsed="false"/>
    <row r="3164" customFormat="false" ht="11.25" hidden="false" customHeight="true" outlineLevel="0" collapsed="false"/>
    <row r="3165" customFormat="false" ht="11.25" hidden="false" customHeight="true" outlineLevel="0" collapsed="false"/>
    <row r="3166" customFormat="false" ht="11.25" hidden="false" customHeight="true" outlineLevel="0" collapsed="false"/>
    <row r="3167" customFormat="false" ht="11.25" hidden="false" customHeight="true" outlineLevel="0" collapsed="false"/>
    <row r="3168" customFormat="false" ht="11.25" hidden="false" customHeight="true" outlineLevel="0" collapsed="false"/>
    <row r="3169" customFormat="false" ht="11.25" hidden="false" customHeight="true" outlineLevel="0" collapsed="false"/>
    <row r="3170" customFormat="false" ht="11.25" hidden="false" customHeight="true" outlineLevel="0" collapsed="false"/>
    <row r="3171" customFormat="false" ht="11.25" hidden="false" customHeight="true" outlineLevel="0" collapsed="false"/>
    <row r="3172" customFormat="false" ht="11.25" hidden="false" customHeight="true" outlineLevel="0" collapsed="false"/>
    <row r="3173" customFormat="false" ht="11.25" hidden="false" customHeight="true" outlineLevel="0" collapsed="false"/>
    <row r="3174" customFormat="false" ht="11.25" hidden="false" customHeight="true" outlineLevel="0" collapsed="false"/>
    <row r="3175" customFormat="false" ht="11.25" hidden="false" customHeight="true" outlineLevel="0" collapsed="false"/>
    <row r="3176" customFormat="false" ht="11.25" hidden="false" customHeight="true" outlineLevel="0" collapsed="false"/>
    <row r="3177" customFormat="false" ht="11.25" hidden="false" customHeight="true" outlineLevel="0" collapsed="false"/>
    <row r="3178" customFormat="false" ht="11.25" hidden="false" customHeight="true" outlineLevel="0" collapsed="false"/>
    <row r="3179" customFormat="false" ht="11.25" hidden="false" customHeight="true" outlineLevel="0" collapsed="false"/>
    <row r="3180" customFormat="false" ht="11.25" hidden="false" customHeight="true" outlineLevel="0" collapsed="false"/>
    <row r="3181" customFormat="false" ht="11.25" hidden="false" customHeight="true" outlineLevel="0" collapsed="false"/>
    <row r="3182" customFormat="false" ht="11.25" hidden="false" customHeight="true" outlineLevel="0" collapsed="false"/>
    <row r="3183" customFormat="false" ht="11.25" hidden="false" customHeight="true" outlineLevel="0" collapsed="false"/>
    <row r="3184" customFormat="false" ht="11.25" hidden="false" customHeight="true" outlineLevel="0" collapsed="false"/>
    <row r="3185" customFormat="false" ht="11.25" hidden="false" customHeight="true" outlineLevel="0" collapsed="false"/>
    <row r="3186" customFormat="false" ht="11.25" hidden="false" customHeight="true" outlineLevel="0" collapsed="false"/>
    <row r="3187" customFormat="false" ht="11.25" hidden="false" customHeight="true" outlineLevel="0" collapsed="false"/>
    <row r="3188" customFormat="false" ht="11.25" hidden="false" customHeight="true" outlineLevel="0" collapsed="false"/>
    <row r="3189" customFormat="false" ht="11.25" hidden="false" customHeight="true" outlineLevel="0" collapsed="false"/>
    <row r="3190" customFormat="false" ht="11.25" hidden="false" customHeight="true" outlineLevel="0" collapsed="false"/>
    <row r="3191" customFormat="false" ht="11.25" hidden="false" customHeight="true" outlineLevel="0" collapsed="false"/>
    <row r="3192" customFormat="false" ht="11.25" hidden="false" customHeight="true" outlineLevel="0" collapsed="false"/>
    <row r="3193" customFormat="false" ht="11.25" hidden="false" customHeight="true" outlineLevel="0" collapsed="false"/>
    <row r="3194" customFormat="false" ht="11.25" hidden="false" customHeight="true" outlineLevel="0" collapsed="false"/>
    <row r="3195" customFormat="false" ht="11.25" hidden="false" customHeight="true" outlineLevel="0" collapsed="false"/>
    <row r="3196" customFormat="false" ht="11.25" hidden="false" customHeight="true" outlineLevel="0" collapsed="false"/>
    <row r="3197" customFormat="false" ht="11.25" hidden="false" customHeight="true" outlineLevel="0" collapsed="false"/>
    <row r="3198" customFormat="false" ht="11.25" hidden="false" customHeight="true" outlineLevel="0" collapsed="false"/>
    <row r="3199" customFormat="false" ht="11.25" hidden="false" customHeight="true" outlineLevel="0" collapsed="false"/>
    <row r="3200" customFormat="false" ht="11.25" hidden="false" customHeight="true" outlineLevel="0" collapsed="false"/>
    <row r="3201" customFormat="false" ht="11.25" hidden="false" customHeight="true" outlineLevel="0" collapsed="false"/>
    <row r="3202" customFormat="false" ht="11.25" hidden="false" customHeight="true" outlineLevel="0" collapsed="false"/>
    <row r="3203" customFormat="false" ht="11.25" hidden="false" customHeight="true" outlineLevel="0" collapsed="false"/>
    <row r="3204" customFormat="false" ht="11.25" hidden="false" customHeight="true" outlineLevel="0" collapsed="false"/>
    <row r="3205" customFormat="false" ht="11.25" hidden="false" customHeight="true" outlineLevel="0" collapsed="false"/>
    <row r="3206" customFormat="false" ht="11.25" hidden="false" customHeight="true" outlineLevel="0" collapsed="false"/>
    <row r="3207" customFormat="false" ht="11.25" hidden="false" customHeight="true" outlineLevel="0" collapsed="false"/>
    <row r="3208" customFormat="false" ht="11.25" hidden="false" customHeight="true" outlineLevel="0" collapsed="false"/>
    <row r="3209" customFormat="false" ht="11.25" hidden="false" customHeight="true" outlineLevel="0" collapsed="false"/>
    <row r="3210" customFormat="false" ht="11.25" hidden="false" customHeight="true" outlineLevel="0" collapsed="false"/>
    <row r="3211" customFormat="false" ht="11.25" hidden="false" customHeight="true" outlineLevel="0" collapsed="false"/>
    <row r="3212" customFormat="false" ht="11.25" hidden="false" customHeight="true" outlineLevel="0" collapsed="false"/>
    <row r="3213" customFormat="false" ht="11.25" hidden="false" customHeight="true" outlineLevel="0" collapsed="false"/>
    <row r="3214" customFormat="false" ht="11.25" hidden="false" customHeight="true" outlineLevel="0" collapsed="false"/>
    <row r="3215" customFormat="false" ht="11.25" hidden="false" customHeight="true" outlineLevel="0" collapsed="false"/>
    <row r="3216" customFormat="false" ht="11.25" hidden="false" customHeight="true" outlineLevel="0" collapsed="false"/>
    <row r="3217" customFormat="false" ht="11.25" hidden="false" customHeight="true" outlineLevel="0" collapsed="false"/>
    <row r="3218" customFormat="false" ht="11.25" hidden="false" customHeight="true" outlineLevel="0" collapsed="false"/>
    <row r="3219" customFormat="false" ht="11.25" hidden="false" customHeight="true" outlineLevel="0" collapsed="false"/>
    <row r="3220" customFormat="false" ht="11.25" hidden="false" customHeight="true" outlineLevel="0" collapsed="false"/>
    <row r="3221" customFormat="false" ht="11.25" hidden="false" customHeight="true" outlineLevel="0" collapsed="false"/>
    <row r="3222" customFormat="false" ht="11.25" hidden="false" customHeight="true" outlineLevel="0" collapsed="false"/>
    <row r="3223" customFormat="false" ht="11.25" hidden="false" customHeight="true" outlineLevel="0" collapsed="false"/>
    <row r="3224" customFormat="false" ht="11.25" hidden="false" customHeight="true" outlineLevel="0" collapsed="false"/>
    <row r="3225" customFormat="false" ht="11.25" hidden="false" customHeight="true" outlineLevel="0" collapsed="false"/>
    <row r="3226" customFormat="false" ht="11.25" hidden="false" customHeight="true" outlineLevel="0" collapsed="false"/>
    <row r="3227" customFormat="false" ht="11.25" hidden="false" customHeight="true" outlineLevel="0" collapsed="false"/>
    <row r="3228" customFormat="false" ht="11.25" hidden="false" customHeight="true" outlineLevel="0" collapsed="false"/>
    <row r="3229" customFormat="false" ht="11.25" hidden="false" customHeight="true" outlineLevel="0" collapsed="false"/>
    <row r="3230" customFormat="false" ht="11.25" hidden="false" customHeight="true" outlineLevel="0" collapsed="false"/>
    <row r="3231" customFormat="false" ht="11.25" hidden="false" customHeight="true" outlineLevel="0" collapsed="false"/>
    <row r="3232" customFormat="false" ht="11.25" hidden="false" customHeight="true" outlineLevel="0" collapsed="false"/>
    <row r="3233" customFormat="false" ht="11.25" hidden="false" customHeight="true" outlineLevel="0" collapsed="false"/>
    <row r="3234" customFormat="false" ht="11.25" hidden="false" customHeight="true" outlineLevel="0" collapsed="false"/>
    <row r="3235" customFormat="false" ht="11.25" hidden="false" customHeight="true" outlineLevel="0" collapsed="false"/>
    <row r="3236" customFormat="false" ht="11.25" hidden="false" customHeight="true" outlineLevel="0" collapsed="false"/>
    <row r="3237" customFormat="false" ht="11.25" hidden="false" customHeight="true" outlineLevel="0" collapsed="false"/>
    <row r="3238" customFormat="false" ht="11.25" hidden="false" customHeight="true" outlineLevel="0" collapsed="false"/>
    <row r="3239" customFormat="false" ht="11.25" hidden="false" customHeight="true" outlineLevel="0" collapsed="false"/>
    <row r="3240" customFormat="false" ht="11.25" hidden="false" customHeight="true" outlineLevel="0" collapsed="false"/>
    <row r="3241" customFormat="false" ht="11.25" hidden="false" customHeight="true" outlineLevel="0" collapsed="false"/>
    <row r="3242" customFormat="false" ht="11.25" hidden="false" customHeight="true" outlineLevel="0" collapsed="false"/>
    <row r="3243" customFormat="false" ht="11.25" hidden="false" customHeight="true" outlineLevel="0" collapsed="false"/>
    <row r="3244" customFormat="false" ht="11.25" hidden="false" customHeight="true" outlineLevel="0" collapsed="false"/>
    <row r="3245" customFormat="false" ht="11.25" hidden="false" customHeight="true" outlineLevel="0" collapsed="false"/>
    <row r="3246" customFormat="false" ht="11.25" hidden="false" customHeight="true" outlineLevel="0" collapsed="false"/>
    <row r="3247" customFormat="false" ht="11.25" hidden="false" customHeight="true" outlineLevel="0" collapsed="false"/>
    <row r="3248" customFormat="false" ht="11.25" hidden="false" customHeight="true" outlineLevel="0" collapsed="false"/>
    <row r="3249" customFormat="false" ht="11.25" hidden="false" customHeight="true" outlineLevel="0" collapsed="false"/>
    <row r="3250" customFormat="false" ht="11.25" hidden="false" customHeight="true" outlineLevel="0" collapsed="false"/>
    <row r="3251" customFormat="false" ht="11.25" hidden="false" customHeight="true" outlineLevel="0" collapsed="false"/>
    <row r="3252" customFormat="false" ht="11.25" hidden="false" customHeight="true" outlineLevel="0" collapsed="false"/>
    <row r="3253" customFormat="false" ht="11.25" hidden="false" customHeight="true" outlineLevel="0" collapsed="false"/>
    <row r="3254" customFormat="false" ht="11.25" hidden="false" customHeight="true" outlineLevel="0" collapsed="false"/>
    <row r="3255" customFormat="false" ht="11.25" hidden="false" customHeight="true" outlineLevel="0" collapsed="false"/>
    <row r="3256" customFormat="false" ht="11.25" hidden="false" customHeight="true" outlineLevel="0" collapsed="false"/>
    <row r="3257" customFormat="false" ht="11.25" hidden="false" customHeight="true" outlineLevel="0" collapsed="false"/>
    <row r="3258" customFormat="false" ht="11.25" hidden="false" customHeight="true" outlineLevel="0" collapsed="false"/>
    <row r="3259" customFormat="false" ht="11.25" hidden="false" customHeight="true" outlineLevel="0" collapsed="false"/>
    <row r="3260" customFormat="false" ht="11.25" hidden="false" customHeight="true" outlineLevel="0" collapsed="false"/>
    <row r="3261" customFormat="false" ht="11.25" hidden="false" customHeight="true" outlineLevel="0" collapsed="false"/>
    <row r="3262" customFormat="false" ht="11.25" hidden="false" customHeight="true" outlineLevel="0" collapsed="false"/>
    <row r="3263" customFormat="false" ht="11.25" hidden="false" customHeight="true" outlineLevel="0" collapsed="false"/>
    <row r="3264" customFormat="false" ht="11.25" hidden="false" customHeight="true" outlineLevel="0" collapsed="false"/>
    <row r="3265" customFormat="false" ht="11.25" hidden="false" customHeight="true" outlineLevel="0" collapsed="false"/>
    <row r="3266" customFormat="false" ht="11.25" hidden="false" customHeight="true" outlineLevel="0" collapsed="false"/>
    <row r="3267" customFormat="false" ht="11.25" hidden="false" customHeight="true" outlineLevel="0" collapsed="false"/>
    <row r="3268" customFormat="false" ht="11.25" hidden="false" customHeight="true" outlineLevel="0" collapsed="false"/>
    <row r="3269" customFormat="false" ht="11.25" hidden="false" customHeight="true" outlineLevel="0" collapsed="false"/>
    <row r="3270" customFormat="false" ht="11.25" hidden="false" customHeight="true" outlineLevel="0" collapsed="false"/>
    <row r="3271" customFormat="false" ht="11.25" hidden="false" customHeight="true" outlineLevel="0" collapsed="false"/>
    <row r="3272" customFormat="false" ht="11.25" hidden="false" customHeight="true" outlineLevel="0" collapsed="false"/>
    <row r="3273" customFormat="false" ht="11.25" hidden="false" customHeight="true" outlineLevel="0" collapsed="false"/>
    <row r="3274" customFormat="false" ht="11.25" hidden="false" customHeight="true" outlineLevel="0" collapsed="false"/>
    <row r="3275" customFormat="false" ht="11.25" hidden="false" customHeight="true" outlineLevel="0" collapsed="false"/>
    <row r="3276" customFormat="false" ht="11.25" hidden="false" customHeight="true" outlineLevel="0" collapsed="false"/>
    <row r="3277" customFormat="false" ht="11.25" hidden="false" customHeight="true" outlineLevel="0" collapsed="false"/>
    <row r="3278" customFormat="false" ht="11.25" hidden="false" customHeight="true" outlineLevel="0" collapsed="false"/>
    <row r="3279" customFormat="false" ht="11.25" hidden="false" customHeight="true" outlineLevel="0" collapsed="false"/>
    <row r="3280" customFormat="false" ht="11.25" hidden="false" customHeight="true" outlineLevel="0" collapsed="false"/>
    <row r="3281" customFormat="false" ht="11.25" hidden="false" customHeight="true" outlineLevel="0" collapsed="false"/>
    <row r="3282" customFormat="false" ht="11.25" hidden="false" customHeight="true" outlineLevel="0" collapsed="false"/>
    <row r="3283" customFormat="false" ht="11.25" hidden="false" customHeight="true" outlineLevel="0" collapsed="false"/>
    <row r="3284" customFormat="false" ht="11.25" hidden="false" customHeight="true" outlineLevel="0" collapsed="false"/>
    <row r="3285" customFormat="false" ht="11.25" hidden="false" customHeight="true" outlineLevel="0" collapsed="false"/>
    <row r="3286" customFormat="false" ht="11.25" hidden="false" customHeight="true" outlineLevel="0" collapsed="false"/>
    <row r="3287" customFormat="false" ht="11.25" hidden="false" customHeight="true" outlineLevel="0" collapsed="false"/>
    <row r="3288" customFormat="false" ht="11.25" hidden="false" customHeight="true" outlineLevel="0" collapsed="false"/>
    <row r="3289" customFormat="false" ht="11.25" hidden="false" customHeight="true" outlineLevel="0" collapsed="false"/>
    <row r="3290" customFormat="false" ht="11.25" hidden="false" customHeight="true" outlineLevel="0" collapsed="false"/>
    <row r="3291" customFormat="false" ht="11.25" hidden="false" customHeight="true" outlineLevel="0" collapsed="false"/>
    <row r="3292" customFormat="false" ht="11.25" hidden="false" customHeight="true" outlineLevel="0" collapsed="false"/>
    <row r="3293" customFormat="false" ht="11.25" hidden="false" customHeight="true" outlineLevel="0" collapsed="false"/>
    <row r="3294" customFormat="false" ht="11.25" hidden="false" customHeight="true" outlineLevel="0" collapsed="false"/>
    <row r="3295" customFormat="false" ht="11.25" hidden="false" customHeight="true" outlineLevel="0" collapsed="false"/>
    <row r="3296" customFormat="false" ht="11.25" hidden="false" customHeight="true" outlineLevel="0" collapsed="false"/>
    <row r="3297" customFormat="false" ht="11.25" hidden="false" customHeight="true" outlineLevel="0" collapsed="false"/>
    <row r="3298" customFormat="false" ht="11.25" hidden="false" customHeight="true" outlineLevel="0" collapsed="false"/>
    <row r="3299" customFormat="false" ht="11.25" hidden="false" customHeight="true" outlineLevel="0" collapsed="false"/>
    <row r="3300" customFormat="false" ht="11.25" hidden="false" customHeight="true" outlineLevel="0" collapsed="false"/>
    <row r="3301" customFormat="false" ht="11.25" hidden="false" customHeight="true" outlineLevel="0" collapsed="false"/>
    <row r="3302" customFormat="false" ht="11.25" hidden="false" customHeight="true" outlineLevel="0" collapsed="false"/>
    <row r="3303" customFormat="false" ht="11.25" hidden="false" customHeight="true" outlineLevel="0" collapsed="false"/>
    <row r="3304" customFormat="false" ht="11.25" hidden="false" customHeight="true" outlineLevel="0" collapsed="false"/>
    <row r="3305" customFormat="false" ht="11.25" hidden="false" customHeight="true" outlineLevel="0" collapsed="false"/>
    <row r="3306" customFormat="false" ht="11.25" hidden="false" customHeight="true" outlineLevel="0" collapsed="false"/>
    <row r="3307" customFormat="false" ht="11.25" hidden="false" customHeight="true" outlineLevel="0" collapsed="false"/>
    <row r="3308" customFormat="false" ht="11.25" hidden="false" customHeight="true" outlineLevel="0" collapsed="false"/>
    <row r="3309" customFormat="false" ht="11.25" hidden="false" customHeight="true" outlineLevel="0" collapsed="false"/>
    <row r="3310" customFormat="false" ht="11.25" hidden="false" customHeight="true" outlineLevel="0" collapsed="false"/>
    <row r="3311" customFormat="false" ht="11.25" hidden="false" customHeight="true" outlineLevel="0" collapsed="false"/>
    <row r="3312" customFormat="false" ht="11.25" hidden="false" customHeight="true" outlineLevel="0" collapsed="false"/>
    <row r="3313" customFormat="false" ht="11.25" hidden="false" customHeight="true" outlineLevel="0" collapsed="false"/>
    <row r="3314" customFormat="false" ht="11.25" hidden="false" customHeight="true" outlineLevel="0" collapsed="false"/>
    <row r="3315" customFormat="false" ht="11.25" hidden="false" customHeight="true" outlineLevel="0" collapsed="false"/>
    <row r="3316" customFormat="false" ht="11.25" hidden="false" customHeight="true" outlineLevel="0" collapsed="false"/>
    <row r="3317" customFormat="false" ht="11.25" hidden="false" customHeight="true" outlineLevel="0" collapsed="false"/>
    <row r="3318" customFormat="false" ht="11.25" hidden="false" customHeight="true" outlineLevel="0" collapsed="false"/>
    <row r="3319" customFormat="false" ht="11.25" hidden="false" customHeight="true" outlineLevel="0" collapsed="false"/>
    <row r="3320" customFormat="false" ht="11.25" hidden="false" customHeight="true" outlineLevel="0" collapsed="false"/>
    <row r="3321" customFormat="false" ht="11.25" hidden="false" customHeight="true" outlineLevel="0" collapsed="false"/>
    <row r="3322" customFormat="false" ht="11.25" hidden="false" customHeight="true" outlineLevel="0" collapsed="false"/>
    <row r="3323" customFormat="false" ht="11.25" hidden="false" customHeight="true" outlineLevel="0" collapsed="false"/>
    <row r="3324" customFormat="false" ht="11.25" hidden="false" customHeight="true" outlineLevel="0" collapsed="false"/>
    <row r="3325" customFormat="false" ht="11.25" hidden="false" customHeight="true" outlineLevel="0" collapsed="false"/>
    <row r="3326" customFormat="false" ht="11.25" hidden="false" customHeight="true" outlineLevel="0" collapsed="false"/>
    <row r="3327" customFormat="false" ht="11.25" hidden="false" customHeight="true" outlineLevel="0" collapsed="false"/>
    <row r="3328" customFormat="false" ht="11.25" hidden="false" customHeight="true" outlineLevel="0" collapsed="false"/>
    <row r="3329" customFormat="false" ht="11.25" hidden="false" customHeight="true" outlineLevel="0" collapsed="false"/>
    <row r="3330" customFormat="false" ht="11.25" hidden="false" customHeight="true" outlineLevel="0" collapsed="false"/>
    <row r="3331" customFormat="false" ht="11.25" hidden="false" customHeight="true" outlineLevel="0" collapsed="false"/>
    <row r="3332" customFormat="false" ht="11.25" hidden="false" customHeight="true" outlineLevel="0" collapsed="false"/>
    <row r="3333" customFormat="false" ht="11.25" hidden="false" customHeight="true" outlineLevel="0" collapsed="false"/>
    <row r="3334" customFormat="false" ht="11.25" hidden="false" customHeight="true" outlineLevel="0" collapsed="false"/>
    <row r="3335" customFormat="false" ht="11.25" hidden="false" customHeight="true" outlineLevel="0" collapsed="false"/>
    <row r="3336" customFormat="false" ht="11.25" hidden="false" customHeight="true" outlineLevel="0" collapsed="false"/>
    <row r="3337" customFormat="false" ht="11.25" hidden="false" customHeight="true" outlineLevel="0" collapsed="false"/>
    <row r="3338" customFormat="false" ht="11.25" hidden="false" customHeight="true" outlineLevel="0" collapsed="false"/>
    <row r="3339" customFormat="false" ht="11.25" hidden="false" customHeight="true" outlineLevel="0" collapsed="false"/>
    <row r="3340" customFormat="false" ht="11.25" hidden="false" customHeight="true" outlineLevel="0" collapsed="false"/>
    <row r="3341" customFormat="false" ht="11.25" hidden="false" customHeight="true" outlineLevel="0" collapsed="false"/>
    <row r="3342" customFormat="false" ht="11.25" hidden="false" customHeight="true" outlineLevel="0" collapsed="false"/>
    <row r="3343" customFormat="false" ht="11.25" hidden="false" customHeight="true" outlineLevel="0" collapsed="false"/>
    <row r="3344" customFormat="false" ht="11.25" hidden="false" customHeight="true" outlineLevel="0" collapsed="false"/>
    <row r="3345" customFormat="false" ht="11.25" hidden="false" customHeight="true" outlineLevel="0" collapsed="false"/>
    <row r="3346" customFormat="false" ht="11.25" hidden="false" customHeight="true" outlineLevel="0" collapsed="false"/>
    <row r="3347" customFormat="false" ht="11.25" hidden="false" customHeight="true" outlineLevel="0" collapsed="false"/>
    <row r="3348" customFormat="false" ht="11.25" hidden="false" customHeight="true" outlineLevel="0" collapsed="false"/>
    <row r="3349" customFormat="false" ht="11.25" hidden="false" customHeight="true" outlineLevel="0" collapsed="false"/>
    <row r="3350" customFormat="false" ht="11.25" hidden="false" customHeight="true" outlineLevel="0" collapsed="false"/>
    <row r="3351" customFormat="false" ht="11.25" hidden="false" customHeight="true" outlineLevel="0" collapsed="false"/>
    <row r="3352" customFormat="false" ht="11.25" hidden="false" customHeight="true" outlineLevel="0" collapsed="false"/>
    <row r="3353" customFormat="false" ht="11.25" hidden="false" customHeight="true" outlineLevel="0" collapsed="false"/>
    <row r="3354" customFormat="false" ht="11.25" hidden="false" customHeight="true" outlineLevel="0" collapsed="false"/>
    <row r="3355" customFormat="false" ht="11.25" hidden="false" customHeight="true" outlineLevel="0" collapsed="false"/>
    <row r="3356" customFormat="false" ht="11.25" hidden="false" customHeight="true" outlineLevel="0" collapsed="false"/>
    <row r="3357" customFormat="false" ht="11.25" hidden="false" customHeight="true" outlineLevel="0" collapsed="false"/>
    <row r="3358" customFormat="false" ht="11.25" hidden="false" customHeight="true" outlineLevel="0" collapsed="false"/>
    <row r="3359" customFormat="false" ht="11.25" hidden="false" customHeight="true" outlineLevel="0" collapsed="false"/>
    <row r="3360" customFormat="false" ht="11.25" hidden="false" customHeight="true" outlineLevel="0" collapsed="false"/>
    <row r="3361" customFormat="false" ht="11.25" hidden="false" customHeight="true" outlineLevel="0" collapsed="false"/>
    <row r="3362" customFormat="false" ht="11.25" hidden="false" customHeight="true" outlineLevel="0" collapsed="false"/>
    <row r="3363" customFormat="false" ht="11.25" hidden="false" customHeight="true" outlineLevel="0" collapsed="false"/>
    <row r="3364" customFormat="false" ht="11.25" hidden="false" customHeight="true" outlineLevel="0" collapsed="false"/>
    <row r="3365" customFormat="false" ht="11.25" hidden="false" customHeight="true" outlineLevel="0" collapsed="false"/>
    <row r="3366" customFormat="false" ht="11.25" hidden="false" customHeight="true" outlineLevel="0" collapsed="false"/>
    <row r="3367" customFormat="false" ht="11.25" hidden="false" customHeight="true" outlineLevel="0" collapsed="false"/>
    <row r="3368" customFormat="false" ht="11.25" hidden="false" customHeight="true" outlineLevel="0" collapsed="false"/>
    <row r="3369" customFormat="false" ht="11.25" hidden="false" customHeight="true" outlineLevel="0" collapsed="false"/>
    <row r="3370" customFormat="false" ht="11.25" hidden="false" customHeight="true" outlineLevel="0" collapsed="false"/>
    <row r="3371" customFormat="false" ht="11.25" hidden="false" customHeight="true" outlineLevel="0" collapsed="false"/>
    <row r="3372" customFormat="false" ht="11.25" hidden="false" customHeight="true" outlineLevel="0" collapsed="false"/>
    <row r="3373" customFormat="false" ht="11.25" hidden="false" customHeight="true" outlineLevel="0" collapsed="false"/>
    <row r="3374" customFormat="false" ht="11.25" hidden="false" customHeight="true" outlineLevel="0" collapsed="false"/>
    <row r="3375" customFormat="false" ht="11.25" hidden="false" customHeight="true" outlineLevel="0" collapsed="false"/>
    <row r="3376" customFormat="false" ht="11.25" hidden="false" customHeight="true" outlineLevel="0" collapsed="false"/>
    <row r="3377" customFormat="false" ht="11.25" hidden="false" customHeight="true" outlineLevel="0" collapsed="false"/>
    <row r="3378" customFormat="false" ht="11.25" hidden="false" customHeight="true" outlineLevel="0" collapsed="false"/>
    <row r="3379" customFormat="false" ht="11.25" hidden="false" customHeight="true" outlineLevel="0" collapsed="false"/>
    <row r="3380" customFormat="false" ht="11.25" hidden="false" customHeight="true" outlineLevel="0" collapsed="false"/>
    <row r="3381" customFormat="false" ht="11.25" hidden="false" customHeight="true" outlineLevel="0" collapsed="false"/>
    <row r="3382" customFormat="false" ht="11.25" hidden="false" customHeight="true" outlineLevel="0" collapsed="false"/>
    <row r="3383" customFormat="false" ht="11.25" hidden="false" customHeight="true" outlineLevel="0" collapsed="false"/>
    <row r="3384" customFormat="false" ht="11.25" hidden="false" customHeight="true" outlineLevel="0" collapsed="false"/>
    <row r="3385" customFormat="false" ht="11.25" hidden="false" customHeight="true" outlineLevel="0" collapsed="false"/>
    <row r="3386" customFormat="false" ht="11.25" hidden="false" customHeight="true" outlineLevel="0" collapsed="false"/>
    <row r="3387" customFormat="false" ht="11.25" hidden="false" customHeight="true" outlineLevel="0" collapsed="false"/>
    <row r="3388" customFormat="false" ht="11.25" hidden="false" customHeight="true" outlineLevel="0" collapsed="false"/>
    <row r="3389" customFormat="false" ht="11.25" hidden="false" customHeight="true" outlineLevel="0" collapsed="false"/>
    <row r="3390" customFormat="false" ht="11.25" hidden="false" customHeight="true" outlineLevel="0" collapsed="false"/>
    <row r="3391" customFormat="false" ht="11.25" hidden="false" customHeight="true" outlineLevel="0" collapsed="false"/>
    <row r="3392" customFormat="false" ht="11.25" hidden="false" customHeight="true" outlineLevel="0" collapsed="false"/>
    <row r="3393" customFormat="false" ht="11.25" hidden="false" customHeight="true" outlineLevel="0" collapsed="false"/>
    <row r="3394" customFormat="false" ht="11.25" hidden="false" customHeight="true" outlineLevel="0" collapsed="false"/>
    <row r="3395" customFormat="false" ht="11.25" hidden="false" customHeight="true" outlineLevel="0" collapsed="false"/>
    <row r="3396" customFormat="false" ht="11.25" hidden="false" customHeight="true" outlineLevel="0" collapsed="false"/>
    <row r="3397" customFormat="false" ht="11.25" hidden="false" customHeight="true" outlineLevel="0" collapsed="false"/>
    <row r="3398" customFormat="false" ht="11.25" hidden="false" customHeight="true" outlineLevel="0" collapsed="false"/>
    <row r="3399" customFormat="false" ht="11.25" hidden="false" customHeight="true" outlineLevel="0" collapsed="false"/>
    <row r="3400" customFormat="false" ht="11.25" hidden="false" customHeight="true" outlineLevel="0" collapsed="false"/>
    <row r="3401" customFormat="false" ht="11.25" hidden="false" customHeight="true" outlineLevel="0" collapsed="false"/>
    <row r="3402" customFormat="false" ht="11.25" hidden="false" customHeight="true" outlineLevel="0" collapsed="false"/>
    <row r="3403" customFormat="false" ht="11.25" hidden="false" customHeight="true" outlineLevel="0" collapsed="false"/>
    <row r="3404" customFormat="false" ht="11.25" hidden="false" customHeight="true" outlineLevel="0" collapsed="false"/>
    <row r="3405" customFormat="false" ht="11.25" hidden="false" customHeight="true" outlineLevel="0" collapsed="false"/>
    <row r="3406" customFormat="false" ht="11.25" hidden="false" customHeight="true" outlineLevel="0" collapsed="false"/>
    <row r="3407" customFormat="false" ht="11.25" hidden="false" customHeight="true" outlineLevel="0" collapsed="false"/>
    <row r="3408" customFormat="false" ht="11.25" hidden="false" customHeight="true" outlineLevel="0" collapsed="false"/>
    <row r="3409" customFormat="false" ht="11.25" hidden="false" customHeight="true" outlineLevel="0" collapsed="false"/>
    <row r="3410" customFormat="false" ht="11.25" hidden="false" customHeight="true" outlineLevel="0" collapsed="false"/>
    <row r="3411" customFormat="false" ht="11.25" hidden="false" customHeight="true" outlineLevel="0" collapsed="false"/>
    <row r="3412" customFormat="false" ht="11.25" hidden="false" customHeight="true" outlineLevel="0" collapsed="false"/>
    <row r="3413" customFormat="false" ht="11.25" hidden="false" customHeight="true" outlineLevel="0" collapsed="false"/>
    <row r="3414" customFormat="false" ht="11.25" hidden="false" customHeight="true" outlineLevel="0" collapsed="false"/>
    <row r="3415" customFormat="false" ht="11.25" hidden="false" customHeight="true" outlineLevel="0" collapsed="false"/>
    <row r="3416" customFormat="false" ht="11.25" hidden="false" customHeight="true" outlineLevel="0" collapsed="false"/>
    <row r="3417" customFormat="false" ht="11.25" hidden="false" customHeight="true" outlineLevel="0" collapsed="false"/>
    <row r="3418" customFormat="false" ht="11.25" hidden="false" customHeight="true" outlineLevel="0" collapsed="false"/>
    <row r="3419" customFormat="false" ht="11.25" hidden="false" customHeight="true" outlineLevel="0" collapsed="false"/>
    <row r="3420" customFormat="false" ht="11.25" hidden="false" customHeight="true" outlineLevel="0" collapsed="false"/>
    <row r="3421" customFormat="false" ht="11.25" hidden="false" customHeight="true" outlineLevel="0" collapsed="false"/>
    <row r="3422" customFormat="false" ht="11.25" hidden="false" customHeight="true" outlineLevel="0" collapsed="false"/>
    <row r="3423" customFormat="false" ht="11.25" hidden="false" customHeight="true" outlineLevel="0" collapsed="false"/>
    <row r="3424" customFormat="false" ht="11.25" hidden="false" customHeight="true" outlineLevel="0" collapsed="false"/>
    <row r="3425" customFormat="false" ht="11.25" hidden="false" customHeight="true" outlineLevel="0" collapsed="false"/>
    <row r="3426" customFormat="false" ht="11.25" hidden="false" customHeight="true" outlineLevel="0" collapsed="false"/>
    <row r="3427" customFormat="false" ht="11.25" hidden="false" customHeight="true" outlineLevel="0" collapsed="false"/>
    <row r="3428" customFormat="false" ht="11.25" hidden="false" customHeight="true" outlineLevel="0" collapsed="false"/>
    <row r="3429" customFormat="false" ht="11.25" hidden="false" customHeight="true" outlineLevel="0" collapsed="false"/>
    <row r="3430" customFormat="false" ht="11.25" hidden="false" customHeight="true" outlineLevel="0" collapsed="false"/>
    <row r="3431" customFormat="false" ht="11.25" hidden="false" customHeight="true" outlineLevel="0" collapsed="false"/>
    <row r="3432" customFormat="false" ht="11.25" hidden="false" customHeight="true" outlineLevel="0" collapsed="false"/>
    <row r="3433" customFormat="false" ht="11.25" hidden="false" customHeight="true" outlineLevel="0" collapsed="false"/>
    <row r="3434" customFormat="false" ht="11.25" hidden="false" customHeight="true" outlineLevel="0" collapsed="false"/>
    <row r="3435" customFormat="false" ht="11.25" hidden="false" customHeight="true" outlineLevel="0" collapsed="false"/>
    <row r="3436" customFormat="false" ht="11.25" hidden="false" customHeight="true" outlineLevel="0" collapsed="false"/>
    <row r="3437" customFormat="false" ht="11.25" hidden="false" customHeight="true" outlineLevel="0" collapsed="false"/>
    <row r="3438" customFormat="false" ht="11.25" hidden="false" customHeight="true" outlineLevel="0" collapsed="false"/>
    <row r="3439" customFormat="false" ht="11.25" hidden="false" customHeight="true" outlineLevel="0" collapsed="false"/>
    <row r="3440" customFormat="false" ht="11.25" hidden="false" customHeight="true" outlineLevel="0" collapsed="false"/>
    <row r="3441" customFormat="false" ht="11.25" hidden="false" customHeight="true" outlineLevel="0" collapsed="false"/>
    <row r="3442" customFormat="false" ht="11.25" hidden="false" customHeight="true" outlineLevel="0" collapsed="false"/>
    <row r="3443" customFormat="false" ht="11.25" hidden="false" customHeight="true" outlineLevel="0" collapsed="false"/>
    <row r="3444" customFormat="false" ht="11.25" hidden="false" customHeight="true" outlineLevel="0" collapsed="false"/>
    <row r="3445" customFormat="false" ht="11.25" hidden="false" customHeight="true" outlineLevel="0" collapsed="false"/>
    <row r="3446" customFormat="false" ht="11.25" hidden="false" customHeight="true" outlineLevel="0" collapsed="false"/>
    <row r="3447" customFormat="false" ht="11.25" hidden="false" customHeight="true" outlineLevel="0" collapsed="false"/>
    <row r="3448" customFormat="false" ht="11.25" hidden="false" customHeight="true" outlineLevel="0" collapsed="false"/>
    <row r="3449" customFormat="false" ht="11.25" hidden="false" customHeight="true" outlineLevel="0" collapsed="false"/>
    <row r="3450" customFormat="false" ht="11.25" hidden="false" customHeight="true" outlineLevel="0" collapsed="false"/>
    <row r="3451" customFormat="false" ht="11.25" hidden="false" customHeight="true" outlineLevel="0" collapsed="false"/>
    <row r="3452" customFormat="false" ht="11.25" hidden="false" customHeight="true" outlineLevel="0" collapsed="false"/>
    <row r="3453" customFormat="false" ht="11.25" hidden="false" customHeight="true" outlineLevel="0" collapsed="false"/>
    <row r="3454" customFormat="false" ht="11.25" hidden="false" customHeight="true" outlineLevel="0" collapsed="false"/>
    <row r="3455" customFormat="false" ht="11.25" hidden="false" customHeight="true" outlineLevel="0" collapsed="false"/>
    <row r="3456" customFormat="false" ht="11.25" hidden="false" customHeight="true" outlineLevel="0" collapsed="false"/>
    <row r="3457" customFormat="false" ht="11.25" hidden="false" customHeight="true" outlineLevel="0" collapsed="false"/>
    <row r="3458" customFormat="false" ht="11.25" hidden="false" customHeight="true" outlineLevel="0" collapsed="false"/>
    <row r="3459" customFormat="false" ht="11.25" hidden="false" customHeight="true" outlineLevel="0" collapsed="false"/>
    <row r="3460" customFormat="false" ht="11.25" hidden="false" customHeight="true" outlineLevel="0" collapsed="false"/>
    <row r="3461" customFormat="false" ht="11.25" hidden="false" customHeight="true" outlineLevel="0" collapsed="false"/>
    <row r="3462" customFormat="false" ht="11.25" hidden="false" customHeight="true" outlineLevel="0" collapsed="false"/>
    <row r="3463" customFormat="false" ht="11.25" hidden="false" customHeight="true" outlineLevel="0" collapsed="false"/>
    <row r="3464" customFormat="false" ht="11.25" hidden="false" customHeight="true" outlineLevel="0" collapsed="false"/>
    <row r="3465" customFormat="false" ht="11.25" hidden="false" customHeight="true" outlineLevel="0" collapsed="false"/>
    <row r="3466" customFormat="false" ht="11.25" hidden="false" customHeight="true" outlineLevel="0" collapsed="false"/>
    <row r="3467" customFormat="false" ht="11.25" hidden="false" customHeight="true" outlineLevel="0" collapsed="false"/>
    <row r="3468" customFormat="false" ht="11.25" hidden="false" customHeight="true" outlineLevel="0" collapsed="false"/>
    <row r="3469" customFormat="false" ht="11.25" hidden="false" customHeight="true" outlineLevel="0" collapsed="false"/>
    <row r="3470" customFormat="false" ht="11.25" hidden="false" customHeight="true" outlineLevel="0" collapsed="false"/>
    <row r="3471" customFormat="false" ht="11.25" hidden="false" customHeight="true" outlineLevel="0" collapsed="false"/>
    <row r="3472" customFormat="false" ht="11.25" hidden="false" customHeight="true" outlineLevel="0" collapsed="false"/>
    <row r="3473" customFormat="false" ht="11.25" hidden="false" customHeight="true" outlineLevel="0" collapsed="false"/>
    <row r="3474" customFormat="false" ht="11.25" hidden="false" customHeight="true" outlineLevel="0" collapsed="false"/>
    <row r="3475" customFormat="false" ht="11.25" hidden="false" customHeight="true" outlineLevel="0" collapsed="false"/>
    <row r="3476" customFormat="false" ht="11.25" hidden="false" customHeight="true" outlineLevel="0" collapsed="false"/>
    <row r="3477" customFormat="false" ht="11.25" hidden="false" customHeight="true" outlineLevel="0" collapsed="false"/>
    <row r="3478" customFormat="false" ht="11.25" hidden="false" customHeight="true" outlineLevel="0" collapsed="false"/>
    <row r="3479" customFormat="false" ht="11.25" hidden="false" customHeight="true" outlineLevel="0" collapsed="false"/>
    <row r="3480" customFormat="false" ht="11.25" hidden="false" customHeight="true" outlineLevel="0" collapsed="false"/>
    <row r="3481" customFormat="false" ht="11.25" hidden="false" customHeight="true" outlineLevel="0" collapsed="false"/>
    <row r="3482" customFormat="false" ht="11.25" hidden="false" customHeight="true" outlineLevel="0" collapsed="false"/>
    <row r="3483" customFormat="false" ht="11.25" hidden="false" customHeight="true" outlineLevel="0" collapsed="false"/>
    <row r="3484" customFormat="false" ht="11.25" hidden="false" customHeight="true" outlineLevel="0" collapsed="false"/>
    <row r="3485" customFormat="false" ht="11.25" hidden="false" customHeight="true" outlineLevel="0" collapsed="false"/>
    <row r="3486" customFormat="false" ht="11.25" hidden="false" customHeight="true" outlineLevel="0" collapsed="false"/>
    <row r="3487" customFormat="false" ht="11.25" hidden="false" customHeight="true" outlineLevel="0" collapsed="false"/>
    <row r="3488" customFormat="false" ht="11.25" hidden="false" customHeight="true" outlineLevel="0" collapsed="false"/>
    <row r="3489" customFormat="false" ht="11.25" hidden="false" customHeight="true" outlineLevel="0" collapsed="false"/>
    <row r="3490" customFormat="false" ht="11.25" hidden="false" customHeight="true" outlineLevel="0" collapsed="false"/>
    <row r="3491" customFormat="false" ht="11.25" hidden="false" customHeight="true" outlineLevel="0" collapsed="false"/>
    <row r="3492" customFormat="false" ht="11.25" hidden="false" customHeight="true" outlineLevel="0" collapsed="false"/>
    <row r="3493" customFormat="false" ht="11.25" hidden="false" customHeight="true" outlineLevel="0" collapsed="false"/>
    <row r="3494" customFormat="false" ht="11.25" hidden="false" customHeight="true" outlineLevel="0" collapsed="false"/>
    <row r="3495" customFormat="false" ht="11.25" hidden="false" customHeight="true" outlineLevel="0" collapsed="false"/>
    <row r="3496" customFormat="false" ht="11.25" hidden="false" customHeight="true" outlineLevel="0" collapsed="false"/>
    <row r="3497" customFormat="false" ht="11.25" hidden="false" customHeight="true" outlineLevel="0" collapsed="false"/>
    <row r="3498" customFormat="false" ht="11.25" hidden="false" customHeight="true" outlineLevel="0" collapsed="false"/>
    <row r="3499" customFormat="false" ht="11.25" hidden="false" customHeight="true" outlineLevel="0" collapsed="false"/>
    <row r="3500" customFormat="false" ht="11.25" hidden="false" customHeight="true" outlineLevel="0" collapsed="false"/>
    <row r="3501" customFormat="false" ht="11.25" hidden="false" customHeight="true" outlineLevel="0" collapsed="false"/>
    <row r="3502" customFormat="false" ht="11.25" hidden="false" customHeight="true" outlineLevel="0" collapsed="false"/>
    <row r="3503" customFormat="false" ht="11.25" hidden="false" customHeight="true" outlineLevel="0" collapsed="false"/>
    <row r="3504" customFormat="false" ht="11.25" hidden="false" customHeight="true" outlineLevel="0" collapsed="false"/>
    <row r="3505" customFormat="false" ht="11.25" hidden="false" customHeight="true" outlineLevel="0" collapsed="false"/>
    <row r="3506" customFormat="false" ht="11.25" hidden="false" customHeight="true" outlineLevel="0" collapsed="false"/>
    <row r="3507" customFormat="false" ht="11.25" hidden="false" customHeight="true" outlineLevel="0" collapsed="false"/>
    <row r="3508" customFormat="false" ht="11.25" hidden="false" customHeight="true" outlineLevel="0" collapsed="false"/>
    <row r="3509" customFormat="false" ht="11.25" hidden="false" customHeight="true" outlineLevel="0" collapsed="false"/>
    <row r="3510" customFormat="false" ht="11.25" hidden="false" customHeight="true" outlineLevel="0" collapsed="false"/>
    <row r="3511" customFormat="false" ht="11.25" hidden="false" customHeight="true" outlineLevel="0" collapsed="false"/>
    <row r="3512" customFormat="false" ht="11.25" hidden="false" customHeight="true" outlineLevel="0" collapsed="false"/>
    <row r="3513" customFormat="false" ht="11.25" hidden="false" customHeight="true" outlineLevel="0" collapsed="false"/>
    <row r="3514" customFormat="false" ht="11.25" hidden="false" customHeight="true" outlineLevel="0" collapsed="false"/>
    <row r="3515" customFormat="false" ht="11.25" hidden="false" customHeight="true" outlineLevel="0" collapsed="false"/>
    <row r="3516" customFormat="false" ht="11.25" hidden="false" customHeight="true" outlineLevel="0" collapsed="false"/>
    <row r="3517" customFormat="false" ht="11.25" hidden="false" customHeight="true" outlineLevel="0" collapsed="false"/>
    <row r="3518" customFormat="false" ht="11.25" hidden="false" customHeight="true" outlineLevel="0" collapsed="false"/>
    <row r="3519" customFormat="false" ht="11.25" hidden="false" customHeight="true" outlineLevel="0" collapsed="false"/>
    <row r="3520" customFormat="false" ht="11.25" hidden="false" customHeight="true" outlineLevel="0" collapsed="false"/>
    <row r="3521" customFormat="false" ht="11.25" hidden="false" customHeight="true" outlineLevel="0" collapsed="false"/>
    <row r="3522" customFormat="false" ht="11.25" hidden="false" customHeight="true" outlineLevel="0" collapsed="false"/>
    <row r="3523" customFormat="false" ht="11.25" hidden="false" customHeight="true" outlineLevel="0" collapsed="false"/>
    <row r="3524" customFormat="false" ht="11.25" hidden="false" customHeight="true" outlineLevel="0" collapsed="false"/>
    <row r="3525" customFormat="false" ht="11.25" hidden="false" customHeight="true" outlineLevel="0" collapsed="false"/>
    <row r="3526" customFormat="false" ht="11.25" hidden="false" customHeight="true" outlineLevel="0" collapsed="false"/>
    <row r="3527" customFormat="false" ht="11.25" hidden="false" customHeight="true" outlineLevel="0" collapsed="false"/>
    <row r="3528" customFormat="false" ht="11.25" hidden="false" customHeight="true" outlineLevel="0" collapsed="false"/>
    <row r="3529" customFormat="false" ht="11.25" hidden="false" customHeight="true" outlineLevel="0" collapsed="false"/>
    <row r="3530" customFormat="false" ht="11.25" hidden="false" customHeight="true" outlineLevel="0" collapsed="false"/>
    <row r="3531" customFormat="false" ht="11.25" hidden="false" customHeight="true" outlineLevel="0" collapsed="false"/>
    <row r="3532" customFormat="false" ht="11.25" hidden="false" customHeight="true" outlineLevel="0" collapsed="false"/>
    <row r="3533" customFormat="false" ht="11.25" hidden="false" customHeight="true" outlineLevel="0" collapsed="false"/>
    <row r="3534" customFormat="false" ht="11.25" hidden="false" customHeight="true" outlineLevel="0" collapsed="false"/>
    <row r="3535" customFormat="false" ht="11.25" hidden="false" customHeight="true" outlineLevel="0" collapsed="false"/>
    <row r="3536" customFormat="false" ht="11.25" hidden="false" customHeight="true" outlineLevel="0" collapsed="false"/>
    <row r="3537" customFormat="false" ht="11.25" hidden="false" customHeight="true" outlineLevel="0" collapsed="false"/>
    <row r="3538" customFormat="false" ht="11.25" hidden="false" customHeight="true" outlineLevel="0" collapsed="false"/>
    <row r="3539" customFormat="false" ht="11.25" hidden="false" customHeight="true" outlineLevel="0" collapsed="false"/>
    <row r="3540" customFormat="false" ht="11.25" hidden="false" customHeight="true" outlineLevel="0" collapsed="false"/>
    <row r="3541" customFormat="false" ht="11.25" hidden="false" customHeight="true" outlineLevel="0" collapsed="false"/>
    <row r="3542" customFormat="false" ht="11.25" hidden="false" customHeight="true" outlineLevel="0" collapsed="false"/>
    <row r="3543" customFormat="false" ht="11.25" hidden="false" customHeight="true" outlineLevel="0" collapsed="false"/>
    <row r="3544" customFormat="false" ht="11.25" hidden="false" customHeight="true" outlineLevel="0" collapsed="false"/>
    <row r="3545" customFormat="false" ht="11.25" hidden="false" customHeight="true" outlineLevel="0" collapsed="false"/>
    <row r="3546" customFormat="false" ht="11.25" hidden="false" customHeight="true" outlineLevel="0" collapsed="false"/>
    <row r="3547" customFormat="false" ht="11.25" hidden="false" customHeight="true" outlineLevel="0" collapsed="false"/>
    <row r="3548" customFormat="false" ht="11.25" hidden="false" customHeight="true" outlineLevel="0" collapsed="false"/>
    <row r="3549" customFormat="false" ht="11.25" hidden="false" customHeight="true" outlineLevel="0" collapsed="false"/>
    <row r="3550" customFormat="false" ht="11.25" hidden="false" customHeight="true" outlineLevel="0" collapsed="false"/>
    <row r="3551" customFormat="false" ht="11.25" hidden="false" customHeight="true" outlineLevel="0" collapsed="false"/>
    <row r="3552" customFormat="false" ht="11.25" hidden="false" customHeight="true" outlineLevel="0" collapsed="false"/>
    <row r="3553" customFormat="false" ht="11.25" hidden="false" customHeight="true" outlineLevel="0" collapsed="false"/>
    <row r="3554" customFormat="false" ht="11.25" hidden="false" customHeight="true" outlineLevel="0" collapsed="false"/>
    <row r="3555" customFormat="false" ht="11.25" hidden="false" customHeight="true" outlineLevel="0" collapsed="false"/>
    <row r="3556" customFormat="false" ht="11.25" hidden="false" customHeight="true" outlineLevel="0" collapsed="false"/>
    <row r="3557" customFormat="false" ht="11.25" hidden="false" customHeight="true" outlineLevel="0" collapsed="false"/>
    <row r="3558" customFormat="false" ht="11.25" hidden="false" customHeight="true" outlineLevel="0" collapsed="false"/>
    <row r="3559" customFormat="false" ht="11.25" hidden="false" customHeight="true" outlineLevel="0" collapsed="false"/>
    <row r="3560" customFormat="false" ht="11.25" hidden="false" customHeight="true" outlineLevel="0" collapsed="false"/>
    <row r="3561" customFormat="false" ht="11.25" hidden="false" customHeight="true" outlineLevel="0" collapsed="false"/>
    <row r="3562" customFormat="false" ht="11.25" hidden="false" customHeight="true" outlineLevel="0" collapsed="false"/>
    <row r="3563" customFormat="false" ht="11.25" hidden="false" customHeight="true" outlineLevel="0" collapsed="false"/>
    <row r="3564" customFormat="false" ht="11.25" hidden="false" customHeight="true" outlineLevel="0" collapsed="false"/>
    <row r="3565" customFormat="false" ht="11.25" hidden="false" customHeight="true" outlineLevel="0" collapsed="false"/>
    <row r="3566" customFormat="false" ht="11.25" hidden="false" customHeight="true" outlineLevel="0" collapsed="false"/>
    <row r="3567" customFormat="false" ht="11.25" hidden="false" customHeight="true" outlineLevel="0" collapsed="false"/>
    <row r="3568" customFormat="false" ht="11.25" hidden="false" customHeight="true" outlineLevel="0" collapsed="false"/>
    <row r="3569" customFormat="false" ht="11.25" hidden="false" customHeight="true" outlineLevel="0" collapsed="false"/>
    <row r="3570" customFormat="false" ht="11.25" hidden="false" customHeight="true" outlineLevel="0" collapsed="false"/>
    <row r="3571" customFormat="false" ht="11.25" hidden="false" customHeight="true" outlineLevel="0" collapsed="false"/>
    <row r="3572" customFormat="false" ht="11.25" hidden="false" customHeight="true" outlineLevel="0" collapsed="false"/>
    <row r="3573" customFormat="false" ht="11.25" hidden="false" customHeight="true" outlineLevel="0" collapsed="false"/>
    <row r="3574" customFormat="false" ht="11.25" hidden="false" customHeight="true" outlineLevel="0" collapsed="false"/>
    <row r="3575" customFormat="false" ht="11.25" hidden="false" customHeight="true" outlineLevel="0" collapsed="false"/>
    <row r="3576" customFormat="false" ht="11.25" hidden="false" customHeight="true" outlineLevel="0" collapsed="false"/>
    <row r="3577" customFormat="false" ht="11.25" hidden="false" customHeight="true" outlineLevel="0" collapsed="false"/>
    <row r="3578" customFormat="false" ht="11.25" hidden="false" customHeight="true" outlineLevel="0" collapsed="false"/>
    <row r="3579" customFormat="false" ht="11.25" hidden="false" customHeight="true" outlineLevel="0" collapsed="false"/>
    <row r="3580" customFormat="false" ht="11.25" hidden="false" customHeight="true" outlineLevel="0" collapsed="false"/>
    <row r="3581" customFormat="false" ht="11.25" hidden="false" customHeight="true" outlineLevel="0" collapsed="false"/>
    <row r="3582" customFormat="false" ht="11.25" hidden="false" customHeight="true" outlineLevel="0" collapsed="false"/>
    <row r="3583" customFormat="false" ht="11.25" hidden="false" customHeight="true" outlineLevel="0" collapsed="false"/>
    <row r="3584" customFormat="false" ht="11.25" hidden="false" customHeight="true" outlineLevel="0" collapsed="false"/>
    <row r="3585" customFormat="false" ht="11.25" hidden="false" customHeight="true" outlineLevel="0" collapsed="false"/>
    <row r="3586" customFormat="false" ht="11.25" hidden="false" customHeight="true" outlineLevel="0" collapsed="false"/>
    <row r="3587" customFormat="false" ht="11.25" hidden="false" customHeight="true" outlineLevel="0" collapsed="false"/>
    <row r="3588" customFormat="false" ht="11.25" hidden="false" customHeight="true" outlineLevel="0" collapsed="false"/>
    <row r="3589" customFormat="false" ht="11.25" hidden="false" customHeight="true" outlineLevel="0" collapsed="false"/>
    <row r="3590" customFormat="false" ht="11.25" hidden="false" customHeight="true" outlineLevel="0" collapsed="false"/>
    <row r="3591" customFormat="false" ht="11.25" hidden="false" customHeight="true" outlineLevel="0" collapsed="false"/>
    <row r="3592" customFormat="false" ht="11.25" hidden="false" customHeight="true" outlineLevel="0" collapsed="false"/>
    <row r="3593" customFormat="false" ht="11.25" hidden="false" customHeight="true" outlineLevel="0" collapsed="false"/>
    <row r="3594" customFormat="false" ht="11.25" hidden="false" customHeight="true" outlineLevel="0" collapsed="false"/>
    <row r="3595" customFormat="false" ht="11.25" hidden="false" customHeight="true" outlineLevel="0" collapsed="false"/>
    <row r="3596" customFormat="false" ht="11.25" hidden="false" customHeight="true" outlineLevel="0" collapsed="false"/>
    <row r="3597" customFormat="false" ht="11.25" hidden="false" customHeight="true" outlineLevel="0" collapsed="false"/>
    <row r="3598" customFormat="false" ht="11.25" hidden="false" customHeight="true" outlineLevel="0" collapsed="false"/>
    <row r="3599" customFormat="false" ht="11.25" hidden="false" customHeight="true" outlineLevel="0" collapsed="false"/>
    <row r="3600" customFormat="false" ht="11.25" hidden="false" customHeight="true" outlineLevel="0" collapsed="false"/>
    <row r="3601" customFormat="false" ht="11.25" hidden="false" customHeight="true" outlineLevel="0" collapsed="false"/>
    <row r="3602" customFormat="false" ht="11.25" hidden="false" customHeight="true" outlineLevel="0" collapsed="false"/>
    <row r="3603" customFormat="false" ht="11.25" hidden="false" customHeight="true" outlineLevel="0" collapsed="false"/>
    <row r="3604" customFormat="false" ht="11.25" hidden="false" customHeight="true" outlineLevel="0" collapsed="false"/>
    <row r="3605" customFormat="false" ht="11.25" hidden="false" customHeight="true" outlineLevel="0" collapsed="false"/>
    <row r="3606" customFormat="false" ht="11.25" hidden="false" customHeight="true" outlineLevel="0" collapsed="false"/>
    <row r="3607" customFormat="false" ht="11.25" hidden="false" customHeight="true" outlineLevel="0" collapsed="false"/>
    <row r="3608" customFormat="false" ht="11.25" hidden="false" customHeight="true" outlineLevel="0" collapsed="false"/>
    <row r="3609" customFormat="false" ht="11.25" hidden="false" customHeight="true" outlineLevel="0" collapsed="false"/>
    <row r="3610" customFormat="false" ht="11.25" hidden="false" customHeight="true" outlineLevel="0" collapsed="false"/>
    <row r="3611" customFormat="false" ht="11.25" hidden="false" customHeight="true" outlineLevel="0" collapsed="false"/>
    <row r="3612" customFormat="false" ht="11.25" hidden="false" customHeight="true" outlineLevel="0" collapsed="false"/>
    <row r="3613" customFormat="false" ht="11.25" hidden="false" customHeight="true" outlineLevel="0" collapsed="false"/>
    <row r="3614" customFormat="false" ht="11.25" hidden="false" customHeight="true" outlineLevel="0" collapsed="false"/>
    <row r="3615" customFormat="false" ht="11.25" hidden="false" customHeight="true" outlineLevel="0" collapsed="false"/>
    <row r="3616" customFormat="false" ht="11.25" hidden="false" customHeight="true" outlineLevel="0" collapsed="false"/>
    <row r="3617" customFormat="false" ht="11.25" hidden="false" customHeight="true" outlineLevel="0" collapsed="false"/>
    <row r="3618" customFormat="false" ht="11.25" hidden="false" customHeight="true" outlineLevel="0" collapsed="false"/>
    <row r="3619" customFormat="false" ht="11.25" hidden="false" customHeight="true" outlineLevel="0" collapsed="false"/>
    <row r="3620" customFormat="false" ht="11.25" hidden="false" customHeight="true" outlineLevel="0" collapsed="false"/>
    <row r="3621" customFormat="false" ht="11.25" hidden="false" customHeight="true" outlineLevel="0" collapsed="false"/>
    <row r="3622" customFormat="false" ht="11.25" hidden="false" customHeight="true" outlineLevel="0" collapsed="false"/>
    <row r="3623" customFormat="false" ht="11.25" hidden="false" customHeight="true" outlineLevel="0" collapsed="false"/>
    <row r="3624" customFormat="false" ht="11.25" hidden="false" customHeight="true" outlineLevel="0" collapsed="false"/>
    <row r="3625" customFormat="false" ht="11.25" hidden="false" customHeight="true" outlineLevel="0" collapsed="false"/>
    <row r="3626" customFormat="false" ht="11.25" hidden="false" customHeight="true" outlineLevel="0" collapsed="false"/>
    <row r="3627" customFormat="false" ht="11.25" hidden="false" customHeight="true" outlineLevel="0" collapsed="false"/>
    <row r="3628" customFormat="false" ht="11.25" hidden="false" customHeight="true" outlineLevel="0" collapsed="false"/>
    <row r="3629" customFormat="false" ht="11.25" hidden="false" customHeight="true" outlineLevel="0" collapsed="false"/>
    <row r="3630" customFormat="false" ht="11.25" hidden="false" customHeight="true" outlineLevel="0" collapsed="false"/>
    <row r="3631" customFormat="false" ht="11.25" hidden="false" customHeight="true" outlineLevel="0" collapsed="false"/>
    <row r="3632" customFormat="false" ht="11.25" hidden="false" customHeight="true" outlineLevel="0" collapsed="false"/>
    <row r="3633" customFormat="false" ht="11.25" hidden="false" customHeight="true" outlineLevel="0" collapsed="false"/>
    <row r="3634" customFormat="false" ht="11.25" hidden="false" customHeight="true" outlineLevel="0" collapsed="false"/>
    <row r="3635" customFormat="false" ht="11.25" hidden="false" customHeight="true" outlineLevel="0" collapsed="false"/>
    <row r="3636" customFormat="false" ht="11.25" hidden="false" customHeight="true" outlineLevel="0" collapsed="false"/>
    <row r="3637" customFormat="false" ht="11.25" hidden="false" customHeight="true" outlineLevel="0" collapsed="false"/>
    <row r="3638" customFormat="false" ht="11.25" hidden="false" customHeight="true" outlineLevel="0" collapsed="false"/>
    <row r="3639" customFormat="false" ht="11.25" hidden="false" customHeight="true" outlineLevel="0" collapsed="false"/>
    <row r="3640" customFormat="false" ht="11.25" hidden="false" customHeight="true" outlineLevel="0" collapsed="false"/>
    <row r="3641" customFormat="false" ht="11.25" hidden="false" customHeight="true" outlineLevel="0" collapsed="false"/>
    <row r="3642" customFormat="false" ht="11.25" hidden="false" customHeight="true" outlineLevel="0" collapsed="false"/>
    <row r="3643" customFormat="false" ht="11.25" hidden="false" customHeight="true" outlineLevel="0" collapsed="false"/>
    <row r="3644" customFormat="false" ht="11.25" hidden="false" customHeight="true" outlineLevel="0" collapsed="false"/>
    <row r="3645" customFormat="false" ht="11.25" hidden="false" customHeight="true" outlineLevel="0" collapsed="false"/>
    <row r="3646" customFormat="false" ht="11.25" hidden="false" customHeight="true" outlineLevel="0" collapsed="false"/>
    <row r="3647" customFormat="false" ht="11.25" hidden="false" customHeight="true" outlineLevel="0" collapsed="false"/>
    <row r="3648" customFormat="false" ht="11.25" hidden="false" customHeight="true" outlineLevel="0" collapsed="false"/>
    <row r="3649" customFormat="false" ht="11.25" hidden="false" customHeight="true" outlineLevel="0" collapsed="false"/>
    <row r="3650" customFormat="false" ht="11.25" hidden="false" customHeight="true" outlineLevel="0" collapsed="false"/>
    <row r="3651" customFormat="false" ht="11.25" hidden="false" customHeight="true" outlineLevel="0" collapsed="false"/>
    <row r="3652" customFormat="false" ht="11.25" hidden="false" customHeight="true" outlineLevel="0" collapsed="false"/>
    <row r="3653" customFormat="false" ht="11.25" hidden="false" customHeight="true" outlineLevel="0" collapsed="false"/>
    <row r="3654" customFormat="false" ht="11.25" hidden="false" customHeight="true" outlineLevel="0" collapsed="false"/>
    <row r="3655" customFormat="false" ht="11.25" hidden="false" customHeight="true" outlineLevel="0" collapsed="false"/>
    <row r="3656" customFormat="false" ht="11.25" hidden="false" customHeight="true" outlineLevel="0" collapsed="false"/>
    <row r="3657" customFormat="false" ht="11.25" hidden="false" customHeight="true" outlineLevel="0" collapsed="false"/>
    <row r="3658" customFormat="false" ht="11.25" hidden="false" customHeight="true" outlineLevel="0" collapsed="false"/>
    <row r="3659" customFormat="false" ht="11.25" hidden="false" customHeight="true" outlineLevel="0" collapsed="false"/>
    <row r="3660" customFormat="false" ht="11.25" hidden="false" customHeight="true" outlineLevel="0" collapsed="false"/>
    <row r="3661" customFormat="false" ht="11.25" hidden="false" customHeight="true" outlineLevel="0" collapsed="false"/>
    <row r="3662" customFormat="false" ht="11.25" hidden="false" customHeight="true" outlineLevel="0" collapsed="false"/>
    <row r="3663" customFormat="false" ht="11.25" hidden="false" customHeight="true" outlineLevel="0" collapsed="false"/>
    <row r="3664" customFormat="false" ht="11.25" hidden="false" customHeight="true" outlineLevel="0" collapsed="false"/>
    <row r="3665" customFormat="false" ht="11.25" hidden="false" customHeight="true" outlineLevel="0" collapsed="false"/>
    <row r="3666" customFormat="false" ht="11.25" hidden="false" customHeight="true" outlineLevel="0" collapsed="false"/>
    <row r="3667" customFormat="false" ht="11.25" hidden="false" customHeight="true" outlineLevel="0" collapsed="false"/>
    <row r="3668" customFormat="false" ht="11.25" hidden="false" customHeight="true" outlineLevel="0" collapsed="false"/>
    <row r="3669" customFormat="false" ht="11.25" hidden="false" customHeight="true" outlineLevel="0" collapsed="false"/>
    <row r="3670" customFormat="false" ht="11.25" hidden="false" customHeight="true" outlineLevel="0" collapsed="false"/>
    <row r="3671" customFormat="false" ht="11.25" hidden="false" customHeight="true" outlineLevel="0" collapsed="false"/>
    <row r="3672" customFormat="false" ht="11.25" hidden="false" customHeight="true" outlineLevel="0" collapsed="false"/>
    <row r="3673" customFormat="false" ht="11.25" hidden="false" customHeight="true" outlineLevel="0" collapsed="false"/>
    <row r="3674" customFormat="false" ht="11.25" hidden="false" customHeight="true" outlineLevel="0" collapsed="false"/>
    <row r="3675" customFormat="false" ht="11.25" hidden="false" customHeight="true" outlineLevel="0" collapsed="false"/>
    <row r="3676" customFormat="false" ht="11.25" hidden="false" customHeight="true" outlineLevel="0" collapsed="false"/>
    <row r="3677" customFormat="false" ht="11.25" hidden="false" customHeight="true" outlineLevel="0" collapsed="false"/>
    <row r="3678" customFormat="false" ht="11.25" hidden="false" customHeight="true" outlineLevel="0" collapsed="false"/>
    <row r="3679" customFormat="false" ht="11.25" hidden="false" customHeight="true" outlineLevel="0" collapsed="false"/>
    <row r="3680" customFormat="false" ht="11.25" hidden="false" customHeight="true" outlineLevel="0" collapsed="false"/>
    <row r="3681" customFormat="false" ht="11.25" hidden="false" customHeight="true" outlineLevel="0" collapsed="false"/>
    <row r="3682" customFormat="false" ht="11.25" hidden="false" customHeight="true" outlineLevel="0" collapsed="false"/>
    <row r="3683" customFormat="false" ht="11.25" hidden="false" customHeight="true" outlineLevel="0" collapsed="false"/>
    <row r="3684" customFormat="false" ht="11.25" hidden="false" customHeight="true" outlineLevel="0" collapsed="false"/>
    <row r="3685" customFormat="false" ht="11.25" hidden="false" customHeight="true" outlineLevel="0" collapsed="false"/>
    <row r="3686" customFormat="false" ht="11.25" hidden="false" customHeight="true" outlineLevel="0" collapsed="false"/>
    <row r="3687" customFormat="false" ht="11.25" hidden="false" customHeight="true" outlineLevel="0" collapsed="false"/>
    <row r="3688" customFormat="false" ht="11.25" hidden="false" customHeight="true" outlineLevel="0" collapsed="false"/>
    <row r="3689" customFormat="false" ht="11.25" hidden="false" customHeight="true" outlineLevel="0" collapsed="false"/>
    <row r="3690" customFormat="false" ht="11.25" hidden="false" customHeight="true" outlineLevel="0" collapsed="false"/>
    <row r="3691" customFormat="false" ht="11.25" hidden="false" customHeight="true" outlineLevel="0" collapsed="false"/>
    <row r="3692" customFormat="false" ht="11.25" hidden="false" customHeight="true" outlineLevel="0" collapsed="false"/>
    <row r="3693" customFormat="false" ht="11.25" hidden="false" customHeight="true" outlineLevel="0" collapsed="false"/>
    <row r="3694" customFormat="false" ht="11.25" hidden="false" customHeight="true" outlineLevel="0" collapsed="false"/>
    <row r="3695" customFormat="false" ht="11.25" hidden="false" customHeight="true" outlineLevel="0" collapsed="false"/>
    <row r="3696" customFormat="false" ht="11.25" hidden="false" customHeight="true" outlineLevel="0" collapsed="false"/>
    <row r="3697" customFormat="false" ht="11.25" hidden="false" customHeight="true" outlineLevel="0" collapsed="false"/>
    <row r="3698" customFormat="false" ht="11.25" hidden="false" customHeight="true" outlineLevel="0" collapsed="false"/>
    <row r="3699" customFormat="false" ht="11.25" hidden="false" customHeight="true" outlineLevel="0" collapsed="false"/>
    <row r="3700" customFormat="false" ht="11.25" hidden="false" customHeight="true" outlineLevel="0" collapsed="false"/>
    <row r="3701" customFormat="false" ht="11.25" hidden="false" customHeight="true" outlineLevel="0" collapsed="false"/>
    <row r="3702" customFormat="false" ht="11.25" hidden="false" customHeight="true" outlineLevel="0" collapsed="false"/>
    <row r="3703" customFormat="false" ht="11.25" hidden="false" customHeight="true" outlineLevel="0" collapsed="false"/>
    <row r="3704" customFormat="false" ht="11.25" hidden="false" customHeight="true" outlineLevel="0" collapsed="false"/>
    <row r="3705" customFormat="false" ht="11.25" hidden="false" customHeight="true" outlineLevel="0" collapsed="false"/>
    <row r="3706" customFormat="false" ht="11.25" hidden="false" customHeight="true" outlineLevel="0" collapsed="false"/>
    <row r="3707" customFormat="false" ht="11.25" hidden="false" customHeight="true" outlineLevel="0" collapsed="false"/>
    <row r="3708" customFormat="false" ht="11.25" hidden="false" customHeight="true" outlineLevel="0" collapsed="false"/>
    <row r="3709" customFormat="false" ht="11.25" hidden="false" customHeight="true" outlineLevel="0" collapsed="false"/>
    <row r="3710" customFormat="false" ht="11.25" hidden="false" customHeight="true" outlineLevel="0" collapsed="false"/>
    <row r="3711" customFormat="false" ht="11.25" hidden="false" customHeight="true" outlineLevel="0" collapsed="false"/>
    <row r="3712" customFormat="false" ht="11.25" hidden="false" customHeight="true" outlineLevel="0" collapsed="false"/>
    <row r="3713" customFormat="false" ht="11.25" hidden="false" customHeight="true" outlineLevel="0" collapsed="false"/>
    <row r="3714" customFormat="false" ht="11.25" hidden="false" customHeight="true" outlineLevel="0" collapsed="false"/>
    <row r="3715" customFormat="false" ht="11.25" hidden="false" customHeight="true" outlineLevel="0" collapsed="false"/>
    <row r="3716" customFormat="false" ht="11.25" hidden="false" customHeight="true" outlineLevel="0" collapsed="false"/>
    <row r="3717" customFormat="false" ht="11.25" hidden="false" customHeight="true" outlineLevel="0" collapsed="false"/>
    <row r="3718" customFormat="false" ht="11.25" hidden="false" customHeight="true" outlineLevel="0" collapsed="false"/>
    <row r="3719" customFormat="false" ht="11.25" hidden="false" customHeight="true" outlineLevel="0" collapsed="false"/>
    <row r="3720" customFormat="false" ht="11.25" hidden="false" customHeight="true" outlineLevel="0" collapsed="false"/>
    <row r="3721" customFormat="false" ht="11.25" hidden="false" customHeight="true" outlineLevel="0" collapsed="false"/>
    <row r="3722" customFormat="false" ht="11.25" hidden="false" customHeight="true" outlineLevel="0" collapsed="false"/>
    <row r="3723" customFormat="false" ht="11.25" hidden="false" customHeight="true" outlineLevel="0" collapsed="false"/>
    <row r="3724" customFormat="false" ht="11.25" hidden="false" customHeight="true" outlineLevel="0" collapsed="false"/>
    <row r="3725" customFormat="false" ht="11.25" hidden="false" customHeight="true" outlineLevel="0" collapsed="false"/>
    <row r="3726" customFormat="false" ht="11.25" hidden="false" customHeight="true" outlineLevel="0" collapsed="false"/>
    <row r="3727" customFormat="false" ht="11.25" hidden="false" customHeight="true" outlineLevel="0" collapsed="false"/>
    <row r="3728" customFormat="false" ht="11.25" hidden="false" customHeight="true" outlineLevel="0" collapsed="false"/>
    <row r="3729" customFormat="false" ht="11.25" hidden="false" customHeight="true" outlineLevel="0" collapsed="false"/>
    <row r="3730" customFormat="false" ht="11.25" hidden="false" customHeight="true" outlineLevel="0" collapsed="false"/>
    <row r="3731" customFormat="false" ht="11.25" hidden="false" customHeight="true" outlineLevel="0" collapsed="false"/>
    <row r="3732" customFormat="false" ht="11.25" hidden="false" customHeight="true" outlineLevel="0" collapsed="false"/>
    <row r="3733" customFormat="false" ht="11.25" hidden="false" customHeight="true" outlineLevel="0" collapsed="false"/>
    <row r="3734" customFormat="false" ht="11.25" hidden="false" customHeight="true" outlineLevel="0" collapsed="false"/>
    <row r="3735" customFormat="false" ht="11.25" hidden="false" customHeight="true" outlineLevel="0" collapsed="false"/>
    <row r="3736" customFormat="false" ht="11.25" hidden="false" customHeight="true" outlineLevel="0" collapsed="false"/>
    <row r="3737" customFormat="false" ht="11.25" hidden="false" customHeight="true" outlineLevel="0" collapsed="false"/>
    <row r="3738" customFormat="false" ht="11.25" hidden="false" customHeight="true" outlineLevel="0" collapsed="false"/>
    <row r="3739" customFormat="false" ht="11.25" hidden="false" customHeight="true" outlineLevel="0" collapsed="false"/>
    <row r="3740" customFormat="false" ht="11.25" hidden="false" customHeight="true" outlineLevel="0" collapsed="false"/>
    <row r="3741" customFormat="false" ht="11.25" hidden="false" customHeight="true" outlineLevel="0" collapsed="false"/>
    <row r="3742" customFormat="false" ht="11.25" hidden="false" customHeight="true" outlineLevel="0" collapsed="false"/>
    <row r="3743" customFormat="false" ht="11.25" hidden="false" customHeight="true" outlineLevel="0" collapsed="false"/>
    <row r="3744" customFormat="false" ht="11.25" hidden="false" customHeight="true" outlineLevel="0" collapsed="false"/>
    <row r="3745" customFormat="false" ht="11.25" hidden="false" customHeight="true" outlineLevel="0" collapsed="false"/>
    <row r="3746" customFormat="false" ht="11.25" hidden="false" customHeight="true" outlineLevel="0" collapsed="false"/>
    <row r="3747" customFormat="false" ht="11.25" hidden="false" customHeight="true" outlineLevel="0" collapsed="false"/>
    <row r="3748" customFormat="false" ht="11.25" hidden="false" customHeight="true" outlineLevel="0" collapsed="false"/>
    <row r="3749" customFormat="false" ht="11.25" hidden="false" customHeight="true" outlineLevel="0" collapsed="false"/>
    <row r="3750" customFormat="false" ht="11.25" hidden="false" customHeight="true" outlineLevel="0" collapsed="false"/>
    <row r="3751" customFormat="false" ht="11.25" hidden="false" customHeight="true" outlineLevel="0" collapsed="false"/>
    <row r="3752" customFormat="false" ht="11.25" hidden="false" customHeight="true" outlineLevel="0" collapsed="false"/>
    <row r="3753" customFormat="false" ht="11.25" hidden="false" customHeight="true" outlineLevel="0" collapsed="false"/>
    <row r="3754" customFormat="false" ht="11.25" hidden="false" customHeight="true" outlineLevel="0" collapsed="false"/>
    <row r="3755" customFormat="false" ht="11.25" hidden="false" customHeight="true" outlineLevel="0" collapsed="false"/>
    <row r="3756" customFormat="false" ht="11.25" hidden="false" customHeight="true" outlineLevel="0" collapsed="false"/>
    <row r="3757" customFormat="false" ht="11.25" hidden="false" customHeight="true" outlineLevel="0" collapsed="false"/>
    <row r="3758" customFormat="false" ht="11.25" hidden="false" customHeight="true" outlineLevel="0" collapsed="false"/>
    <row r="3759" customFormat="false" ht="11.25" hidden="false" customHeight="true" outlineLevel="0" collapsed="false"/>
    <row r="3760" customFormat="false" ht="11.25" hidden="false" customHeight="true" outlineLevel="0" collapsed="false"/>
    <row r="3761" customFormat="false" ht="11.25" hidden="false" customHeight="true" outlineLevel="0" collapsed="false"/>
    <row r="3762" customFormat="false" ht="11.25" hidden="false" customHeight="true" outlineLevel="0" collapsed="false"/>
    <row r="3763" customFormat="false" ht="11.25" hidden="false" customHeight="true" outlineLevel="0" collapsed="false"/>
    <row r="3764" customFormat="false" ht="11.25" hidden="false" customHeight="true" outlineLevel="0" collapsed="false"/>
    <row r="3765" customFormat="false" ht="11.25" hidden="false" customHeight="true" outlineLevel="0" collapsed="false"/>
    <row r="3766" customFormat="false" ht="11.25" hidden="false" customHeight="true" outlineLevel="0" collapsed="false"/>
    <row r="3767" customFormat="false" ht="11.25" hidden="false" customHeight="true" outlineLevel="0" collapsed="false"/>
    <row r="3768" customFormat="false" ht="11.25" hidden="false" customHeight="true" outlineLevel="0" collapsed="false"/>
    <row r="3769" customFormat="false" ht="11.25" hidden="false" customHeight="true" outlineLevel="0" collapsed="false"/>
    <row r="3770" customFormat="false" ht="11.25" hidden="false" customHeight="true" outlineLevel="0" collapsed="false"/>
    <row r="3771" customFormat="false" ht="11.25" hidden="false" customHeight="true" outlineLevel="0" collapsed="false"/>
    <row r="3772" customFormat="false" ht="11.25" hidden="false" customHeight="true" outlineLevel="0" collapsed="false"/>
    <row r="3773" customFormat="false" ht="11.25" hidden="false" customHeight="true" outlineLevel="0" collapsed="false"/>
    <row r="3774" customFormat="false" ht="11.25" hidden="false" customHeight="true" outlineLevel="0" collapsed="false"/>
    <row r="3775" customFormat="false" ht="11.25" hidden="false" customHeight="true" outlineLevel="0" collapsed="false"/>
    <row r="3776" customFormat="false" ht="11.25" hidden="false" customHeight="true" outlineLevel="0" collapsed="false"/>
    <row r="3777" customFormat="false" ht="11.25" hidden="false" customHeight="true" outlineLevel="0" collapsed="false"/>
    <row r="3778" customFormat="false" ht="11.25" hidden="false" customHeight="true" outlineLevel="0" collapsed="false"/>
    <row r="3779" customFormat="false" ht="11.25" hidden="false" customHeight="true" outlineLevel="0" collapsed="false"/>
    <row r="3780" customFormat="false" ht="11.25" hidden="false" customHeight="true" outlineLevel="0" collapsed="false"/>
    <row r="3781" customFormat="false" ht="11.25" hidden="false" customHeight="true" outlineLevel="0" collapsed="false"/>
    <row r="3782" customFormat="false" ht="11.25" hidden="false" customHeight="true" outlineLevel="0" collapsed="false"/>
    <row r="3783" customFormat="false" ht="11.25" hidden="false" customHeight="true" outlineLevel="0" collapsed="false"/>
    <row r="3784" customFormat="false" ht="11.25" hidden="false" customHeight="true" outlineLevel="0" collapsed="false"/>
    <row r="3785" customFormat="false" ht="11.25" hidden="false" customHeight="true" outlineLevel="0" collapsed="false"/>
    <row r="3786" customFormat="false" ht="11.25" hidden="false" customHeight="true" outlineLevel="0" collapsed="false"/>
    <row r="3787" customFormat="false" ht="11.25" hidden="false" customHeight="true" outlineLevel="0" collapsed="false"/>
    <row r="3788" customFormat="false" ht="11.25" hidden="false" customHeight="true" outlineLevel="0" collapsed="false"/>
    <row r="3789" customFormat="false" ht="11.25" hidden="false" customHeight="true" outlineLevel="0" collapsed="false"/>
    <row r="3790" customFormat="false" ht="11.25" hidden="false" customHeight="true" outlineLevel="0" collapsed="false"/>
    <row r="3791" customFormat="false" ht="11.25" hidden="false" customHeight="true" outlineLevel="0" collapsed="false"/>
    <row r="3792" customFormat="false" ht="11.25" hidden="false" customHeight="true" outlineLevel="0" collapsed="false"/>
    <row r="3793" customFormat="false" ht="11.25" hidden="false" customHeight="true" outlineLevel="0" collapsed="false"/>
    <row r="3794" customFormat="false" ht="11.25" hidden="false" customHeight="true" outlineLevel="0" collapsed="false"/>
    <row r="3795" customFormat="false" ht="11.25" hidden="false" customHeight="true" outlineLevel="0" collapsed="false"/>
    <row r="3796" customFormat="false" ht="11.25" hidden="false" customHeight="true" outlineLevel="0" collapsed="false"/>
    <row r="3797" customFormat="false" ht="11.25" hidden="false" customHeight="true" outlineLevel="0" collapsed="false"/>
    <row r="3798" customFormat="false" ht="11.25" hidden="false" customHeight="true" outlineLevel="0" collapsed="false"/>
    <row r="3799" customFormat="false" ht="11.25" hidden="false" customHeight="true" outlineLevel="0" collapsed="false"/>
    <row r="3800" customFormat="false" ht="11.25" hidden="false" customHeight="true" outlineLevel="0" collapsed="false"/>
    <row r="3801" customFormat="false" ht="11.25" hidden="false" customHeight="true" outlineLevel="0" collapsed="false"/>
    <row r="3802" customFormat="false" ht="11.25" hidden="false" customHeight="true" outlineLevel="0" collapsed="false"/>
    <row r="3803" customFormat="false" ht="11.25" hidden="false" customHeight="true" outlineLevel="0" collapsed="false"/>
    <row r="3804" customFormat="false" ht="11.25" hidden="false" customHeight="true" outlineLevel="0" collapsed="false"/>
    <row r="3805" customFormat="false" ht="11.25" hidden="false" customHeight="true" outlineLevel="0" collapsed="false"/>
    <row r="3806" customFormat="false" ht="11.25" hidden="false" customHeight="true" outlineLevel="0" collapsed="false"/>
    <row r="3807" customFormat="false" ht="11.25" hidden="false" customHeight="true" outlineLevel="0" collapsed="false"/>
    <row r="3808" customFormat="false" ht="11.25" hidden="false" customHeight="true" outlineLevel="0" collapsed="false"/>
    <row r="3809" customFormat="false" ht="11.25" hidden="false" customHeight="true" outlineLevel="0" collapsed="false"/>
    <row r="3810" customFormat="false" ht="11.25" hidden="false" customHeight="true" outlineLevel="0" collapsed="false"/>
    <row r="3811" customFormat="false" ht="11.25" hidden="false" customHeight="true" outlineLevel="0" collapsed="false"/>
    <row r="3812" customFormat="false" ht="11.25" hidden="false" customHeight="true" outlineLevel="0" collapsed="false"/>
    <row r="3813" customFormat="false" ht="11.25" hidden="false" customHeight="true" outlineLevel="0" collapsed="false"/>
    <row r="3814" customFormat="false" ht="11.25" hidden="false" customHeight="true" outlineLevel="0" collapsed="false"/>
    <row r="3815" customFormat="false" ht="11.25" hidden="false" customHeight="true" outlineLevel="0" collapsed="false"/>
    <row r="3816" customFormat="false" ht="11.25" hidden="false" customHeight="true" outlineLevel="0" collapsed="false"/>
    <row r="3817" customFormat="false" ht="11.25" hidden="false" customHeight="true" outlineLevel="0" collapsed="false"/>
    <row r="3818" customFormat="false" ht="11.25" hidden="false" customHeight="true" outlineLevel="0" collapsed="false"/>
    <row r="3819" customFormat="false" ht="11.25" hidden="false" customHeight="true" outlineLevel="0" collapsed="false"/>
    <row r="3820" customFormat="false" ht="11.25" hidden="false" customHeight="true" outlineLevel="0" collapsed="false"/>
    <row r="3821" customFormat="false" ht="11.25" hidden="false" customHeight="true" outlineLevel="0" collapsed="false"/>
    <row r="3822" customFormat="false" ht="11.25" hidden="false" customHeight="true" outlineLevel="0" collapsed="false"/>
    <row r="3823" customFormat="false" ht="11.25" hidden="false" customHeight="true" outlineLevel="0" collapsed="false"/>
    <row r="3824" customFormat="false" ht="11.25" hidden="false" customHeight="true" outlineLevel="0" collapsed="false"/>
    <row r="3825" customFormat="false" ht="11.25" hidden="false" customHeight="true" outlineLevel="0" collapsed="false"/>
    <row r="3826" customFormat="false" ht="11.25" hidden="false" customHeight="true" outlineLevel="0" collapsed="false"/>
    <row r="3827" customFormat="false" ht="11.25" hidden="false" customHeight="true" outlineLevel="0" collapsed="false"/>
    <row r="3828" customFormat="false" ht="11.25" hidden="false" customHeight="true" outlineLevel="0" collapsed="false"/>
    <row r="3829" customFormat="false" ht="11.25" hidden="false" customHeight="true" outlineLevel="0" collapsed="false"/>
    <row r="3830" customFormat="false" ht="11.25" hidden="false" customHeight="true" outlineLevel="0" collapsed="false"/>
    <row r="3831" customFormat="false" ht="11.25" hidden="false" customHeight="true" outlineLevel="0" collapsed="false"/>
    <row r="3832" customFormat="false" ht="11.25" hidden="false" customHeight="true" outlineLevel="0" collapsed="false"/>
    <row r="3833" customFormat="false" ht="11.25" hidden="false" customHeight="true" outlineLevel="0" collapsed="false"/>
    <row r="3834" customFormat="false" ht="11.25" hidden="false" customHeight="true" outlineLevel="0" collapsed="false"/>
    <row r="3835" customFormat="false" ht="11.25" hidden="false" customHeight="true" outlineLevel="0" collapsed="false"/>
    <row r="3836" customFormat="false" ht="11.25" hidden="false" customHeight="true" outlineLevel="0" collapsed="false"/>
    <row r="3837" customFormat="false" ht="11.25" hidden="false" customHeight="true" outlineLevel="0" collapsed="false"/>
    <row r="3838" customFormat="false" ht="11.25" hidden="false" customHeight="true" outlineLevel="0" collapsed="false"/>
    <row r="3839" customFormat="false" ht="11.25" hidden="false" customHeight="true" outlineLevel="0" collapsed="false"/>
    <row r="3840" customFormat="false" ht="11.25" hidden="false" customHeight="true" outlineLevel="0" collapsed="false"/>
    <row r="3841" customFormat="false" ht="11.25" hidden="false" customHeight="true" outlineLevel="0" collapsed="false"/>
    <row r="3842" customFormat="false" ht="11.25" hidden="false" customHeight="true" outlineLevel="0" collapsed="false"/>
    <row r="3843" customFormat="false" ht="11.25" hidden="false" customHeight="true" outlineLevel="0" collapsed="false"/>
    <row r="3844" customFormat="false" ht="11.25" hidden="false" customHeight="true" outlineLevel="0" collapsed="false"/>
    <row r="3845" customFormat="false" ht="11.25" hidden="false" customHeight="true" outlineLevel="0" collapsed="false"/>
    <row r="3846" customFormat="false" ht="11.25" hidden="false" customHeight="true" outlineLevel="0" collapsed="false"/>
    <row r="3847" customFormat="false" ht="11.25" hidden="false" customHeight="true" outlineLevel="0" collapsed="false"/>
    <row r="3848" customFormat="false" ht="11.25" hidden="false" customHeight="true" outlineLevel="0" collapsed="false"/>
    <row r="3849" customFormat="false" ht="11.25" hidden="false" customHeight="true" outlineLevel="0" collapsed="false"/>
    <row r="3850" customFormat="false" ht="11.25" hidden="false" customHeight="true" outlineLevel="0" collapsed="false"/>
    <row r="3851" customFormat="false" ht="11.25" hidden="false" customHeight="true" outlineLevel="0" collapsed="false"/>
    <row r="3852" customFormat="false" ht="11.25" hidden="false" customHeight="true" outlineLevel="0" collapsed="false"/>
    <row r="3853" customFormat="false" ht="11.25" hidden="false" customHeight="true" outlineLevel="0" collapsed="false"/>
    <row r="3854" customFormat="false" ht="11.25" hidden="false" customHeight="true" outlineLevel="0" collapsed="false"/>
    <row r="3855" customFormat="false" ht="11.25" hidden="false" customHeight="true" outlineLevel="0" collapsed="false"/>
    <row r="3856" customFormat="false" ht="11.25" hidden="false" customHeight="true" outlineLevel="0" collapsed="false"/>
    <row r="3857" customFormat="false" ht="11.25" hidden="false" customHeight="true" outlineLevel="0" collapsed="false"/>
    <row r="3858" customFormat="false" ht="11.25" hidden="false" customHeight="true" outlineLevel="0" collapsed="false"/>
    <row r="3859" customFormat="false" ht="11.25" hidden="false" customHeight="true" outlineLevel="0" collapsed="false"/>
    <row r="3860" customFormat="false" ht="11.25" hidden="false" customHeight="true" outlineLevel="0" collapsed="false"/>
    <row r="3861" customFormat="false" ht="11.25" hidden="false" customHeight="true" outlineLevel="0" collapsed="false"/>
    <row r="3862" customFormat="false" ht="11.25" hidden="false" customHeight="true" outlineLevel="0" collapsed="false"/>
    <row r="3863" customFormat="false" ht="11.25" hidden="false" customHeight="true" outlineLevel="0" collapsed="false"/>
    <row r="3864" customFormat="false" ht="11.25" hidden="false" customHeight="true" outlineLevel="0" collapsed="false"/>
    <row r="3865" customFormat="false" ht="11.25" hidden="false" customHeight="true" outlineLevel="0" collapsed="false"/>
    <row r="3866" customFormat="false" ht="11.25" hidden="false" customHeight="true" outlineLevel="0" collapsed="false"/>
    <row r="3867" customFormat="false" ht="11.25" hidden="false" customHeight="true" outlineLevel="0" collapsed="false"/>
    <row r="3868" customFormat="false" ht="11.25" hidden="false" customHeight="true" outlineLevel="0" collapsed="false"/>
    <row r="3869" customFormat="false" ht="11.25" hidden="false" customHeight="true" outlineLevel="0" collapsed="false"/>
    <row r="3870" customFormat="false" ht="11.25" hidden="false" customHeight="true" outlineLevel="0" collapsed="false"/>
    <row r="3871" customFormat="false" ht="11.25" hidden="false" customHeight="true" outlineLevel="0" collapsed="false"/>
    <row r="3872" customFormat="false" ht="11.25" hidden="false" customHeight="true" outlineLevel="0" collapsed="false"/>
    <row r="3873" customFormat="false" ht="11.25" hidden="false" customHeight="true" outlineLevel="0" collapsed="false"/>
    <row r="3874" customFormat="false" ht="11.25" hidden="false" customHeight="true" outlineLevel="0" collapsed="false"/>
    <row r="3875" customFormat="false" ht="11.25" hidden="false" customHeight="true" outlineLevel="0" collapsed="false"/>
    <row r="3876" customFormat="false" ht="11.25" hidden="false" customHeight="true" outlineLevel="0" collapsed="false"/>
    <row r="3877" customFormat="false" ht="11.25" hidden="false" customHeight="true" outlineLevel="0" collapsed="false"/>
    <row r="3878" customFormat="false" ht="11.25" hidden="false" customHeight="true" outlineLevel="0" collapsed="false"/>
    <row r="3879" customFormat="false" ht="11.25" hidden="false" customHeight="true" outlineLevel="0" collapsed="false"/>
    <row r="3880" customFormat="false" ht="11.25" hidden="false" customHeight="true" outlineLevel="0" collapsed="false"/>
    <row r="3881" customFormat="false" ht="11.25" hidden="false" customHeight="true" outlineLevel="0" collapsed="false"/>
    <row r="3882" customFormat="false" ht="11.25" hidden="false" customHeight="true" outlineLevel="0" collapsed="false"/>
    <row r="3883" customFormat="false" ht="11.25" hidden="false" customHeight="true" outlineLevel="0" collapsed="false"/>
    <row r="3884" customFormat="false" ht="11.25" hidden="false" customHeight="true" outlineLevel="0" collapsed="false"/>
    <row r="3885" customFormat="false" ht="11.25" hidden="false" customHeight="true" outlineLevel="0" collapsed="false"/>
    <row r="3886" customFormat="false" ht="11.25" hidden="false" customHeight="true" outlineLevel="0" collapsed="false"/>
    <row r="3887" customFormat="false" ht="11.25" hidden="false" customHeight="true" outlineLevel="0" collapsed="false"/>
    <row r="3888" customFormat="false" ht="11.25" hidden="false" customHeight="true" outlineLevel="0" collapsed="false"/>
    <row r="3889" customFormat="false" ht="11.25" hidden="false" customHeight="true" outlineLevel="0" collapsed="false"/>
    <row r="3890" customFormat="false" ht="11.25" hidden="false" customHeight="true" outlineLevel="0" collapsed="false"/>
    <row r="3891" customFormat="false" ht="11.25" hidden="false" customHeight="true" outlineLevel="0" collapsed="false"/>
    <row r="3892" customFormat="false" ht="11.25" hidden="false" customHeight="true" outlineLevel="0" collapsed="false"/>
    <row r="3893" customFormat="false" ht="11.25" hidden="false" customHeight="true" outlineLevel="0" collapsed="false"/>
    <row r="3894" customFormat="false" ht="11.25" hidden="false" customHeight="true" outlineLevel="0" collapsed="false"/>
    <row r="3895" customFormat="false" ht="11.25" hidden="false" customHeight="true" outlineLevel="0" collapsed="false"/>
    <row r="3896" customFormat="false" ht="11.25" hidden="false" customHeight="true" outlineLevel="0" collapsed="false"/>
    <row r="3897" customFormat="false" ht="11.25" hidden="false" customHeight="true" outlineLevel="0" collapsed="false"/>
    <row r="3898" customFormat="false" ht="11.25" hidden="false" customHeight="true" outlineLevel="0" collapsed="false"/>
    <row r="3899" customFormat="false" ht="11.25" hidden="false" customHeight="true" outlineLevel="0" collapsed="false"/>
    <row r="3900" customFormat="false" ht="11.25" hidden="false" customHeight="true" outlineLevel="0" collapsed="false"/>
    <row r="3901" customFormat="false" ht="11.25" hidden="false" customHeight="true" outlineLevel="0" collapsed="false"/>
    <row r="3902" customFormat="false" ht="11.25" hidden="false" customHeight="true" outlineLevel="0" collapsed="false"/>
    <row r="3903" customFormat="false" ht="11.25" hidden="false" customHeight="true" outlineLevel="0" collapsed="false"/>
    <row r="3904" customFormat="false" ht="11.25" hidden="false" customHeight="true" outlineLevel="0" collapsed="false"/>
    <row r="3905" customFormat="false" ht="11.25" hidden="false" customHeight="true" outlineLevel="0" collapsed="false"/>
    <row r="3906" customFormat="false" ht="11.25" hidden="false" customHeight="true" outlineLevel="0" collapsed="false"/>
    <row r="3907" customFormat="false" ht="11.25" hidden="false" customHeight="true" outlineLevel="0" collapsed="false"/>
    <row r="3908" customFormat="false" ht="11.25" hidden="false" customHeight="true" outlineLevel="0" collapsed="false"/>
    <row r="3909" customFormat="false" ht="11.25" hidden="false" customHeight="true" outlineLevel="0" collapsed="false"/>
    <row r="3910" customFormat="false" ht="11.25" hidden="false" customHeight="true" outlineLevel="0" collapsed="false"/>
    <row r="3911" customFormat="false" ht="11.25" hidden="false" customHeight="true" outlineLevel="0" collapsed="false"/>
    <row r="3912" customFormat="false" ht="11.25" hidden="false" customHeight="true" outlineLevel="0" collapsed="false"/>
    <row r="3913" customFormat="false" ht="11.25" hidden="false" customHeight="true" outlineLevel="0" collapsed="false"/>
    <row r="3914" customFormat="false" ht="11.25" hidden="false" customHeight="true" outlineLevel="0" collapsed="false"/>
    <row r="3915" customFormat="false" ht="11.25" hidden="false" customHeight="true" outlineLevel="0" collapsed="false"/>
    <row r="3916" customFormat="false" ht="11.25" hidden="false" customHeight="true" outlineLevel="0" collapsed="false"/>
    <row r="3917" customFormat="false" ht="11.25" hidden="false" customHeight="true" outlineLevel="0" collapsed="false"/>
    <row r="3918" customFormat="false" ht="11.25" hidden="false" customHeight="true" outlineLevel="0" collapsed="false"/>
    <row r="3919" customFormat="false" ht="11.25" hidden="false" customHeight="true" outlineLevel="0" collapsed="false"/>
    <row r="3920" customFormat="false" ht="11.25" hidden="false" customHeight="true" outlineLevel="0" collapsed="false"/>
    <row r="3921" customFormat="false" ht="11.25" hidden="false" customHeight="true" outlineLevel="0" collapsed="false"/>
    <row r="3922" customFormat="false" ht="11.25" hidden="false" customHeight="true" outlineLevel="0" collapsed="false"/>
    <row r="3923" customFormat="false" ht="11.25" hidden="false" customHeight="true" outlineLevel="0" collapsed="false"/>
    <row r="3924" customFormat="false" ht="11.25" hidden="false" customHeight="true" outlineLevel="0" collapsed="false"/>
    <row r="3925" customFormat="false" ht="11.25" hidden="false" customHeight="true" outlineLevel="0" collapsed="false"/>
    <row r="3926" customFormat="false" ht="11.25" hidden="false" customHeight="true" outlineLevel="0" collapsed="false"/>
    <row r="3927" customFormat="false" ht="11.25" hidden="false" customHeight="true" outlineLevel="0" collapsed="false"/>
    <row r="3928" customFormat="false" ht="11.25" hidden="false" customHeight="true" outlineLevel="0" collapsed="false"/>
    <row r="3929" customFormat="false" ht="11.25" hidden="false" customHeight="true" outlineLevel="0" collapsed="false"/>
    <row r="3930" customFormat="false" ht="11.25" hidden="false" customHeight="true" outlineLevel="0" collapsed="false"/>
    <row r="3931" customFormat="false" ht="11.25" hidden="false" customHeight="true" outlineLevel="0" collapsed="false"/>
    <row r="3932" customFormat="false" ht="11.25" hidden="false" customHeight="true" outlineLevel="0" collapsed="false"/>
    <row r="3933" customFormat="false" ht="11.25" hidden="false" customHeight="true" outlineLevel="0" collapsed="false"/>
    <row r="3934" customFormat="false" ht="11.25" hidden="false" customHeight="true" outlineLevel="0" collapsed="false"/>
    <row r="3935" customFormat="false" ht="11.25" hidden="false" customHeight="true" outlineLevel="0" collapsed="false"/>
    <row r="3936" customFormat="false" ht="11.25" hidden="false" customHeight="true" outlineLevel="0" collapsed="false"/>
    <row r="3937" customFormat="false" ht="11.25" hidden="false" customHeight="true" outlineLevel="0" collapsed="false"/>
    <row r="3938" customFormat="false" ht="11.25" hidden="false" customHeight="true" outlineLevel="0" collapsed="false"/>
    <row r="3939" customFormat="false" ht="11.25" hidden="false" customHeight="true" outlineLevel="0" collapsed="false"/>
    <row r="3940" customFormat="false" ht="11.25" hidden="false" customHeight="true" outlineLevel="0" collapsed="false"/>
    <row r="3941" customFormat="false" ht="11.25" hidden="false" customHeight="true" outlineLevel="0" collapsed="false"/>
    <row r="3942" customFormat="false" ht="11.25" hidden="false" customHeight="true" outlineLevel="0" collapsed="false"/>
    <row r="3943" customFormat="false" ht="11.25" hidden="false" customHeight="true" outlineLevel="0" collapsed="false"/>
    <row r="3944" customFormat="false" ht="11.25" hidden="false" customHeight="true" outlineLevel="0" collapsed="false"/>
    <row r="3945" customFormat="false" ht="11.25" hidden="false" customHeight="true" outlineLevel="0" collapsed="false"/>
    <row r="3946" customFormat="false" ht="11.25" hidden="false" customHeight="true" outlineLevel="0" collapsed="false"/>
    <row r="3947" customFormat="false" ht="11.25" hidden="false" customHeight="true" outlineLevel="0" collapsed="false"/>
    <row r="3948" customFormat="false" ht="11.25" hidden="false" customHeight="true" outlineLevel="0" collapsed="false"/>
    <row r="3949" customFormat="false" ht="11.25" hidden="false" customHeight="true" outlineLevel="0" collapsed="false"/>
    <row r="3950" customFormat="false" ht="11.25" hidden="false" customHeight="true" outlineLevel="0" collapsed="false"/>
    <row r="3951" customFormat="false" ht="11.25" hidden="false" customHeight="true" outlineLevel="0" collapsed="false"/>
    <row r="3952" customFormat="false" ht="11.25" hidden="false" customHeight="true" outlineLevel="0" collapsed="false"/>
    <row r="3953" customFormat="false" ht="11.25" hidden="false" customHeight="true" outlineLevel="0" collapsed="false"/>
    <row r="3954" customFormat="false" ht="11.25" hidden="false" customHeight="true" outlineLevel="0" collapsed="false"/>
    <row r="3955" customFormat="false" ht="11.25" hidden="false" customHeight="true" outlineLevel="0" collapsed="false"/>
    <row r="3956" customFormat="false" ht="11.25" hidden="false" customHeight="true" outlineLevel="0" collapsed="false"/>
    <row r="3957" customFormat="false" ht="11.25" hidden="false" customHeight="true" outlineLevel="0" collapsed="false"/>
    <row r="3958" customFormat="false" ht="11.25" hidden="false" customHeight="true" outlineLevel="0" collapsed="false"/>
    <row r="3959" customFormat="false" ht="11.25" hidden="false" customHeight="true" outlineLevel="0" collapsed="false"/>
    <row r="3960" customFormat="false" ht="11.25" hidden="false" customHeight="true" outlineLevel="0" collapsed="false"/>
    <row r="3961" customFormat="false" ht="11.25" hidden="false" customHeight="true" outlineLevel="0" collapsed="false"/>
    <row r="3962" customFormat="false" ht="11.25" hidden="false" customHeight="true" outlineLevel="0" collapsed="false"/>
    <row r="3963" customFormat="false" ht="11.25" hidden="false" customHeight="true" outlineLevel="0" collapsed="false"/>
    <row r="3964" customFormat="false" ht="11.25" hidden="false" customHeight="true" outlineLevel="0" collapsed="false"/>
    <row r="3965" customFormat="false" ht="11.25" hidden="false" customHeight="true" outlineLevel="0" collapsed="false"/>
    <row r="3966" customFormat="false" ht="11.25" hidden="false" customHeight="true" outlineLevel="0" collapsed="false"/>
    <row r="3967" customFormat="false" ht="11.25" hidden="false" customHeight="true" outlineLevel="0" collapsed="false"/>
    <row r="3968" customFormat="false" ht="11.25" hidden="false" customHeight="true" outlineLevel="0" collapsed="false"/>
    <row r="3969" customFormat="false" ht="11.25" hidden="false" customHeight="true" outlineLevel="0" collapsed="false"/>
    <row r="3970" customFormat="false" ht="11.25" hidden="false" customHeight="true" outlineLevel="0" collapsed="false"/>
    <row r="3971" customFormat="false" ht="11.25" hidden="false" customHeight="true" outlineLevel="0" collapsed="false"/>
    <row r="3972" customFormat="false" ht="11.25" hidden="false" customHeight="true" outlineLevel="0" collapsed="false"/>
    <row r="3973" customFormat="false" ht="11.25" hidden="false" customHeight="true" outlineLevel="0" collapsed="false"/>
    <row r="3974" customFormat="false" ht="11.25" hidden="false" customHeight="true" outlineLevel="0" collapsed="false"/>
    <row r="3975" customFormat="false" ht="11.25" hidden="false" customHeight="true" outlineLevel="0" collapsed="false"/>
    <row r="3976" customFormat="false" ht="11.25" hidden="false" customHeight="true" outlineLevel="0" collapsed="false"/>
    <row r="3977" customFormat="false" ht="11.25" hidden="false" customHeight="true" outlineLevel="0" collapsed="false"/>
    <row r="3978" customFormat="false" ht="11.25" hidden="false" customHeight="true" outlineLevel="0" collapsed="false"/>
    <row r="3979" customFormat="false" ht="11.25" hidden="false" customHeight="true" outlineLevel="0" collapsed="false"/>
    <row r="3980" customFormat="false" ht="11.25" hidden="false" customHeight="true" outlineLevel="0" collapsed="false"/>
    <row r="3981" customFormat="false" ht="11.25" hidden="false" customHeight="true" outlineLevel="0" collapsed="false"/>
    <row r="3982" customFormat="false" ht="11.25" hidden="false" customHeight="true" outlineLevel="0" collapsed="false"/>
    <row r="3983" customFormat="false" ht="11.25" hidden="false" customHeight="true" outlineLevel="0" collapsed="false"/>
    <row r="3984" customFormat="false" ht="11.25" hidden="false" customHeight="true" outlineLevel="0" collapsed="false"/>
    <row r="3985" customFormat="false" ht="11.25" hidden="false" customHeight="true" outlineLevel="0" collapsed="false"/>
    <row r="3986" customFormat="false" ht="11.25" hidden="false" customHeight="true" outlineLevel="0" collapsed="false"/>
    <row r="3987" customFormat="false" ht="11.25" hidden="false" customHeight="true" outlineLevel="0" collapsed="false"/>
    <row r="3988" customFormat="false" ht="11.25" hidden="false" customHeight="true" outlineLevel="0" collapsed="false"/>
    <row r="3989" customFormat="false" ht="11.25" hidden="false" customHeight="true" outlineLevel="0" collapsed="false"/>
    <row r="3990" customFormat="false" ht="11.25" hidden="false" customHeight="true" outlineLevel="0" collapsed="false"/>
    <row r="3991" customFormat="false" ht="11.25" hidden="false" customHeight="true" outlineLevel="0" collapsed="false"/>
    <row r="3992" customFormat="false" ht="11.25" hidden="false" customHeight="true" outlineLevel="0" collapsed="false"/>
    <row r="3993" customFormat="false" ht="11.25" hidden="false" customHeight="true" outlineLevel="0" collapsed="false"/>
    <row r="3994" customFormat="false" ht="11.25" hidden="false" customHeight="true" outlineLevel="0" collapsed="false"/>
    <row r="3995" customFormat="false" ht="11.25" hidden="false" customHeight="true" outlineLevel="0" collapsed="false"/>
    <row r="3996" customFormat="false" ht="11.25" hidden="false" customHeight="true" outlineLevel="0" collapsed="false"/>
    <row r="3997" customFormat="false" ht="11.25" hidden="false" customHeight="true" outlineLevel="0" collapsed="false"/>
    <row r="3998" customFormat="false" ht="11.25" hidden="false" customHeight="true" outlineLevel="0" collapsed="false"/>
    <row r="3999" customFormat="false" ht="11.25" hidden="false" customHeight="true" outlineLevel="0" collapsed="false"/>
    <row r="4000" customFormat="false" ht="11.25" hidden="false" customHeight="true" outlineLevel="0" collapsed="false"/>
    <row r="4001" customFormat="false" ht="11.25" hidden="false" customHeight="true" outlineLevel="0" collapsed="false"/>
    <row r="4002" customFormat="false" ht="11.25" hidden="false" customHeight="true" outlineLevel="0" collapsed="false"/>
    <row r="4003" customFormat="false" ht="11.25" hidden="false" customHeight="true" outlineLevel="0" collapsed="false"/>
    <row r="4004" customFormat="false" ht="11.25" hidden="false" customHeight="true" outlineLevel="0" collapsed="false"/>
    <row r="4005" customFormat="false" ht="11.25" hidden="false" customHeight="true" outlineLevel="0" collapsed="false"/>
    <row r="4006" customFormat="false" ht="11.25" hidden="false" customHeight="true" outlineLevel="0" collapsed="false"/>
    <row r="4007" customFormat="false" ht="11.25" hidden="false" customHeight="true" outlineLevel="0" collapsed="false"/>
    <row r="4008" customFormat="false" ht="11.25" hidden="false" customHeight="true" outlineLevel="0" collapsed="false"/>
    <row r="4009" customFormat="false" ht="11.25" hidden="false" customHeight="true" outlineLevel="0" collapsed="false"/>
    <row r="4010" customFormat="false" ht="11.25" hidden="false" customHeight="true" outlineLevel="0" collapsed="false"/>
    <row r="4011" customFormat="false" ht="11.25" hidden="false" customHeight="true" outlineLevel="0" collapsed="false"/>
    <row r="4012" customFormat="false" ht="11.25" hidden="false" customHeight="true" outlineLevel="0" collapsed="false"/>
    <row r="4013" customFormat="false" ht="11.25" hidden="false" customHeight="true" outlineLevel="0" collapsed="false"/>
    <row r="4014" customFormat="false" ht="11.25" hidden="false" customHeight="true" outlineLevel="0" collapsed="false"/>
    <row r="4015" customFormat="false" ht="11.25" hidden="false" customHeight="true" outlineLevel="0" collapsed="false"/>
    <row r="4016" customFormat="false" ht="11.25" hidden="false" customHeight="true" outlineLevel="0" collapsed="false"/>
    <row r="4017" customFormat="false" ht="11.25" hidden="false" customHeight="true" outlineLevel="0" collapsed="false"/>
    <row r="4018" customFormat="false" ht="11.25" hidden="false" customHeight="true" outlineLevel="0" collapsed="false"/>
    <row r="4019" customFormat="false" ht="11.25" hidden="false" customHeight="true" outlineLevel="0" collapsed="false"/>
    <row r="4020" customFormat="false" ht="11.25" hidden="false" customHeight="true" outlineLevel="0" collapsed="false"/>
    <row r="4021" customFormat="false" ht="11.25" hidden="false" customHeight="true" outlineLevel="0" collapsed="false"/>
    <row r="4022" customFormat="false" ht="11.25" hidden="false" customHeight="true" outlineLevel="0" collapsed="false"/>
    <row r="4023" customFormat="false" ht="11.25" hidden="false" customHeight="true" outlineLevel="0" collapsed="false"/>
    <row r="4024" customFormat="false" ht="11.25" hidden="false" customHeight="true" outlineLevel="0" collapsed="false"/>
    <row r="4025" customFormat="false" ht="11.25" hidden="false" customHeight="true" outlineLevel="0" collapsed="false"/>
    <row r="4026" customFormat="false" ht="11.25" hidden="false" customHeight="true" outlineLevel="0" collapsed="false"/>
    <row r="4027" customFormat="false" ht="11.25" hidden="false" customHeight="true" outlineLevel="0" collapsed="false"/>
    <row r="4028" customFormat="false" ht="11.25" hidden="false" customHeight="true" outlineLevel="0" collapsed="false"/>
    <row r="4029" customFormat="false" ht="11.25" hidden="false" customHeight="true" outlineLevel="0" collapsed="false"/>
    <row r="4030" customFormat="false" ht="11.25" hidden="false" customHeight="true" outlineLevel="0" collapsed="false"/>
    <row r="4031" customFormat="false" ht="11.25" hidden="false" customHeight="true" outlineLevel="0" collapsed="false"/>
    <row r="4032" customFormat="false" ht="11.25" hidden="false" customHeight="true" outlineLevel="0" collapsed="false"/>
    <row r="4033" customFormat="false" ht="11.25" hidden="false" customHeight="true" outlineLevel="0" collapsed="false"/>
    <row r="4034" customFormat="false" ht="11.25" hidden="false" customHeight="true" outlineLevel="0" collapsed="false"/>
    <row r="4035" customFormat="false" ht="11.25" hidden="false" customHeight="true" outlineLevel="0" collapsed="false"/>
    <row r="4036" customFormat="false" ht="11.25" hidden="false" customHeight="true" outlineLevel="0" collapsed="false"/>
    <row r="4037" customFormat="false" ht="11.25" hidden="false" customHeight="true" outlineLevel="0" collapsed="false"/>
    <row r="4038" customFormat="false" ht="11.25" hidden="false" customHeight="true" outlineLevel="0" collapsed="false"/>
    <row r="4039" customFormat="false" ht="11.25" hidden="false" customHeight="true" outlineLevel="0" collapsed="false"/>
    <row r="4040" customFormat="false" ht="11.25" hidden="false" customHeight="true" outlineLevel="0" collapsed="false"/>
    <row r="4041" customFormat="false" ht="11.25" hidden="false" customHeight="true" outlineLevel="0" collapsed="false"/>
    <row r="4042" customFormat="false" ht="11.25" hidden="false" customHeight="true" outlineLevel="0" collapsed="false"/>
    <row r="4043" customFormat="false" ht="11.25" hidden="false" customHeight="true" outlineLevel="0" collapsed="false"/>
    <row r="4044" customFormat="false" ht="11.25" hidden="false" customHeight="true" outlineLevel="0" collapsed="false"/>
    <row r="4045" customFormat="false" ht="11.25" hidden="false" customHeight="true" outlineLevel="0" collapsed="false"/>
    <row r="4046" customFormat="false" ht="11.25" hidden="false" customHeight="true" outlineLevel="0" collapsed="false"/>
    <row r="4047" customFormat="false" ht="11.25" hidden="false" customHeight="true" outlineLevel="0" collapsed="false"/>
    <row r="4048" customFormat="false" ht="11.25" hidden="false" customHeight="true" outlineLevel="0" collapsed="false"/>
    <row r="4049" customFormat="false" ht="11.25" hidden="false" customHeight="true" outlineLevel="0" collapsed="false"/>
    <row r="4050" customFormat="false" ht="11.25" hidden="false" customHeight="true" outlineLevel="0" collapsed="false"/>
    <row r="4051" customFormat="false" ht="11.25" hidden="false" customHeight="true" outlineLevel="0" collapsed="false"/>
    <row r="4052" customFormat="false" ht="11.25" hidden="false" customHeight="true" outlineLevel="0" collapsed="false"/>
    <row r="4053" customFormat="false" ht="11.25" hidden="false" customHeight="true" outlineLevel="0" collapsed="false"/>
    <row r="4054" customFormat="false" ht="11.25" hidden="false" customHeight="true" outlineLevel="0" collapsed="false"/>
    <row r="4055" customFormat="false" ht="11.25" hidden="false" customHeight="true" outlineLevel="0" collapsed="false"/>
    <row r="4056" customFormat="false" ht="11.25" hidden="false" customHeight="true" outlineLevel="0" collapsed="false"/>
    <row r="4057" customFormat="false" ht="11.25" hidden="false" customHeight="true" outlineLevel="0" collapsed="false"/>
    <row r="4058" customFormat="false" ht="11.25" hidden="false" customHeight="true" outlineLevel="0" collapsed="false"/>
    <row r="4059" customFormat="false" ht="11.25" hidden="false" customHeight="true" outlineLevel="0" collapsed="false"/>
    <row r="4060" customFormat="false" ht="11.25" hidden="false" customHeight="true" outlineLevel="0" collapsed="false"/>
    <row r="4061" customFormat="false" ht="11.25" hidden="false" customHeight="true" outlineLevel="0" collapsed="false"/>
    <row r="4062" customFormat="false" ht="11.25" hidden="false" customHeight="true" outlineLevel="0" collapsed="false"/>
    <row r="4063" customFormat="false" ht="11.25" hidden="false" customHeight="true" outlineLevel="0" collapsed="false"/>
    <row r="4064" customFormat="false" ht="11.25" hidden="false" customHeight="true" outlineLevel="0" collapsed="false"/>
    <row r="4065" customFormat="false" ht="11.25" hidden="false" customHeight="true" outlineLevel="0" collapsed="false"/>
    <row r="4066" customFormat="false" ht="11.25" hidden="false" customHeight="true" outlineLevel="0" collapsed="false"/>
    <row r="4067" customFormat="false" ht="11.25" hidden="false" customHeight="true" outlineLevel="0" collapsed="false"/>
    <row r="4068" customFormat="false" ht="11.25" hidden="false" customHeight="true" outlineLevel="0" collapsed="false"/>
    <row r="4069" customFormat="false" ht="11.25" hidden="false" customHeight="true" outlineLevel="0" collapsed="false"/>
    <row r="4070" customFormat="false" ht="11.25" hidden="false" customHeight="true" outlineLevel="0" collapsed="false"/>
    <row r="4071" customFormat="false" ht="11.25" hidden="false" customHeight="true" outlineLevel="0" collapsed="false"/>
    <row r="4072" customFormat="false" ht="11.25" hidden="false" customHeight="true" outlineLevel="0" collapsed="false"/>
    <row r="4073" customFormat="false" ht="11.25" hidden="false" customHeight="true" outlineLevel="0" collapsed="false"/>
    <row r="4074" customFormat="false" ht="11.25" hidden="false" customHeight="true" outlineLevel="0" collapsed="false"/>
    <row r="4075" customFormat="false" ht="11.25" hidden="false" customHeight="true" outlineLevel="0" collapsed="false"/>
    <row r="4076" customFormat="false" ht="11.25" hidden="false" customHeight="true" outlineLevel="0" collapsed="false"/>
    <row r="4077" customFormat="false" ht="11.25" hidden="false" customHeight="true" outlineLevel="0" collapsed="false"/>
    <row r="4078" customFormat="false" ht="11.25" hidden="false" customHeight="true" outlineLevel="0" collapsed="false"/>
    <row r="4079" customFormat="false" ht="11.25" hidden="false" customHeight="true" outlineLevel="0" collapsed="false"/>
    <row r="4080" customFormat="false" ht="11.25" hidden="false" customHeight="true" outlineLevel="0" collapsed="false"/>
    <row r="4081" customFormat="false" ht="11.25" hidden="false" customHeight="true" outlineLevel="0" collapsed="false"/>
    <row r="4082" customFormat="false" ht="11.25" hidden="false" customHeight="true" outlineLevel="0" collapsed="false"/>
    <row r="4083" customFormat="false" ht="11.25" hidden="false" customHeight="true" outlineLevel="0" collapsed="false"/>
    <row r="4084" customFormat="false" ht="11.25" hidden="false" customHeight="true" outlineLevel="0" collapsed="false"/>
    <row r="4085" customFormat="false" ht="11.25" hidden="false" customHeight="true" outlineLevel="0" collapsed="false"/>
    <row r="4086" customFormat="false" ht="11.25" hidden="false" customHeight="true" outlineLevel="0" collapsed="false"/>
    <row r="4087" customFormat="false" ht="11.25" hidden="false" customHeight="true" outlineLevel="0" collapsed="false"/>
    <row r="4088" customFormat="false" ht="11.25" hidden="false" customHeight="true" outlineLevel="0" collapsed="false"/>
    <row r="4089" customFormat="false" ht="11.25" hidden="false" customHeight="true" outlineLevel="0" collapsed="false"/>
    <row r="4090" customFormat="false" ht="11.25" hidden="false" customHeight="true" outlineLevel="0" collapsed="false"/>
    <row r="4091" customFormat="false" ht="11.25" hidden="false" customHeight="true" outlineLevel="0" collapsed="false"/>
    <row r="4092" customFormat="false" ht="11.25" hidden="false" customHeight="true" outlineLevel="0" collapsed="false"/>
    <row r="4093" customFormat="false" ht="11.25" hidden="false" customHeight="true" outlineLevel="0" collapsed="false"/>
    <row r="4094" customFormat="false" ht="11.25" hidden="false" customHeight="true" outlineLevel="0" collapsed="false"/>
    <row r="4095" customFormat="false" ht="11.25" hidden="false" customHeight="true" outlineLevel="0" collapsed="false"/>
    <row r="4096" customFormat="false" ht="11.25" hidden="false" customHeight="true" outlineLevel="0" collapsed="false"/>
    <row r="4097" customFormat="false" ht="11.25" hidden="false" customHeight="true" outlineLevel="0" collapsed="false"/>
    <row r="4098" customFormat="false" ht="11.25" hidden="false" customHeight="true" outlineLevel="0" collapsed="false"/>
    <row r="4099" customFormat="false" ht="11.25" hidden="false" customHeight="true" outlineLevel="0" collapsed="false"/>
    <row r="4100" customFormat="false" ht="11.25" hidden="false" customHeight="true" outlineLevel="0" collapsed="false"/>
    <row r="4101" customFormat="false" ht="11.25" hidden="false" customHeight="true" outlineLevel="0" collapsed="false"/>
    <row r="4102" customFormat="false" ht="11.25" hidden="false" customHeight="true" outlineLevel="0" collapsed="false"/>
    <row r="4103" customFormat="false" ht="11.25" hidden="false" customHeight="true" outlineLevel="0" collapsed="false"/>
    <row r="4104" customFormat="false" ht="11.25" hidden="false" customHeight="true" outlineLevel="0" collapsed="false"/>
    <row r="4105" customFormat="false" ht="11.25" hidden="false" customHeight="true" outlineLevel="0" collapsed="false"/>
    <row r="4106" customFormat="false" ht="11.25" hidden="false" customHeight="true" outlineLevel="0" collapsed="false"/>
    <row r="4107" customFormat="false" ht="11.25" hidden="false" customHeight="true" outlineLevel="0" collapsed="false"/>
    <row r="4108" customFormat="false" ht="11.25" hidden="false" customHeight="true" outlineLevel="0" collapsed="false"/>
    <row r="4109" customFormat="false" ht="11.25" hidden="false" customHeight="true" outlineLevel="0" collapsed="false"/>
    <row r="4110" customFormat="false" ht="11.25" hidden="false" customHeight="true" outlineLevel="0" collapsed="false"/>
    <row r="4111" customFormat="false" ht="11.25" hidden="false" customHeight="true" outlineLevel="0" collapsed="false"/>
    <row r="4112" customFormat="false" ht="11.25" hidden="false" customHeight="true" outlineLevel="0" collapsed="false"/>
    <row r="4113" customFormat="false" ht="11.25" hidden="false" customHeight="true" outlineLevel="0" collapsed="false"/>
    <row r="4114" customFormat="false" ht="11.25" hidden="false" customHeight="true" outlineLevel="0" collapsed="false"/>
    <row r="4115" customFormat="false" ht="11.25" hidden="false" customHeight="true" outlineLevel="0" collapsed="false"/>
    <row r="4116" customFormat="false" ht="11.25" hidden="false" customHeight="true" outlineLevel="0" collapsed="false"/>
    <row r="4117" customFormat="false" ht="11.25" hidden="false" customHeight="true" outlineLevel="0" collapsed="false"/>
    <row r="4118" customFormat="false" ht="11.25" hidden="false" customHeight="true" outlineLevel="0" collapsed="false"/>
    <row r="4119" customFormat="false" ht="11.25" hidden="false" customHeight="true" outlineLevel="0" collapsed="false"/>
    <row r="4120" customFormat="false" ht="11.25" hidden="false" customHeight="true" outlineLevel="0" collapsed="false"/>
    <row r="4121" customFormat="false" ht="11.25" hidden="false" customHeight="true" outlineLevel="0" collapsed="false"/>
    <row r="4122" customFormat="false" ht="11.25" hidden="false" customHeight="true" outlineLevel="0" collapsed="false"/>
    <row r="4123" customFormat="false" ht="11.25" hidden="false" customHeight="true" outlineLevel="0" collapsed="false"/>
    <row r="4124" customFormat="false" ht="11.25" hidden="false" customHeight="true" outlineLevel="0" collapsed="false"/>
    <row r="4125" customFormat="false" ht="11.25" hidden="false" customHeight="true" outlineLevel="0" collapsed="false"/>
    <row r="4126" customFormat="false" ht="11.25" hidden="false" customHeight="true" outlineLevel="0" collapsed="false"/>
    <row r="4127" customFormat="false" ht="11.25" hidden="false" customHeight="true" outlineLevel="0" collapsed="false"/>
    <row r="4128" customFormat="false" ht="11.25" hidden="false" customHeight="true" outlineLevel="0" collapsed="false"/>
    <row r="4129" customFormat="false" ht="11.25" hidden="false" customHeight="true" outlineLevel="0" collapsed="false"/>
    <row r="4130" customFormat="false" ht="11.25" hidden="false" customHeight="true" outlineLevel="0" collapsed="false"/>
    <row r="4131" customFormat="false" ht="11.25" hidden="false" customHeight="true" outlineLevel="0" collapsed="false"/>
    <row r="4132" customFormat="false" ht="11.25" hidden="false" customHeight="true" outlineLevel="0" collapsed="false"/>
    <row r="4133" customFormat="false" ht="11.25" hidden="false" customHeight="true" outlineLevel="0" collapsed="false"/>
    <row r="4134" customFormat="false" ht="11.25" hidden="false" customHeight="true" outlineLevel="0" collapsed="false"/>
    <row r="4135" customFormat="false" ht="11.25" hidden="false" customHeight="true" outlineLevel="0" collapsed="false"/>
    <row r="4136" customFormat="false" ht="11.25" hidden="false" customHeight="true" outlineLevel="0" collapsed="false"/>
    <row r="4137" customFormat="false" ht="11.25" hidden="false" customHeight="true" outlineLevel="0" collapsed="false"/>
    <row r="4138" customFormat="false" ht="11.25" hidden="false" customHeight="true" outlineLevel="0" collapsed="false"/>
    <row r="4139" customFormat="false" ht="11.25" hidden="false" customHeight="true" outlineLevel="0" collapsed="false"/>
    <row r="4140" customFormat="false" ht="11.25" hidden="false" customHeight="true" outlineLevel="0" collapsed="false"/>
    <row r="4141" customFormat="false" ht="11.25" hidden="false" customHeight="true" outlineLevel="0" collapsed="false"/>
    <row r="4142" customFormat="false" ht="11.25" hidden="false" customHeight="true" outlineLevel="0" collapsed="false"/>
    <row r="4143" customFormat="false" ht="11.25" hidden="false" customHeight="true" outlineLevel="0" collapsed="false"/>
    <row r="4144" customFormat="false" ht="11.25" hidden="false" customHeight="true" outlineLevel="0" collapsed="false"/>
    <row r="4145" customFormat="false" ht="11.25" hidden="false" customHeight="true" outlineLevel="0" collapsed="false"/>
    <row r="4146" customFormat="false" ht="11.25" hidden="false" customHeight="true" outlineLevel="0" collapsed="false"/>
    <row r="4147" customFormat="false" ht="11.25" hidden="false" customHeight="true" outlineLevel="0" collapsed="false"/>
    <row r="4148" customFormat="false" ht="11.25" hidden="false" customHeight="true" outlineLevel="0" collapsed="false"/>
    <row r="4149" customFormat="false" ht="11.25" hidden="false" customHeight="true" outlineLevel="0" collapsed="false"/>
    <row r="4150" customFormat="false" ht="11.25" hidden="false" customHeight="true" outlineLevel="0" collapsed="false"/>
    <row r="4151" customFormat="false" ht="11.25" hidden="false" customHeight="true" outlineLevel="0" collapsed="false"/>
    <row r="4152" customFormat="false" ht="11.25" hidden="false" customHeight="true" outlineLevel="0" collapsed="false"/>
    <row r="4153" customFormat="false" ht="11.25" hidden="false" customHeight="true" outlineLevel="0" collapsed="false"/>
    <row r="4154" customFormat="false" ht="11.25" hidden="false" customHeight="true" outlineLevel="0" collapsed="false"/>
    <row r="4155" customFormat="false" ht="11.25" hidden="false" customHeight="true" outlineLevel="0" collapsed="false"/>
    <row r="4156" customFormat="false" ht="11.25" hidden="false" customHeight="true" outlineLevel="0" collapsed="false"/>
    <row r="4157" customFormat="false" ht="11.25" hidden="false" customHeight="true" outlineLevel="0" collapsed="false"/>
    <row r="4158" customFormat="false" ht="11.25" hidden="false" customHeight="true" outlineLevel="0" collapsed="false"/>
    <row r="4159" customFormat="false" ht="11.25" hidden="false" customHeight="true" outlineLevel="0" collapsed="false"/>
    <row r="4160" customFormat="false" ht="11.25" hidden="false" customHeight="true" outlineLevel="0" collapsed="false"/>
    <row r="4161" customFormat="false" ht="11.25" hidden="false" customHeight="true" outlineLevel="0" collapsed="false"/>
    <row r="4162" customFormat="false" ht="11.25" hidden="false" customHeight="true" outlineLevel="0" collapsed="false"/>
    <row r="4163" customFormat="false" ht="11.25" hidden="false" customHeight="true" outlineLevel="0" collapsed="false"/>
    <row r="4164" customFormat="false" ht="11.25" hidden="false" customHeight="true" outlineLevel="0" collapsed="false"/>
    <row r="4165" customFormat="false" ht="11.25" hidden="false" customHeight="true" outlineLevel="0" collapsed="false"/>
    <row r="4166" customFormat="false" ht="11.25" hidden="false" customHeight="true" outlineLevel="0" collapsed="false"/>
    <row r="4167" customFormat="false" ht="11.25" hidden="false" customHeight="true" outlineLevel="0" collapsed="false"/>
    <row r="4168" customFormat="false" ht="11.25" hidden="false" customHeight="true" outlineLevel="0" collapsed="false"/>
    <row r="4169" customFormat="false" ht="11.25" hidden="false" customHeight="true" outlineLevel="0" collapsed="false"/>
    <row r="4170" customFormat="false" ht="11.25" hidden="false" customHeight="true" outlineLevel="0" collapsed="false"/>
    <row r="4171" customFormat="false" ht="11.25" hidden="false" customHeight="true" outlineLevel="0" collapsed="false"/>
    <row r="4172" customFormat="false" ht="11.25" hidden="false" customHeight="true" outlineLevel="0" collapsed="false"/>
    <row r="4173" customFormat="false" ht="11.25" hidden="false" customHeight="true" outlineLevel="0" collapsed="false"/>
    <row r="4174" customFormat="false" ht="11.25" hidden="false" customHeight="true" outlineLevel="0" collapsed="false"/>
    <row r="4175" customFormat="false" ht="11.25" hidden="false" customHeight="true" outlineLevel="0" collapsed="false"/>
    <row r="4176" customFormat="false" ht="11.25" hidden="false" customHeight="true" outlineLevel="0" collapsed="false"/>
    <row r="4177" customFormat="false" ht="11.25" hidden="false" customHeight="true" outlineLevel="0" collapsed="false"/>
    <row r="4178" customFormat="false" ht="11.25" hidden="false" customHeight="true" outlineLevel="0" collapsed="false"/>
    <row r="4179" customFormat="false" ht="11.25" hidden="false" customHeight="true" outlineLevel="0" collapsed="false"/>
    <row r="4180" customFormat="false" ht="11.25" hidden="false" customHeight="true" outlineLevel="0" collapsed="false"/>
    <row r="4181" customFormat="false" ht="11.25" hidden="false" customHeight="true" outlineLevel="0" collapsed="false"/>
    <row r="4182" customFormat="false" ht="11.25" hidden="false" customHeight="true" outlineLevel="0" collapsed="false"/>
    <row r="4183" customFormat="false" ht="11.25" hidden="false" customHeight="true" outlineLevel="0" collapsed="false"/>
    <row r="4184" customFormat="false" ht="11.25" hidden="false" customHeight="true" outlineLevel="0" collapsed="false"/>
    <row r="4185" customFormat="false" ht="11.25" hidden="false" customHeight="true" outlineLevel="0" collapsed="false"/>
    <row r="4186" customFormat="false" ht="11.25" hidden="false" customHeight="true" outlineLevel="0" collapsed="false"/>
    <row r="4187" customFormat="false" ht="11.25" hidden="false" customHeight="true" outlineLevel="0" collapsed="false"/>
    <row r="4188" customFormat="false" ht="11.25" hidden="false" customHeight="true" outlineLevel="0" collapsed="false"/>
    <row r="4189" customFormat="false" ht="11.25" hidden="false" customHeight="true" outlineLevel="0" collapsed="false"/>
    <row r="4190" customFormat="false" ht="11.25" hidden="false" customHeight="true" outlineLevel="0" collapsed="false"/>
    <row r="4191" customFormat="false" ht="11.25" hidden="false" customHeight="true" outlineLevel="0" collapsed="false"/>
    <row r="4192" customFormat="false" ht="11.25" hidden="false" customHeight="true" outlineLevel="0" collapsed="false"/>
    <row r="4193" customFormat="false" ht="11.25" hidden="false" customHeight="true" outlineLevel="0" collapsed="false"/>
    <row r="4194" customFormat="false" ht="11.25" hidden="false" customHeight="true" outlineLevel="0" collapsed="false"/>
    <row r="4195" customFormat="false" ht="11.25" hidden="false" customHeight="true" outlineLevel="0" collapsed="false"/>
    <row r="4196" customFormat="false" ht="11.25" hidden="false" customHeight="true" outlineLevel="0" collapsed="false"/>
    <row r="4197" customFormat="false" ht="11.25" hidden="false" customHeight="true" outlineLevel="0" collapsed="false"/>
    <row r="4198" customFormat="false" ht="11.25" hidden="false" customHeight="true" outlineLevel="0" collapsed="false"/>
    <row r="4199" customFormat="false" ht="11.25" hidden="false" customHeight="true" outlineLevel="0" collapsed="false"/>
    <row r="4200" customFormat="false" ht="11.25" hidden="false" customHeight="true" outlineLevel="0" collapsed="false"/>
    <row r="4201" customFormat="false" ht="11.25" hidden="false" customHeight="true" outlineLevel="0" collapsed="false"/>
    <row r="4202" customFormat="false" ht="11.25" hidden="false" customHeight="true" outlineLevel="0" collapsed="false"/>
    <row r="4203" customFormat="false" ht="11.25" hidden="false" customHeight="true" outlineLevel="0" collapsed="false"/>
    <row r="4204" customFormat="false" ht="11.25" hidden="false" customHeight="true" outlineLevel="0" collapsed="false"/>
    <row r="4205" customFormat="false" ht="11.25" hidden="false" customHeight="true" outlineLevel="0" collapsed="false"/>
    <row r="4206" customFormat="false" ht="11.25" hidden="false" customHeight="true" outlineLevel="0" collapsed="false"/>
    <row r="4207" customFormat="false" ht="11.25" hidden="false" customHeight="true" outlineLevel="0" collapsed="false"/>
    <row r="4208" customFormat="false" ht="11.25" hidden="false" customHeight="true" outlineLevel="0" collapsed="false"/>
    <row r="4209" customFormat="false" ht="11.25" hidden="false" customHeight="true" outlineLevel="0" collapsed="false"/>
    <row r="4210" customFormat="false" ht="11.25" hidden="false" customHeight="true" outlineLevel="0" collapsed="false"/>
    <row r="4211" customFormat="false" ht="11.25" hidden="false" customHeight="true" outlineLevel="0" collapsed="false"/>
    <row r="4212" customFormat="false" ht="11.25" hidden="false" customHeight="true" outlineLevel="0" collapsed="false"/>
    <row r="4213" customFormat="false" ht="11.25" hidden="false" customHeight="true" outlineLevel="0" collapsed="false"/>
    <row r="4214" customFormat="false" ht="11.25" hidden="false" customHeight="true" outlineLevel="0" collapsed="false"/>
    <row r="4215" customFormat="false" ht="11.25" hidden="false" customHeight="true" outlineLevel="0" collapsed="false"/>
    <row r="4216" customFormat="false" ht="11.25" hidden="false" customHeight="true" outlineLevel="0" collapsed="false"/>
    <row r="4217" customFormat="false" ht="11.25" hidden="false" customHeight="true" outlineLevel="0" collapsed="false"/>
    <row r="4218" customFormat="false" ht="11.25" hidden="false" customHeight="true" outlineLevel="0" collapsed="false"/>
    <row r="4219" customFormat="false" ht="11.25" hidden="false" customHeight="true" outlineLevel="0" collapsed="false"/>
    <row r="4220" customFormat="false" ht="11.25" hidden="false" customHeight="true" outlineLevel="0" collapsed="false"/>
    <row r="4221" customFormat="false" ht="11.25" hidden="false" customHeight="true" outlineLevel="0" collapsed="false"/>
    <row r="4222" customFormat="false" ht="11.25" hidden="false" customHeight="true" outlineLevel="0" collapsed="false"/>
    <row r="4223" customFormat="false" ht="11.25" hidden="false" customHeight="true" outlineLevel="0" collapsed="false"/>
    <row r="4224" customFormat="false" ht="11.25" hidden="false" customHeight="true" outlineLevel="0" collapsed="false"/>
    <row r="4225" customFormat="false" ht="11.25" hidden="false" customHeight="true" outlineLevel="0" collapsed="false"/>
    <row r="4226" customFormat="false" ht="11.25" hidden="false" customHeight="true" outlineLevel="0" collapsed="false"/>
    <row r="4227" customFormat="false" ht="11.25" hidden="false" customHeight="true" outlineLevel="0" collapsed="false"/>
    <row r="4228" customFormat="false" ht="11.25" hidden="false" customHeight="true" outlineLevel="0" collapsed="false"/>
    <row r="4229" customFormat="false" ht="11.25" hidden="false" customHeight="true" outlineLevel="0" collapsed="false"/>
    <row r="4230" customFormat="false" ht="11.25" hidden="false" customHeight="true" outlineLevel="0" collapsed="false"/>
    <row r="4231" customFormat="false" ht="11.25" hidden="false" customHeight="true" outlineLevel="0" collapsed="false"/>
    <row r="4232" customFormat="false" ht="11.25" hidden="false" customHeight="true" outlineLevel="0" collapsed="false"/>
    <row r="4233" customFormat="false" ht="11.25" hidden="false" customHeight="true" outlineLevel="0" collapsed="false"/>
    <row r="4234" customFormat="false" ht="11.25" hidden="false" customHeight="true" outlineLevel="0" collapsed="false"/>
    <row r="4235" customFormat="false" ht="11.25" hidden="false" customHeight="true" outlineLevel="0" collapsed="false"/>
    <row r="4236" customFormat="false" ht="11.25" hidden="false" customHeight="true" outlineLevel="0" collapsed="false"/>
    <row r="4237" customFormat="false" ht="11.25" hidden="false" customHeight="true" outlineLevel="0" collapsed="false"/>
    <row r="4238" customFormat="false" ht="11.25" hidden="false" customHeight="true" outlineLevel="0" collapsed="false"/>
    <row r="4239" customFormat="false" ht="11.25" hidden="false" customHeight="true" outlineLevel="0" collapsed="false"/>
    <row r="4240" customFormat="false" ht="11.25" hidden="false" customHeight="true" outlineLevel="0" collapsed="false"/>
    <row r="4241" customFormat="false" ht="11.25" hidden="false" customHeight="true" outlineLevel="0" collapsed="false"/>
    <row r="4242" customFormat="false" ht="11.25" hidden="false" customHeight="true" outlineLevel="0" collapsed="false"/>
    <row r="4243" customFormat="false" ht="11.25" hidden="false" customHeight="true" outlineLevel="0" collapsed="false"/>
    <row r="4244" customFormat="false" ht="11.25" hidden="false" customHeight="true" outlineLevel="0" collapsed="false"/>
    <row r="4245" customFormat="false" ht="11.25" hidden="false" customHeight="true" outlineLevel="0" collapsed="false"/>
    <row r="4246" customFormat="false" ht="11.25" hidden="false" customHeight="true" outlineLevel="0" collapsed="false"/>
    <row r="4247" customFormat="false" ht="11.25" hidden="false" customHeight="true" outlineLevel="0" collapsed="false"/>
    <row r="4248" customFormat="false" ht="11.25" hidden="false" customHeight="true" outlineLevel="0" collapsed="false"/>
    <row r="4249" customFormat="false" ht="11.25" hidden="false" customHeight="true" outlineLevel="0" collapsed="false"/>
    <row r="4250" customFormat="false" ht="11.25" hidden="false" customHeight="true" outlineLevel="0" collapsed="false"/>
    <row r="4251" customFormat="false" ht="11.25" hidden="false" customHeight="true" outlineLevel="0" collapsed="false"/>
    <row r="4252" customFormat="false" ht="11.25" hidden="false" customHeight="true" outlineLevel="0" collapsed="false"/>
    <row r="4253" customFormat="false" ht="11.25" hidden="false" customHeight="true" outlineLevel="0" collapsed="false"/>
    <row r="4254" customFormat="false" ht="11.25" hidden="false" customHeight="true" outlineLevel="0" collapsed="false"/>
    <row r="4255" customFormat="false" ht="11.25" hidden="false" customHeight="true" outlineLevel="0" collapsed="false"/>
    <row r="4256" customFormat="false" ht="11.25" hidden="false" customHeight="true" outlineLevel="0" collapsed="false"/>
    <row r="4257" customFormat="false" ht="11.25" hidden="false" customHeight="true" outlineLevel="0" collapsed="false"/>
    <row r="4258" customFormat="false" ht="11.25" hidden="false" customHeight="true" outlineLevel="0" collapsed="false"/>
    <row r="4259" customFormat="false" ht="11.25" hidden="false" customHeight="true" outlineLevel="0" collapsed="false"/>
    <row r="4260" customFormat="false" ht="11.25" hidden="false" customHeight="true" outlineLevel="0" collapsed="false"/>
    <row r="4261" customFormat="false" ht="11.25" hidden="false" customHeight="true" outlineLevel="0" collapsed="false"/>
    <row r="4262" customFormat="false" ht="11.25" hidden="false" customHeight="true" outlineLevel="0" collapsed="false"/>
    <row r="4263" customFormat="false" ht="11.25" hidden="false" customHeight="true" outlineLevel="0" collapsed="false"/>
    <row r="4264" customFormat="false" ht="11.25" hidden="false" customHeight="true" outlineLevel="0" collapsed="false"/>
    <row r="4265" customFormat="false" ht="11.25" hidden="false" customHeight="true" outlineLevel="0" collapsed="false"/>
    <row r="4266" customFormat="false" ht="11.25" hidden="false" customHeight="true" outlineLevel="0" collapsed="false"/>
    <row r="4267" customFormat="false" ht="11.25" hidden="false" customHeight="true" outlineLevel="0" collapsed="false"/>
    <row r="4268" customFormat="false" ht="11.25" hidden="false" customHeight="true" outlineLevel="0" collapsed="false"/>
    <row r="4269" customFormat="false" ht="11.25" hidden="false" customHeight="true" outlineLevel="0" collapsed="false"/>
    <row r="4270" customFormat="false" ht="11.25" hidden="false" customHeight="true" outlineLevel="0" collapsed="false"/>
    <row r="4271" customFormat="false" ht="11.25" hidden="false" customHeight="true" outlineLevel="0" collapsed="false"/>
    <row r="4272" customFormat="false" ht="11.25" hidden="false" customHeight="true" outlineLevel="0" collapsed="false"/>
    <row r="4273" customFormat="false" ht="11.25" hidden="false" customHeight="true" outlineLevel="0" collapsed="false"/>
    <row r="4274" customFormat="false" ht="11.25" hidden="false" customHeight="true" outlineLevel="0" collapsed="false"/>
    <row r="4275" customFormat="false" ht="11.25" hidden="false" customHeight="true" outlineLevel="0" collapsed="false"/>
    <row r="4276" customFormat="false" ht="11.25" hidden="false" customHeight="true" outlineLevel="0" collapsed="false"/>
    <row r="4277" customFormat="false" ht="11.25" hidden="false" customHeight="true" outlineLevel="0" collapsed="false"/>
    <row r="4278" customFormat="false" ht="11.25" hidden="false" customHeight="true" outlineLevel="0" collapsed="false"/>
    <row r="4279" customFormat="false" ht="11.25" hidden="false" customHeight="true" outlineLevel="0" collapsed="false"/>
    <row r="4280" customFormat="false" ht="11.25" hidden="false" customHeight="true" outlineLevel="0" collapsed="false"/>
    <row r="4281" customFormat="false" ht="11.25" hidden="false" customHeight="true" outlineLevel="0" collapsed="false"/>
    <row r="4282" customFormat="false" ht="11.25" hidden="false" customHeight="true" outlineLevel="0" collapsed="false"/>
    <row r="4283" customFormat="false" ht="11.25" hidden="false" customHeight="true" outlineLevel="0" collapsed="false"/>
    <row r="4284" customFormat="false" ht="11.25" hidden="false" customHeight="true" outlineLevel="0" collapsed="false"/>
    <row r="4285" customFormat="false" ht="11.25" hidden="false" customHeight="true" outlineLevel="0" collapsed="false"/>
    <row r="4286" customFormat="false" ht="11.25" hidden="false" customHeight="true" outlineLevel="0" collapsed="false"/>
    <row r="4287" customFormat="false" ht="11.25" hidden="false" customHeight="true" outlineLevel="0" collapsed="false"/>
    <row r="4288" customFormat="false" ht="11.25" hidden="false" customHeight="true" outlineLevel="0" collapsed="false"/>
    <row r="4289" customFormat="false" ht="11.25" hidden="false" customHeight="true" outlineLevel="0" collapsed="false"/>
    <row r="4290" customFormat="false" ht="11.25" hidden="false" customHeight="true" outlineLevel="0" collapsed="false"/>
    <row r="4291" customFormat="false" ht="11.25" hidden="false" customHeight="true" outlineLevel="0" collapsed="false"/>
    <row r="4292" customFormat="false" ht="11.25" hidden="false" customHeight="true" outlineLevel="0" collapsed="false"/>
    <row r="4293" customFormat="false" ht="11.25" hidden="false" customHeight="true" outlineLevel="0" collapsed="false"/>
    <row r="4294" customFormat="false" ht="11.25" hidden="false" customHeight="true" outlineLevel="0" collapsed="false"/>
    <row r="4295" customFormat="false" ht="11.25" hidden="false" customHeight="true" outlineLevel="0" collapsed="false"/>
    <row r="4296" customFormat="false" ht="11.25" hidden="false" customHeight="true" outlineLevel="0" collapsed="false"/>
    <row r="4297" customFormat="false" ht="11.25" hidden="false" customHeight="true" outlineLevel="0" collapsed="false"/>
    <row r="4298" customFormat="false" ht="11.25" hidden="false" customHeight="true" outlineLevel="0" collapsed="false"/>
    <row r="4299" customFormat="false" ht="11.25" hidden="false" customHeight="true" outlineLevel="0" collapsed="false"/>
    <row r="4300" customFormat="false" ht="11.25" hidden="false" customHeight="true" outlineLevel="0" collapsed="false"/>
    <row r="4301" customFormat="false" ht="11.25" hidden="false" customHeight="true" outlineLevel="0" collapsed="false"/>
    <row r="4302" customFormat="false" ht="11.25" hidden="false" customHeight="true" outlineLevel="0" collapsed="false"/>
    <row r="4303" customFormat="false" ht="11.25" hidden="false" customHeight="true" outlineLevel="0" collapsed="false"/>
    <row r="4304" customFormat="false" ht="11.25" hidden="false" customHeight="true" outlineLevel="0" collapsed="false"/>
    <row r="4305" customFormat="false" ht="11.25" hidden="false" customHeight="true" outlineLevel="0" collapsed="false"/>
    <row r="4306" customFormat="false" ht="11.25" hidden="false" customHeight="true" outlineLevel="0" collapsed="false"/>
    <row r="4307" customFormat="false" ht="11.25" hidden="false" customHeight="true" outlineLevel="0" collapsed="false"/>
    <row r="4308" customFormat="false" ht="11.25" hidden="false" customHeight="true" outlineLevel="0" collapsed="false"/>
    <row r="4309" customFormat="false" ht="11.25" hidden="false" customHeight="true" outlineLevel="0" collapsed="false"/>
    <row r="4310" customFormat="false" ht="11.25" hidden="false" customHeight="true" outlineLevel="0" collapsed="false"/>
    <row r="4311" customFormat="false" ht="11.25" hidden="false" customHeight="true" outlineLevel="0" collapsed="false"/>
    <row r="4312" customFormat="false" ht="11.25" hidden="false" customHeight="true" outlineLevel="0" collapsed="false"/>
    <row r="4313" customFormat="false" ht="11.25" hidden="false" customHeight="true" outlineLevel="0" collapsed="false"/>
    <row r="4314" customFormat="false" ht="11.25" hidden="false" customHeight="true" outlineLevel="0" collapsed="false"/>
    <row r="4315" customFormat="false" ht="11.25" hidden="false" customHeight="true" outlineLevel="0" collapsed="false"/>
    <row r="4316" customFormat="false" ht="11.25" hidden="false" customHeight="true" outlineLevel="0" collapsed="false"/>
    <row r="4317" customFormat="false" ht="11.25" hidden="false" customHeight="true" outlineLevel="0" collapsed="false"/>
    <row r="4318" customFormat="false" ht="11.25" hidden="false" customHeight="true" outlineLevel="0" collapsed="false"/>
    <row r="4319" customFormat="false" ht="11.25" hidden="false" customHeight="true" outlineLevel="0" collapsed="false"/>
    <row r="4320" customFormat="false" ht="11.25" hidden="false" customHeight="true" outlineLevel="0" collapsed="false"/>
    <row r="4321" customFormat="false" ht="11.25" hidden="false" customHeight="true" outlineLevel="0" collapsed="false"/>
    <row r="4322" customFormat="false" ht="11.25" hidden="false" customHeight="true" outlineLevel="0" collapsed="false"/>
    <row r="4323" customFormat="false" ht="11.25" hidden="false" customHeight="true" outlineLevel="0" collapsed="false"/>
    <row r="4324" customFormat="false" ht="11.25" hidden="false" customHeight="true" outlineLevel="0" collapsed="false"/>
    <row r="4325" customFormat="false" ht="11.25" hidden="false" customHeight="true" outlineLevel="0" collapsed="false"/>
    <row r="4326" customFormat="false" ht="11.25" hidden="false" customHeight="true" outlineLevel="0" collapsed="false"/>
    <row r="4327" customFormat="false" ht="11.25" hidden="false" customHeight="true" outlineLevel="0" collapsed="false"/>
    <row r="4328" customFormat="false" ht="11.25" hidden="false" customHeight="true" outlineLevel="0" collapsed="false"/>
    <row r="4329" customFormat="false" ht="11.25" hidden="false" customHeight="true" outlineLevel="0" collapsed="false"/>
    <row r="4330" customFormat="false" ht="11.25" hidden="false" customHeight="true" outlineLevel="0" collapsed="false"/>
    <row r="4331" customFormat="false" ht="11.25" hidden="false" customHeight="true" outlineLevel="0" collapsed="false"/>
    <row r="4332" customFormat="false" ht="11.25" hidden="false" customHeight="true" outlineLevel="0" collapsed="false"/>
    <row r="4333" customFormat="false" ht="11.25" hidden="false" customHeight="true" outlineLevel="0" collapsed="false"/>
    <row r="4334" customFormat="false" ht="11.25" hidden="false" customHeight="true" outlineLevel="0" collapsed="false"/>
    <row r="4335" customFormat="false" ht="11.25" hidden="false" customHeight="true" outlineLevel="0" collapsed="false"/>
    <row r="4336" customFormat="false" ht="11.25" hidden="false" customHeight="true" outlineLevel="0" collapsed="false"/>
    <row r="4337" customFormat="false" ht="11.25" hidden="false" customHeight="true" outlineLevel="0" collapsed="false"/>
    <row r="4338" customFormat="false" ht="11.25" hidden="false" customHeight="true" outlineLevel="0" collapsed="false"/>
    <row r="4339" customFormat="false" ht="11.25" hidden="false" customHeight="true" outlineLevel="0" collapsed="false"/>
    <row r="4340" customFormat="false" ht="11.25" hidden="false" customHeight="true" outlineLevel="0" collapsed="false"/>
    <row r="4341" customFormat="false" ht="11.25" hidden="false" customHeight="true" outlineLevel="0" collapsed="false"/>
    <row r="4342" customFormat="false" ht="11.25" hidden="false" customHeight="true" outlineLevel="0" collapsed="false"/>
    <row r="4343" customFormat="false" ht="11.25" hidden="false" customHeight="true" outlineLevel="0" collapsed="false"/>
    <row r="4344" customFormat="false" ht="11.25" hidden="false" customHeight="true" outlineLevel="0" collapsed="false"/>
    <row r="4345" customFormat="false" ht="11.25" hidden="false" customHeight="true" outlineLevel="0" collapsed="false"/>
    <row r="4346" customFormat="false" ht="11.25" hidden="false" customHeight="true" outlineLevel="0" collapsed="false"/>
    <row r="4347" customFormat="false" ht="11.25" hidden="false" customHeight="true" outlineLevel="0" collapsed="false"/>
    <row r="4348" customFormat="false" ht="11.25" hidden="false" customHeight="true" outlineLevel="0" collapsed="false"/>
    <row r="4349" customFormat="false" ht="11.25" hidden="false" customHeight="true" outlineLevel="0" collapsed="false"/>
    <row r="4350" customFormat="false" ht="11.25" hidden="false" customHeight="true" outlineLevel="0" collapsed="false"/>
    <row r="4351" customFormat="false" ht="11.25" hidden="false" customHeight="true" outlineLevel="0" collapsed="false"/>
    <row r="4352" customFormat="false" ht="11.25" hidden="false" customHeight="true" outlineLevel="0" collapsed="false"/>
    <row r="4353" customFormat="false" ht="11.25" hidden="false" customHeight="true" outlineLevel="0" collapsed="false"/>
    <row r="4354" customFormat="false" ht="11.25" hidden="false" customHeight="true" outlineLevel="0" collapsed="false"/>
    <row r="4355" customFormat="false" ht="11.25" hidden="false" customHeight="true" outlineLevel="0" collapsed="false"/>
    <row r="4356" customFormat="false" ht="11.25" hidden="false" customHeight="true" outlineLevel="0" collapsed="false"/>
    <row r="4357" customFormat="false" ht="11.25" hidden="false" customHeight="true" outlineLevel="0" collapsed="false"/>
    <row r="4358" customFormat="false" ht="11.25" hidden="false" customHeight="true" outlineLevel="0" collapsed="false"/>
    <row r="4359" customFormat="false" ht="11.25" hidden="false" customHeight="true" outlineLevel="0" collapsed="false"/>
    <row r="4360" customFormat="false" ht="11.25" hidden="false" customHeight="true" outlineLevel="0" collapsed="false"/>
    <row r="4361" customFormat="false" ht="11.25" hidden="false" customHeight="true" outlineLevel="0" collapsed="false"/>
    <row r="4362" customFormat="false" ht="11.25" hidden="false" customHeight="true" outlineLevel="0" collapsed="false"/>
    <row r="4363" customFormat="false" ht="11.25" hidden="false" customHeight="true" outlineLevel="0" collapsed="false"/>
    <row r="4364" customFormat="false" ht="11.25" hidden="false" customHeight="true" outlineLevel="0" collapsed="false"/>
    <row r="4365" customFormat="false" ht="11.25" hidden="false" customHeight="true" outlineLevel="0" collapsed="false"/>
    <row r="4366" customFormat="false" ht="11.25" hidden="false" customHeight="true" outlineLevel="0" collapsed="false"/>
    <row r="4367" customFormat="false" ht="11.25" hidden="false" customHeight="true" outlineLevel="0" collapsed="false"/>
    <row r="4368" customFormat="false" ht="11.25" hidden="false" customHeight="true" outlineLevel="0" collapsed="false"/>
    <row r="4369" customFormat="false" ht="11.25" hidden="false" customHeight="true" outlineLevel="0" collapsed="false"/>
    <row r="4370" customFormat="false" ht="11.25" hidden="false" customHeight="true" outlineLevel="0" collapsed="false"/>
    <row r="4371" customFormat="false" ht="11.25" hidden="false" customHeight="true" outlineLevel="0" collapsed="false"/>
    <row r="4372" customFormat="false" ht="11.25" hidden="false" customHeight="true" outlineLevel="0" collapsed="false"/>
    <row r="4373" customFormat="false" ht="11.25" hidden="false" customHeight="true" outlineLevel="0" collapsed="false"/>
    <row r="4374" customFormat="false" ht="11.25" hidden="false" customHeight="true" outlineLevel="0" collapsed="false"/>
    <row r="4375" customFormat="false" ht="11.25" hidden="false" customHeight="true" outlineLevel="0" collapsed="false"/>
    <row r="4376" customFormat="false" ht="11.25" hidden="false" customHeight="true" outlineLevel="0" collapsed="false"/>
    <row r="4377" customFormat="false" ht="11.25" hidden="false" customHeight="true" outlineLevel="0" collapsed="false"/>
    <row r="4378" customFormat="false" ht="11.25" hidden="false" customHeight="true" outlineLevel="0" collapsed="false"/>
    <row r="4379" customFormat="false" ht="11.25" hidden="false" customHeight="true" outlineLevel="0" collapsed="false"/>
    <row r="4380" customFormat="false" ht="11.25" hidden="false" customHeight="true" outlineLevel="0" collapsed="false"/>
    <row r="4381" customFormat="false" ht="11.25" hidden="false" customHeight="true" outlineLevel="0" collapsed="false"/>
    <row r="4382" customFormat="false" ht="11.25" hidden="false" customHeight="true" outlineLevel="0" collapsed="false"/>
    <row r="4383" customFormat="false" ht="11.25" hidden="false" customHeight="true" outlineLevel="0" collapsed="false"/>
    <row r="4384" customFormat="false" ht="11.25" hidden="false" customHeight="true" outlineLevel="0" collapsed="false"/>
    <row r="4385" customFormat="false" ht="11.25" hidden="false" customHeight="true" outlineLevel="0" collapsed="false"/>
    <row r="4386" customFormat="false" ht="11.25" hidden="false" customHeight="true" outlineLevel="0" collapsed="false"/>
    <row r="4387" customFormat="false" ht="11.25" hidden="false" customHeight="true" outlineLevel="0" collapsed="false"/>
    <row r="4388" customFormat="false" ht="11.25" hidden="false" customHeight="true" outlineLevel="0" collapsed="false"/>
    <row r="4389" customFormat="false" ht="11.25" hidden="false" customHeight="true" outlineLevel="0" collapsed="false"/>
    <row r="4390" customFormat="false" ht="11.25" hidden="false" customHeight="true" outlineLevel="0" collapsed="false"/>
    <row r="4391" customFormat="false" ht="11.25" hidden="false" customHeight="true" outlineLevel="0" collapsed="false"/>
    <row r="4392" customFormat="false" ht="11.25" hidden="false" customHeight="true" outlineLevel="0" collapsed="false"/>
    <row r="4393" customFormat="false" ht="11.25" hidden="false" customHeight="true" outlineLevel="0" collapsed="false"/>
    <row r="4394" customFormat="false" ht="11.25" hidden="false" customHeight="true" outlineLevel="0" collapsed="false"/>
    <row r="4395" customFormat="false" ht="11.25" hidden="false" customHeight="true" outlineLevel="0" collapsed="false"/>
    <row r="4396" customFormat="false" ht="11.25" hidden="false" customHeight="true" outlineLevel="0" collapsed="false"/>
    <row r="4397" customFormat="false" ht="11.25" hidden="false" customHeight="true" outlineLevel="0" collapsed="false"/>
    <row r="4398" customFormat="false" ht="11.25" hidden="false" customHeight="true" outlineLevel="0" collapsed="false"/>
    <row r="4399" customFormat="false" ht="11.25" hidden="false" customHeight="true" outlineLevel="0" collapsed="false"/>
    <row r="4400" customFormat="false" ht="11.25" hidden="false" customHeight="true" outlineLevel="0" collapsed="false"/>
    <row r="4401" customFormat="false" ht="11.25" hidden="false" customHeight="true" outlineLevel="0" collapsed="false"/>
    <row r="4402" customFormat="false" ht="11.25" hidden="false" customHeight="true" outlineLevel="0" collapsed="false"/>
    <row r="4403" customFormat="false" ht="11.25" hidden="false" customHeight="true" outlineLevel="0" collapsed="false"/>
    <row r="4404" customFormat="false" ht="11.25" hidden="false" customHeight="true" outlineLevel="0" collapsed="false"/>
    <row r="4405" customFormat="false" ht="11.25" hidden="false" customHeight="true" outlineLevel="0" collapsed="false"/>
    <row r="4406" customFormat="false" ht="11.25" hidden="false" customHeight="true" outlineLevel="0" collapsed="false"/>
    <row r="4407" customFormat="false" ht="11.25" hidden="false" customHeight="true" outlineLevel="0" collapsed="false"/>
    <row r="4408" customFormat="false" ht="11.25" hidden="false" customHeight="true" outlineLevel="0" collapsed="false"/>
    <row r="4409" customFormat="false" ht="11.25" hidden="false" customHeight="true" outlineLevel="0" collapsed="false"/>
    <row r="4410" customFormat="false" ht="11.25" hidden="false" customHeight="true" outlineLevel="0" collapsed="false"/>
    <row r="4411" customFormat="false" ht="11.25" hidden="false" customHeight="true" outlineLevel="0" collapsed="false"/>
    <row r="4412" customFormat="false" ht="11.25" hidden="false" customHeight="true" outlineLevel="0" collapsed="false"/>
    <row r="4413" customFormat="false" ht="11.25" hidden="false" customHeight="true" outlineLevel="0" collapsed="false"/>
    <row r="4414" customFormat="false" ht="11.25" hidden="false" customHeight="true" outlineLevel="0" collapsed="false"/>
    <row r="4415" customFormat="false" ht="11.25" hidden="false" customHeight="true" outlineLevel="0" collapsed="false"/>
    <row r="4416" customFormat="false" ht="11.25" hidden="false" customHeight="true" outlineLevel="0" collapsed="false"/>
    <row r="4417" customFormat="false" ht="11.25" hidden="false" customHeight="true" outlineLevel="0" collapsed="false"/>
    <row r="4418" customFormat="false" ht="11.25" hidden="false" customHeight="true" outlineLevel="0" collapsed="false"/>
    <row r="4419" customFormat="false" ht="11.25" hidden="false" customHeight="true" outlineLevel="0" collapsed="false"/>
    <row r="4420" customFormat="false" ht="11.25" hidden="false" customHeight="true" outlineLevel="0" collapsed="false"/>
    <row r="4421" customFormat="false" ht="11.25" hidden="false" customHeight="true" outlineLevel="0" collapsed="false"/>
    <row r="4422" customFormat="false" ht="11.25" hidden="false" customHeight="true" outlineLevel="0" collapsed="false"/>
    <row r="4423" customFormat="false" ht="11.25" hidden="false" customHeight="true" outlineLevel="0" collapsed="false"/>
    <row r="4424" customFormat="false" ht="11.25" hidden="false" customHeight="true" outlineLevel="0" collapsed="false"/>
    <row r="4425" customFormat="false" ht="11.25" hidden="false" customHeight="true" outlineLevel="0" collapsed="false"/>
    <row r="4426" customFormat="false" ht="11.25" hidden="false" customHeight="true" outlineLevel="0" collapsed="false"/>
    <row r="4427" customFormat="false" ht="11.25" hidden="false" customHeight="true" outlineLevel="0" collapsed="false"/>
    <row r="4428" customFormat="false" ht="11.25" hidden="false" customHeight="true" outlineLevel="0" collapsed="false"/>
    <row r="4429" customFormat="false" ht="11.25" hidden="false" customHeight="true" outlineLevel="0" collapsed="false"/>
    <row r="4430" customFormat="false" ht="11.25" hidden="false" customHeight="true" outlineLevel="0" collapsed="false"/>
    <row r="4431" customFormat="false" ht="11.25" hidden="false" customHeight="true" outlineLevel="0" collapsed="false"/>
    <row r="4432" customFormat="false" ht="11.25" hidden="false" customHeight="true" outlineLevel="0" collapsed="false"/>
    <row r="4433" customFormat="false" ht="11.25" hidden="false" customHeight="true" outlineLevel="0" collapsed="false"/>
    <row r="4434" customFormat="false" ht="11.25" hidden="false" customHeight="true" outlineLevel="0" collapsed="false"/>
    <row r="4435" customFormat="false" ht="11.25" hidden="false" customHeight="true" outlineLevel="0" collapsed="false"/>
    <row r="4436" customFormat="false" ht="11.25" hidden="false" customHeight="true" outlineLevel="0" collapsed="false"/>
    <row r="4437" customFormat="false" ht="11.25" hidden="false" customHeight="true" outlineLevel="0" collapsed="false"/>
    <row r="4438" customFormat="false" ht="11.25" hidden="false" customHeight="true" outlineLevel="0" collapsed="false"/>
    <row r="4439" customFormat="false" ht="11.25" hidden="false" customHeight="true" outlineLevel="0" collapsed="false"/>
    <row r="4440" customFormat="false" ht="11.25" hidden="false" customHeight="true" outlineLevel="0" collapsed="false"/>
    <row r="4441" customFormat="false" ht="11.25" hidden="false" customHeight="true" outlineLevel="0" collapsed="false"/>
    <row r="4442" customFormat="false" ht="11.25" hidden="false" customHeight="true" outlineLevel="0" collapsed="false"/>
    <row r="4443" customFormat="false" ht="11.25" hidden="false" customHeight="true" outlineLevel="0" collapsed="false"/>
    <row r="4444" customFormat="false" ht="11.25" hidden="false" customHeight="true" outlineLevel="0" collapsed="false"/>
    <row r="4445" customFormat="false" ht="11.25" hidden="false" customHeight="true" outlineLevel="0" collapsed="false"/>
    <row r="4446" customFormat="false" ht="11.25" hidden="false" customHeight="true" outlineLevel="0" collapsed="false"/>
    <row r="4447" customFormat="false" ht="11.25" hidden="false" customHeight="true" outlineLevel="0" collapsed="false"/>
    <row r="4448" customFormat="false" ht="11.25" hidden="false" customHeight="true" outlineLevel="0" collapsed="false"/>
    <row r="4449" customFormat="false" ht="11.25" hidden="false" customHeight="true" outlineLevel="0" collapsed="false"/>
    <row r="4450" customFormat="false" ht="11.25" hidden="false" customHeight="true" outlineLevel="0" collapsed="false"/>
    <row r="4451" customFormat="false" ht="11.25" hidden="false" customHeight="true" outlineLevel="0" collapsed="false"/>
    <row r="4452" customFormat="false" ht="11.25" hidden="false" customHeight="true" outlineLevel="0" collapsed="false"/>
    <row r="4453" customFormat="false" ht="11.25" hidden="false" customHeight="true" outlineLevel="0" collapsed="false"/>
    <row r="4454" customFormat="false" ht="11.25" hidden="false" customHeight="true" outlineLevel="0" collapsed="false"/>
    <row r="4455" customFormat="false" ht="11.25" hidden="false" customHeight="true" outlineLevel="0" collapsed="false"/>
    <row r="4456" customFormat="false" ht="11.25" hidden="false" customHeight="true" outlineLevel="0" collapsed="false"/>
    <row r="4457" customFormat="false" ht="11.25" hidden="false" customHeight="true" outlineLevel="0" collapsed="false"/>
    <row r="4458" customFormat="false" ht="11.25" hidden="false" customHeight="true" outlineLevel="0" collapsed="false"/>
    <row r="4459" customFormat="false" ht="11.25" hidden="false" customHeight="true" outlineLevel="0" collapsed="false"/>
    <row r="4460" customFormat="false" ht="11.25" hidden="false" customHeight="true" outlineLevel="0" collapsed="false"/>
    <row r="4461" customFormat="false" ht="11.25" hidden="false" customHeight="true" outlineLevel="0" collapsed="false"/>
    <row r="4462" customFormat="false" ht="11.25" hidden="false" customHeight="true" outlineLevel="0" collapsed="false"/>
    <row r="4463" customFormat="false" ht="11.25" hidden="false" customHeight="true" outlineLevel="0" collapsed="false"/>
    <row r="4464" customFormat="false" ht="11.25" hidden="false" customHeight="true" outlineLevel="0" collapsed="false"/>
    <row r="4465" customFormat="false" ht="11.25" hidden="false" customHeight="true" outlineLevel="0" collapsed="false"/>
    <row r="4466" customFormat="false" ht="11.25" hidden="false" customHeight="true" outlineLevel="0" collapsed="false"/>
    <row r="4467" customFormat="false" ht="11.25" hidden="false" customHeight="true" outlineLevel="0" collapsed="false"/>
    <row r="4468" customFormat="false" ht="11.25" hidden="false" customHeight="true" outlineLevel="0" collapsed="false"/>
    <row r="4469" customFormat="false" ht="11.25" hidden="false" customHeight="true" outlineLevel="0" collapsed="false"/>
    <row r="4470" customFormat="false" ht="11.25" hidden="false" customHeight="true" outlineLevel="0" collapsed="false"/>
    <row r="4471" customFormat="false" ht="11.25" hidden="false" customHeight="true" outlineLevel="0" collapsed="false"/>
    <row r="4472" customFormat="false" ht="11.25" hidden="false" customHeight="true" outlineLevel="0" collapsed="false"/>
    <row r="4473" customFormat="false" ht="11.25" hidden="false" customHeight="true" outlineLevel="0" collapsed="false"/>
    <row r="4474" customFormat="false" ht="11.25" hidden="false" customHeight="true" outlineLevel="0" collapsed="false"/>
    <row r="4475" customFormat="false" ht="11.25" hidden="false" customHeight="true" outlineLevel="0" collapsed="false"/>
    <row r="4476" customFormat="false" ht="11.25" hidden="false" customHeight="true" outlineLevel="0" collapsed="false"/>
    <row r="4477" customFormat="false" ht="11.25" hidden="false" customHeight="true" outlineLevel="0" collapsed="false"/>
    <row r="4478" customFormat="false" ht="11.25" hidden="false" customHeight="true" outlineLevel="0" collapsed="false"/>
    <row r="4479" customFormat="false" ht="11.25" hidden="false" customHeight="true" outlineLevel="0" collapsed="false"/>
    <row r="4480" customFormat="false" ht="11.25" hidden="false" customHeight="true" outlineLevel="0" collapsed="false"/>
    <row r="4481" customFormat="false" ht="11.25" hidden="false" customHeight="true" outlineLevel="0" collapsed="false"/>
    <row r="4482" customFormat="false" ht="11.25" hidden="false" customHeight="true" outlineLevel="0" collapsed="false"/>
    <row r="4483" customFormat="false" ht="11.25" hidden="false" customHeight="true" outlineLevel="0" collapsed="false"/>
    <row r="4484" customFormat="false" ht="11.25" hidden="false" customHeight="true" outlineLevel="0" collapsed="false"/>
    <row r="4485" customFormat="false" ht="11.25" hidden="false" customHeight="true" outlineLevel="0" collapsed="false"/>
    <row r="4486" customFormat="false" ht="11.25" hidden="false" customHeight="true" outlineLevel="0" collapsed="false"/>
    <row r="4487" customFormat="false" ht="11.25" hidden="false" customHeight="true" outlineLevel="0" collapsed="false"/>
    <row r="4488" customFormat="false" ht="11.25" hidden="false" customHeight="true" outlineLevel="0" collapsed="false"/>
    <row r="4489" customFormat="false" ht="11.25" hidden="false" customHeight="true" outlineLevel="0" collapsed="false"/>
    <row r="4490" customFormat="false" ht="11.25" hidden="false" customHeight="true" outlineLevel="0" collapsed="false"/>
    <row r="4491" customFormat="false" ht="11.25" hidden="false" customHeight="true" outlineLevel="0" collapsed="false"/>
    <row r="4492" customFormat="false" ht="11.25" hidden="false" customHeight="true" outlineLevel="0" collapsed="false"/>
    <row r="4493" customFormat="false" ht="11.25" hidden="false" customHeight="true" outlineLevel="0" collapsed="false"/>
    <row r="4494" customFormat="false" ht="11.25" hidden="false" customHeight="true" outlineLevel="0" collapsed="false"/>
    <row r="4495" customFormat="false" ht="11.25" hidden="false" customHeight="true" outlineLevel="0" collapsed="false"/>
    <row r="4496" customFormat="false" ht="11.25" hidden="false" customHeight="true" outlineLevel="0" collapsed="false"/>
    <row r="4497" customFormat="false" ht="11.25" hidden="false" customHeight="true" outlineLevel="0" collapsed="false"/>
    <row r="4498" customFormat="false" ht="11.25" hidden="false" customHeight="true" outlineLevel="0" collapsed="false"/>
    <row r="4499" customFormat="false" ht="11.25" hidden="false" customHeight="true" outlineLevel="0" collapsed="false"/>
    <row r="4500" customFormat="false" ht="11.25" hidden="false" customHeight="true" outlineLevel="0" collapsed="false"/>
    <row r="4501" customFormat="false" ht="11.25" hidden="false" customHeight="true" outlineLevel="0" collapsed="false"/>
    <row r="4502" customFormat="false" ht="11.25" hidden="false" customHeight="true" outlineLevel="0" collapsed="false"/>
    <row r="4503" customFormat="false" ht="11.25" hidden="false" customHeight="true" outlineLevel="0" collapsed="false"/>
    <row r="4504" customFormat="false" ht="11.25" hidden="false" customHeight="true" outlineLevel="0" collapsed="false"/>
    <row r="4505" customFormat="false" ht="11.25" hidden="false" customHeight="true" outlineLevel="0" collapsed="false"/>
    <row r="4506" customFormat="false" ht="11.25" hidden="false" customHeight="true" outlineLevel="0" collapsed="false"/>
    <row r="4507" customFormat="false" ht="11.25" hidden="false" customHeight="true" outlineLevel="0" collapsed="false"/>
    <row r="4508" customFormat="false" ht="11.25" hidden="false" customHeight="true" outlineLevel="0" collapsed="false"/>
    <row r="4509" customFormat="false" ht="11.25" hidden="false" customHeight="true" outlineLevel="0" collapsed="false"/>
    <row r="4510" customFormat="false" ht="11.25" hidden="false" customHeight="true" outlineLevel="0" collapsed="false"/>
    <row r="4511" customFormat="false" ht="11.25" hidden="false" customHeight="true" outlineLevel="0" collapsed="false"/>
    <row r="4512" customFormat="false" ht="11.25" hidden="false" customHeight="true" outlineLevel="0" collapsed="false"/>
    <row r="4513" customFormat="false" ht="11.25" hidden="false" customHeight="true" outlineLevel="0" collapsed="false"/>
    <row r="4514" customFormat="false" ht="11.25" hidden="false" customHeight="true" outlineLevel="0" collapsed="false"/>
    <row r="4515" customFormat="false" ht="11.25" hidden="false" customHeight="true" outlineLevel="0" collapsed="false"/>
    <row r="4516" customFormat="false" ht="11.25" hidden="false" customHeight="true" outlineLevel="0" collapsed="false"/>
    <row r="4517" customFormat="false" ht="11.25" hidden="false" customHeight="true" outlineLevel="0" collapsed="false"/>
    <row r="4518" customFormat="false" ht="11.25" hidden="false" customHeight="true" outlineLevel="0" collapsed="false"/>
    <row r="4519" customFormat="false" ht="11.25" hidden="false" customHeight="true" outlineLevel="0" collapsed="false"/>
    <row r="4520" customFormat="false" ht="11.25" hidden="false" customHeight="true" outlineLevel="0" collapsed="false"/>
    <row r="4521" customFormat="false" ht="11.25" hidden="false" customHeight="true" outlineLevel="0" collapsed="false"/>
    <row r="4522" customFormat="false" ht="11.25" hidden="false" customHeight="true" outlineLevel="0" collapsed="false"/>
    <row r="4523" customFormat="false" ht="11.25" hidden="false" customHeight="true" outlineLevel="0" collapsed="false"/>
    <row r="4524" customFormat="false" ht="11.25" hidden="false" customHeight="true" outlineLevel="0" collapsed="false"/>
    <row r="4525" customFormat="false" ht="11.25" hidden="false" customHeight="true" outlineLevel="0" collapsed="false"/>
    <row r="4526" customFormat="false" ht="11.25" hidden="false" customHeight="true" outlineLevel="0" collapsed="false"/>
    <row r="4527" customFormat="false" ht="11.25" hidden="false" customHeight="true" outlineLevel="0" collapsed="false"/>
    <row r="4528" customFormat="false" ht="11.25" hidden="false" customHeight="true" outlineLevel="0" collapsed="false"/>
    <row r="4529" customFormat="false" ht="11.25" hidden="false" customHeight="true" outlineLevel="0" collapsed="false"/>
    <row r="4530" customFormat="false" ht="11.25" hidden="false" customHeight="true" outlineLevel="0" collapsed="false"/>
    <row r="4531" customFormat="false" ht="11.25" hidden="false" customHeight="true" outlineLevel="0" collapsed="false"/>
    <row r="4532" customFormat="false" ht="11.25" hidden="false" customHeight="true" outlineLevel="0" collapsed="false"/>
    <row r="4533" customFormat="false" ht="11.25" hidden="false" customHeight="true" outlineLevel="0" collapsed="false"/>
    <row r="4534" customFormat="false" ht="11.25" hidden="false" customHeight="true" outlineLevel="0" collapsed="false"/>
    <row r="4535" customFormat="false" ht="11.25" hidden="false" customHeight="true" outlineLevel="0" collapsed="false"/>
    <row r="4536" customFormat="false" ht="11.25" hidden="false" customHeight="true" outlineLevel="0" collapsed="false"/>
    <row r="4537" customFormat="false" ht="11.25" hidden="false" customHeight="true" outlineLevel="0" collapsed="false"/>
    <row r="4538" customFormat="false" ht="11.25" hidden="false" customHeight="true" outlineLevel="0" collapsed="false"/>
    <row r="4539" customFormat="false" ht="11.25" hidden="false" customHeight="true" outlineLevel="0" collapsed="false"/>
    <row r="4540" customFormat="false" ht="11.25" hidden="false" customHeight="true" outlineLevel="0" collapsed="false"/>
    <row r="4541" customFormat="false" ht="11.25" hidden="false" customHeight="true" outlineLevel="0" collapsed="false"/>
    <row r="4542" customFormat="false" ht="11.25" hidden="false" customHeight="true" outlineLevel="0" collapsed="false"/>
    <row r="4543" customFormat="false" ht="11.25" hidden="false" customHeight="true" outlineLevel="0" collapsed="false"/>
    <row r="4544" customFormat="false" ht="11.25" hidden="false" customHeight="true" outlineLevel="0" collapsed="false"/>
    <row r="4545" customFormat="false" ht="11.25" hidden="false" customHeight="true" outlineLevel="0" collapsed="false"/>
    <row r="4546" customFormat="false" ht="11.25" hidden="false" customHeight="true" outlineLevel="0" collapsed="false"/>
    <row r="4547" customFormat="false" ht="11.25" hidden="false" customHeight="true" outlineLevel="0" collapsed="false"/>
    <row r="4548" customFormat="false" ht="11.25" hidden="false" customHeight="true" outlineLevel="0" collapsed="false"/>
    <row r="4549" customFormat="false" ht="11.25" hidden="false" customHeight="true" outlineLevel="0" collapsed="false"/>
    <row r="4550" customFormat="false" ht="11.25" hidden="false" customHeight="true" outlineLevel="0" collapsed="false"/>
    <row r="4551" customFormat="false" ht="11.25" hidden="false" customHeight="true" outlineLevel="0" collapsed="false"/>
    <row r="4552" customFormat="false" ht="11.25" hidden="false" customHeight="true" outlineLevel="0" collapsed="false"/>
    <row r="4553" customFormat="false" ht="11.25" hidden="false" customHeight="true" outlineLevel="0" collapsed="false"/>
    <row r="4554" customFormat="false" ht="11.25" hidden="false" customHeight="true" outlineLevel="0" collapsed="false"/>
    <row r="4555" customFormat="false" ht="11.25" hidden="false" customHeight="true" outlineLevel="0" collapsed="false"/>
    <row r="4556" customFormat="false" ht="11.25" hidden="false" customHeight="true" outlineLevel="0" collapsed="false"/>
    <row r="4557" customFormat="false" ht="11.25" hidden="false" customHeight="true" outlineLevel="0" collapsed="false"/>
    <row r="4558" customFormat="false" ht="11.25" hidden="false" customHeight="true" outlineLevel="0" collapsed="false"/>
    <row r="4559" customFormat="false" ht="11.25" hidden="false" customHeight="true" outlineLevel="0" collapsed="false"/>
    <row r="4560" customFormat="false" ht="11.25" hidden="false" customHeight="true" outlineLevel="0" collapsed="false"/>
    <row r="4561" customFormat="false" ht="11.25" hidden="false" customHeight="true" outlineLevel="0" collapsed="false"/>
    <row r="4562" customFormat="false" ht="11.25" hidden="false" customHeight="true" outlineLevel="0" collapsed="false"/>
    <row r="4563" customFormat="false" ht="11.25" hidden="false" customHeight="true" outlineLevel="0" collapsed="false"/>
    <row r="4564" customFormat="false" ht="11.25" hidden="false" customHeight="true" outlineLevel="0" collapsed="false"/>
    <row r="4565" customFormat="false" ht="11.25" hidden="false" customHeight="true" outlineLevel="0" collapsed="false"/>
    <row r="4566" customFormat="false" ht="11.25" hidden="false" customHeight="true" outlineLevel="0" collapsed="false"/>
    <row r="4567" customFormat="false" ht="11.25" hidden="false" customHeight="true" outlineLevel="0" collapsed="false"/>
    <row r="4568" customFormat="false" ht="11.25" hidden="false" customHeight="true" outlineLevel="0" collapsed="false"/>
    <row r="4569" customFormat="false" ht="11.25" hidden="false" customHeight="true" outlineLevel="0" collapsed="false"/>
    <row r="4570" customFormat="false" ht="11.25" hidden="false" customHeight="true" outlineLevel="0" collapsed="false"/>
    <row r="4571" customFormat="false" ht="11.25" hidden="false" customHeight="true" outlineLevel="0" collapsed="false"/>
    <row r="4572" customFormat="false" ht="11.25" hidden="false" customHeight="true" outlineLevel="0" collapsed="false"/>
    <row r="4573" customFormat="false" ht="11.25" hidden="false" customHeight="true" outlineLevel="0" collapsed="false"/>
    <row r="4574" customFormat="false" ht="11.25" hidden="false" customHeight="true" outlineLevel="0" collapsed="false"/>
    <row r="4575" customFormat="false" ht="11.25" hidden="false" customHeight="true" outlineLevel="0" collapsed="false"/>
    <row r="4576" customFormat="false" ht="11.25" hidden="false" customHeight="true" outlineLevel="0" collapsed="false"/>
    <row r="4577" customFormat="false" ht="11.25" hidden="false" customHeight="true" outlineLevel="0" collapsed="false"/>
    <row r="4578" customFormat="false" ht="11.25" hidden="false" customHeight="true" outlineLevel="0" collapsed="false"/>
    <row r="4579" customFormat="false" ht="11.25" hidden="false" customHeight="true" outlineLevel="0" collapsed="false"/>
    <row r="4580" customFormat="false" ht="11.25" hidden="false" customHeight="true" outlineLevel="0" collapsed="false"/>
    <row r="4581" customFormat="false" ht="11.25" hidden="false" customHeight="true" outlineLevel="0" collapsed="false"/>
    <row r="4582" customFormat="false" ht="11.25" hidden="false" customHeight="true" outlineLevel="0" collapsed="false"/>
    <row r="4583" customFormat="false" ht="11.25" hidden="false" customHeight="true" outlineLevel="0" collapsed="false"/>
    <row r="4584" customFormat="false" ht="11.25" hidden="false" customHeight="true" outlineLevel="0" collapsed="false"/>
    <row r="4585" customFormat="false" ht="11.25" hidden="false" customHeight="true" outlineLevel="0" collapsed="false"/>
    <row r="4586" customFormat="false" ht="11.25" hidden="false" customHeight="true" outlineLevel="0" collapsed="false"/>
    <row r="4587" customFormat="false" ht="11.25" hidden="false" customHeight="true" outlineLevel="0" collapsed="false"/>
    <row r="4588" customFormat="false" ht="11.25" hidden="false" customHeight="true" outlineLevel="0" collapsed="false"/>
    <row r="4589" customFormat="false" ht="11.25" hidden="false" customHeight="true" outlineLevel="0" collapsed="false"/>
    <row r="4590" customFormat="false" ht="11.25" hidden="false" customHeight="true" outlineLevel="0" collapsed="false"/>
    <row r="4591" customFormat="false" ht="11.25" hidden="false" customHeight="true" outlineLevel="0" collapsed="false"/>
    <row r="4592" customFormat="false" ht="11.25" hidden="false" customHeight="true" outlineLevel="0" collapsed="false"/>
    <row r="4593" customFormat="false" ht="11.25" hidden="false" customHeight="true" outlineLevel="0" collapsed="false"/>
    <row r="4594" customFormat="false" ht="11.25" hidden="false" customHeight="true" outlineLevel="0" collapsed="false"/>
    <row r="4595" customFormat="false" ht="11.25" hidden="false" customHeight="true" outlineLevel="0" collapsed="false"/>
    <row r="4596" customFormat="false" ht="11.25" hidden="false" customHeight="true" outlineLevel="0" collapsed="false"/>
    <row r="4597" customFormat="false" ht="11.25" hidden="false" customHeight="true" outlineLevel="0" collapsed="false"/>
    <row r="4598" customFormat="false" ht="11.25" hidden="false" customHeight="true" outlineLevel="0" collapsed="false"/>
    <row r="4599" customFormat="false" ht="11.25" hidden="false" customHeight="true" outlineLevel="0" collapsed="false"/>
    <row r="4600" customFormat="false" ht="11.25" hidden="false" customHeight="true" outlineLevel="0" collapsed="false"/>
    <row r="4601" customFormat="false" ht="11.25" hidden="false" customHeight="true" outlineLevel="0" collapsed="false"/>
    <row r="4602" customFormat="false" ht="11.25" hidden="false" customHeight="true" outlineLevel="0" collapsed="false"/>
    <row r="4603" customFormat="false" ht="11.25" hidden="false" customHeight="true" outlineLevel="0" collapsed="false"/>
    <row r="4604" customFormat="false" ht="11.25" hidden="false" customHeight="true" outlineLevel="0" collapsed="false"/>
    <row r="4605" customFormat="false" ht="11.25" hidden="false" customHeight="true" outlineLevel="0" collapsed="false"/>
    <row r="4606" customFormat="false" ht="11.25" hidden="false" customHeight="true" outlineLevel="0" collapsed="false"/>
    <row r="4607" customFormat="false" ht="11.25" hidden="false" customHeight="true" outlineLevel="0" collapsed="false"/>
    <row r="4608" customFormat="false" ht="11.25" hidden="false" customHeight="true" outlineLevel="0" collapsed="false"/>
    <row r="4609" customFormat="false" ht="11.25" hidden="false" customHeight="true" outlineLevel="0" collapsed="false"/>
    <row r="4610" customFormat="false" ht="11.25" hidden="false" customHeight="true" outlineLevel="0" collapsed="false"/>
    <row r="4611" customFormat="false" ht="11.25" hidden="false" customHeight="true" outlineLevel="0" collapsed="false"/>
    <row r="4612" customFormat="false" ht="11.25" hidden="false" customHeight="true" outlineLevel="0" collapsed="false"/>
    <row r="4613" customFormat="false" ht="11.25" hidden="false" customHeight="true" outlineLevel="0" collapsed="false"/>
    <row r="4614" customFormat="false" ht="11.25" hidden="false" customHeight="true" outlineLevel="0" collapsed="false"/>
    <row r="4615" customFormat="false" ht="11.25" hidden="false" customHeight="true" outlineLevel="0" collapsed="false"/>
    <row r="4616" customFormat="false" ht="11.25" hidden="false" customHeight="true" outlineLevel="0" collapsed="false"/>
    <row r="4617" customFormat="false" ht="11.25" hidden="false" customHeight="true" outlineLevel="0" collapsed="false"/>
    <row r="4618" customFormat="false" ht="11.25" hidden="false" customHeight="true" outlineLevel="0" collapsed="false"/>
    <row r="4619" customFormat="false" ht="11.25" hidden="false" customHeight="true" outlineLevel="0" collapsed="false"/>
    <row r="4620" customFormat="false" ht="11.25" hidden="false" customHeight="true" outlineLevel="0" collapsed="false"/>
    <row r="4621" customFormat="false" ht="11.25" hidden="false" customHeight="true" outlineLevel="0" collapsed="false"/>
    <row r="4622" customFormat="false" ht="11.25" hidden="false" customHeight="true" outlineLevel="0" collapsed="false"/>
    <row r="4623" customFormat="false" ht="11.25" hidden="false" customHeight="true" outlineLevel="0" collapsed="false"/>
    <row r="4624" customFormat="false" ht="11.25" hidden="false" customHeight="true" outlineLevel="0" collapsed="false"/>
    <row r="4625" customFormat="false" ht="11.25" hidden="false" customHeight="true" outlineLevel="0" collapsed="false"/>
    <row r="4626" customFormat="false" ht="11.25" hidden="false" customHeight="true" outlineLevel="0" collapsed="false"/>
    <row r="4627" customFormat="false" ht="11.25" hidden="false" customHeight="true" outlineLevel="0" collapsed="false"/>
    <row r="4628" customFormat="false" ht="11.25" hidden="false" customHeight="true" outlineLevel="0" collapsed="false"/>
    <row r="4629" customFormat="false" ht="11.25" hidden="false" customHeight="true" outlineLevel="0" collapsed="false"/>
    <row r="4630" customFormat="false" ht="11.25" hidden="false" customHeight="true" outlineLevel="0" collapsed="false"/>
    <row r="4631" customFormat="false" ht="11.25" hidden="false" customHeight="true" outlineLevel="0" collapsed="false"/>
    <row r="4632" customFormat="false" ht="11.25" hidden="false" customHeight="true" outlineLevel="0" collapsed="false"/>
    <row r="4633" customFormat="false" ht="11.25" hidden="false" customHeight="true" outlineLevel="0" collapsed="false"/>
    <row r="4634" customFormat="false" ht="11.25" hidden="false" customHeight="true" outlineLevel="0" collapsed="false"/>
    <row r="4635" customFormat="false" ht="11.25" hidden="false" customHeight="true" outlineLevel="0" collapsed="false"/>
    <row r="4636" customFormat="false" ht="11.25" hidden="false" customHeight="true" outlineLevel="0" collapsed="false"/>
    <row r="4637" customFormat="false" ht="11.25" hidden="false" customHeight="true" outlineLevel="0" collapsed="false"/>
    <row r="4638" customFormat="false" ht="11.25" hidden="false" customHeight="true" outlineLevel="0" collapsed="false"/>
    <row r="4639" customFormat="false" ht="11.25" hidden="false" customHeight="true" outlineLevel="0" collapsed="false"/>
    <row r="4640" customFormat="false" ht="11.25" hidden="false" customHeight="true" outlineLevel="0" collapsed="false"/>
    <row r="4641" customFormat="false" ht="11.25" hidden="false" customHeight="true" outlineLevel="0" collapsed="false"/>
    <row r="4642" customFormat="false" ht="11.25" hidden="false" customHeight="true" outlineLevel="0" collapsed="false"/>
    <row r="4643" customFormat="false" ht="11.25" hidden="false" customHeight="true" outlineLevel="0" collapsed="false"/>
    <row r="4644" customFormat="false" ht="11.25" hidden="false" customHeight="true" outlineLevel="0" collapsed="false"/>
    <row r="4645" customFormat="false" ht="11.25" hidden="false" customHeight="true" outlineLevel="0" collapsed="false"/>
    <row r="4646" customFormat="false" ht="11.25" hidden="false" customHeight="true" outlineLevel="0" collapsed="false"/>
    <row r="4647" customFormat="false" ht="11.25" hidden="false" customHeight="true" outlineLevel="0" collapsed="false"/>
    <row r="4648" customFormat="false" ht="11.25" hidden="false" customHeight="true" outlineLevel="0" collapsed="false"/>
    <row r="4649" customFormat="false" ht="11.25" hidden="false" customHeight="true" outlineLevel="0" collapsed="false"/>
    <row r="4650" customFormat="false" ht="11.25" hidden="false" customHeight="true" outlineLevel="0" collapsed="false"/>
    <row r="4651" customFormat="false" ht="11.25" hidden="false" customHeight="true" outlineLevel="0" collapsed="false"/>
    <row r="4652" customFormat="false" ht="11.25" hidden="false" customHeight="true" outlineLevel="0" collapsed="false"/>
    <row r="4653" customFormat="false" ht="11.25" hidden="false" customHeight="true" outlineLevel="0" collapsed="false"/>
    <row r="4654" customFormat="false" ht="11.25" hidden="false" customHeight="true" outlineLevel="0" collapsed="false"/>
    <row r="4655" customFormat="false" ht="11.25" hidden="false" customHeight="true" outlineLevel="0" collapsed="false"/>
    <row r="4656" customFormat="false" ht="11.25" hidden="false" customHeight="true" outlineLevel="0" collapsed="false"/>
    <row r="4657" customFormat="false" ht="11.25" hidden="false" customHeight="true" outlineLevel="0" collapsed="false"/>
    <row r="4658" customFormat="false" ht="11.25" hidden="false" customHeight="true" outlineLevel="0" collapsed="false"/>
    <row r="4659" customFormat="false" ht="11.25" hidden="false" customHeight="true" outlineLevel="0" collapsed="false"/>
    <row r="4660" customFormat="false" ht="11.25" hidden="false" customHeight="true" outlineLevel="0" collapsed="false"/>
    <row r="4661" customFormat="false" ht="11.25" hidden="false" customHeight="true" outlineLevel="0" collapsed="false"/>
    <row r="4662" customFormat="false" ht="11.25" hidden="false" customHeight="true" outlineLevel="0" collapsed="false"/>
    <row r="4663" customFormat="false" ht="11.25" hidden="false" customHeight="true" outlineLevel="0" collapsed="false"/>
    <row r="4664" customFormat="false" ht="11.25" hidden="false" customHeight="true" outlineLevel="0" collapsed="false"/>
    <row r="4665" customFormat="false" ht="11.25" hidden="false" customHeight="true" outlineLevel="0" collapsed="false"/>
    <row r="4666" customFormat="false" ht="11.25" hidden="false" customHeight="true" outlineLevel="0" collapsed="false"/>
    <row r="4667" customFormat="false" ht="11.25" hidden="false" customHeight="true" outlineLevel="0" collapsed="false"/>
    <row r="4668" customFormat="false" ht="11.25" hidden="false" customHeight="true" outlineLevel="0" collapsed="false"/>
    <row r="4669" customFormat="false" ht="11.25" hidden="false" customHeight="true" outlineLevel="0" collapsed="false"/>
    <row r="4670" customFormat="false" ht="11.25" hidden="false" customHeight="true" outlineLevel="0" collapsed="false"/>
    <row r="4671" customFormat="false" ht="11.25" hidden="false" customHeight="true" outlineLevel="0" collapsed="false"/>
    <row r="4672" customFormat="false" ht="11.25" hidden="false" customHeight="true" outlineLevel="0" collapsed="false"/>
    <row r="4673" customFormat="false" ht="11.25" hidden="false" customHeight="true" outlineLevel="0" collapsed="false"/>
    <row r="4674" customFormat="false" ht="11.25" hidden="false" customHeight="true" outlineLevel="0" collapsed="false"/>
    <row r="4675" customFormat="false" ht="11.25" hidden="false" customHeight="true" outlineLevel="0" collapsed="false"/>
    <row r="4676" customFormat="false" ht="11.25" hidden="false" customHeight="true" outlineLevel="0" collapsed="false"/>
    <row r="4677" customFormat="false" ht="11.25" hidden="false" customHeight="true" outlineLevel="0" collapsed="false"/>
    <row r="4678" customFormat="false" ht="11.25" hidden="false" customHeight="true" outlineLevel="0" collapsed="false"/>
    <row r="4679" customFormat="false" ht="11.25" hidden="false" customHeight="true" outlineLevel="0" collapsed="false"/>
    <row r="4680" customFormat="false" ht="11.25" hidden="false" customHeight="true" outlineLevel="0" collapsed="false"/>
    <row r="4681" customFormat="false" ht="11.25" hidden="false" customHeight="true" outlineLevel="0" collapsed="false"/>
    <row r="4682" customFormat="false" ht="11.25" hidden="false" customHeight="true" outlineLevel="0" collapsed="false"/>
    <row r="4683" customFormat="false" ht="11.25" hidden="false" customHeight="true" outlineLevel="0" collapsed="false"/>
    <row r="4684" customFormat="false" ht="11.25" hidden="false" customHeight="true" outlineLevel="0" collapsed="false"/>
    <row r="4685" customFormat="false" ht="11.25" hidden="false" customHeight="true" outlineLevel="0" collapsed="false"/>
    <row r="4686" customFormat="false" ht="11.25" hidden="false" customHeight="true" outlineLevel="0" collapsed="false"/>
    <row r="4687" customFormat="false" ht="11.25" hidden="false" customHeight="true" outlineLevel="0" collapsed="false"/>
    <row r="4688" customFormat="false" ht="11.25" hidden="false" customHeight="true" outlineLevel="0" collapsed="false"/>
    <row r="4689" customFormat="false" ht="11.25" hidden="false" customHeight="true" outlineLevel="0" collapsed="false"/>
    <row r="4690" customFormat="false" ht="11.25" hidden="false" customHeight="true" outlineLevel="0" collapsed="false"/>
    <row r="4691" customFormat="false" ht="11.25" hidden="false" customHeight="true" outlineLevel="0" collapsed="false"/>
    <row r="4692" customFormat="false" ht="11.25" hidden="false" customHeight="true" outlineLevel="0" collapsed="false"/>
    <row r="4693" customFormat="false" ht="11.25" hidden="false" customHeight="true" outlineLevel="0" collapsed="false"/>
    <row r="4694" customFormat="false" ht="11.25" hidden="false" customHeight="true" outlineLevel="0" collapsed="false"/>
    <row r="4695" customFormat="false" ht="11.25" hidden="false" customHeight="true" outlineLevel="0" collapsed="false"/>
    <row r="4696" customFormat="false" ht="11.25" hidden="false" customHeight="true" outlineLevel="0" collapsed="false"/>
    <row r="4697" customFormat="false" ht="11.25" hidden="false" customHeight="true" outlineLevel="0" collapsed="false"/>
    <row r="4698" customFormat="false" ht="11.25" hidden="false" customHeight="true" outlineLevel="0" collapsed="false"/>
    <row r="4699" customFormat="false" ht="11.25" hidden="false" customHeight="true" outlineLevel="0" collapsed="false"/>
    <row r="4700" customFormat="false" ht="11.25" hidden="false" customHeight="true" outlineLevel="0" collapsed="false"/>
    <row r="4701" customFormat="false" ht="11.25" hidden="false" customHeight="true" outlineLevel="0" collapsed="false"/>
    <row r="4702" customFormat="false" ht="11.25" hidden="false" customHeight="true" outlineLevel="0" collapsed="false"/>
    <row r="4703" customFormat="false" ht="11.25" hidden="false" customHeight="true" outlineLevel="0" collapsed="false"/>
    <row r="4704" customFormat="false" ht="11.25" hidden="false" customHeight="true" outlineLevel="0" collapsed="false"/>
    <row r="4705" customFormat="false" ht="11.25" hidden="false" customHeight="true" outlineLevel="0" collapsed="false"/>
    <row r="4706" customFormat="false" ht="11.25" hidden="false" customHeight="true" outlineLevel="0" collapsed="false"/>
    <row r="4707" customFormat="false" ht="11.25" hidden="false" customHeight="true" outlineLevel="0" collapsed="false"/>
    <row r="4708" customFormat="false" ht="11.25" hidden="false" customHeight="true" outlineLevel="0" collapsed="false"/>
    <row r="4709" customFormat="false" ht="11.25" hidden="false" customHeight="true" outlineLevel="0" collapsed="false"/>
    <row r="4710" customFormat="false" ht="11.25" hidden="false" customHeight="true" outlineLevel="0" collapsed="false"/>
    <row r="4711" customFormat="false" ht="11.25" hidden="false" customHeight="true" outlineLevel="0" collapsed="false"/>
    <row r="4712" customFormat="false" ht="11.25" hidden="false" customHeight="true" outlineLevel="0" collapsed="false"/>
    <row r="4713" customFormat="false" ht="11.25" hidden="false" customHeight="true" outlineLevel="0" collapsed="false"/>
    <row r="4714" customFormat="false" ht="11.25" hidden="false" customHeight="true" outlineLevel="0" collapsed="false"/>
    <row r="4715" customFormat="false" ht="11.25" hidden="false" customHeight="true" outlineLevel="0" collapsed="false"/>
    <row r="4716" customFormat="false" ht="11.25" hidden="false" customHeight="true" outlineLevel="0" collapsed="false"/>
    <row r="4717" customFormat="false" ht="11.25" hidden="false" customHeight="true" outlineLevel="0" collapsed="false"/>
    <row r="4718" customFormat="false" ht="11.25" hidden="false" customHeight="true" outlineLevel="0" collapsed="false"/>
    <row r="4719" customFormat="false" ht="11.25" hidden="false" customHeight="true" outlineLevel="0" collapsed="false"/>
    <row r="4720" customFormat="false" ht="11.25" hidden="false" customHeight="true" outlineLevel="0" collapsed="false"/>
    <row r="4721" customFormat="false" ht="11.25" hidden="false" customHeight="true" outlineLevel="0" collapsed="false"/>
    <row r="4722" customFormat="false" ht="11.25" hidden="false" customHeight="true" outlineLevel="0" collapsed="false"/>
    <row r="4723" customFormat="false" ht="11.25" hidden="false" customHeight="true" outlineLevel="0" collapsed="false"/>
    <row r="4724" customFormat="false" ht="11.25" hidden="false" customHeight="true" outlineLevel="0" collapsed="false"/>
    <row r="4725" customFormat="false" ht="11.25" hidden="false" customHeight="true" outlineLevel="0" collapsed="false"/>
    <row r="4726" customFormat="false" ht="11.25" hidden="false" customHeight="true" outlineLevel="0" collapsed="false"/>
    <row r="4727" customFormat="false" ht="11.25" hidden="false" customHeight="true" outlineLevel="0" collapsed="false"/>
    <row r="4728" customFormat="false" ht="11.25" hidden="false" customHeight="true" outlineLevel="0" collapsed="false"/>
    <row r="4729" customFormat="false" ht="11.25" hidden="false" customHeight="true" outlineLevel="0" collapsed="false"/>
    <row r="4730" customFormat="false" ht="11.25" hidden="false" customHeight="true" outlineLevel="0" collapsed="false"/>
    <row r="4731" customFormat="false" ht="11.25" hidden="false" customHeight="true" outlineLevel="0" collapsed="false"/>
    <row r="4732" customFormat="false" ht="11.25" hidden="false" customHeight="true" outlineLevel="0" collapsed="false"/>
    <row r="4733" customFormat="false" ht="11.25" hidden="false" customHeight="true" outlineLevel="0" collapsed="false"/>
    <row r="4734" customFormat="false" ht="11.25" hidden="false" customHeight="true" outlineLevel="0" collapsed="false"/>
    <row r="4735" customFormat="false" ht="11.25" hidden="false" customHeight="true" outlineLevel="0" collapsed="false"/>
    <row r="4736" customFormat="false" ht="11.25" hidden="false" customHeight="true" outlineLevel="0" collapsed="false"/>
    <row r="4737" customFormat="false" ht="11.25" hidden="false" customHeight="true" outlineLevel="0" collapsed="false"/>
    <row r="4738" customFormat="false" ht="11.25" hidden="false" customHeight="true" outlineLevel="0" collapsed="false"/>
    <row r="4739" customFormat="false" ht="11.25" hidden="false" customHeight="true" outlineLevel="0" collapsed="false"/>
    <row r="4740" customFormat="false" ht="11.25" hidden="false" customHeight="true" outlineLevel="0" collapsed="false"/>
    <row r="4741" customFormat="false" ht="11.25" hidden="false" customHeight="true" outlineLevel="0" collapsed="false"/>
    <row r="4742" customFormat="false" ht="11.25" hidden="false" customHeight="true" outlineLevel="0" collapsed="false"/>
    <row r="4743" customFormat="false" ht="11.25" hidden="false" customHeight="true" outlineLevel="0" collapsed="false"/>
    <row r="4744" customFormat="false" ht="11.25" hidden="false" customHeight="true" outlineLevel="0" collapsed="false"/>
    <row r="4745" customFormat="false" ht="11.25" hidden="false" customHeight="true" outlineLevel="0" collapsed="false"/>
    <row r="4746" customFormat="false" ht="11.25" hidden="false" customHeight="true" outlineLevel="0" collapsed="false"/>
    <row r="4747" customFormat="false" ht="11.25" hidden="false" customHeight="true" outlineLevel="0" collapsed="false"/>
    <row r="4748" customFormat="false" ht="11.25" hidden="false" customHeight="true" outlineLevel="0" collapsed="false"/>
    <row r="4749" customFormat="false" ht="11.25" hidden="false" customHeight="true" outlineLevel="0" collapsed="false"/>
    <row r="4750" customFormat="false" ht="11.25" hidden="false" customHeight="true" outlineLevel="0" collapsed="false"/>
    <row r="4751" customFormat="false" ht="11.25" hidden="false" customHeight="true" outlineLevel="0" collapsed="false"/>
    <row r="4752" customFormat="false" ht="11.25" hidden="false" customHeight="true" outlineLevel="0" collapsed="false"/>
    <row r="4753" customFormat="false" ht="11.25" hidden="false" customHeight="true" outlineLevel="0" collapsed="false"/>
    <row r="4754" customFormat="false" ht="11.25" hidden="false" customHeight="true" outlineLevel="0" collapsed="false"/>
    <row r="4755" customFormat="false" ht="11.25" hidden="false" customHeight="true" outlineLevel="0" collapsed="false"/>
    <row r="4756" customFormat="false" ht="11.25" hidden="false" customHeight="true" outlineLevel="0" collapsed="false"/>
    <row r="4757" customFormat="false" ht="11.25" hidden="false" customHeight="true" outlineLevel="0" collapsed="false"/>
    <row r="4758" customFormat="false" ht="11.25" hidden="false" customHeight="true" outlineLevel="0" collapsed="false"/>
    <row r="4759" customFormat="false" ht="11.25" hidden="false" customHeight="true" outlineLevel="0" collapsed="false"/>
    <row r="4760" customFormat="false" ht="11.25" hidden="false" customHeight="true" outlineLevel="0" collapsed="false"/>
    <row r="4761" customFormat="false" ht="11.25" hidden="false" customHeight="true" outlineLevel="0" collapsed="false"/>
    <row r="4762" customFormat="false" ht="11.25" hidden="false" customHeight="true" outlineLevel="0" collapsed="false"/>
    <row r="4763" customFormat="false" ht="11.25" hidden="false" customHeight="true" outlineLevel="0" collapsed="false"/>
    <row r="4764" customFormat="false" ht="11.25" hidden="false" customHeight="true" outlineLevel="0" collapsed="false"/>
    <row r="4765" customFormat="false" ht="11.25" hidden="false" customHeight="true" outlineLevel="0" collapsed="false"/>
    <row r="4766" customFormat="false" ht="11.25" hidden="false" customHeight="true" outlineLevel="0" collapsed="false"/>
    <row r="4767" customFormat="false" ht="11.25" hidden="false" customHeight="true" outlineLevel="0" collapsed="false"/>
    <row r="4768" customFormat="false" ht="11.25" hidden="false" customHeight="true" outlineLevel="0" collapsed="false"/>
    <row r="4769" customFormat="false" ht="11.25" hidden="false" customHeight="true" outlineLevel="0" collapsed="false"/>
    <row r="4770" customFormat="false" ht="11.25" hidden="false" customHeight="true" outlineLevel="0" collapsed="false"/>
    <row r="4771" customFormat="false" ht="11.25" hidden="false" customHeight="true" outlineLevel="0" collapsed="false"/>
    <row r="4772" customFormat="false" ht="11.25" hidden="false" customHeight="true" outlineLevel="0" collapsed="false"/>
    <row r="4773" customFormat="false" ht="11.25" hidden="false" customHeight="true" outlineLevel="0" collapsed="false"/>
    <row r="4774" customFormat="false" ht="11.25" hidden="false" customHeight="true" outlineLevel="0" collapsed="false"/>
    <row r="4775" customFormat="false" ht="11.25" hidden="false" customHeight="true" outlineLevel="0" collapsed="false"/>
    <row r="4776" customFormat="false" ht="11.25" hidden="false" customHeight="true" outlineLevel="0" collapsed="false"/>
    <row r="4777" customFormat="false" ht="11.25" hidden="false" customHeight="true" outlineLevel="0" collapsed="false"/>
    <row r="4778" customFormat="false" ht="11.25" hidden="false" customHeight="true" outlineLevel="0" collapsed="false"/>
    <row r="4779" customFormat="false" ht="11.25" hidden="false" customHeight="true" outlineLevel="0" collapsed="false"/>
    <row r="4780" customFormat="false" ht="11.25" hidden="false" customHeight="true" outlineLevel="0" collapsed="false"/>
    <row r="4781" customFormat="false" ht="11.25" hidden="false" customHeight="true" outlineLevel="0" collapsed="false"/>
    <row r="4782" customFormat="false" ht="11.25" hidden="false" customHeight="true" outlineLevel="0" collapsed="false"/>
    <row r="4783" customFormat="false" ht="11.25" hidden="false" customHeight="true" outlineLevel="0" collapsed="false"/>
    <row r="4784" customFormat="false" ht="11.25" hidden="false" customHeight="true" outlineLevel="0" collapsed="false"/>
    <row r="4785" customFormat="false" ht="11.25" hidden="false" customHeight="true" outlineLevel="0" collapsed="false"/>
    <row r="4786" customFormat="false" ht="11.25" hidden="false" customHeight="true" outlineLevel="0" collapsed="false"/>
    <row r="4787" customFormat="false" ht="11.25" hidden="false" customHeight="true" outlineLevel="0" collapsed="false"/>
    <row r="4788" customFormat="false" ht="11.25" hidden="false" customHeight="true" outlineLevel="0" collapsed="false"/>
    <row r="4789" customFormat="false" ht="11.25" hidden="false" customHeight="true" outlineLevel="0" collapsed="false"/>
    <row r="4790" customFormat="false" ht="11.25" hidden="false" customHeight="true" outlineLevel="0" collapsed="false"/>
    <row r="4791" customFormat="false" ht="11.25" hidden="false" customHeight="true" outlineLevel="0" collapsed="false"/>
    <row r="4792" customFormat="false" ht="11.25" hidden="false" customHeight="true" outlineLevel="0" collapsed="false"/>
    <row r="4793" customFormat="false" ht="11.25" hidden="false" customHeight="true" outlineLevel="0" collapsed="false"/>
    <row r="4794" customFormat="false" ht="11.25" hidden="false" customHeight="true" outlineLevel="0" collapsed="false"/>
    <row r="4795" customFormat="false" ht="11.25" hidden="false" customHeight="true" outlineLevel="0" collapsed="false"/>
    <row r="4796" customFormat="false" ht="11.25" hidden="false" customHeight="true" outlineLevel="0" collapsed="false"/>
    <row r="4797" customFormat="false" ht="11.25" hidden="false" customHeight="true" outlineLevel="0" collapsed="false"/>
    <row r="4798" customFormat="false" ht="11.25" hidden="false" customHeight="true" outlineLevel="0" collapsed="false"/>
    <row r="4799" customFormat="false" ht="11.25" hidden="false" customHeight="true" outlineLevel="0" collapsed="false"/>
    <row r="4800" customFormat="false" ht="11.25" hidden="false" customHeight="true" outlineLevel="0" collapsed="false"/>
    <row r="4801" customFormat="false" ht="11.25" hidden="false" customHeight="true" outlineLevel="0" collapsed="false"/>
    <row r="4802" customFormat="false" ht="11.25" hidden="false" customHeight="true" outlineLevel="0" collapsed="false"/>
    <row r="4803" customFormat="false" ht="11.25" hidden="false" customHeight="true" outlineLevel="0" collapsed="false"/>
    <row r="4804" customFormat="false" ht="11.25" hidden="false" customHeight="true" outlineLevel="0" collapsed="false"/>
    <row r="4805" customFormat="false" ht="11.25" hidden="false" customHeight="true" outlineLevel="0" collapsed="false"/>
    <row r="4806" customFormat="false" ht="11.25" hidden="false" customHeight="true" outlineLevel="0" collapsed="false"/>
    <row r="4807" customFormat="false" ht="11.25" hidden="false" customHeight="true" outlineLevel="0" collapsed="false"/>
    <row r="4808" customFormat="false" ht="11.25" hidden="false" customHeight="true" outlineLevel="0" collapsed="false"/>
    <row r="4809" customFormat="false" ht="11.25" hidden="false" customHeight="true" outlineLevel="0" collapsed="false"/>
    <row r="4810" customFormat="false" ht="11.25" hidden="false" customHeight="true" outlineLevel="0" collapsed="false"/>
    <row r="4811" customFormat="false" ht="11.25" hidden="false" customHeight="true" outlineLevel="0" collapsed="false"/>
    <row r="4812" customFormat="false" ht="11.25" hidden="false" customHeight="true" outlineLevel="0" collapsed="false"/>
    <row r="4813" customFormat="false" ht="11.25" hidden="false" customHeight="true" outlineLevel="0" collapsed="false"/>
    <row r="4814" customFormat="false" ht="11.25" hidden="false" customHeight="true" outlineLevel="0" collapsed="false"/>
    <row r="4815" customFormat="false" ht="11.25" hidden="false" customHeight="true" outlineLevel="0" collapsed="false"/>
    <row r="4816" customFormat="false" ht="11.25" hidden="false" customHeight="true" outlineLevel="0" collapsed="false"/>
    <row r="4817" customFormat="false" ht="11.25" hidden="false" customHeight="true" outlineLevel="0" collapsed="false"/>
    <row r="4818" customFormat="false" ht="11.25" hidden="false" customHeight="true" outlineLevel="0" collapsed="false"/>
    <row r="4819" customFormat="false" ht="11.25" hidden="false" customHeight="true" outlineLevel="0" collapsed="false"/>
    <row r="4820" customFormat="false" ht="11.25" hidden="false" customHeight="true" outlineLevel="0" collapsed="false"/>
    <row r="4821" customFormat="false" ht="11.25" hidden="false" customHeight="true" outlineLevel="0" collapsed="false"/>
    <row r="4822" customFormat="false" ht="11.25" hidden="false" customHeight="true" outlineLevel="0" collapsed="false"/>
    <row r="4823" customFormat="false" ht="11.25" hidden="false" customHeight="true" outlineLevel="0" collapsed="false"/>
    <row r="4824" customFormat="false" ht="11.25" hidden="false" customHeight="true" outlineLevel="0" collapsed="false"/>
    <row r="4825" customFormat="false" ht="11.25" hidden="false" customHeight="true" outlineLevel="0" collapsed="false"/>
    <row r="4826" customFormat="false" ht="11.25" hidden="false" customHeight="true" outlineLevel="0" collapsed="false"/>
    <row r="4827" customFormat="false" ht="11.25" hidden="false" customHeight="true" outlineLevel="0" collapsed="false"/>
    <row r="4828" customFormat="false" ht="11.25" hidden="false" customHeight="true" outlineLevel="0" collapsed="false"/>
    <row r="4829" customFormat="false" ht="11.25" hidden="false" customHeight="true" outlineLevel="0" collapsed="false"/>
    <row r="4830" customFormat="false" ht="11.25" hidden="false" customHeight="true" outlineLevel="0" collapsed="false"/>
    <row r="4831" customFormat="false" ht="11.25" hidden="false" customHeight="true" outlineLevel="0" collapsed="false"/>
    <row r="4832" customFormat="false" ht="11.25" hidden="false" customHeight="true" outlineLevel="0" collapsed="false"/>
    <row r="4833" customFormat="false" ht="11.25" hidden="false" customHeight="true" outlineLevel="0" collapsed="false"/>
    <row r="4834" customFormat="false" ht="11.25" hidden="false" customHeight="true" outlineLevel="0" collapsed="false"/>
    <row r="4835" customFormat="false" ht="11.25" hidden="false" customHeight="true" outlineLevel="0" collapsed="false"/>
    <row r="4836" customFormat="false" ht="11.25" hidden="false" customHeight="true" outlineLevel="0" collapsed="false"/>
    <row r="4837" customFormat="false" ht="11.25" hidden="false" customHeight="true" outlineLevel="0" collapsed="false"/>
    <row r="4838" customFormat="false" ht="11.25" hidden="false" customHeight="true" outlineLevel="0" collapsed="false"/>
    <row r="4839" customFormat="false" ht="11.25" hidden="false" customHeight="true" outlineLevel="0" collapsed="false"/>
    <row r="4840" customFormat="false" ht="11.25" hidden="false" customHeight="true" outlineLevel="0" collapsed="false"/>
    <row r="4841" customFormat="false" ht="11.25" hidden="false" customHeight="true" outlineLevel="0" collapsed="false"/>
    <row r="4842" customFormat="false" ht="11.25" hidden="false" customHeight="true" outlineLevel="0" collapsed="false"/>
    <row r="4843" customFormat="false" ht="11.25" hidden="false" customHeight="true" outlineLevel="0" collapsed="false"/>
    <row r="4844" customFormat="false" ht="11.25" hidden="false" customHeight="true" outlineLevel="0" collapsed="false"/>
    <row r="4845" customFormat="false" ht="11.25" hidden="false" customHeight="true" outlineLevel="0" collapsed="false"/>
    <row r="4846" customFormat="false" ht="11.25" hidden="false" customHeight="true" outlineLevel="0" collapsed="false"/>
    <row r="4847" customFormat="false" ht="11.25" hidden="false" customHeight="true" outlineLevel="0" collapsed="false"/>
    <row r="4848" customFormat="false" ht="11.25" hidden="false" customHeight="true" outlineLevel="0" collapsed="false"/>
    <row r="4849" customFormat="false" ht="11.25" hidden="false" customHeight="true" outlineLevel="0" collapsed="false"/>
    <row r="4850" customFormat="false" ht="11.25" hidden="false" customHeight="true" outlineLevel="0" collapsed="false"/>
    <row r="4851" customFormat="false" ht="11.25" hidden="false" customHeight="true" outlineLevel="0" collapsed="false"/>
    <row r="4852" customFormat="false" ht="11.25" hidden="false" customHeight="true" outlineLevel="0" collapsed="false"/>
    <row r="4853" customFormat="false" ht="11.25" hidden="false" customHeight="true" outlineLevel="0" collapsed="false"/>
    <row r="4854" customFormat="false" ht="11.25" hidden="false" customHeight="true" outlineLevel="0" collapsed="false"/>
    <row r="4855" customFormat="false" ht="11.25" hidden="false" customHeight="true" outlineLevel="0" collapsed="false"/>
    <row r="4856" customFormat="false" ht="11.25" hidden="false" customHeight="true" outlineLevel="0" collapsed="false"/>
    <row r="4857" customFormat="false" ht="11.25" hidden="false" customHeight="true" outlineLevel="0" collapsed="false"/>
    <row r="4858" customFormat="false" ht="11.25" hidden="false" customHeight="true" outlineLevel="0" collapsed="false"/>
    <row r="4859" customFormat="false" ht="11.25" hidden="false" customHeight="true" outlineLevel="0" collapsed="false"/>
    <row r="4860" customFormat="false" ht="11.25" hidden="false" customHeight="true" outlineLevel="0" collapsed="false"/>
    <row r="4861" customFormat="false" ht="11.25" hidden="false" customHeight="true" outlineLevel="0" collapsed="false"/>
    <row r="4862" customFormat="false" ht="11.25" hidden="false" customHeight="true" outlineLevel="0" collapsed="false"/>
    <row r="4863" customFormat="false" ht="11.25" hidden="false" customHeight="true" outlineLevel="0" collapsed="false"/>
    <row r="4864" customFormat="false" ht="11.25" hidden="false" customHeight="true" outlineLevel="0" collapsed="false"/>
    <row r="4865" customFormat="false" ht="11.25" hidden="false" customHeight="true" outlineLevel="0" collapsed="false"/>
    <row r="4866" customFormat="false" ht="11.25" hidden="false" customHeight="true" outlineLevel="0" collapsed="false"/>
    <row r="4867" customFormat="false" ht="11.25" hidden="false" customHeight="true" outlineLevel="0" collapsed="false"/>
    <row r="4868" customFormat="false" ht="11.25" hidden="false" customHeight="true" outlineLevel="0" collapsed="false"/>
    <row r="4869" customFormat="false" ht="11.25" hidden="false" customHeight="true" outlineLevel="0" collapsed="false"/>
    <row r="4870" customFormat="false" ht="11.25" hidden="false" customHeight="true" outlineLevel="0" collapsed="false"/>
    <row r="4871" customFormat="false" ht="11.25" hidden="false" customHeight="true" outlineLevel="0" collapsed="false"/>
    <row r="4872" customFormat="false" ht="11.25" hidden="false" customHeight="true" outlineLevel="0" collapsed="false"/>
    <row r="4873" customFormat="false" ht="11.25" hidden="false" customHeight="true" outlineLevel="0" collapsed="false"/>
    <row r="4874" customFormat="false" ht="11.25" hidden="false" customHeight="true" outlineLevel="0" collapsed="false"/>
    <row r="4875" customFormat="false" ht="11.25" hidden="false" customHeight="true" outlineLevel="0" collapsed="false"/>
    <row r="4876" customFormat="false" ht="11.25" hidden="false" customHeight="true" outlineLevel="0" collapsed="false"/>
    <row r="4877" customFormat="false" ht="11.25" hidden="false" customHeight="true" outlineLevel="0" collapsed="false"/>
    <row r="4878" customFormat="false" ht="11.25" hidden="false" customHeight="true" outlineLevel="0" collapsed="false"/>
    <row r="4879" customFormat="false" ht="11.25" hidden="false" customHeight="true" outlineLevel="0" collapsed="false"/>
    <row r="4880" customFormat="false" ht="11.25" hidden="false" customHeight="true" outlineLevel="0" collapsed="false"/>
    <row r="4881" customFormat="false" ht="11.25" hidden="false" customHeight="true" outlineLevel="0" collapsed="false"/>
    <row r="4882" customFormat="false" ht="11.25" hidden="false" customHeight="true" outlineLevel="0" collapsed="false"/>
    <row r="4883" customFormat="false" ht="11.25" hidden="false" customHeight="true" outlineLevel="0" collapsed="false"/>
    <row r="4884" customFormat="false" ht="11.25" hidden="false" customHeight="true" outlineLevel="0" collapsed="false"/>
    <row r="4885" customFormat="false" ht="11.25" hidden="false" customHeight="true" outlineLevel="0" collapsed="false"/>
    <row r="4886" customFormat="false" ht="11.25" hidden="false" customHeight="true" outlineLevel="0" collapsed="false"/>
    <row r="4887" customFormat="false" ht="11.25" hidden="false" customHeight="true" outlineLevel="0" collapsed="false"/>
    <row r="4888" customFormat="false" ht="11.25" hidden="false" customHeight="true" outlineLevel="0" collapsed="false"/>
    <row r="4889" customFormat="false" ht="11.25" hidden="false" customHeight="true" outlineLevel="0" collapsed="false"/>
    <row r="4890" customFormat="false" ht="11.25" hidden="false" customHeight="true" outlineLevel="0" collapsed="false"/>
    <row r="4891" customFormat="false" ht="11.25" hidden="false" customHeight="true" outlineLevel="0" collapsed="false"/>
    <row r="4892" customFormat="false" ht="11.25" hidden="false" customHeight="true" outlineLevel="0" collapsed="false"/>
    <row r="4893" customFormat="false" ht="11.25" hidden="false" customHeight="true" outlineLevel="0" collapsed="false"/>
    <row r="4894" customFormat="false" ht="11.25" hidden="false" customHeight="true" outlineLevel="0" collapsed="false"/>
    <row r="4895" customFormat="false" ht="11.25" hidden="false" customHeight="true" outlineLevel="0" collapsed="false"/>
    <row r="4896" customFormat="false" ht="11.25" hidden="false" customHeight="true" outlineLevel="0" collapsed="false"/>
    <row r="4897" customFormat="false" ht="11.25" hidden="false" customHeight="true" outlineLevel="0" collapsed="false"/>
    <row r="4898" customFormat="false" ht="11.25" hidden="false" customHeight="true" outlineLevel="0" collapsed="false"/>
    <row r="4899" customFormat="false" ht="11.25" hidden="false" customHeight="true" outlineLevel="0" collapsed="false"/>
    <row r="4900" customFormat="false" ht="11.25" hidden="false" customHeight="true" outlineLevel="0" collapsed="false"/>
    <row r="4901" customFormat="false" ht="11.25" hidden="false" customHeight="true" outlineLevel="0" collapsed="false"/>
    <row r="4902" customFormat="false" ht="11.25" hidden="false" customHeight="true" outlineLevel="0" collapsed="false"/>
    <row r="4903" customFormat="false" ht="11.25" hidden="false" customHeight="true" outlineLevel="0" collapsed="false"/>
    <row r="4904" customFormat="false" ht="11.25" hidden="false" customHeight="true" outlineLevel="0" collapsed="false"/>
    <row r="4905" customFormat="false" ht="11.25" hidden="false" customHeight="true" outlineLevel="0" collapsed="false"/>
    <row r="4906" customFormat="false" ht="11.25" hidden="false" customHeight="true" outlineLevel="0" collapsed="false"/>
    <row r="4907" customFormat="false" ht="11.25" hidden="false" customHeight="true" outlineLevel="0" collapsed="false"/>
    <row r="4908" customFormat="false" ht="11.25" hidden="false" customHeight="true" outlineLevel="0" collapsed="false"/>
    <row r="4909" customFormat="false" ht="11.25" hidden="false" customHeight="true" outlineLevel="0" collapsed="false"/>
    <row r="4910" customFormat="false" ht="11.25" hidden="false" customHeight="true" outlineLevel="0" collapsed="false"/>
    <row r="4911" customFormat="false" ht="11.25" hidden="false" customHeight="true" outlineLevel="0" collapsed="false"/>
    <row r="4912" customFormat="false" ht="11.25" hidden="false" customHeight="true" outlineLevel="0" collapsed="false"/>
    <row r="4913" customFormat="false" ht="11.25" hidden="false" customHeight="true" outlineLevel="0" collapsed="false"/>
    <row r="4914" customFormat="false" ht="11.25" hidden="false" customHeight="true" outlineLevel="0" collapsed="false"/>
    <row r="4915" customFormat="false" ht="11.25" hidden="false" customHeight="true" outlineLevel="0" collapsed="false"/>
    <row r="4916" customFormat="false" ht="11.25" hidden="false" customHeight="true" outlineLevel="0" collapsed="false"/>
    <row r="4917" customFormat="false" ht="11.25" hidden="false" customHeight="true" outlineLevel="0" collapsed="false"/>
    <row r="4918" customFormat="false" ht="11.25" hidden="false" customHeight="true" outlineLevel="0" collapsed="false"/>
    <row r="4919" customFormat="false" ht="11.25" hidden="false" customHeight="true" outlineLevel="0" collapsed="false"/>
    <row r="4920" customFormat="false" ht="11.25" hidden="false" customHeight="true" outlineLevel="0" collapsed="false"/>
    <row r="4921" customFormat="false" ht="11.25" hidden="false" customHeight="true" outlineLevel="0" collapsed="false"/>
    <row r="4922" customFormat="false" ht="11.25" hidden="false" customHeight="true" outlineLevel="0" collapsed="false"/>
    <row r="4923" customFormat="false" ht="11.25" hidden="false" customHeight="true" outlineLevel="0" collapsed="false"/>
    <row r="4924" customFormat="false" ht="11.25" hidden="false" customHeight="true" outlineLevel="0" collapsed="false"/>
    <row r="4925" customFormat="false" ht="11.25" hidden="false" customHeight="true" outlineLevel="0" collapsed="false"/>
    <row r="4926" customFormat="false" ht="11.25" hidden="false" customHeight="true" outlineLevel="0" collapsed="false"/>
    <row r="4927" customFormat="false" ht="11.25" hidden="false" customHeight="true" outlineLevel="0" collapsed="false"/>
    <row r="4928" customFormat="false" ht="11.25" hidden="false" customHeight="true" outlineLevel="0" collapsed="false"/>
    <row r="4929" customFormat="false" ht="11.25" hidden="false" customHeight="true" outlineLevel="0" collapsed="false"/>
    <row r="4930" customFormat="false" ht="11.25" hidden="false" customHeight="true" outlineLevel="0" collapsed="false"/>
    <row r="4931" customFormat="false" ht="11.25" hidden="false" customHeight="true" outlineLevel="0" collapsed="false"/>
    <row r="4932" customFormat="false" ht="11.25" hidden="false" customHeight="true" outlineLevel="0" collapsed="false"/>
    <row r="4933" customFormat="false" ht="11.25" hidden="false" customHeight="true" outlineLevel="0" collapsed="false"/>
    <row r="4934" customFormat="false" ht="11.25" hidden="false" customHeight="true" outlineLevel="0" collapsed="false"/>
    <row r="4935" customFormat="false" ht="11.25" hidden="false" customHeight="true" outlineLevel="0" collapsed="false"/>
    <row r="4936" customFormat="false" ht="11.25" hidden="false" customHeight="true" outlineLevel="0" collapsed="false"/>
    <row r="4937" customFormat="false" ht="11.25" hidden="false" customHeight="true" outlineLevel="0" collapsed="false"/>
    <row r="4938" customFormat="false" ht="11.25" hidden="false" customHeight="true" outlineLevel="0" collapsed="false"/>
    <row r="4939" customFormat="false" ht="11.25" hidden="false" customHeight="true" outlineLevel="0" collapsed="false"/>
    <row r="4940" customFormat="false" ht="11.25" hidden="false" customHeight="true" outlineLevel="0" collapsed="false"/>
    <row r="4941" customFormat="false" ht="11.25" hidden="false" customHeight="true" outlineLevel="0" collapsed="false"/>
    <row r="4942" customFormat="false" ht="11.25" hidden="false" customHeight="true" outlineLevel="0" collapsed="false"/>
    <row r="4943" customFormat="false" ht="11.25" hidden="false" customHeight="true" outlineLevel="0" collapsed="false"/>
    <row r="4944" customFormat="false" ht="11.25" hidden="false" customHeight="true" outlineLevel="0" collapsed="false"/>
    <row r="4945" customFormat="false" ht="11.25" hidden="false" customHeight="true" outlineLevel="0" collapsed="false"/>
    <row r="4946" customFormat="false" ht="11.25" hidden="false" customHeight="true" outlineLevel="0" collapsed="false"/>
    <row r="4947" customFormat="false" ht="11.25" hidden="false" customHeight="true" outlineLevel="0" collapsed="false"/>
    <row r="4948" customFormat="false" ht="11.25" hidden="false" customHeight="true" outlineLevel="0" collapsed="false"/>
    <row r="4949" customFormat="false" ht="11.25" hidden="false" customHeight="true" outlineLevel="0" collapsed="false"/>
    <row r="4950" customFormat="false" ht="11.25" hidden="false" customHeight="true" outlineLevel="0" collapsed="false"/>
    <row r="4951" customFormat="false" ht="11.25" hidden="false" customHeight="true" outlineLevel="0" collapsed="false"/>
    <row r="4952" customFormat="false" ht="11.25" hidden="false" customHeight="true" outlineLevel="0" collapsed="false"/>
    <row r="4953" customFormat="false" ht="11.25" hidden="false" customHeight="true" outlineLevel="0" collapsed="false"/>
    <row r="4954" customFormat="false" ht="11.25" hidden="false" customHeight="true" outlineLevel="0" collapsed="false"/>
    <row r="4955" customFormat="false" ht="11.25" hidden="false" customHeight="true" outlineLevel="0" collapsed="false"/>
    <row r="4956" customFormat="false" ht="11.25" hidden="false" customHeight="true" outlineLevel="0" collapsed="false"/>
    <row r="4957" customFormat="false" ht="11.25" hidden="false" customHeight="true" outlineLevel="0" collapsed="false"/>
    <row r="4958" customFormat="false" ht="11.25" hidden="false" customHeight="true" outlineLevel="0" collapsed="false"/>
    <row r="4959" customFormat="false" ht="11.25" hidden="false" customHeight="true" outlineLevel="0" collapsed="false"/>
    <row r="4960" customFormat="false" ht="11.25" hidden="false" customHeight="true" outlineLevel="0" collapsed="false"/>
    <row r="4961" customFormat="false" ht="11.25" hidden="false" customHeight="true" outlineLevel="0" collapsed="false"/>
    <row r="4962" customFormat="false" ht="11.25" hidden="false" customHeight="true" outlineLevel="0" collapsed="false"/>
    <row r="4963" customFormat="false" ht="11.25" hidden="false" customHeight="true" outlineLevel="0" collapsed="false"/>
    <row r="4964" customFormat="false" ht="11.25" hidden="false" customHeight="true" outlineLevel="0" collapsed="false"/>
    <row r="4965" customFormat="false" ht="11.25" hidden="false" customHeight="true" outlineLevel="0" collapsed="false"/>
    <row r="4966" customFormat="false" ht="11.25" hidden="false" customHeight="true" outlineLevel="0" collapsed="false"/>
    <row r="4967" customFormat="false" ht="11.25" hidden="false" customHeight="true" outlineLevel="0" collapsed="false"/>
    <row r="4968" customFormat="false" ht="11.25" hidden="false" customHeight="true" outlineLevel="0" collapsed="false"/>
    <row r="4969" customFormat="false" ht="11.25" hidden="false" customHeight="true" outlineLevel="0" collapsed="false"/>
    <row r="4970" customFormat="false" ht="11.25" hidden="false" customHeight="true" outlineLevel="0" collapsed="false"/>
    <row r="4971" customFormat="false" ht="11.25" hidden="false" customHeight="true" outlineLevel="0" collapsed="false"/>
    <row r="4972" customFormat="false" ht="11.25" hidden="false" customHeight="true" outlineLevel="0" collapsed="false"/>
    <row r="4973" customFormat="false" ht="11.25" hidden="false" customHeight="true" outlineLevel="0" collapsed="false"/>
    <row r="4974" customFormat="false" ht="11.25" hidden="false" customHeight="true" outlineLevel="0" collapsed="false"/>
    <row r="4975" customFormat="false" ht="11.25" hidden="false" customHeight="true" outlineLevel="0" collapsed="false"/>
    <row r="4976" customFormat="false" ht="11.25" hidden="false" customHeight="true" outlineLevel="0" collapsed="false"/>
    <row r="4977" customFormat="false" ht="11.25" hidden="false" customHeight="true" outlineLevel="0" collapsed="false"/>
    <row r="4978" customFormat="false" ht="11.25" hidden="false" customHeight="true" outlineLevel="0" collapsed="false"/>
    <row r="4979" customFormat="false" ht="11.25" hidden="false" customHeight="true" outlineLevel="0" collapsed="false"/>
    <row r="4980" customFormat="false" ht="11.25" hidden="false" customHeight="true" outlineLevel="0" collapsed="false"/>
    <row r="4981" customFormat="false" ht="11.25" hidden="false" customHeight="true" outlineLevel="0" collapsed="false"/>
    <row r="4982" customFormat="false" ht="11.25" hidden="false" customHeight="true" outlineLevel="0" collapsed="false"/>
    <row r="4983" customFormat="false" ht="11.25" hidden="false" customHeight="true" outlineLevel="0" collapsed="false"/>
    <row r="4984" customFormat="false" ht="11.25" hidden="false" customHeight="true" outlineLevel="0" collapsed="false"/>
    <row r="4985" customFormat="false" ht="11.25" hidden="false" customHeight="true" outlineLevel="0" collapsed="false"/>
    <row r="4986" customFormat="false" ht="11.25" hidden="false" customHeight="true" outlineLevel="0" collapsed="false"/>
    <row r="4987" customFormat="false" ht="11.25" hidden="false" customHeight="true" outlineLevel="0" collapsed="false"/>
    <row r="4988" customFormat="false" ht="11.25" hidden="false" customHeight="true" outlineLevel="0" collapsed="false"/>
    <row r="4989" customFormat="false" ht="11.25" hidden="false" customHeight="true" outlineLevel="0" collapsed="false"/>
    <row r="4990" customFormat="false" ht="11.25" hidden="false" customHeight="true" outlineLevel="0" collapsed="false"/>
    <row r="4991" customFormat="false" ht="11.25" hidden="false" customHeight="true" outlineLevel="0" collapsed="false"/>
    <row r="4992" customFormat="false" ht="11.25" hidden="false" customHeight="true" outlineLevel="0" collapsed="false"/>
    <row r="4993" customFormat="false" ht="11.25" hidden="false" customHeight="true" outlineLevel="0" collapsed="false"/>
    <row r="4994" customFormat="false" ht="11.25" hidden="false" customHeight="true" outlineLevel="0" collapsed="false"/>
    <row r="4995" customFormat="false" ht="11.25" hidden="false" customHeight="true" outlineLevel="0" collapsed="false"/>
    <row r="4996" customFormat="false" ht="11.25" hidden="false" customHeight="true" outlineLevel="0" collapsed="false"/>
    <row r="4997" customFormat="false" ht="11.25" hidden="false" customHeight="true" outlineLevel="0" collapsed="false"/>
    <row r="4998" customFormat="false" ht="11.25" hidden="false" customHeight="true" outlineLevel="0" collapsed="false"/>
    <row r="4999" customFormat="false" ht="11.25" hidden="false" customHeight="true" outlineLevel="0" collapsed="false"/>
    <row r="5000" customFormat="false" ht="11.25" hidden="false" customHeight="true" outlineLevel="0" collapsed="false"/>
    <row r="5001" customFormat="false" ht="11.2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599"/>
  <sheetViews>
    <sheetView showFormulas="false" showGridLines="true" showRowColHeaders="true" showZeros="true" rightToLeft="false" tabSelected="false" showOutlineSymbols="true" defaultGridColor="true" view="normal" topLeftCell="A1" colorId="64" zoomScale="84" zoomScaleNormal="84" zoomScalePageLayoutView="100" workbookViewId="0">
      <selection pane="topLeft" activeCell="X9" activeCellId="0" sqref="X9"/>
    </sheetView>
  </sheetViews>
  <sheetFormatPr defaultColWidth="8.71484375" defaultRowHeight="12.75" zeroHeight="false" outlineLevelRow="0" outlineLevelCol="0"/>
  <cols>
    <col collapsed="false" customWidth="true" hidden="false" outlineLevel="0" max="1" min="1" style="17" width="32"/>
    <col collapsed="false" customWidth="true" hidden="false" outlineLevel="0" max="2" min="2" style="17" width="36.42"/>
    <col collapsed="false" customWidth="true" hidden="false" outlineLevel="0" max="4" min="3" style="17" width="22"/>
    <col collapsed="false" customWidth="true" hidden="false" outlineLevel="0" max="5" min="5" style="17" width="30"/>
    <col collapsed="false" customWidth="true" hidden="false" outlineLevel="0" max="6" min="6" style="17" width="12"/>
    <col collapsed="false" customWidth="true" hidden="false" outlineLevel="0" max="7" min="7" style="17" width="26.42"/>
    <col collapsed="false" customWidth="true" hidden="false" outlineLevel="0" max="8" min="8" style="17" width="63.42"/>
    <col collapsed="false" customWidth="true" hidden="false" outlineLevel="0" max="9" min="9" style="17" width="10.42"/>
    <col collapsed="false" customWidth="true" hidden="false" outlineLevel="0" max="10" min="10" style="17" width="25"/>
    <col collapsed="false" customWidth="false" hidden="false" outlineLevel="0" max="16" min="11" style="17" width="8.71"/>
    <col collapsed="false" customWidth="true" hidden="false" outlineLevel="0" max="17" min="17" style="17" width="22"/>
    <col collapsed="false" customWidth="true" hidden="false" outlineLevel="0" max="18" min="18" style="17" width="13.86"/>
    <col collapsed="false" customWidth="true" hidden="false" outlineLevel="0" max="19" min="19" style="17" width="12.15"/>
    <col collapsed="false" customWidth="true" hidden="false" outlineLevel="0" max="20" min="20" style="17" width="26.42"/>
    <col collapsed="false" customWidth="true" hidden="false" outlineLevel="0" max="21" min="21" style="17" width="14.86"/>
    <col collapsed="false" customWidth="false" hidden="false" outlineLevel="0" max="22" min="22" style="17" width="8.71"/>
    <col collapsed="false" customWidth="true" hidden="false" outlineLevel="0" max="23" min="23" style="17" width="55.29"/>
    <col collapsed="false" customWidth="true" hidden="false" outlineLevel="0" max="24" min="24" style="17" width="14.71"/>
    <col collapsed="false" customWidth="false" hidden="false" outlineLevel="0" max="26" min="25" style="17" width="8.71"/>
    <col collapsed="false" customWidth="true" hidden="false" outlineLevel="0" max="27" min="27" style="17" width="35.57"/>
    <col collapsed="false" customWidth="true" hidden="false" outlineLevel="0" max="28" min="28" style="17" width="10.42"/>
    <col collapsed="false" customWidth="false" hidden="false" outlineLevel="0" max="29" min="29" style="17" width="8.71"/>
    <col collapsed="false" customWidth="true" hidden="false" outlineLevel="0" max="30" min="30" style="17" width="48.57"/>
    <col collapsed="false" customWidth="false" hidden="false" outlineLevel="0" max="32" min="31" style="17" width="8.71"/>
    <col collapsed="false" customWidth="true" hidden="false" outlineLevel="0" max="33" min="33" style="17" width="32.29"/>
    <col collapsed="false" customWidth="true" hidden="false" outlineLevel="0" max="34" min="34" style="17" width="6.14"/>
    <col collapsed="false" customWidth="false" hidden="false" outlineLevel="0" max="35" min="35" style="17" width="8.71"/>
    <col collapsed="false" customWidth="true" hidden="false" outlineLevel="0" max="36" min="36" style="17" width="43.71"/>
    <col collapsed="false" customWidth="false" hidden="false" outlineLevel="0" max="16384" min="37" style="17" width="8.71"/>
  </cols>
  <sheetData>
    <row r="1" customFormat="false" ht="15.75" hidden="false" customHeight="true" outlineLevel="0" collapsed="false">
      <c r="A1" s="18" t="s">
        <v>1997</v>
      </c>
      <c r="B1" s="18"/>
      <c r="C1" s="19"/>
      <c r="D1" s="20"/>
      <c r="E1" s="20"/>
      <c r="G1" s="18" t="s">
        <v>1998</v>
      </c>
      <c r="H1" s="18"/>
      <c r="J1" s="21" t="s">
        <v>1999</v>
      </c>
      <c r="K1" s="21"/>
      <c r="L1" s="21"/>
      <c r="M1" s="21"/>
      <c r="N1" s="21"/>
      <c r="O1" s="21"/>
      <c r="Q1" s="22" t="s">
        <v>2000</v>
      </c>
      <c r="R1" s="22"/>
      <c r="S1" s="22"/>
      <c r="T1" s="22"/>
      <c r="W1" s="18" t="s">
        <v>2001</v>
      </c>
      <c r="X1" s="18"/>
      <c r="AA1" s="23" t="s">
        <v>2002</v>
      </c>
      <c r="AD1" s="23" t="s">
        <v>2003</v>
      </c>
      <c r="AG1" s="23" t="s">
        <v>2004</v>
      </c>
      <c r="AJ1" s="23" t="s">
        <v>2005</v>
      </c>
    </row>
    <row r="2" customFormat="false" ht="24" hidden="false" customHeight="true" outlineLevel="0" collapsed="false">
      <c r="A2" s="24" t="s">
        <v>2006</v>
      </c>
      <c r="B2" s="24" t="s">
        <v>2007</v>
      </c>
      <c r="D2" s="25"/>
      <c r="E2" s="25"/>
      <c r="G2" s="24" t="s">
        <v>2008</v>
      </c>
      <c r="H2" s="24" t="s">
        <v>2009</v>
      </c>
      <c r="J2" s="24" t="s">
        <v>14</v>
      </c>
      <c r="K2" s="24" t="s">
        <v>167</v>
      </c>
      <c r="L2" s="24" t="s">
        <v>123</v>
      </c>
      <c r="M2" s="24" t="s">
        <v>192</v>
      </c>
      <c r="N2" s="24" t="s">
        <v>2010</v>
      </c>
      <c r="Q2" s="26" t="s">
        <v>2011</v>
      </c>
      <c r="R2" s="26" t="s">
        <v>2012</v>
      </c>
      <c r="S2" s="26" t="s">
        <v>2013</v>
      </c>
      <c r="T2" s="26" t="s">
        <v>2014</v>
      </c>
      <c r="W2" s="24" t="s">
        <v>2015</v>
      </c>
      <c r="X2" s="24" t="s">
        <v>2016</v>
      </c>
      <c r="AA2" s="26" t="s">
        <v>2017</v>
      </c>
      <c r="AB2" s="26" t="s">
        <v>2018</v>
      </c>
      <c r="AD2" s="27" t="s">
        <v>2019</v>
      </c>
      <c r="AE2" s="27" t="s">
        <v>2020</v>
      </c>
      <c r="AG2" s="27" t="s">
        <v>8</v>
      </c>
      <c r="AH2" s="27" t="s">
        <v>2009</v>
      </c>
      <c r="AJ2" s="26" t="s">
        <v>2021</v>
      </c>
      <c r="AK2" s="26" t="s">
        <v>2009</v>
      </c>
    </row>
    <row r="3" customFormat="false" ht="30" hidden="false" customHeight="true" outlineLevel="0" collapsed="false">
      <c r="A3" s="28" t="s">
        <v>2022</v>
      </c>
      <c r="B3" s="29" t="n">
        <f aca="false">COUNTA(RawData[ID])</f>
        <v>300</v>
      </c>
      <c r="D3" s="30"/>
      <c r="E3" s="30"/>
      <c r="G3" s="31" t="s">
        <v>107</v>
      </c>
      <c r="H3" s="32" t="n">
        <f aca="false">COUNTIF(RawData[Engagement Type],G3)</f>
        <v>96</v>
      </c>
      <c r="J3" s="30" t="s">
        <v>113</v>
      </c>
      <c r="K3" s="30" t="n">
        <f aca="false">COUNTIFS(RawData[Service Line],J3,RawData[Severity],"High")</f>
        <v>43</v>
      </c>
      <c r="L3" s="30" t="n">
        <f aca="false">COUNTIFS(RawData[Service Line],J3,RawData[Severity],"Moderate")</f>
        <v>79</v>
      </c>
      <c r="M3" s="30" t="n">
        <f aca="false">COUNTIFS(RawData[Service Line],J3,RawData[Severity],"Low")</f>
        <v>78</v>
      </c>
      <c r="N3" s="30" t="n">
        <f aca="false">SUM(K3:M3)</f>
        <v>200</v>
      </c>
      <c r="Q3" s="33" t="str">
        <f aca="false" t="array" ref="Q3:Q3">IFERROR(INDEX($AJ$2:$AJ$599,MATCH(1,($AK$2:$AK$599=R3)*(COUNTIF($Q2:$Q$3,$AJ$2:$AJ$599)=0)*($AJ$2:$AJ$599&lt;&gt;""),0)),"")</f>
        <v>Feedback on recent processes</v>
      </c>
      <c r="R3" s="34" t="n">
        <f aca="false">IFERROR(LARGE($AK$2:$AK$599,1),"")</f>
        <v>24</v>
      </c>
      <c r="S3" s="34" t="n">
        <f aca="false">IF(Q3="","",IFERROR(R3/$B$3,0))</f>
        <v>0.08</v>
      </c>
      <c r="T3" s="34" t="str">
        <f aca="false" t="array" ref="T3:T3">IF(Q3="","",IFERROR(INDEX(SummaryData[Engagement Type],MATCH(TRIM(Q3),TRIM(SummaryData[Statement]),0)),""))</f>
        <v>1:1</v>
      </c>
      <c r="W3" s="30" t="s">
        <v>176</v>
      </c>
      <c r="X3" s="30" t="n">
        <f aca="false">SUMPRODUCT((TRIM(RawData[Alignment])=TRIM(W3))*1)</f>
        <v>14</v>
      </c>
      <c r="AA3" s="17" t="str">
        <f aca="false" t="array" ref="AA3:AA3">IFERROR(INDEX($AM$2:$AM$199,MATCH(1,($AN$2:$AN$199=AB3)*(COUNTIF($AA2:$AA$3,$AM$2:$AM$199)=0)*($AM$2:$AM$199&lt;&gt;""),0)),"")</f>
        <v>HR Connect (Project Wise)</v>
      </c>
      <c r="AB3" s="17" t="n">
        <f aca="false">IFERROR(LARGE($AN$2:$AN$199,1),"")</f>
        <v>30</v>
      </c>
      <c r="AD3" s="17" t="str">
        <f aca="false">IF(Calc!Q3="","",Calc!Q3)</f>
        <v>Feedback on recent processes</v>
      </c>
      <c r="AE3" s="17" t="n">
        <f aca="false">IF(Calc!Q3="","",Calc!R3)</f>
        <v>24</v>
      </c>
      <c r="AG3" s="17" t="str">
        <f aca="false" t="array" ref="AG3:AG3">IFERROR(INDEX($G$3:$G$15,MATCH(1,(($H$3:$H$15)=AH3)*(COUNTIF($AG2:$AG$3,$G$3:$G$15)=0),0)),"")</f>
        <v>Large Connect</v>
      </c>
      <c r="AH3" s="17" t="n">
        <f aca="false">IFERROR(LARGE($H$3:$H$15,1),"")</f>
        <v>96</v>
      </c>
      <c r="AJ3" s="17" t="str">
        <f aca="false">IF(Data_Summary!Y3&lt;&gt;"Coverage","",IF(Data_Summary!AA3="","",IF(COUNTIFS(Data_Summary!$Y$2:$Y3,"Coverage",Data_Summary!$AA$2:$AA3,Data_Summary!AA3)=1,Data_Summary!AA3,"")))</f>
        <v/>
      </c>
      <c r="AK3" s="17" t="str">
        <f aca="false">IF(AJ3="","",COUNTIFS(Data_Summary!$Y$2:$Y$20001,"Coverage",Data_Summary!$AA$2:$AA$20001,AJ3))</f>
        <v/>
      </c>
    </row>
    <row r="4" customFormat="false" ht="25.5" hidden="false" customHeight="true" outlineLevel="0" collapsed="false">
      <c r="A4" s="28" t="s">
        <v>2023</v>
      </c>
      <c r="B4" s="29" t="n">
        <f aca="false">COUNTIF(RawData[Status],"Open")</f>
        <v>29</v>
      </c>
      <c r="D4" s="30"/>
      <c r="E4" s="30"/>
      <c r="G4" s="30" t="s">
        <v>172</v>
      </c>
      <c r="H4" s="35" t="n">
        <f aca="false">COUNTIF(RawData[Engagement Type],G4)</f>
        <v>59</v>
      </c>
      <c r="J4" s="30" t="s">
        <v>863</v>
      </c>
      <c r="K4" s="30" t="n">
        <f aca="false">COUNTIFS(RawData[Service Line],J4,RawData[Severity],"High")</f>
        <v>1</v>
      </c>
      <c r="L4" s="30" t="n">
        <f aca="false">COUNTIFS(RawData[Service Line],J4,RawData[Severity],"Moderate")</f>
        <v>5</v>
      </c>
      <c r="M4" s="30" t="n">
        <f aca="false">COUNTIFS(RawData[Service Line],J4,RawData[Severity],"Low")</f>
        <v>0</v>
      </c>
      <c r="N4" s="30" t="n">
        <f aca="false">SUM(K4:M4)</f>
        <v>6</v>
      </c>
      <c r="Q4" s="36" t="str">
        <f aca="false" t="array" ref="Q4:Q4">IFERROR(INDEX($AJ$2:$AJ$599,MATCH(1,($AK$2:$AK$599=R4)*(COUNTIF($Q$3:$Q3,$AJ$2:$AJ$599)=0)*($AJ$2:$AJ$599&lt;&gt;""),0)),"")</f>
        <v>Clarity on expectations</v>
      </c>
      <c r="R4" s="34" t="n">
        <f aca="false">IFERROR(LARGE($AK$2:$AK$599,2),"")</f>
        <v>19</v>
      </c>
      <c r="S4" s="37" t="n">
        <f aca="false">IF(Q4="","",IFERROR(R4/$B$3,0))</f>
        <v>0.0633333333333333</v>
      </c>
      <c r="T4" s="38" t="str">
        <f aca="false" t="array" ref="T4:T4">IF(Q4="","",IFERROR(INDEX(SummaryData[Engagement Type],MATCH(TRIM(Q4),TRIM(SummaryData[Statement]),0)),""))</f>
        <v>Large Connect</v>
      </c>
      <c r="W4" s="30" t="s">
        <v>2024</v>
      </c>
      <c r="X4" s="30" t="n">
        <f aca="false">SUMPRODUCT((TRIM(RawData[Alignment])=TRIM(W4))*1)</f>
        <v>0</v>
      </c>
      <c r="AA4" s="17" t="str">
        <f aca="false" t="array" ref="AA4:AA4">IFERROR(INDEX($AM$2:$AM$199,MATCH(1,($AN$2:$AN$199=AB4)*(COUNTIF($AA$3:$AA3,$AM$2:$AM$199)=0)*($AM$2:$AM$199&lt;&gt;""),0)),"")</f>
        <v>New Joiner Connect (60 Days)</v>
      </c>
      <c r="AB4" s="17" t="n">
        <f aca="false">IFERROR(LARGE($AN$2:$AN$199,2),"")</f>
        <v>22</v>
      </c>
      <c r="AD4" s="17" t="str">
        <f aca="false">IF(Calc!Q4="","",Calc!Q4)</f>
        <v>Clarity on expectations</v>
      </c>
      <c r="AE4" s="17" t="n">
        <f aca="false">IF(Calc!Q4="","",Calc!R4)</f>
        <v>19</v>
      </c>
      <c r="AG4" s="17" t="str">
        <f aca="false" t="array" ref="AG4:AG4">IFERROR(INDEX($G$3:$G$15,MATCH(1,(($H$3:$H$15)=AH4)*(COUNTIF($AG$3:$AG3,$G$3:$G$15)=0),0)),"")</f>
        <v>FGD</v>
      </c>
      <c r="AH4" s="17" t="n">
        <f aca="false">IFERROR(LARGE($H$3:$H$15,2),"")</f>
        <v>59</v>
      </c>
      <c r="AJ4" s="17" t="str">
        <f aca="false">IF(Data_Summary!Y5&lt;&gt;"Coverage","",IF(Data_Summary!AA5="","",IF(COUNTIFS(Data_Summary!$Y$2:$Y5,"Coverage",Data_Summary!$AA$2:$AA5,Data_Summary!AA5)=1,Data_Summary!AA5,"")))</f>
        <v/>
      </c>
      <c r="AK4" s="17" t="str">
        <f aca="false">IF(AJ4="","",COUNTIFS(Data_Summary!$Y$2:$Y$20001,"Coverage",Data_Summary!$AA$2:$AA$20001,AJ4))</f>
        <v/>
      </c>
    </row>
    <row r="5" customFormat="false" ht="25.5" hidden="false" customHeight="true" outlineLevel="0" collapsed="false">
      <c r="A5" s="28" t="s">
        <v>2025</v>
      </c>
      <c r="B5" s="29" t="n">
        <f aca="false">COUNTIF(RawData[Status],"In-progress")</f>
        <v>57</v>
      </c>
      <c r="D5" s="30"/>
      <c r="E5" s="30"/>
      <c r="G5" s="30" t="s">
        <v>244</v>
      </c>
      <c r="H5" s="35" t="n">
        <f aca="false">COUNTIF(RawData[Engagement Type],G5)</f>
        <v>59</v>
      </c>
      <c r="J5" s="30" t="s">
        <v>336</v>
      </c>
      <c r="K5" s="30" t="n">
        <f aca="false">COUNTIFS(RawData[Service Line],J5,RawData[Severity],"High")</f>
        <v>2</v>
      </c>
      <c r="L5" s="30" t="n">
        <f aca="false">COUNTIFS(RawData[Service Line],J5,RawData[Severity],"Moderate")</f>
        <v>3</v>
      </c>
      <c r="M5" s="30" t="n">
        <f aca="false">COUNTIFS(RawData[Service Line],J5,RawData[Severity],"Low")</f>
        <v>4</v>
      </c>
      <c r="N5" s="30" t="n">
        <f aca="false">SUM(K5:M5)</f>
        <v>9</v>
      </c>
      <c r="Q5" s="36" t="str">
        <f aca="false" t="array" ref="Q5:Q5">IFERROR(INDEX($AJ$2:$AJ$599,MATCH(1,($AK$2:$AK$599=R5)*(COUNTIF($Q$3:$Q4,$AJ$2:$AJ$599)=0)*($AJ$2:$AJ$599&lt;&gt;""),0)),"")</f>
        <v>General wellbeing check-in</v>
      </c>
      <c r="R5" s="34" t="n">
        <f aca="false">IFERROR(LARGE($AK$2:$AK$599,3),"")</f>
        <v>16</v>
      </c>
      <c r="S5" s="37" t="n">
        <f aca="false">IF(Q5="","",IFERROR(R5/$B$3,0))</f>
        <v>0.0533333333333333</v>
      </c>
      <c r="T5" s="38" t="str">
        <f aca="false" t="array" ref="T5:T5">IF(Q5="","",IFERROR(INDEX(SummaryData[Engagement Type],MATCH(TRIM(Q5),TRIM(SummaryData[Statement]),0)),""))</f>
        <v>Location-Offshore</v>
      </c>
      <c r="W5" s="30" t="s">
        <v>2026</v>
      </c>
      <c r="X5" s="30" t="n">
        <f aca="false">SUMPRODUCT((TRIM(RawData[Alignment])=TRIM(W5))*1)</f>
        <v>0</v>
      </c>
      <c r="AA5" s="17" t="str">
        <f aca="false" t="array" ref="AA5:AA5">IFERROR(INDEX($AM$2:$AM$199,MATCH(1,($AN$2:$AN$199=AB5)*(COUNTIF($AA$3:$AA4,$AM$2:$AM$199)=0)*($AM$2:$AM$199&lt;&gt;""),0)),"")</f>
        <v>New Joiner Connect (30 Days)</v>
      </c>
      <c r="AB5" s="17" t="n">
        <f aca="false">IFERROR(LARGE($AN$2:$AN$199,3),"")</f>
        <v>19</v>
      </c>
      <c r="AD5" s="17" t="str">
        <f aca="false">IF(Calc!Q5="","",Calc!Q5)</f>
        <v>General wellbeing check-in</v>
      </c>
      <c r="AE5" s="17" t="n">
        <f aca="false">IF(Calc!Q5="","",Calc!R5)</f>
        <v>16</v>
      </c>
      <c r="AG5" s="17" t="str">
        <f aca="false" t="array" ref="AG5:AG5">IFERROR(INDEX($G$3:$G$15,MATCH(1,(($H$3:$H$15)=AH5)*(COUNTIF($AG$3:$AG4,$G$3:$G$15)=0),0)),"")</f>
        <v>1:1</v>
      </c>
      <c r="AH5" s="17" t="n">
        <f aca="false">IFERROR(LARGE($H$3:$H$15,3),"")</f>
        <v>59</v>
      </c>
      <c r="AJ5" s="17" t="str">
        <f aca="false">IF(Data_Summary!Y6&lt;&gt;"Coverage","",IF(Data_Summary!AA6="","",IF(COUNTIFS(Data_Summary!$Y$2:$Y6,"Coverage",Data_Summary!$AA$2:$AA6,Data_Summary!AA6)=1,Data_Summary!AA6,"")))</f>
        <v/>
      </c>
      <c r="AK5" s="17" t="str">
        <f aca="false">IF(AJ5="","",COUNTIFS(Data_Summary!$Y$2:$Y$20001,"Coverage",Data_Summary!$AA$2:$AA$20001,AJ5))</f>
        <v/>
      </c>
    </row>
    <row r="6" customFormat="false" ht="15" hidden="false" customHeight="true" outlineLevel="0" collapsed="false">
      <c r="A6" s="28" t="s">
        <v>2027</v>
      </c>
      <c r="B6" s="29" t="n">
        <f aca="false">COUNTIF(RawData[Status],"Closed")</f>
        <v>214</v>
      </c>
      <c r="D6" s="30"/>
      <c r="E6" s="30"/>
      <c r="G6" s="30" t="s">
        <v>278</v>
      </c>
      <c r="H6" s="35" t="n">
        <f aca="false">COUNTIF(RawData[Engagement Type],G6)</f>
        <v>36</v>
      </c>
      <c r="Q6" s="36" t="str">
        <f aca="false" t="array" ref="Q6:Q6">IFERROR(INDEX($AJ$2:$AJ$599,MATCH(1,($AK$2:$AK$599=R6)*(COUNTIF($Q$3:$Q5,$AJ$2:$AJ$599)=0)*($AJ$2:$AJ$599&lt;&gt;""),0)),"")</f>
        <v>Team Integration</v>
      </c>
      <c r="R6" s="34" t="n">
        <f aca="false">IFERROR(LARGE($AK$2:$AK$599,4),"")</f>
        <v>13</v>
      </c>
      <c r="S6" s="37" t="n">
        <f aca="false">IF(Q6="","",IFERROR(R6/$B$3,0))</f>
        <v>0.0433333333333333</v>
      </c>
      <c r="T6" s="38" t="str">
        <f aca="false" t="array" ref="T6:T6">IF(Q6="","",IFERROR(INDEX(SummaryData[Engagement Type],MATCH(TRIM(Q6),TRIM(SummaryData[Statement]),0)),""))</f>
        <v>Induction</v>
      </c>
      <c r="W6" s="30" t="s">
        <v>271</v>
      </c>
      <c r="X6" s="30" t="n">
        <f aca="false">SUMPRODUCT((TRIM(RawData[Alignment])=TRIM(W6))*1)</f>
        <v>19</v>
      </c>
      <c r="AA6" s="17" t="str">
        <f aca="false" t="array" ref="AA6:AA6">IFERROR(INDEX($AM$2:$AM$199,MATCH(1,($AN$2:$AN$199=AB6)*(COUNTIF($AA$3:$AA5,$AM$2:$AM$199)=0)*($AM$2:$AM$199&lt;&gt;""),0)),"")</f>
        <v>New Joiner Connect (90 Days)</v>
      </c>
      <c r="AB6" s="17" t="n">
        <f aca="false">IFERROR(LARGE($AN$2:$AN$199,4),"")</f>
        <v>16</v>
      </c>
      <c r="AD6" s="17" t="str">
        <f aca="false">IF(Calc!Q6="","",Calc!Q6)</f>
        <v>Team Integration</v>
      </c>
      <c r="AE6" s="17" t="n">
        <f aca="false">IF(Calc!Q6="","",Calc!R6)</f>
        <v>13</v>
      </c>
      <c r="AG6" s="17" t="str">
        <f aca="false" t="array" ref="AG6:AG6">IFERROR(INDEX($G$3:$G$15,MATCH(1,(($H$3:$H$15)=AH6)*(COUNTIF($AG$3:$AG5,$G$3:$G$15)=0),0)),"")</f>
        <v>Floor Connect</v>
      </c>
      <c r="AH6" s="17" t="n">
        <f aca="false">IFERROR(LARGE($H$3:$H$15,4),"")</f>
        <v>36</v>
      </c>
      <c r="AJ6" s="17" t="str">
        <f aca="false">IF(Data_Summary!Y7&lt;&gt;"Coverage","",IF(Data_Summary!AA7="","",IF(COUNTIFS(Data_Summary!$Y$2:$Y7,"Coverage",Data_Summary!$AA$2:$AA7,Data_Summary!AA7)=1,Data_Summary!AA7,"")))</f>
        <v>Business &amp; Strategy Clarity</v>
      </c>
      <c r="AK6" s="17" t="n">
        <f aca="false">IF(AJ6="","",COUNTIFS(Data_Summary!$Y$2:$Y$20001,"Coverage",Data_Summary!$AA$2:$AA$20001,AJ6))</f>
        <v>11</v>
      </c>
    </row>
    <row r="7" customFormat="false" ht="15" hidden="false" customHeight="true" outlineLevel="0" collapsed="false">
      <c r="A7" s="28" t="s">
        <v>2028</v>
      </c>
      <c r="B7" s="29" t="n">
        <f aca="false">COUNTIF(RawData[Severity],"High")</f>
        <v>63</v>
      </c>
      <c r="D7" s="30"/>
      <c r="E7" s="30"/>
      <c r="G7" s="30" t="s">
        <v>157</v>
      </c>
      <c r="H7" s="35" t="n">
        <f aca="false">COUNTIF(RawData[Engagement Type],G7)</f>
        <v>19</v>
      </c>
      <c r="Q7" s="36" t="str">
        <f aca="false" t="array" ref="Q7:Q7">IFERROR(INDEX($AJ$2:$AJ$599,MATCH(1,($AK$2:$AK$599=R7)*(COUNTIF($Q$3:$Q6,$AJ$2:$AJ$599)=0)*($AJ$2:$AJ$599&lt;&gt;""),0)),"")</f>
        <v>Workload &amp; Work-Life Balance</v>
      </c>
      <c r="R7" s="34" t="n">
        <f aca="false">IFERROR(LARGE($AK$2:$AK$599,5),"")</f>
        <v>12</v>
      </c>
      <c r="S7" s="37" t="n">
        <f aca="false">IF(Q7="","",IFERROR(R7/$B$3,0))</f>
        <v>0.04</v>
      </c>
      <c r="T7" s="38" t="str">
        <f aca="false" t="array" ref="T7:T7">IF(Q7="","",IFERROR(INDEX(SummaryData[Engagement Type],MATCH(TRIM(Q7),TRIM(SummaryData[Statement]),0)),""))</f>
        <v>FGD</v>
      </c>
      <c r="W7" s="30" t="s">
        <v>339</v>
      </c>
      <c r="X7" s="30" t="n">
        <f aca="false">SUMPRODUCT((TRIM(RawData[Alignment])=TRIM(W7))*1)</f>
        <v>22</v>
      </c>
      <c r="AA7" s="17" t="str">
        <f aca="false" t="array" ref="AA7:AA7">IFERROR(INDEX($AM$2:$AM$199,MATCH(1,($AN$2:$AN$199=AB7)*(COUNTIF($AA$3:$AA6,$AM$2:$AM$199)=0)*($AM$2:$AM$199&lt;&gt;""),0)),"")</f>
        <v>New Joiner Connect (7 Days)</v>
      </c>
      <c r="AB7" s="17" t="n">
        <f aca="false">IFERROR(LARGE($AN$2:$AN$199,5),"")</f>
        <v>16</v>
      </c>
      <c r="AD7" s="17" t="str">
        <f aca="false">IF(Calc!Q7="","",Calc!Q7)</f>
        <v>Workload &amp; Work-Life Balance</v>
      </c>
      <c r="AE7" s="17" t="n">
        <f aca="false">IF(Calc!Q7="","",Calc!R7)</f>
        <v>12</v>
      </c>
      <c r="AG7" s="17" t="str">
        <f aca="false" t="array" ref="AG7:AG7">IFERROR(INDEX($G$3:$G$15,MATCH(1,(($H$3:$H$15)=AH7)*(COUNTIF($AG$3:$AG6,$G$3:$G$15)=0),0)),"")</f>
        <v>Location-Offshore</v>
      </c>
      <c r="AH7" s="17" t="n">
        <f aca="false">IFERROR(LARGE($H$3:$H$15,5),"")</f>
        <v>19</v>
      </c>
      <c r="AJ7" s="17" t="str">
        <f aca="false">IF(Data_Summary!Y8&lt;&gt;"Coverage","",IF(Data_Summary!AA8="","",IF(COUNTIFS(Data_Summary!$Y$2:$Y8,"Coverage",Data_Summary!$AA$2:$AA8,Data_Summary!AA8)=1,Data_Summary!AA8,"")))</f>
        <v>Career Visibility &amp; Skill Roadmap</v>
      </c>
      <c r="AK7" s="17" t="n">
        <f aca="false">IF(AJ7="","",COUNTIFS(Data_Summary!$Y$2:$Y$20001,"Coverage",Data_Summary!$AA$2:$AA$20001,AJ7))</f>
        <v>7</v>
      </c>
    </row>
    <row r="8" customFormat="false" ht="15" hidden="false" customHeight="true" outlineLevel="0" collapsed="false">
      <c r="A8" s="28" t="s">
        <v>2029</v>
      </c>
      <c r="B8" s="29" t="n">
        <f aca="false">COUNTIF(RawData[Severity],"Moderate")</f>
        <v>126</v>
      </c>
      <c r="D8" s="30"/>
      <c r="E8" s="30"/>
      <c r="G8" s="30" t="s">
        <v>750</v>
      </c>
      <c r="H8" s="35" t="n">
        <f aca="false">COUNTIF(RawData[Engagement Type],G8)</f>
        <v>4</v>
      </c>
      <c r="Q8" s="36" t="str">
        <f aca="false" t="array" ref="Q8:Q8">IFERROR(INDEX($AJ$2:$AJ$599,MATCH(1,($AK$2:$AK$599=R8)*(COUNTIF($Q$3:$Q7,$AJ$2:$AJ$599)=0)*($AJ$2:$AJ$599&lt;&gt;""),0)),"")</f>
        <v>Discussion on team dynamics</v>
      </c>
      <c r="R8" s="34" t="n">
        <f aca="false">IFERROR(LARGE($AK$2:$AK$599,6),"")</f>
        <v>12</v>
      </c>
      <c r="S8" s="37" t="n">
        <f aca="false">IF(Q8="","",IFERROR(R8/$B$3,0))</f>
        <v>0.04</v>
      </c>
      <c r="T8" s="38" t="str">
        <f aca="false" t="array" ref="T8:T8">IF(Q8="","",IFERROR(INDEX(SummaryData[Engagement Type],MATCH(TRIM(Q8),TRIM(SummaryData[Statement]),0)),""))</f>
        <v>1:1</v>
      </c>
      <c r="W8" s="30" t="s">
        <v>381</v>
      </c>
      <c r="X8" s="30" t="n">
        <f aca="false">SUMPRODUCT((TRIM(RawData[Alignment])=TRIM(W8))*1)</f>
        <v>16</v>
      </c>
      <c r="AA8" s="17" t="str">
        <f aca="false" t="array" ref="AA8:AA8">IFERROR(INDEX($AM$2:$AM$199,MATCH(1,($AN$2:$AN$199=AB8)*(COUNTIF($AA$3:$AA7,$AM$2:$AM$199)=0)*($AM$2:$AM$199&lt;&gt;""),0)),"")</f>
        <v>Cadence Connect</v>
      </c>
      <c r="AB8" s="17" t="n">
        <f aca="false">IFERROR(LARGE($AN$2:$AN$199,6),"")</f>
        <v>12</v>
      </c>
      <c r="AD8" s="17" t="str">
        <f aca="false">IF(Calc!Q8="","",Calc!Q8)</f>
        <v>Discussion on team dynamics</v>
      </c>
      <c r="AE8" s="17" t="n">
        <f aca="false">IF(Calc!Q8="","",Calc!R8)</f>
        <v>12</v>
      </c>
      <c r="AG8" s="17" t="str">
        <f aca="false" t="array" ref="AG8:AG8">IFERROR(INDEX($G$3:$G$15,MATCH(1,(($H$3:$H$15)=AH8)*(COUNTIF($AG$3:$AG7,$G$3:$G$15)=0),0)),"")</f>
        <v>Location-Mixed</v>
      </c>
      <c r="AH8" s="17" t="n">
        <f aca="false">IFERROR(LARGE($H$3:$H$15,6),"")</f>
        <v>8</v>
      </c>
      <c r="AJ8" s="17" t="str">
        <f aca="false">IF(Data_Summary!Y9&lt;&gt;"Coverage","",IF(Data_Summary!AA9="","",IF(COUNTIFS(Data_Summary!$Y$2:$Y9,"Coverage",Data_Summary!$AA$2:$AA9,Data_Summary!AA9)=1,Data_Summary!AA9,"")))</f>
        <v>AI/future Readiness Messaging Is High-level</v>
      </c>
      <c r="AK8" s="17" t="n">
        <f aca="false">IF(AJ8="","",COUNTIFS(Data_Summary!$Y$2:$Y$20001,"Coverage",Data_Summary!$AA$2:$AA$20001,AJ8))</f>
        <v>4</v>
      </c>
    </row>
    <row r="9" customFormat="false" ht="15" hidden="false" customHeight="true" outlineLevel="0" collapsed="false">
      <c r="A9" s="28" t="s">
        <v>2030</v>
      </c>
      <c r="B9" s="29" t="n">
        <f aca="false">COUNTIF(RawData[Severity],"Low")</f>
        <v>111</v>
      </c>
      <c r="D9" s="39"/>
      <c r="E9" s="30"/>
      <c r="G9" s="30" t="s">
        <v>2031</v>
      </c>
      <c r="H9" s="35" t="n">
        <f aca="false">COUNTIF(RawData[Engagement Type],G9)</f>
        <v>0</v>
      </c>
      <c r="Q9" s="36" t="str">
        <f aca="false" t="array" ref="Q9:Q9">IFERROR(INDEX($AJ$2:$AJ$599,MATCH(1,($AK$2:$AK$599=R9)*(COUNTIF($Q$3:$Q8,$AJ$2:$AJ$599)=0)*($AJ$2:$AJ$599&lt;&gt;""),0)),"")</f>
        <v>Business &amp; Strategy Clarity</v>
      </c>
      <c r="R9" s="34" t="n">
        <f aca="false">IFERROR(LARGE($AK$2:$AK$599,7),"")</f>
        <v>11</v>
      </c>
      <c r="S9" s="37" t="n">
        <f aca="false">IF(Q9="","",IFERROR(R9/$B$3,0))</f>
        <v>0.0366666666666667</v>
      </c>
      <c r="T9" s="38" t="str">
        <f aca="false" t="array" ref="T9:T9">IF(Q9="","",IFERROR(INDEX(SummaryData[Engagement Type],MATCH(TRIM(Q9),TRIM(SummaryData[Statement]),0)),""))</f>
        <v>Large Connect</v>
      </c>
      <c r="W9" s="30" t="s">
        <v>148</v>
      </c>
      <c r="X9" s="30" t="n">
        <f aca="false">SUMPRODUCT((TRIM(RawData[Alignment])=TRIM(W9))*1)</f>
        <v>21</v>
      </c>
      <c r="AA9" s="17" t="str">
        <f aca="false" t="array" ref="AA9:AA9">IFERROR(INDEX($AM$2:$AM$199,MATCH(1,($AN$2:$AN$199=AB9)*(COUNTIF($AA$3:$AA8,$AM$2:$AM$199)=0)*($AM$2:$AM$199&lt;&gt;""),0)),"")</f>
        <v>Skip Meeting</v>
      </c>
      <c r="AB9" s="17" t="n">
        <f aca="false">IFERROR(LARGE($AN$2:$AN$199,7),"")</f>
        <v>11</v>
      </c>
      <c r="AD9" s="17" t="str">
        <f aca="false">IF(Calc!Q9="","",Calc!Q9)</f>
        <v>Business &amp; Strategy Clarity</v>
      </c>
      <c r="AE9" s="17" t="n">
        <f aca="false">IF(Calc!Q9="","",Calc!R9)</f>
        <v>11</v>
      </c>
      <c r="AG9" s="17" t="str">
        <f aca="false" t="array" ref="AG9:AG9">IFERROR(INDEX($G$3:$G$15,MATCH(1,(($H$3:$H$15)=AH9)*(COUNTIF($AG$3:$AG8,$G$3:$G$15)=0),0)),"")</f>
        <v>Induction</v>
      </c>
      <c r="AH9" s="17" t="n">
        <f aca="false">IFERROR(LARGE($H$3:$H$15,7),"")</f>
        <v>5</v>
      </c>
      <c r="AJ9" s="17" t="str">
        <f aca="false">IF(Data_Summary!Y10&lt;&gt;"Coverage","",IF(Data_Summary!AA10="","",IF(COUNTIFS(Data_Summary!$Y$2:$Y10,"Coverage",Data_Summary!$AA$2:$AA10,Data_Summary!AA10)=1,Data_Summary!AA10,"")))</f>
        <v/>
      </c>
      <c r="AK9" s="17" t="str">
        <f aca="false">IF(AJ9="","",COUNTIFS(Data_Summary!$Y$2:$Y$20001,"Coverage",Data_Summary!$AA$2:$AA$20001,AJ9))</f>
        <v/>
      </c>
    </row>
    <row r="10" customFormat="false" ht="15" hidden="false" customHeight="true" outlineLevel="0" collapsed="false">
      <c r="A10" s="28" t="s">
        <v>2032</v>
      </c>
      <c r="B10" s="29" t="n">
        <f aca="false">COUNTIF(RawData[Overall Sentiment],"Positive")</f>
        <v>193</v>
      </c>
      <c r="D10" s="30"/>
      <c r="E10" s="30"/>
      <c r="G10" s="30" t="s">
        <v>713</v>
      </c>
      <c r="H10" s="35" t="n">
        <f aca="false">COUNTIF(RawData[Engagement Type],G10)</f>
        <v>8</v>
      </c>
      <c r="Q10" s="36" t="str">
        <f aca="false" t="array" ref="Q10:Q10">IFERROR(INDEX($AJ$2:$AJ$599,MATCH(1,($AK$2:$AK$599=R10)*(COUNTIF($Q$3:$Q9,$AJ$2:$AJ$599)=0)*($AJ$2:$AJ$599&lt;&gt;""),0)),"")</f>
        <v>HR / WFM / Training Communication Effectiveness</v>
      </c>
      <c r="R10" s="34" t="n">
        <f aca="false">IFERROR(LARGE($AK$2:$AK$599,8),"")</f>
        <v>11</v>
      </c>
      <c r="S10" s="37" t="n">
        <f aca="false">IF(Q10="","",IFERROR(R10/$B$3,0))</f>
        <v>0.0366666666666667</v>
      </c>
      <c r="T10" s="38" t="str">
        <f aca="false" t="array" ref="T10:T10">IF(Q10="","",IFERROR(INDEX(SummaryData[Engagement Type],MATCH(TRIM(Q10),TRIM(SummaryData[Statement]),0)),""))</f>
        <v>1:1</v>
      </c>
      <c r="W10" s="30" t="s">
        <v>135</v>
      </c>
      <c r="X10" s="30" t="n">
        <f aca="false" t="array" ref="X10:X10">SUMPRODUCT((TRIM(RawData[Alignment])=TRIM(W10))*1)</f>
        <v>18</v>
      </c>
      <c r="AA10" s="17" t="str">
        <f aca="false" t="array" ref="AA10:AA10">IFERROR(INDEX($AM$2:$AM$199,MATCH(1,($AN$2:$AN$199=AB10)*(COUNTIF($AA$3:$AA9,$AM$2:$AM$199)=0)*($AM$2:$AM$199&lt;&gt;""),0)),"")</f>
        <v>Josh (Fun Engagements)</v>
      </c>
      <c r="AB10" s="17" t="n">
        <f aca="false">IFERROR(LARGE($AN$2:$AN$199,8),"")</f>
        <v>9</v>
      </c>
      <c r="AD10" s="17" t="str">
        <f aca="false">IF(Calc!Q10="","",Calc!Q10)</f>
        <v>HR / WFM / Training Communication Effectiveness</v>
      </c>
      <c r="AE10" s="17" t="n">
        <f aca="false">IF(Calc!Q10="","",Calc!R10)</f>
        <v>11</v>
      </c>
      <c r="AG10" s="17" t="str">
        <f aca="false" t="array" ref="AG10:AG10">IFERROR(INDEX($G$3:$G$15,MATCH(1,(($H$3:$H$15)=AH10)*(COUNTIF($AG$3:$AG9,$G$3:$G$15)=0),0)),"")</f>
        <v>Workshop/Session</v>
      </c>
      <c r="AH10" s="17" t="n">
        <f aca="false">IFERROR(LARGE($H$3:$H$15,8),"")</f>
        <v>4</v>
      </c>
      <c r="AJ10" s="17" t="str">
        <f aca="false">IF(Data_Summary!Y11&lt;&gt;"Coverage","",IF(Data_Summary!AA11="","",IF(COUNTIFS(Data_Summary!$Y$2:$Y11,"Coverage",Data_Summary!$AA$2:$AA11,Data_Summary!AA11)=1,Data_Summary!AA11,"")))</f>
        <v/>
      </c>
      <c r="AK10" s="17" t="str">
        <f aca="false">IF(AJ10="","",COUNTIFS(Data_Summary!$Y$2:$Y$20001,"Coverage",Data_Summary!$AA$2:$AA$20001,AJ10))</f>
        <v/>
      </c>
    </row>
    <row r="11" customFormat="false" ht="28.5" hidden="false" customHeight="true" outlineLevel="0" collapsed="false">
      <c r="A11" s="28" t="s">
        <v>2033</v>
      </c>
      <c r="B11" s="29" t="n">
        <f aca="false">COUNTIF(RawData[Overall Sentiment],"Mixed")</f>
        <v>26</v>
      </c>
      <c r="D11" s="30"/>
      <c r="E11" s="30"/>
      <c r="G11" s="30" t="s">
        <v>2034</v>
      </c>
      <c r="H11" s="35" t="n">
        <f aca="false">COUNTIF(RawData[Engagement Type],G11)</f>
        <v>0</v>
      </c>
      <c r="Q11" s="36" t="str">
        <f aca="false" t="array" ref="Q11:Q11">IFERROR(INDEX($AJ$2:$AJ$599,MATCH(1,($AK$2:$AK$599=R11)*(COUNTIF($Q$3:$Q10,$AJ$2:$AJ$599)=0)*($AJ$2:$AJ$599&lt;&gt;""),0)),"")</f>
        <v>Manager Support &amp; Local Leadership Effectiveness</v>
      </c>
      <c r="R11" s="34" t="n">
        <f aca="false">IFERROR(LARGE($AK$2:$AK$599,9),"")</f>
        <v>10</v>
      </c>
      <c r="S11" s="37" t="n">
        <f aca="false">IF(Q11="","",IFERROR(R11/$B$3,0))</f>
        <v>0.0333333333333333</v>
      </c>
      <c r="T11" s="38" t="str">
        <f aca="false" t="array" ref="T11:T11">IF(Q11="","",IFERROR(INDEX(SummaryData[Engagement Type],MATCH(TRIM(Q11),TRIM(SummaryData[Statement]),0)),""))</f>
        <v>FGD</v>
      </c>
      <c r="W11" s="30" t="s">
        <v>448</v>
      </c>
      <c r="X11" s="30" t="n">
        <f aca="false" t="array" ref="X11:X11">SUMPRODUCT((TRIM(RawData[Empowerment])=TRIM(W11))*1)</f>
        <v>11</v>
      </c>
      <c r="AA11" s="17" t="str">
        <f aca="false" t="array" ref="AA11:AA11">IFERROR(INDEX($AM$2:$AM$199,MATCH(1,($AN$2:$AN$199=AB11)*(COUNTIF($AA$3:$AA10,$AM$2:$AM$199)=0)*($AM$2:$AM$199&lt;&gt;""),0)),"")</f>
        <v>ELTP Connect (12-24m)</v>
      </c>
      <c r="AB11" s="17" t="n">
        <f aca="false">IFERROR(LARGE($AN$2:$AN$199,9),"")</f>
        <v>8</v>
      </c>
      <c r="AD11" s="17" t="str">
        <f aca="false">IF(Calc!Q11="","",Calc!Q11)</f>
        <v>Manager Support &amp; Local Leadership Effectiveness</v>
      </c>
      <c r="AE11" s="17" t="n">
        <f aca="false">IF(Calc!Q11="","",Calc!R11)</f>
        <v>10</v>
      </c>
      <c r="AG11" s="17" t="str">
        <f aca="false" t="array" ref="AG11:AG11">IFERROR(INDEX($G$3:$G$15,MATCH(1,(($H$3:$H$15)=AH11)*(COUNTIF($AG$3:$AG10,$G$3:$G$15)=0),0)),"")</f>
        <v>New Joiner Induction</v>
      </c>
      <c r="AH11" s="17" t="n">
        <f aca="false">IFERROR(LARGE($H$3:$H$15,9),"")</f>
        <v>4</v>
      </c>
      <c r="AJ11" s="17" t="str">
        <f aca="false">IF(Data_Summary!Y12&lt;&gt;"Coverage","",IF(Data_Summary!AA12="","",IF(COUNTIFS(Data_Summary!$Y$2:$Y12,"Coverage",Data_Summary!$AA$2:$AA12,Data_Summary!AA12)=1,Data_Summary!AA12,"")))</f>
        <v/>
      </c>
      <c r="AK11" s="17" t="str">
        <f aca="false">IF(AJ11="","",COUNTIFS(Data_Summary!$Y$2:$Y$20001,"Coverage",Data_Summary!$AA$2:$AA$20001,AJ11))</f>
        <v/>
      </c>
    </row>
    <row r="12" customFormat="false" ht="15" hidden="false" customHeight="true" outlineLevel="0" collapsed="false">
      <c r="A12" s="28" t="s">
        <v>2035</v>
      </c>
      <c r="B12" s="29" t="n">
        <f aca="false">COUNTIF(RawData[Overall Sentiment],"Neutral")</f>
        <v>77</v>
      </c>
      <c r="D12" s="39"/>
      <c r="E12" s="30"/>
      <c r="G12" s="30" t="s">
        <v>405</v>
      </c>
      <c r="H12" s="35" t="n">
        <f aca="false">COUNTIF(RawData[Engagement Type],G12)</f>
        <v>5</v>
      </c>
      <c r="Q12" s="36" t="str">
        <f aca="false" t="array" ref="Q12:Q12">IFERROR(INDEX($AJ$2:$AJ$599,MATCH(1,($AK$2:$AK$599=R12)*(COUNTIF($Q$3:$Q11,$AJ$2:$AJ$599)=0)*($AJ$2:$AJ$599&lt;&gt;""),0)),"")</f>
        <v>Queries related to BGV check</v>
      </c>
      <c r="R12" s="34" t="n">
        <f aca="false">IFERROR(LARGE($AK$2:$AK$599,10),"")</f>
        <v>10</v>
      </c>
      <c r="S12" s="37" t="n">
        <f aca="false">IF(Q12="","",IFERROR(R12/$B$3,0))</f>
        <v>0.0333333333333333</v>
      </c>
      <c r="T12" s="38" t="str">
        <f aca="false" t="array" ref="T12:T12">IF(Q12="","",IFERROR(INDEX(SummaryData[Engagement Type],MATCH(TRIM(Q12),TRIM(SummaryData[Statement]),0)),""))</f>
        <v>Induction</v>
      </c>
      <c r="W12" s="30" t="s">
        <v>1830</v>
      </c>
      <c r="X12" s="30" t="n">
        <f aca="false" t="array" ref="X12:X12">SUMPRODUCT((TRIM(RawData[Career])=TRIM(W12))*1)</f>
        <v>1</v>
      </c>
      <c r="AA12" s="17" t="str">
        <f aca="false" t="array" ref="AA12:AA12">IFERROR(INDEX($AM$2:$AM$199,MATCH(1,($AN$2:$AN$199=AB12)*(COUNTIF($AA$3:$AA11,$AM$2:$AM$199)=0)*($AM$2:$AM$199&lt;&gt;""),0)),"")</f>
        <v>Top Talent FGD Connect</v>
      </c>
      <c r="AB12" s="17" t="n">
        <f aca="false">IFERROR(LARGE($AN$2:$AN$199,10),"")</f>
        <v>7</v>
      </c>
      <c r="AD12" s="17" t="str">
        <f aca="false">IF(Calc!Q12="","",Calc!Q12)</f>
        <v>Queries related to BGV check</v>
      </c>
      <c r="AE12" s="17" t="n">
        <f aca="false">IF(Calc!Q12="","",Calc!R12)</f>
        <v>10</v>
      </c>
      <c r="AG12" s="17" t="str">
        <f aca="false" t="array" ref="AG12:AG12">IFERROR(INDEX($G$3:$G$15,MATCH(1,(($H$3:$H$15)=AH12)*(COUNTIF($AG$3:$AG11,$G$3:$G$15)=0),0)),"")</f>
        <v>Leadership Connect</v>
      </c>
      <c r="AH12" s="17" t="n">
        <f aca="false">IFERROR(LARGE($H$3:$H$15,10),"")</f>
        <v>4</v>
      </c>
      <c r="AJ12" s="17" t="str">
        <f aca="false">IF(Data_Summary!Y13&lt;&gt;"Coverage","",IF(Data_Summary!AA13="","",IF(COUNTIFS(Data_Summary!$Y$2:$Y13,"Coverage",Data_Summary!$AA$2:$AA13,Data_Summary!AA13)=1,Data_Summary!AA13,"")))</f>
        <v>Visibility on Allocation &amp; Demand</v>
      </c>
      <c r="AK12" s="17" t="n">
        <f aca="false">IF(AJ12="","",COUNTIFS(Data_Summary!$Y$2:$Y$20001,"Coverage",Data_Summary!$AA$2:$AA$20001,AJ12))</f>
        <v>7</v>
      </c>
      <c r="AM12" s="17" t="str">
        <f aca="false">IF(Data_Insight!X12="","",IF(COUNTIF(Data_Insight!$X$2:$X12,Data_Insight!X12)=1,Data_Insight!X12,""))</f>
        <v>Top Talent FGD Connect</v>
      </c>
      <c r="AN12" s="17" t="n">
        <f aca="false">IF(AM12="","",COUNTIF(Data_Insight!$X$2:$X$20001,AM12))</f>
        <v>7</v>
      </c>
    </row>
    <row r="13" customFormat="false" ht="15" hidden="false" customHeight="true" outlineLevel="0" collapsed="false">
      <c r="A13" s="28" t="s">
        <v>2036</v>
      </c>
      <c r="B13" s="29" t="n">
        <f aca="false">IFERROR(COUNTIF(RawData[Status],"Closed")/COUNTA(RawData[ID])*100,0)</f>
        <v>71.3333333333333</v>
      </c>
      <c r="D13" s="39"/>
      <c r="E13" s="30"/>
      <c r="G13" s="30" t="s">
        <v>1506</v>
      </c>
      <c r="H13" s="35" t="n">
        <f aca="false">COUNTIF(RawData[Engagement Type],G13)</f>
        <v>4</v>
      </c>
      <c r="Q13" s="36" t="str">
        <f aca="false" t="array" ref="Q13:Q13">IFERROR(INDEX($AJ$2:$AJ$599,MATCH(1,($AK$2:$AK$599=R13)*(COUNTIF($Q$3:$Q12,$AJ$2:$AJ$599)=0)*($AJ$2:$AJ$599&lt;&gt;""),0)),"")</f>
        <v>Engagement with Leadership &amp; Confidence Level</v>
      </c>
      <c r="R13" s="40" t="n">
        <f aca="false">IFERROR(LARGE($AK$2:$AK$599,11),"")</f>
        <v>10</v>
      </c>
      <c r="S13" s="37" t="n">
        <f aca="false">IF(Q13="","",IFERROR(R13/$B$3,0))</f>
        <v>0.0333333333333333</v>
      </c>
      <c r="T13" s="38" t="str">
        <f aca="false" t="array" ref="T13:T13">IF(Q13="","",IFERROR(INDEX(SummaryData[Engagement Type],MATCH(TRIM(Q13),TRIM(SummaryData[Statement]),0)),""))</f>
        <v>FGD</v>
      </c>
      <c r="W13" s="30" t="s">
        <v>2037</v>
      </c>
      <c r="X13" s="30" t="n">
        <f aca="false" t="array" ref="X13:X13">SUMPRODUCT((TRIM(RawData[Career])=TRIM(W13))*1)</f>
        <v>0</v>
      </c>
      <c r="AA13" s="17" t="str">
        <f aca="false" t="array" ref="AA13:AA13">IFERROR(INDEX($AM$2:$AM$199,MATCH(1,($AN$2:$AN$199=AB13)*(COUNTIF($AA$3:$AA12,$AM$2:$AM$199)=0)*($AM$2:$AM$199&lt;&gt;""),0)),"")</f>
        <v>Leadership Connect</v>
      </c>
      <c r="AB13" s="17" t="n">
        <f aca="false">IFERROR(LARGE($AN$2:$AN$199,11),"")</f>
        <v>7</v>
      </c>
      <c r="AG13" s="17" t="str">
        <f aca="false" t="array" ref="AG13:AG13">IFERROR(INDEX($G$3:$G$15,MATCH(1,(($H$3:$H$15)=AH13)*(COUNTIF($AG$3:$AG12,$G$3:$G$15)=0),0)),"")</f>
        <v>Monthly Cadence</v>
      </c>
      <c r="AH13" s="17" t="n">
        <f aca="false">IFERROR(LARGE($H$3:$H$15,11),"")</f>
        <v>3</v>
      </c>
      <c r="AJ13" s="17" t="str">
        <f aca="false">IF(Data_Summary!Y14&lt;&gt;"Coverage","",IF(Data_Summary!AA14="","",IF(COUNTIFS(Data_Summary!$Y$2:$Y14,"Coverage",Data_Summary!$AA$2:$AA14,Data_Summary!AA14)=1,Data_Summary!AA14,"")))</f>
        <v/>
      </c>
      <c r="AK13" s="17" t="str">
        <f aca="false">IF(AJ13="","",COUNTIFS(Data_Summary!$Y$2:$Y$20001,"Coverage",Data_Summary!$AA$2:$AA$20001,AJ13))</f>
        <v/>
      </c>
      <c r="AM13" s="17" t="str">
        <f aca="false">IF(Data_Insight!X13="","",IF(COUNTIF(Data_Insight!$X$2:$X13,Data_Insight!X13)=1,Data_Insight!X13,""))</f>
        <v>Leadership Connect</v>
      </c>
      <c r="AN13" s="17" t="n">
        <f aca="false">IF(AM13="","",COUNTIF(Data_Insight!$X$2:$X$20001,AM13))</f>
        <v>7</v>
      </c>
    </row>
    <row r="14" customFormat="false" ht="15" hidden="false" customHeight="true" outlineLevel="0" collapsed="false">
      <c r="A14" s="28" t="s">
        <v>2038</v>
      </c>
      <c r="B14" s="29" t="n">
        <f aca="false">IFERROR((COUNTIF(RawData[Overall Sentiment],"Positive")*100+COUNTIF(RawData[Overall Sentiment],"Neutral")*50+COUNTIF(RawData[Overall Sentiment],"Mixed")*25)/COUNTA(RawData[ID]),0)</f>
        <v>79.3333333333333</v>
      </c>
      <c r="D14" s="39"/>
      <c r="E14" s="30"/>
      <c r="G14" s="30" t="s">
        <v>260</v>
      </c>
      <c r="H14" s="35" t="n">
        <f aca="false">COUNTIF(RawData[Engagement Type],G14)</f>
        <v>4</v>
      </c>
      <c r="Q14" s="36" t="str">
        <f aca="false" t="array" ref="Q14:Q14">IFERROR(INDEX($AJ$2:$AJ$599,MATCH(1,($AK$2:$AK$599=R14)*(COUNTIF($Q$3:$Q13,$AJ$2:$AJ$599)=0)*($AJ$2:$AJ$599&lt;&gt;""),0)),"")</f>
        <v>Role Confidence Level</v>
      </c>
      <c r="R14" s="34" t="n">
        <f aca="false">IFERROR(LARGE($AK$2:$AK$599,12),"")</f>
        <v>9</v>
      </c>
      <c r="S14" s="37" t="n">
        <f aca="false">IF(Q14="","",IFERROR(R14/$B$3,0))</f>
        <v>0.03</v>
      </c>
      <c r="T14" s="38" t="str">
        <f aca="false" t="array" ref="T14:T14">IF(Q14="","",IFERROR(INDEX(SummaryData[Engagement Type],MATCH(TRIM(Q14),TRIM(SummaryData[Statement]),0)),""))</f>
        <v>Large Connect</v>
      </c>
      <c r="W14" s="30" t="s">
        <v>2039</v>
      </c>
      <c r="X14" s="30" t="n">
        <f aca="false" t="array" ref="X14:X14">SUMPRODUCT((TRIM(RawData[Career])=TRIM(W14))*1)</f>
        <v>0</v>
      </c>
      <c r="AA14" s="17" t="str">
        <f aca="false" t="array" ref="AA14:AA14">IFERROR(INDEX($AM$2:$AM$199,MATCH(1,($AN$2:$AN$199=AB14)*(COUNTIF($AA$3:$AA13,$AM$2:$AM$199)=0)*($AM$2:$AM$199&lt;&gt;""),0)),"")</f>
        <v>Top Talent Connect</v>
      </c>
      <c r="AB14" s="17" t="n">
        <f aca="false">IFERROR(LARGE($AN$2:$AN$199,12),"")</f>
        <v>6</v>
      </c>
      <c r="AG14" s="17" t="str">
        <f aca="false" t="array" ref="AG14:AG14">IFERROR(INDEX($G$3:$G$15,MATCH(1,(($H$3:$H$15)=AH14)*(COUNTIF($AG$3:$AG13,$G$3:$G$15)=0),0)),"")</f>
        <v>Connect with Women Associates</v>
      </c>
      <c r="AH14" s="17" t="n">
        <f aca="false">IFERROR(LARGE($H$3:$H$15,12),"")</f>
        <v>0</v>
      </c>
      <c r="AJ14" s="17" t="str">
        <f aca="false">IF(Data_Summary!Y15&lt;&gt;"Coverage","",IF(Data_Summary!AA15="","",IF(COUNTIFS(Data_Summary!$Y$2:$Y15,"Coverage",Data_Summary!$AA$2:$AA15,Data_Summary!AA15)=1,Data_Summary!AA15,"")))</f>
        <v/>
      </c>
      <c r="AK14" s="17" t="str">
        <f aca="false">IF(AJ14="","",COUNTIFS(Data_Summary!$Y$2:$Y$20001,"Coverage",Data_Summary!$AA$2:$AA$20001,AJ14))</f>
        <v/>
      </c>
      <c r="AM14" s="17" t="str">
        <f aca="false">IF(Data_Insight!X14="","",IF(COUNTIF(Data_Insight!$X$2:$X14,Data_Insight!X14)=1,Data_Insight!X14,""))</f>
        <v>New Joiner Connect (30 Days)</v>
      </c>
      <c r="AN14" s="17" t="n">
        <f aca="false">IF(AM14="","",COUNTIF(Data_Insight!$X$2:$X$20001,AM14))</f>
        <v>19</v>
      </c>
    </row>
    <row r="15" customFormat="false" ht="15" hidden="false" customHeight="true" outlineLevel="0" collapsed="false">
      <c r="A15" s="28" t="s">
        <v>2040</v>
      </c>
      <c r="B15" s="29" t="n">
        <f aca="false" t="array" ref="B15:B15">SUMPRODUCT((RawData[BHR Name]&lt;&gt;"")/COUNTIF(RawData[BHR Name],RawData[BHR Name]&amp;""))</f>
        <v>299</v>
      </c>
      <c r="G15" s="30" t="s">
        <v>781</v>
      </c>
      <c r="H15" s="35" t="n">
        <f aca="false">COUNTIF(RawData[Engagement Type],G15)</f>
        <v>3</v>
      </c>
      <c r="Q15" s="36" t="str">
        <f aca="false" t="array" ref="Q15:Q15">IFERROR(INDEX($AJ$2:$AJ$599,MATCH(1,($AK$2:$AK$599=R15)*(COUNTIF($Q$3:$Q14,$AJ$2:$AJ$599)=0)*($AJ$2:$AJ$599&lt;&gt;""),0)),"")</f>
        <v>Engagement &amp; Belonging</v>
      </c>
      <c r="R15" s="34" t="n">
        <f aca="false">IFERROR(LARGE($AK$2:$AK$599,13),"")</f>
        <v>9</v>
      </c>
      <c r="S15" s="37" t="n">
        <f aca="false">IF(Q15="","",IFERROR(R15/$B$3,0))</f>
        <v>0.03</v>
      </c>
      <c r="T15" s="38" t="str">
        <f aca="false" t="array" ref="T15:T15">IF(Q15="","",IFERROR(INDEX(SummaryData[Engagement Type],MATCH(TRIM(Q15),TRIM(SummaryData[Statement]),0)),""))</f>
        <v>FGD</v>
      </c>
      <c r="W15" s="30" t="s">
        <v>503</v>
      </c>
      <c r="X15" s="30" t="n">
        <f aca="false" t="array" ref="X15:X15">SUMPRODUCT((TRIM(RawData[Recognition])=TRIM(W15))*1)</f>
        <v>3</v>
      </c>
      <c r="AA15" s="17" t="str">
        <f aca="false" t="array" ref="AA15:AA15">IFERROR(INDEX($AM$2:$AM$199,MATCH(1,($AN$2:$AN$199=AB15)*(COUNTIF($AA$3:$AA14,$AM$2:$AM$199)=0)*($AM$2:$AM$199&lt;&gt;""),0)),"")</f>
        <v>ELTP Connect (&lt;6m)</v>
      </c>
      <c r="AB15" s="17" t="n">
        <f aca="false">IFERROR(LARGE($AN$2:$AN$199,13),"")</f>
        <v>6</v>
      </c>
      <c r="AG15" s="17" t="str">
        <f aca="false" t="array" ref="AG15:AG15">IFERROR(INDEX($G$3:$G$15,MATCH(1,(($H$3:$H$15)=AH15)*(COUNTIF($AG$3:$AG14,$G$3:$G$15)=0),0)),"")</f>
        <v>Account Based</v>
      </c>
      <c r="AH15" s="17" t="n">
        <f aca="false">IFERROR(LARGE($H$3:$H$15,13),"")</f>
        <v>0</v>
      </c>
      <c r="AJ15" s="17" t="str">
        <f aca="false">IF(Data_Summary!Y16&lt;&gt;"Coverage","",IF(Data_Summary!AA16="","",IF(COUNTIFS(Data_Summary!$Y$2:$Y16,"Coverage",Data_Summary!$AA$2:$AA16,Data_Summary!AA16)=1,Data_Summary!AA16,"")))</f>
        <v/>
      </c>
      <c r="AK15" s="17" t="str">
        <f aca="false">IF(AJ15="","",COUNTIFS(Data_Summary!$Y$2:$Y$20001,"Coverage",Data_Summary!$AA$2:$AA$20001,AJ15))</f>
        <v/>
      </c>
      <c r="AM15" s="17" t="str">
        <f aca="false">IF(Data_Insight!X15="","",IF(COUNTIF(Data_Insight!$X$2:$X15,Data_Insight!X15)=1,Data_Insight!X15,""))</f>
        <v/>
      </c>
      <c r="AN15" s="17" t="str">
        <f aca="false">IF(AM15="","",COUNTIF(Data_Insight!$X$2:$X$20001,AM15))</f>
        <v/>
      </c>
    </row>
    <row r="16" customFormat="false" ht="15" hidden="false" customHeight="true" outlineLevel="0" collapsed="false">
      <c r="A16" s="28" t="s">
        <v>2041</v>
      </c>
      <c r="B16" s="29" t="n">
        <f aca="false">IFERROR(SUMPRODUCT((RawData[Service Line]&lt;&gt;"")/COUNTIF(RawData[Service Line],RawData[Service Line]&amp;"")),0)</f>
        <v>10</v>
      </c>
      <c r="Q16" s="36" t="str">
        <f aca="false" t="array" ref="Q16:Q16">IFERROR(INDEX($AJ$2:$AJ$599,MATCH(1,($AK$2:$AK$599=R16)*(COUNTIF($Q$3:$Q15,$AJ$2:$AJ$599)=0)*($AJ$2:$AJ$599&lt;&gt;""),0)),"")</f>
        <v>Business &amp; Practice Awareness</v>
      </c>
      <c r="R16" s="34" t="n">
        <f aca="false">IFERROR(LARGE($AK$2:$AK$599,14),"")</f>
        <v>8</v>
      </c>
      <c r="S16" s="37" t="n">
        <f aca="false">IF(Q16="","",IFERROR(R16/$B$3,0))</f>
        <v>0.0266666666666667</v>
      </c>
      <c r="T16" s="38" t="str">
        <f aca="false" t="array" ref="T16:T16">IF(Q16="","",IFERROR(INDEX(SummaryData[Engagement Type],MATCH(TRIM(Q16),TRIM(SummaryData[Statement]),0)),""))</f>
        <v>Large Connect</v>
      </c>
      <c r="W16" s="30" t="s">
        <v>2042</v>
      </c>
      <c r="X16" s="30" t="n">
        <f aca="false" t="array" ref="X16:X16">SUMPRODUCT((TRIM(RawData[Recognition])=TRIM(W16))*1)</f>
        <v>0</v>
      </c>
      <c r="AA16" s="17" t="str">
        <f aca="false" t="array" ref="AA16:AA16">IFERROR(INDEX($AM$2:$AM$199,MATCH(1,($AN$2:$AN$199=AB16)*(COUNTIF($AA$3:$AA15,$AM$2:$AM$199)=0)*($AM$2:$AM$199&lt;&gt;""),0)),"")</f>
        <v>ELTP Connect (Practice Level)</v>
      </c>
      <c r="AB16" s="17" t="n">
        <f aca="false">IFERROR(LARGE($AN$2:$AN$199,14),"")</f>
        <v>5</v>
      </c>
      <c r="AJ16" s="17" t="str">
        <f aca="false">IF(Data_Summary!Y17&lt;&gt;"Coverage","",IF(Data_Summary!AA17="","",IF(COUNTIFS(Data_Summary!$Y$2:$Y17,"Coverage",Data_Summary!$AA$2:$AA17,Data_Summary!AA17)=1,Data_Summary!AA17,"")))</f>
        <v/>
      </c>
      <c r="AK16" s="17" t="str">
        <f aca="false">IF(AJ16="","",COUNTIFS(Data_Summary!$Y$2:$Y$20001,"Coverage",Data_Summary!$AA$2:$AA$20001,AJ16))</f>
        <v/>
      </c>
      <c r="AM16" s="17" t="str">
        <f aca="false">IF(Data_Insight!X16="","",IF(COUNTIF(Data_Insight!$X$2:$X16,Data_Insight!X16)=1,Data_Insight!X16,""))</f>
        <v/>
      </c>
      <c r="AN16" s="17" t="str">
        <f aca="false">IF(AM16="","",COUNTIF(Data_Insight!$X$2:$X$20001,AM16))</f>
        <v/>
      </c>
    </row>
    <row r="17" customFormat="false" ht="15" hidden="false" customHeight="true" outlineLevel="0" collapsed="false">
      <c r="A17" s="28" t="s">
        <v>2043</v>
      </c>
      <c r="B17" s="29" t="str">
        <f aca="false" t="array" ref="B17:B17">IFERROR(INDEX(RawData[Service Line],MATCH(MAX(COUNTIF(RawData[Service Line],RawData[Service Line])),COUNTIF(RawData[Service Line],RawData[Service Line]),0)),"N/A")</f>
        <v>DEA Service Line</v>
      </c>
      <c r="Q17" s="36" t="str">
        <f aca="false" t="array" ref="Q17:Q17">IFERROR(INDEX($AJ$2:$AJ$599,MATCH(1,($AK$2:$AK$599=R17)*(COUNTIF($Q$3:$Q16,$AJ$2:$AJ$599)=0)*($AJ$2:$AJ$599&lt;&gt;""),0)),"")</f>
        <v>Project Allocation Clarity</v>
      </c>
      <c r="R17" s="34" t="n">
        <f aca="false">IFERROR(LARGE($AK$2:$AK$599,15),"")</f>
        <v>8</v>
      </c>
      <c r="S17" s="37" t="n">
        <f aca="false">IF(Q17="","",IFERROR(R17/$B$3,0))</f>
        <v>0.0266666666666667</v>
      </c>
      <c r="T17" s="38" t="str">
        <f aca="false" t="array" ref="T17:T17">IF(Q17="","",IFERROR(INDEX(SummaryData[Engagement Type],MATCH(TRIM(Q17),TRIM(SummaryData[Statement]),0)),""))</f>
        <v>1:1</v>
      </c>
      <c r="W17" s="30" t="s">
        <v>2044</v>
      </c>
      <c r="X17" s="30" t="n">
        <f aca="false" t="array" ref="X17:X17">SUMPRODUCT((TRIM(RawData[Empowerment])=TRIM(W17))*1)</f>
        <v>0</v>
      </c>
      <c r="AA17" s="17" t="str">
        <f aca="false" t="array" ref="AA17:AA17">IFERROR(INDEX($AM$2:$AM$199,MATCH(1,($AN$2:$AN$199=AB17)*(COUNTIF($AA$3:$AA16,$AM$2:$AM$199)=0)*($AM$2:$AM$199&lt;&gt;""),0)),"")</f>
        <v>Exclusive Award Ceremony</v>
      </c>
      <c r="AB17" s="17" t="n">
        <f aca="false">IFERROR(LARGE($AN$2:$AN$199,15),"")</f>
        <v>5</v>
      </c>
      <c r="AJ17" s="17" t="str">
        <f aca="false">IF(Data_Summary!Y18&lt;&gt;"Coverage","",IF(Data_Summary!AA18="","",IF(COUNTIFS(Data_Summary!$Y$2:$Y18,"Coverage",Data_Summary!$AA$2:$AA18,Data_Summary!AA18)=1,Data_Summary!AA18,"")))</f>
        <v>General wellbeing check-in</v>
      </c>
      <c r="AK17" s="17" t="n">
        <f aca="false">IF(AJ17="","",COUNTIFS(Data_Summary!$Y$2:$Y$20001,"Coverage",Data_Summary!$AA$2:$AA$20001,AJ17))</f>
        <v>16</v>
      </c>
      <c r="AM17" s="17" t="str">
        <f aca="false">IF(Data_Insight!X17="","",IF(COUNTIF(Data_Insight!$X$2:$X17,Data_Insight!X17)=1,Data_Insight!X17,""))</f>
        <v>HR Connect (Project Wise)</v>
      </c>
      <c r="AN17" s="17" t="n">
        <f aca="false">IF(AM17="","",COUNTIF(Data_Insight!$X$2:$X$20001,AM17))</f>
        <v>30</v>
      </c>
    </row>
    <row r="18" customFormat="false" ht="32.25" hidden="false" customHeight="true" outlineLevel="0" collapsed="false">
      <c r="A18" s="28" t="s">
        <v>9</v>
      </c>
      <c r="B18" s="29" t="str">
        <f aca="false" t="array" ref="B18:B18">IFERROR(INDEX(RawData[IBU/Practice/Location],MATCH(MAX(COUNTIF(RawData[IBU/Practice/Location],RawData[IBU/Practice/Location])),COUNTIF(RawData[IBU/Practice/Location],RawData[IBU/Practice/Location]),0)),"N/A")</f>
        <v>IBU Specific Connect </v>
      </c>
      <c r="Q18" s="36" t="str">
        <f aca="false" t="array" ref="Q18:Q18">IFERROR(INDEX($AJ$2:$AJ$599,MATCH(1,($AK$2:$AK$599=R18)*(COUNTIF($Q$3:$Q17,$AJ$2:$AJ$599)=0)*($AJ$2:$AJ$599&lt;&gt;""),0)),"")</f>
        <v>Career Path Visibility</v>
      </c>
      <c r="R18" s="34" t="n">
        <f aca="false">IFERROR(LARGE($AK$2:$AK$599,16),"")</f>
        <v>8</v>
      </c>
      <c r="S18" s="37" t="n">
        <f aca="false">IF(Q18="","",IFERROR(R18/$B$3,0))</f>
        <v>0.0266666666666667</v>
      </c>
      <c r="T18" s="38" t="str">
        <f aca="false" t="array" ref="T18:T18">IF(Q18="","",IFERROR(INDEX(SummaryData[Engagement Type],MATCH(TRIM(Q18),TRIM(SummaryData[Statement]),0)),""))</f>
        <v>Large Connect</v>
      </c>
      <c r="W18" s="30" t="s">
        <v>457</v>
      </c>
      <c r="X18" s="30" t="n">
        <f aca="false" t="array" ref="X18:X18">SUMPRODUCT((TRIM(RawData[Empowerment])=TRIM(W18))*1)</f>
        <v>0</v>
      </c>
      <c r="AJ18" s="17" t="str">
        <f aca="false">IF(Data_Summary!Y19&lt;&gt;"Coverage","",IF(Data_Summary!AA19="","",IF(COUNTIFS(Data_Summary!$Y$2:$Y19,"Coverage",Data_Summary!$AA$2:$AA19,Data_Summary!AA19)=1,Data_Summary!AA19,"")))</f>
        <v/>
      </c>
      <c r="AK18" s="17" t="str">
        <f aca="false">IF(AJ18="","",COUNTIFS(Data_Summary!$Y$2:$Y$20001,"Coverage",Data_Summary!$AA$2:$AA$20001,AJ18))</f>
        <v/>
      </c>
      <c r="AM18" s="17" t="str">
        <f aca="false">IF(Data_Insight!X18="","",IF(COUNTIF(Data_Insight!$X$2:$X18,Data_Insight!X18)=1,Data_Insight!X18,""))</f>
        <v>ELTP Connect (12-24m)</v>
      </c>
      <c r="AN18" s="17" t="n">
        <f aca="false">IF(AM18="","",COUNTIF(Data_Insight!$X$2:$X$20001,AM18))</f>
        <v>8</v>
      </c>
    </row>
    <row r="19" customFormat="false" ht="30" hidden="false" customHeight="true" outlineLevel="0" collapsed="false">
      <c r="A19" s="28" t="s">
        <v>2045</v>
      </c>
      <c r="B19" s="29" t="str">
        <f aca="false" t="array" ref="B19:B19">IFERROR(INDEX(RawData[CARES Framework],MATCH(MAX(COUNTIF(RawData[CARES Framework],RawData[CARES Framework])),COUNTIF(RawData[CARES Framework],RawData[CARES Framework]),0)),"N/A")</f>
        <v>Alignment</v>
      </c>
      <c r="Q19" s="36" t="str">
        <f aca="false" t="array" ref="Q19:Q19">IFERROR(INDEX($AJ$2:$AJ$599,MATCH(1,($AK$2:$AK$599=R19)*(COUNTIF($Q$3:$Q18,$AJ$2:$AJ$599)=0)*($AJ$2:$AJ$599&lt;&gt;""),0)),"")</f>
        <v>Policy &amp; Process Clarity</v>
      </c>
      <c r="R19" s="34" t="n">
        <f aca="false">IFERROR(LARGE($AK$2:$AK$599,17),"")</f>
        <v>8</v>
      </c>
      <c r="S19" s="37" t="n">
        <f aca="false">IF(Q19="","",IFERROR(R19/$B$3,0))</f>
        <v>0.0266666666666667</v>
      </c>
      <c r="T19" s="38" t="str">
        <f aca="false" t="array" ref="T19:T19">IF(Q19="","",IFERROR(INDEX(SummaryData[Engagement Type],MATCH(TRIM(Q19),TRIM(SummaryData[Statement]),0)),""))</f>
        <v>Large Connect</v>
      </c>
      <c r="W19" s="30" t="s">
        <v>2046</v>
      </c>
      <c r="X19" s="30" t="n">
        <f aca="false" t="array" ref="X19:X19">SUMPRODUCT((TRIM(RawData[Empowerment])=TRIM(W19))*1)</f>
        <v>0</v>
      </c>
      <c r="AJ19" s="17" t="str">
        <f aca="false">IF(Data_Summary!Y20&lt;&gt;"Coverage","",IF(Data_Summary!AA20="","",IF(COUNTIFS(Data_Summary!$Y$2:$Y20,"Coverage",Data_Summary!$AA$2:$AA20,Data_Summary!AA20)=1,Data_Summary!AA20,"")))</f>
        <v/>
      </c>
      <c r="AK19" s="17" t="str">
        <f aca="false">IF(AJ19="","",COUNTIFS(Data_Summary!$Y$2:$Y$20001,"Coverage",Data_Summary!$AA$2:$AA$20001,AJ19))</f>
        <v/>
      </c>
      <c r="AM19" s="17" t="str">
        <f aca="false">IF(Data_Insight!X19="","",IF(COUNTIF(Data_Insight!$X$2:$X19,Data_Insight!X19)=1,Data_Insight!X19,""))</f>
        <v/>
      </c>
      <c r="AN19" s="17" t="str">
        <f aca="false">IF(AM19="","",COUNTIF(Data_Insight!$X$2:$X$20001,AM19))</f>
        <v/>
      </c>
    </row>
    <row r="20" customFormat="false" ht="26.25" hidden="false" customHeight="true" outlineLevel="0" collapsed="false">
      <c r="A20" s="28" t="s">
        <v>2047</v>
      </c>
      <c r="B20" s="29" t="n">
        <f aca="false">COUNTIF(RawData[Status],"Open")+COUNTIF(RawData[Status],"In-progress")</f>
        <v>86</v>
      </c>
      <c r="Q20" s="36" t="str">
        <f aca="false" t="array" ref="Q20:Q20">IFERROR(INDEX($AJ$2:$AJ$599,MATCH(1,($AK$2:$AK$599=R20)*(COUNTIF($Q$3:$Q19,$AJ$2:$AJ$599)=0)*($AJ$2:$AJ$599&lt;&gt;""),0)),"")</f>
        <v>Induction Effectiveness</v>
      </c>
      <c r="R20" s="34" t="n">
        <f aca="false">IFERROR(LARGE($AK$2:$AK$599,18),"")</f>
        <v>8</v>
      </c>
      <c r="S20" s="37" t="n">
        <f aca="false">IF(Q20="","",IFERROR(R20/$B$3,0))</f>
        <v>0.0266666666666667</v>
      </c>
      <c r="T20" s="38" t="str">
        <f aca="false" t="array" ref="T20:T20">IF(Q20="","",IFERROR(INDEX(SummaryData[Engagement Type],MATCH(TRIM(Q20),TRIM(SummaryData[Statement]),0)),""))</f>
        <v>FGD</v>
      </c>
      <c r="W20" s="30" t="s">
        <v>307</v>
      </c>
      <c r="X20" s="30" t="n">
        <f aca="false" t="array" ref="X20:X20">SUMPRODUCT((TRIM(RawData[Empowerment])=TRIM(W20))*1)</f>
        <v>0</v>
      </c>
      <c r="AJ20" s="17" t="str">
        <f aca="false">IF(Data_Summary!Y21&lt;&gt;"Coverage","",IF(Data_Summary!AA21="","",IF(COUNTIFS(Data_Summary!$Y$2:$Y21,"Coverage",Data_Summary!$AA$2:$AA21,Data_Summary!AA21)=1,Data_Summary!AA21,"")))</f>
        <v/>
      </c>
      <c r="AK20" s="17" t="str">
        <f aca="false">IF(AJ20="","",COUNTIFS(Data_Summary!$Y$2:$Y$20001,"Coverage",Data_Summary!$AA$2:$AA$20001,AJ20))</f>
        <v/>
      </c>
      <c r="AM20" s="17" t="str">
        <f aca="false">IF(Data_Insight!X20="","",IF(COUNTIF(Data_Insight!$X$2:$X20,Data_Insight!X20)=1,Data_Insight!X20,""))</f>
        <v>Josh (Fun Engagements)</v>
      </c>
      <c r="AN20" s="17" t="n">
        <f aca="false">IF(AM20="","",COUNTIF(Data_Insight!$X$2:$X$20001,AM20))</f>
        <v>9</v>
      </c>
    </row>
    <row r="21" customFormat="false" ht="26.25" hidden="false" customHeight="true" outlineLevel="0" collapsed="false">
      <c r="Q21" s="36" t="str">
        <f aca="false" t="array" ref="Q21:Q21">IFERROR(INDEX($AJ$2:$AJ$599,MATCH(1,($AK$2:$AK$599=R21)*(COUNTIF($Q$3:$Q20,$AJ$2:$AJ$599)=0)*($AJ$2:$AJ$599&lt;&gt;""),0)),"")</f>
        <v>Career Visibility &amp; Skill Roadmap</v>
      </c>
      <c r="R21" s="34" t="n">
        <f aca="false">IFERROR(LARGE($AK$2:$AK$599,19),"")</f>
        <v>7</v>
      </c>
      <c r="S21" s="37" t="n">
        <f aca="false">IF(Q21="","",IFERROR(R21/$B$3,0))</f>
        <v>0.0233333333333333</v>
      </c>
      <c r="T21" s="38" t="str">
        <f aca="false" t="array" ref="T21:T21">IF(Q21="","",IFERROR(INDEX(SummaryData[Engagement Type],MATCH(TRIM(Q21),TRIM(SummaryData[Statement]),0)),""))</f>
        <v>Large Connect</v>
      </c>
      <c r="W21" s="30" t="s">
        <v>116</v>
      </c>
      <c r="X21" s="30" t="n">
        <f aca="false" t="array" ref="X21:X21">SUMPRODUCT((TRIM(RawData[Empowerment])=TRIM(W21))*1)</f>
        <v>0</v>
      </c>
      <c r="AJ21" s="17" t="str">
        <f aca="false">IF(Data_Summary!Y22&lt;&gt;"Coverage","",IF(Data_Summary!AA22="","",IF(COUNTIFS(Data_Summary!$Y$2:$Y22,"Coverage",Data_Summary!$AA$2:$AA22,Data_Summary!AA22)=1,Data_Summary!AA22,"")))</f>
        <v/>
      </c>
      <c r="AK21" s="17" t="str">
        <f aca="false">IF(AJ21="","",COUNTIFS(Data_Summary!$Y$2:$Y$20001,"Coverage",Data_Summary!$AA$2:$AA$20001,AJ21))</f>
        <v/>
      </c>
      <c r="AM21" s="17" t="str">
        <f aca="false">IF(Data_Insight!X21="","",IF(COUNTIF(Data_Insight!$X$2:$X21,Data_Insight!X21)=1,Data_Insight!X21,""))</f>
        <v>New Joiner Connect (60 Days)</v>
      </c>
      <c r="AN21" s="17" t="n">
        <f aca="false">IF(AM21="","",COUNTIF(Data_Insight!$X$2:$X$20001,AM21))</f>
        <v>22</v>
      </c>
    </row>
    <row r="22" customFormat="false" ht="15.75" hidden="false" customHeight="true" outlineLevel="0" collapsed="false">
      <c r="A22" s="18" t="s">
        <v>2048</v>
      </c>
      <c r="B22" s="18"/>
      <c r="Q22" s="36" t="str">
        <f aca="false" t="array" ref="Q22:Q22">IFERROR(INDEX($AJ$2:$AJ$599,MATCH(1,($AK$2:$AK$599=R22)*(COUNTIF($Q$3:$Q21,$AJ$2:$AJ$599)=0)*($AJ$2:$AJ$599&lt;&gt;""),0)),"")</f>
        <v>Visibility on Allocation &amp; Demand</v>
      </c>
      <c r="R22" s="34" t="n">
        <f aca="false">IFERROR(LARGE($AK$2:$AK$599,20),"")</f>
        <v>7</v>
      </c>
      <c r="S22" s="37" t="n">
        <f aca="false">IF(Q22="","",IFERROR(R22/$B$3,0))</f>
        <v>0.0233333333333333</v>
      </c>
      <c r="T22" s="38" t="str">
        <f aca="false" t="array" ref="T22:T22">IF(Q22="","",IFERROR(INDEX(SummaryData[Engagement Type],MATCH(TRIM(Q22),TRIM(SummaryData[Statement]),0)),""))</f>
        <v>Large Connect</v>
      </c>
      <c r="W22" s="30" t="s">
        <v>223</v>
      </c>
      <c r="X22" s="30" t="n">
        <f aca="false" t="array" ref="X22:X22">SUMPRODUCT((TRIM(RawData[Empowerment])=TRIM(W22))*1)</f>
        <v>15</v>
      </c>
      <c r="AJ22" s="17" t="str">
        <f aca="false">IF(Data_Summary!Y23&lt;&gt;"Coverage","",IF(Data_Summary!AA23="","",IF(COUNTIFS(Data_Summary!$Y$2:$Y23,"Coverage",Data_Summary!$AA$2:$AA23,Data_Summary!AA23)=1,Data_Summary!AA23,"")))</f>
        <v>Connect for recognition</v>
      </c>
      <c r="AK22" s="17" t="n">
        <f aca="false">IF(AJ22="","",COUNTIFS(Data_Summary!$Y$2:$Y$20001,"Coverage",Data_Summary!$AA$2:$AA$20001,AJ22))</f>
        <v>2</v>
      </c>
      <c r="AM22" s="17" t="str">
        <f aca="false">IF(Data_Insight!X22="","",IF(COUNTIF(Data_Insight!$X$2:$X22,Data_Insight!X22)=1,Data_Insight!X22,""))</f>
        <v>Top Talent Connect</v>
      </c>
      <c r="AN22" s="17" t="n">
        <f aca="false">IF(AM22="","",COUNTIF(Data_Insight!$X$2:$X$20001,AM22))</f>
        <v>6</v>
      </c>
    </row>
    <row r="23" customFormat="false" ht="13.5" hidden="false" customHeight="true" outlineLevel="0" collapsed="false">
      <c r="A23" s="24" t="s">
        <v>2049</v>
      </c>
      <c r="B23" s="24" t="s">
        <v>2009</v>
      </c>
      <c r="Q23" s="36" t="str">
        <f aca="false" t="array" ref="Q23:Q23">IFERROR(INDEX($AJ$2:$AJ$599,MATCH(1,($AK$2:$AK$599=R23)*(COUNTIF($Q$3:$Q22,$AJ$2:$AJ$599)=0)*($AJ$2:$AJ$599&lt;&gt;""),0)),"")</f>
        <v>Business Context &amp; Org Awareness</v>
      </c>
      <c r="R23" s="34" t="n">
        <f aca="false">IFERROR(LARGE($AK$2:$AK$599,21),"")</f>
        <v>7</v>
      </c>
      <c r="S23" s="37" t="n">
        <f aca="false">IF(Q23="","",IFERROR(R23/$B$3,0))</f>
        <v>0.0233333333333333</v>
      </c>
      <c r="T23" s="38" t="str">
        <f aca="false" t="array" ref="T23:T23">IF(Q23="","",IFERROR(INDEX(SummaryData[Engagement Type],MATCH(TRIM(Q23),TRIM(SummaryData[Statement]),0)),""))</f>
        <v>FGD</v>
      </c>
      <c r="W23" s="30" t="s">
        <v>2050</v>
      </c>
      <c r="X23" s="30" t="n">
        <f aca="false" t="array" ref="X23:X23">SUMPRODUCT((TRIM(RawData[Empowerment])=TRIM(W23))*1)</f>
        <v>0</v>
      </c>
      <c r="AJ23" s="17" t="str">
        <f aca="false">IF(Data_Summary!Y24&lt;&gt;"Coverage","",IF(Data_Summary!AA24="","",IF(COUNTIFS(Data_Summary!$Y$2:$Y24,"Coverage",Data_Summary!$AA$2:$AA24,Data_Summary!AA24)=1,Data_Summary!AA24,"")))</f>
        <v>Clarity On Role-based Learning Expectations</v>
      </c>
      <c r="AK23" s="17" t="n">
        <f aca="false">IF(AJ23="","",COUNTIFS(Data_Summary!$Y$2:$Y$20001,"Coverage",Data_Summary!$AA$2:$AA$20001,AJ23))</f>
        <v>2</v>
      </c>
      <c r="AM23" s="17" t="str">
        <f aca="false">IF(Data_Insight!X23="","",IF(COUNTIF(Data_Insight!$X$2:$X23,Data_Insight!X23)=1,Data_Insight!X23,""))</f>
        <v/>
      </c>
      <c r="AN23" s="17" t="str">
        <f aca="false">IF(AM23="","",COUNTIF(Data_Insight!$X$2:$X$20001,AM23))</f>
        <v/>
      </c>
    </row>
    <row r="24" customFormat="false" ht="15" hidden="false" customHeight="true" outlineLevel="0" collapsed="false">
      <c r="A24" s="30" t="s">
        <v>152</v>
      </c>
      <c r="B24" s="30" t="n">
        <f aca="false">COUNTIF(RawData[Overall Sentiment],A24)</f>
        <v>193</v>
      </c>
      <c r="Q24" s="36" t="str">
        <f aca="false" t="array" ref="Q24:Q24">IFERROR(INDEX($AJ$2:$AJ$599,MATCH(1,($AK$2:$AK$599=R24)*(COUNTIF($Q$3:$Q23,$AJ$2:$AJ$599)=0)*($AJ$2:$AJ$599&lt;&gt;""),0)),"")</f>
        <v>Work-Life Balance &amp; Flexibility</v>
      </c>
      <c r="R24" s="34" t="n">
        <f aca="false">IFERROR(LARGE($AK$2:$AK$599,22),"")</f>
        <v>7</v>
      </c>
      <c r="S24" s="37" t="n">
        <f aca="false">IF(Q24="","",IFERROR(R24/$B$3,0))</f>
        <v>0.0233333333333333</v>
      </c>
      <c r="T24" s="38" t="str">
        <f aca="false" t="array" ref="T24:T24">IF(Q24="","",IFERROR(INDEX(SummaryData[Engagement Type],MATCH(TRIM(Q24),TRIM(SummaryData[Statement]),0)),""))</f>
        <v>FGD</v>
      </c>
      <c r="W24" s="30" t="s">
        <v>260</v>
      </c>
      <c r="X24" s="30" t="n">
        <f aca="false" t="array" ref="X24:X24">SUMPRODUCT((TRIM(RawData[Empowerment])=TRIM(W24))*1)</f>
        <v>7</v>
      </c>
      <c r="AJ24" s="17" t="str">
        <f aca="false">IF(Data_Summary!Y25&lt;&gt;"Coverage","",IF(Data_Summary!AA25="","",IF(COUNTIFS(Data_Summary!$Y$2:$Y25,"Coverage",Data_Summary!$AA$2:$AA25,Data_Summary!AA25)=1,Data_Summary!AA25,"")))</f>
        <v>On Hybrid/WFO Rules And Monthly Compliance Expectations</v>
      </c>
      <c r="AK24" s="17" t="n">
        <f aca="false">IF(AJ24="","",COUNTIFS(Data_Summary!$Y$2:$Y$20001,"Coverage",Data_Summary!$AA$2:$AA$20001,AJ24))</f>
        <v>5</v>
      </c>
      <c r="AM24" s="17" t="str">
        <f aca="false">IF(Data_Insight!X24="","",IF(COUNTIF(Data_Insight!$X$2:$X24,Data_Insight!X24)=1,Data_Insight!X24,""))</f>
        <v/>
      </c>
      <c r="AN24" s="17" t="str">
        <f aca="false">IF(AM24="","",COUNTIF(Data_Insight!$X$2:$X$20001,AM24))</f>
        <v/>
      </c>
    </row>
    <row r="25" customFormat="false" ht="15" hidden="false" customHeight="true" outlineLevel="0" collapsed="false">
      <c r="A25" s="30" t="s">
        <v>120</v>
      </c>
      <c r="B25" s="30" t="n">
        <f aca="false">COUNTIF(RawData[Overall Sentiment],A25)</f>
        <v>77</v>
      </c>
      <c r="Q25" s="36" t="str">
        <f aca="false" t="array" ref="Q25:Q25">IFERROR(INDEX($AJ$2:$AJ$599,MATCH(1,($AK$2:$AK$599=R25)*(COUNTIF($Q$3:$Q24,$AJ$2:$AJ$599)=0)*($AJ$2:$AJ$599&lt;&gt;""),0)),"")</f>
        <v>Role Expectation Clarity</v>
      </c>
      <c r="R25" s="34" t="n">
        <f aca="false">IFERROR(LARGE($AK$2:$AK$599,23),"")</f>
        <v>7</v>
      </c>
      <c r="S25" s="37" t="n">
        <f aca="false">IF(Q25="","",IFERROR(R25/$B$3,0))</f>
        <v>0.0233333333333333</v>
      </c>
      <c r="T25" s="38" t="str">
        <f aca="false" t="array" ref="T25:T25">IF(Q25="","",IFERROR(INDEX(SummaryData[Engagement Type],MATCH(TRIM(Q25),TRIM(SummaryData[Statement]),0)),""))</f>
        <v>FGD</v>
      </c>
      <c r="W25" s="30" t="s">
        <v>2051</v>
      </c>
      <c r="X25" s="30" t="n">
        <f aca="false" t="array" ref="X25:X25">SUMPRODUCT((TRIM(RawData[Empowerment])=TRIM(W25))*1)</f>
        <v>0</v>
      </c>
      <c r="AJ25" s="17" t="str">
        <f aca="false">IF(Data_Summary!Y26&lt;&gt;"Coverage","",IF(Data_Summary!AA26="","",IF(COUNTIFS(Data_Summary!$Y$2:$Y26,"Coverage",Data_Summary!$AA$2:$AA26,Data_Summary!AA26)=1,Data_Summary!AA26,"")))</f>
        <v/>
      </c>
      <c r="AK25" s="17" t="str">
        <f aca="false">IF(AJ25="","",COUNTIFS(Data_Summary!$Y$2:$Y$20001,"Coverage",Data_Summary!$AA$2:$AA$20001,AJ25))</f>
        <v/>
      </c>
      <c r="AM25" s="17" t="str">
        <f aca="false">IF(Data_Insight!X25="","",IF(COUNTIF(Data_Insight!$X$2:$X25,Data_Insight!X25)=1,Data_Insight!X25,""))</f>
        <v>ELTP Connect (Practice Level)</v>
      </c>
      <c r="AN25" s="17" t="n">
        <f aca="false">IF(AM25="","",COUNTIF(Data_Insight!$X$2:$X$20001,AM25))</f>
        <v>5</v>
      </c>
    </row>
    <row r="26" customFormat="false" ht="24.75" hidden="false" customHeight="true" outlineLevel="0" collapsed="false">
      <c r="A26" s="30" t="s">
        <v>227</v>
      </c>
      <c r="B26" s="30" t="n">
        <f aca="false">COUNTIF(RawData[Overall Sentiment],A26)</f>
        <v>26</v>
      </c>
      <c r="Q26" s="36" t="str">
        <f aca="false" t="array" ref="Q26:Q26">IFERROR(INDEX($AJ$2:$AJ$599,MATCH(1,($AK$2:$AK$599=R26)*(COUNTIF($Q$3:$Q25,$AJ$2:$AJ$599)=0)*($AJ$2:$AJ$599&lt;&gt;""),0)),"")</f>
        <v>Initial Engagement Level</v>
      </c>
      <c r="R26" s="34" t="n">
        <f aca="false">IFERROR(LARGE($AK$2:$AK$599,24),"")</f>
        <v>7</v>
      </c>
      <c r="S26" s="37" t="n">
        <f aca="false">IF(Q26="","",IFERROR(R26/$B$3,0))</f>
        <v>0.0233333333333333</v>
      </c>
      <c r="T26" s="38" t="str">
        <f aca="false" t="array" ref="T26:T26">IF(Q26="","",IFERROR(INDEX(SummaryData[Engagement Type],MATCH(TRIM(Q26),TRIM(SummaryData[Statement]),0)),""))</f>
        <v>FGD</v>
      </c>
      <c r="W26" s="30" t="s">
        <v>327</v>
      </c>
      <c r="X26" s="30" t="n">
        <f aca="false" t="array" ref="X26:X26">SUMPRODUCT((TRIM(RawData[Strive])=TRIM(W26))*1)</f>
        <v>9</v>
      </c>
      <c r="AJ26" s="17" t="str">
        <f aca="false">IF(Data_Summary!Y27&lt;&gt;"Coverage","",IF(Data_Summary!AA27="","",IF(COUNTIFS(Data_Summary!$Y$2:$Y27,"Coverage",Data_Summary!$AA$2:$AA27,Data_Summary!AA27)=1,Data_Summary!AA27,"")))</f>
        <v/>
      </c>
      <c r="AK26" s="17" t="str">
        <f aca="false">IF(AJ26="","",COUNTIFS(Data_Summary!$Y$2:$Y$20001,"Coverage",Data_Summary!$AA$2:$AA$20001,AJ26))</f>
        <v/>
      </c>
      <c r="AM26" s="17" t="str">
        <f aca="false">IF(Data_Insight!X26="","",IF(COUNTIF(Data_Insight!$X$2:$X26,Data_Insight!X26)=1,Data_Insight!X26,""))</f>
        <v>New Joiner Connect (90 Days)</v>
      </c>
      <c r="AN26" s="17" t="n">
        <f aca="false">IF(AM26="","",COUNTIF(Data_Insight!$X$2:$X$20001,AM26))</f>
        <v>16</v>
      </c>
    </row>
    <row r="27" customFormat="false" ht="25.5" hidden="false" customHeight="true" outlineLevel="0" collapsed="false">
      <c r="Q27" s="36" t="str">
        <f aca="false" t="array" ref="Q27:Q27">IFERROR(INDEX($AJ$2:$AJ$599,MATCH(1,($AK$2:$AK$599=R27)*(COUNTIF($Q$3:$Q26,$AJ$2:$AJ$599)=0)*($AJ$2:$AJ$599&lt;&gt;""),0)),"")</f>
        <v>Career Progression &amp; Next-Level Readiness</v>
      </c>
      <c r="R27" s="34" t="n">
        <f aca="false">IFERROR(LARGE($AK$2:$AK$599,25),"")</f>
        <v>7</v>
      </c>
      <c r="S27" s="37" t="n">
        <f aca="false">IF(Q27="","",IFERROR(R27/$B$3,0))</f>
        <v>0.0233333333333333</v>
      </c>
      <c r="T27" s="38" t="str">
        <f aca="false" t="array" ref="T27:T27">IF(Q27="","",IFERROR(INDEX(SummaryData[Engagement Type],MATCH(TRIM(Q27),TRIM(SummaryData[Statement]),0)),""))</f>
        <v>Large Connect</v>
      </c>
      <c r="W27" s="30" t="s">
        <v>687</v>
      </c>
      <c r="X27" s="30" t="n">
        <f aca="false" t="array" ref="X27:X27">SUMPRODUCT((TRIM(RawData[Strive])=TRIM(W27))*1)</f>
        <v>3</v>
      </c>
      <c r="AJ27" s="17" t="str">
        <f aca="false">IF(Data_Summary!Y28&lt;&gt;"Coverage","",IF(Data_Summary!AA28="","",IF(COUNTIFS(Data_Summary!$Y$2:$Y28,"Coverage",Data_Summary!$AA$2:$AA28,Data_Summary!AA28)=1,Data_Summary!AA28,"")))</f>
        <v/>
      </c>
      <c r="AK27" s="17" t="str">
        <f aca="false">IF(AJ27="","",COUNTIFS(Data_Summary!$Y$2:$Y$20001,"Coverage",Data_Summary!$AA$2:$AA$20001,AJ27))</f>
        <v/>
      </c>
      <c r="AM27" s="17" t="str">
        <f aca="false">IF(Data_Insight!X27="","",IF(COUNTIF(Data_Insight!$X$2:$X27,Data_Insight!X27)=1,Data_Insight!X27,""))</f>
        <v/>
      </c>
      <c r="AN27" s="17" t="str">
        <f aca="false">IF(AM27="","",COUNTIF(Data_Insight!$X$2:$X$20001,AM27))</f>
        <v/>
      </c>
    </row>
    <row r="28" customFormat="false" ht="15.75" hidden="false" customHeight="true" outlineLevel="0" collapsed="false">
      <c r="A28" s="18" t="s">
        <v>2052</v>
      </c>
      <c r="B28" s="18"/>
      <c r="Q28" s="36" t="str">
        <f aca="false" t="array" ref="Q28:Q28">IFERROR(INDEX($AJ$2:$AJ$599,MATCH(1,($AK$2:$AK$599=R28)*(COUNTIF($Q$3:$Q27,$AJ$2:$AJ$599)=0)*($AJ$2:$AJ$599&lt;&gt;""),0)),"")</f>
        <v>Manager Connect Effectiveness</v>
      </c>
      <c r="R28" s="34" t="n">
        <f aca="false">IFERROR(LARGE($AK$2:$AK$599,26),"")</f>
        <v>7</v>
      </c>
      <c r="S28" s="37" t="n">
        <f aca="false">IF(Q28="","",IFERROR(R28/$B$3,0))</f>
        <v>0.0233333333333333</v>
      </c>
      <c r="T28" s="38" t="str">
        <f aca="false" t="array" ref="T28:T28">IF(Q28="","",IFERROR(INDEX(SummaryData[Engagement Type],MATCH(TRIM(Q28),TRIM(SummaryData[Statement]),0)),""))</f>
        <v>1:1</v>
      </c>
      <c r="W28" s="30" t="s">
        <v>1712</v>
      </c>
      <c r="X28" s="30" t="n">
        <f aca="false" t="array" ref="X28:X28">SUMPRODUCT((TRIM(RawData[Strive])=TRIM(W28))*1)</f>
        <v>3</v>
      </c>
      <c r="AJ28" s="17" t="str">
        <f aca="false">IF(Data_Summary!Y29&lt;&gt;"Coverage","",IF(Data_Summary!AA29="","",IF(COUNTIFS(Data_Summary!$Y$2:$Y29,"Coverage",Data_Summary!$AA$2:$AA29,Data_Summary!AA29)=1,Data_Summary!AA29,"")))</f>
        <v>Business Context &amp; Org Awareness</v>
      </c>
      <c r="AK28" s="17" t="n">
        <f aca="false">IF(AJ28="","",COUNTIFS(Data_Summary!$Y$2:$Y$20001,"Coverage",Data_Summary!$AA$2:$AA$20001,AJ28))</f>
        <v>7</v>
      </c>
      <c r="AM28" s="17" t="str">
        <f aca="false">IF(Data_Insight!X28="","",IF(COUNTIF(Data_Insight!$X$2:$X28,Data_Insight!X28)=1,Data_Insight!X28,""))</f>
        <v/>
      </c>
      <c r="AN28" s="17" t="str">
        <f aca="false">IF(AM28="","",COUNTIF(Data_Insight!$X$2:$X$20001,AM28))</f>
        <v/>
      </c>
    </row>
    <row r="29" customFormat="false" ht="13.5" hidden="false" customHeight="true" outlineLevel="0" collapsed="false">
      <c r="A29" s="24" t="s">
        <v>2049</v>
      </c>
      <c r="B29" s="24" t="s">
        <v>2009</v>
      </c>
      <c r="Q29" s="36" t="str">
        <f aca="false" t="array" ref="Q29:Q29">IFERROR(INDEX($AJ$2:$AJ$599,MATCH(1,($AK$2:$AK$599=R29)*(COUNTIF($Q$3:$Q28,$AJ$2:$AJ$599)=0)*($AJ$2:$AJ$599&lt;&gt;""),0)),"")</f>
        <v>Internal Growth Opportunities</v>
      </c>
      <c r="R29" s="34" t="n">
        <f aca="false">IFERROR(LARGE($AK$2:$AK$599,27),"")</f>
        <v>7</v>
      </c>
      <c r="S29" s="37" t="n">
        <f aca="false">IF(Q29="","",IFERROR(R29/$B$3,0))</f>
        <v>0.0233333333333333</v>
      </c>
      <c r="T29" s="38" t="str">
        <f aca="false" t="array" ref="T29:T29">IF(Q29="","",IFERROR(INDEX(SummaryData[Engagement Type],MATCH(TRIM(Q29),TRIM(SummaryData[Statement]),0)),""))</f>
        <v>1:1</v>
      </c>
      <c r="AJ29" s="17" t="str">
        <f aca="false">IF(Data_Summary!Y30&lt;&gt;"Coverage","",IF(Data_Summary!AA30="","",IF(COUNTIFS(Data_Summary!$Y$2:$Y30,"Coverage",Data_Summary!$AA$2:$AA30,Data_Summary!AA30)=1,Data_Summary!AA30,"")))</f>
        <v/>
      </c>
      <c r="AK29" s="17" t="str">
        <f aca="false">IF(AJ29="","",COUNTIFS(Data_Summary!$Y$2:$Y$20001,"Coverage",Data_Summary!$AA$2:$AA$20001,AJ29))</f>
        <v/>
      </c>
      <c r="AM29" s="17" t="str">
        <f aca="false">IF(Data_Insight!X29="","",IF(COUNTIF(Data_Insight!$X$2:$X29,Data_Insight!X29)=1,Data_Insight!X29,""))</f>
        <v/>
      </c>
      <c r="AN29" s="17" t="str">
        <f aca="false">IF(AM29="","",COUNTIF(Data_Insight!$X$2:$X$20001,AM29))</f>
        <v/>
      </c>
    </row>
    <row r="30" customFormat="false" ht="15" hidden="false" customHeight="true" outlineLevel="0" collapsed="false">
      <c r="A30" s="30" t="s">
        <v>167</v>
      </c>
      <c r="B30" s="41" t="n">
        <f aca="false">ROUND(COUNTIF(RawData[Severity],A30)/COUNTA(RawData[Severity]),2)</f>
        <v>0.21</v>
      </c>
      <c r="Q30" s="36" t="str">
        <f aca="false" t="array" ref="Q30:Q30">IFERROR(INDEX($AJ$2:$AJ$599,MATCH(1,($AK$2:$AK$599=R30)*(COUNTIF($Q$3:$Q29,$AJ$2:$AJ$599)=0)*($AJ$2:$AJ$599&lt;&gt;""),0)),"")</f>
        <v>Leadership Communication &amp; Q&amp;A Effectiveness</v>
      </c>
      <c r="R30" s="34" t="n">
        <f aca="false">IFERROR(LARGE($AK$2:$AK$599,28),"")</f>
        <v>7</v>
      </c>
      <c r="S30" s="37" t="n">
        <f aca="false">IF(Q30="","",IFERROR(R30/$B$3,0))</f>
        <v>0.0233333333333333</v>
      </c>
      <c r="T30" s="38" t="str">
        <f aca="false" t="array" ref="T30:T30">IF(Q30="","",IFERROR(INDEX(SummaryData[Engagement Type],MATCH(TRIM(Q30),TRIM(SummaryData[Statement]),0)),""))</f>
        <v>1:1</v>
      </c>
      <c r="AJ30" s="17" t="str">
        <f aca="false">IF(Data_Summary!Y31&lt;&gt;"Coverage","",IF(Data_Summary!AA31="","",IF(COUNTIFS(Data_Summary!$Y$2:$Y31,"Coverage",Data_Summary!$AA$2:$AA31,Data_Summary!AA31)=1,Data_Summary!AA31,"")))</f>
        <v/>
      </c>
      <c r="AK30" s="17" t="str">
        <f aca="false">IF(AJ30="","",COUNTIFS(Data_Summary!$Y$2:$Y$20001,"Coverage",Data_Summary!$AA$2:$AA$20001,AJ30))</f>
        <v/>
      </c>
      <c r="AM30" s="17" t="str">
        <f aca="false">IF(Data_Insight!X30="","",IF(COUNTIF(Data_Insight!$X$2:$X30,Data_Insight!X30)=1,Data_Insight!X30,""))</f>
        <v/>
      </c>
      <c r="AN30" s="17" t="str">
        <f aca="false">IF(AM30="","",COUNTIF(Data_Insight!$X$2:$X$20001,AM30))</f>
        <v/>
      </c>
    </row>
    <row r="31" customFormat="false" ht="31.5" hidden="false" customHeight="true" outlineLevel="0" collapsed="false">
      <c r="A31" s="30" t="s">
        <v>123</v>
      </c>
      <c r="B31" s="41" t="n">
        <f aca="false">ROUND(COUNTIF(RawData[Severity],A31)/COUNTA(RawData[Severity]),2)</f>
        <v>0.42</v>
      </c>
      <c r="Q31" s="36" t="str">
        <f aca="false" t="array" ref="Q31:Q31">IFERROR(INDEX($AJ$2:$AJ$599,MATCH(1,($AK$2:$AK$599=R31)*(COUNTIF($Q$3:$Q30,$AJ$2:$AJ$599)=0)*($AJ$2:$AJ$599&lt;&gt;""),0)),"")</f>
        <v>Recognition &amp; Engagement within Project</v>
      </c>
      <c r="R31" s="34" t="n">
        <f aca="false">IFERROR(LARGE($AK$2:$AK$599,29),"")</f>
        <v>7</v>
      </c>
      <c r="S31" s="37" t="n">
        <f aca="false">IF(Q31="","",IFERROR(R31/$B$3,0))</f>
        <v>0.0233333333333333</v>
      </c>
      <c r="T31" s="38" t="str">
        <f aca="false" t="array" ref="T31:T31">IF(Q31="","",IFERROR(INDEX(SummaryData[Engagement Type],MATCH(TRIM(Q31),TRIM(SummaryData[Statement]),0)),""))</f>
        <v>Large Connect</v>
      </c>
      <c r="AJ31" s="17" t="str">
        <f aca="false">IF(Data_Summary!Y32&lt;&gt;"Coverage","",IF(Data_Summary!AA32="","",IF(COUNTIFS(Data_Summary!$Y$2:$Y32,"Coverage",Data_Summary!$AA$2:$AA32,Data_Summary!AA32)=1,Data_Summary!AA32,"")))</f>
        <v>Business &amp; Practice Awareness</v>
      </c>
      <c r="AK31" s="17" t="n">
        <f aca="false">IF(AJ31="","",COUNTIFS(Data_Summary!$Y$2:$Y$20001,"Coverage",Data_Summary!$AA$2:$AA$20001,AJ31))</f>
        <v>8</v>
      </c>
      <c r="AM31" s="17" t="str">
        <f aca="false">IF(Data_Insight!X31="","",IF(COUNTIF(Data_Insight!$X$2:$X31,Data_Insight!X31)=1,Data_Insight!X31,""))</f>
        <v/>
      </c>
      <c r="AN31" s="17" t="str">
        <f aca="false">IF(AM31="","",COUNTIF(Data_Insight!$X$2:$X$20001,AM31))</f>
        <v/>
      </c>
    </row>
    <row r="32" customFormat="false" ht="30" hidden="false" customHeight="true" outlineLevel="0" collapsed="false">
      <c r="A32" s="30" t="s">
        <v>192</v>
      </c>
      <c r="B32" s="42" t="n">
        <f aca="false">ROUND(COUNTIF(RawData[Severity],A32)/COUNTA(RawData[Severity]),2)</f>
        <v>0.37</v>
      </c>
      <c r="Q32" s="36" t="str">
        <f aca="false" t="array" ref="Q32:Q32">IFERROR(INDEX($AJ$2:$AJ$599,MATCH(1,($AK$2:$AK$599=R32)*(COUNTIF($Q$3:$Q31,$AJ$2:$AJ$599)=0)*($AJ$2:$AJ$599&lt;&gt;""),0)),"")</f>
        <v>BGV queries</v>
      </c>
      <c r="R32" s="34" t="n">
        <f aca="false">IFERROR(LARGE($AK$2:$AK$599,30),"")</f>
        <v>7</v>
      </c>
      <c r="S32" s="37" t="n">
        <f aca="false">IF(Q32="","",IFERROR(R32/$B$3,0))</f>
        <v>0.0233333333333333</v>
      </c>
      <c r="T32" s="38" t="str">
        <f aca="false" t="array" ref="T32:T32">IF(Q32="","",IFERROR(INDEX(SummaryData[Engagement Type],MATCH(TRIM(Q32),TRIM(SummaryData[Statement]),0)),""))</f>
        <v>FGD</v>
      </c>
      <c r="AJ32" s="17" t="str">
        <f aca="false">IF(Data_Summary!Y33&lt;&gt;"Coverage","",IF(Data_Summary!AA33="","",IF(COUNTIFS(Data_Summary!$Y$2:$Y33,"Coverage",Data_Summary!$AA$2:$AA33,Data_Summary!AA33)=1,Data_Summary!AA33,"")))</f>
        <v/>
      </c>
      <c r="AK32" s="17" t="str">
        <f aca="false">IF(AJ32="","",COUNTIFS(Data_Summary!$Y$2:$Y$20001,"Coverage",Data_Summary!$AA$2:$AA$20001,AJ32))</f>
        <v/>
      </c>
      <c r="AM32" s="17" t="str">
        <f aca="false">IF(Data_Insight!X32="","",IF(COUNTIF(Data_Insight!$X$2:$X32,Data_Insight!X32)=1,Data_Insight!X32,""))</f>
        <v/>
      </c>
      <c r="AN32" s="17" t="str">
        <f aca="false">IF(AM32="","",COUNTIF(Data_Insight!$X$2:$X$20001,AM32))</f>
        <v/>
      </c>
    </row>
    <row r="33" customFormat="false" ht="25.5" hidden="false" customHeight="true" outlineLevel="0" collapsed="false">
      <c r="Q33" s="36" t="str">
        <f aca="false" t="array" ref="Q33:Q33">IFERROR(INDEX($AJ$2:$AJ$599,MATCH(1,($AK$2:$AK$599=R33)*(COUNTIF($Q$3:$Q32,$AJ$2:$AJ$599)=0)*($AJ$2:$AJ$599&lt;&gt;""),0)),"")</f>
        <v>Tool &amp; System Access</v>
      </c>
      <c r="R33" s="34" t="n">
        <f aca="false">IFERROR(LARGE($AK$2:$AK$599,31),"")</f>
        <v>7</v>
      </c>
      <c r="S33" s="37" t="n">
        <f aca="false">IF(Q33="","",IFERROR(R33/$B$3,0))</f>
        <v>0.0233333333333333</v>
      </c>
      <c r="T33" s="38" t="str">
        <f aca="false" t="array" ref="T33:T33">IF(Q33="","",IFERROR(INDEX(SummaryData[Engagement Type],MATCH(TRIM(Q33),TRIM(SummaryData[Statement]),0)),""))</f>
        <v>Location-Mixed</v>
      </c>
      <c r="AJ33" s="17" t="str">
        <f aca="false">IF(Data_Summary!Y34&lt;&gt;"Coverage","",IF(Data_Summary!AA34="","",IF(COUNTIFS(Data_Summary!$Y$2:$Y34,"Coverage",Data_Summary!$AA$2:$AA34,Data_Summary!AA34)=1,Data_Summary!AA34,"")))</f>
        <v/>
      </c>
      <c r="AK33" s="17" t="str">
        <f aca="false">IF(AJ33="","",COUNTIFS(Data_Summary!$Y$2:$Y$20001,"Coverage",Data_Summary!$AA$2:$AA$20001,AJ33))</f>
        <v/>
      </c>
      <c r="AM33" s="17" t="str">
        <f aca="false">IF(Data_Insight!X33="","",IF(COUNTIF(Data_Insight!$X$2:$X33,Data_Insight!X33)=1,Data_Insight!X33,""))</f>
        <v>Exclusive Award Ceremony</v>
      </c>
      <c r="AN33" s="17" t="n">
        <f aca="false">IF(AM33="","",COUNTIF(Data_Insight!$X$2:$X$20001,AM33))</f>
        <v>5</v>
      </c>
    </row>
    <row r="34" customFormat="false" ht="15.75" hidden="false" customHeight="true" outlineLevel="0" collapsed="false">
      <c r="A34" s="18" t="s">
        <v>2053</v>
      </c>
      <c r="B34" s="18"/>
      <c r="Q34" s="36" t="str">
        <f aca="false" t="array" ref="Q34:Q34">IFERROR(INDEX($AJ$2:$AJ$599,MATCH(1,($AK$2:$AK$599=R34)*(COUNTIF($Q$3:$Q33,$AJ$2:$AJ$599)=0)*($AJ$2:$AJ$599&lt;&gt;""),0)),"")</f>
        <v>Internal Mobility / Rotation Opportunities</v>
      </c>
      <c r="R34" s="34" t="n">
        <f aca="false">IFERROR(LARGE($AK$2:$AK$599,32),"")</f>
        <v>6</v>
      </c>
      <c r="S34" s="37" t="n">
        <f aca="false">IF(Q34="","",IFERROR(R34/$B$3,0))</f>
        <v>0.02</v>
      </c>
      <c r="T34" s="38" t="str">
        <f aca="false" t="array" ref="T34:T34">IF(Q34="","",IFERROR(INDEX(SummaryData[Engagement Type],MATCH(TRIM(Q34),TRIM(SummaryData[Statement]),0)),""))</f>
        <v>Large Connect</v>
      </c>
      <c r="AJ34" s="17" t="str">
        <f aca="false">IF(Data_Summary!Y35&lt;&gt;"Coverage","",IF(Data_Summary!AA35="","",IF(COUNTIFS(Data_Summary!$Y$2:$Y35,"Coverage",Data_Summary!$AA$2:$AA35,Data_Summary!AA35)=1,Data_Summary!AA35,"")))</f>
        <v/>
      </c>
      <c r="AK34" s="17" t="str">
        <f aca="false">IF(AJ34="","",COUNTIFS(Data_Summary!$Y$2:$Y$20001,"Coverage",Data_Summary!$AA$2:$AA$20001,AJ34))</f>
        <v/>
      </c>
      <c r="AM34" s="17" t="str">
        <f aca="false">IF(Data_Insight!X34="","",IF(COUNTIF(Data_Insight!$X$2:$X34,Data_Insight!X34)=1,Data_Insight!X34,""))</f>
        <v>Skip Meeting</v>
      </c>
      <c r="AN34" s="17" t="n">
        <f aca="false">IF(AM34="","",COUNTIF(Data_Insight!$X$2:$X$20001,AM34))</f>
        <v>11</v>
      </c>
    </row>
    <row r="35" customFormat="false" ht="21" hidden="false" customHeight="true" outlineLevel="0" collapsed="false">
      <c r="A35" s="24" t="s">
        <v>2049</v>
      </c>
      <c r="B35" s="24" t="s">
        <v>2009</v>
      </c>
      <c r="Q35" s="36" t="str">
        <f aca="false" t="array" ref="Q35:Q35">IFERROR(INDEX($AJ$2:$AJ$599,MATCH(1,($AK$2:$AK$599=R35)*(COUNTIF($Q$3:$Q34,$AJ$2:$AJ$599)=0)*($AJ$2:$AJ$599&lt;&gt;""),0)),"")</f>
        <v>Workload Management</v>
      </c>
      <c r="R35" s="34" t="n">
        <f aca="false">IFERROR(LARGE($AK$2:$AK$599,33),"")</f>
        <v>6</v>
      </c>
      <c r="S35" s="37" t="n">
        <f aca="false">IF(Q35="","",IFERROR(R35/$B$3,0))</f>
        <v>0.02</v>
      </c>
      <c r="T35" s="38" t="str">
        <f aca="false" t="array" ref="T35:T35">IF(Q35="","",IFERROR(INDEX(SummaryData[Engagement Type],MATCH(TRIM(Q35),TRIM(SummaryData[Statement]),0)),""))</f>
        <v>Large Connect</v>
      </c>
      <c r="AJ35" s="17" t="str">
        <f aca="false">IF(Data_Summary!Y36&lt;&gt;"Coverage","",IF(Data_Summary!AA36="","",IF(COUNTIFS(Data_Summary!$Y$2:$Y36,"Coverage",Data_Summary!$AA$2:$AA36,Data_Summary!AA36)=1,Data_Summary!AA36,"")))</f>
        <v>Clarity on expectations</v>
      </c>
      <c r="AK35" s="17" t="n">
        <f aca="false">IF(AJ35="","",COUNTIFS(Data_Summary!$Y$2:$Y$20001,"Coverage",Data_Summary!$AA$2:$AA$20001,AJ35))</f>
        <v>19</v>
      </c>
      <c r="AM35" s="17" t="str">
        <f aca="false">IF(Data_Insight!X35="","",IF(COUNTIF(Data_Insight!$X$2:$X35,Data_Insight!X35)=1,Data_Insight!X35,""))</f>
        <v>ELTP Connect (&lt;6m)</v>
      </c>
      <c r="AN35" s="17" t="n">
        <f aca="false">IF(AM35="","",COUNTIF(Data_Insight!$X$2:$X$20001,AM35))</f>
        <v>6</v>
      </c>
    </row>
    <row r="36" customFormat="false" ht="22.5" hidden="false" customHeight="true" outlineLevel="0" collapsed="false">
      <c r="A36" s="30" t="s">
        <v>139</v>
      </c>
      <c r="B36" s="30" t="n">
        <f aca="false">COUNTIF(RawData[Status],A36)</f>
        <v>29</v>
      </c>
      <c r="Q36" s="36" t="str">
        <f aca="false" t="array" ref="Q36:Q36">IFERROR(INDEX($AJ$2:$AJ$599,MATCH(1,($AK$2:$AK$599=R36)*(COUNTIF($Q$3:$Q35,$AJ$2:$AJ$599)=0)*($AJ$2:$AJ$599&lt;&gt;""),0)),"")</f>
        <v>Manager Effectiveness &amp; Delegation</v>
      </c>
      <c r="R36" s="34" t="n">
        <f aca="false">IFERROR(LARGE($AK$2:$AK$599,34),"")</f>
        <v>6</v>
      </c>
      <c r="S36" s="37" t="n">
        <f aca="false">IF(Q36="","",IFERROR(R36/$B$3,0))</f>
        <v>0.02</v>
      </c>
      <c r="T36" s="38" t="str">
        <f aca="false" t="array" ref="T36:T36">IF(Q36="","",IFERROR(INDEX(SummaryData[Engagement Type],MATCH(TRIM(Q36),TRIM(SummaryData[Statement]),0)),""))</f>
        <v>1:1</v>
      </c>
      <c r="AJ36" s="17" t="str">
        <f aca="false">IF(Data_Summary!Y37&lt;&gt;"Coverage","",IF(Data_Summary!AA37="","",IF(COUNTIFS(Data_Summary!$Y$2:$Y37,"Coverage",Data_Summary!$AA$2:$AA37,Data_Summary!AA37)=1,Data_Summary!AA37,"")))</f>
        <v/>
      </c>
      <c r="AK36" s="17" t="str">
        <f aca="false">IF(AJ36="","",COUNTIFS(Data_Summary!$Y$2:$Y$20001,"Coverage",Data_Summary!$AA$2:$AA$20001,AJ36))</f>
        <v/>
      </c>
      <c r="AM36" s="17" t="str">
        <f aca="false">IF(Data_Insight!X36="","",IF(COUNTIF(Data_Insight!$X$2:$X36,Data_Insight!X36)=1,Data_Insight!X36,""))</f>
        <v/>
      </c>
      <c r="AN36" s="17" t="str">
        <f aca="false">IF(AM36="","",COUNTIF(Data_Insight!$X$2:$X$20001,AM36))</f>
        <v/>
      </c>
    </row>
    <row r="37" customFormat="false" ht="30" hidden="false" customHeight="true" outlineLevel="0" collapsed="false">
      <c r="A37" s="30" t="s">
        <v>168</v>
      </c>
      <c r="B37" s="30" t="n">
        <f aca="false">COUNTIF(RawData[Status],A37)</f>
        <v>57</v>
      </c>
      <c r="Q37" s="36" t="str">
        <f aca="false" t="array" ref="Q37:Q37">IFERROR(INDEX($AJ$2:$AJ$599,MATCH(1,($AK$2:$AK$599=R37)*(COUNTIF($Q$3:$Q36,$AJ$2:$AJ$599)=0)*($AJ$2:$AJ$599&lt;&gt;""),0)),"")</f>
        <v>Recognition Visibility</v>
      </c>
      <c r="R37" s="34" t="n">
        <f aca="false">IFERROR(LARGE($AK$2:$AK$599,35),"")</f>
        <v>6</v>
      </c>
      <c r="S37" s="37" t="n">
        <f aca="false">IF(Q37="","",IFERROR(R37/$B$3,0))</f>
        <v>0.02</v>
      </c>
      <c r="T37" s="38" t="str">
        <f aca="false" t="array" ref="T37:T37">IF(Q37="","",IFERROR(INDEX(SummaryData[Engagement Type],MATCH(TRIM(Q37),TRIM(SummaryData[Statement]),0)),""))</f>
        <v>Large Connect</v>
      </c>
      <c r="AJ37" s="17" t="str">
        <f aca="false">IF(Data_Summary!Y38&lt;&gt;"Coverage","",IF(Data_Summary!AA38="","",IF(COUNTIFS(Data_Summary!$Y$2:$Y38,"Coverage",Data_Summary!$AA$2:$AA38,Data_Summary!AA38)=1,Data_Summary!AA38,"")))</f>
        <v/>
      </c>
      <c r="AK37" s="17" t="str">
        <f aca="false">IF(AJ37="","",COUNTIFS(Data_Summary!$Y$2:$Y$20001,"Coverage",Data_Summary!$AA$2:$AA$20001,AJ37))</f>
        <v/>
      </c>
      <c r="AM37" s="17" t="str">
        <f aca="false">IF(Data_Insight!X37="","",IF(COUNTIF(Data_Insight!$X$2:$X37,Data_Insight!X37)=1,Data_Insight!X37,""))</f>
        <v/>
      </c>
      <c r="AN37" s="17" t="str">
        <f aca="false">IF(AM37="","",COUNTIF(Data_Insight!$X$2:$X$20001,AM37))</f>
        <v/>
      </c>
    </row>
    <row r="38" customFormat="false" ht="24" hidden="false" customHeight="true" outlineLevel="0" collapsed="false">
      <c r="A38" s="30" t="s">
        <v>124</v>
      </c>
      <c r="B38" s="30" t="n">
        <f aca="false">COUNTIF(RawData[Status],A38)</f>
        <v>214</v>
      </c>
      <c r="Q38" s="36" t="str">
        <f aca="false" t="array" ref="Q38:Q38">IFERROR(INDEX($AJ$2:$AJ$599,MATCH(1,($AK$2:$AK$599=R38)*(COUNTIF($Q$3:$Q37,$AJ$2:$AJ$599)=0)*($AJ$2:$AJ$599&lt;&gt;""),0)),"")</f>
        <v>On Leave/comp-off Due To Client Calendar Mismatches</v>
      </c>
      <c r="R38" s="34" t="n">
        <f aca="false">IFERROR(LARGE($AK$2:$AK$599,36),"")</f>
        <v>6</v>
      </c>
      <c r="S38" s="37" t="n">
        <f aca="false">IF(Q38="","",IFERROR(R38/$B$3,0))</f>
        <v>0.02</v>
      </c>
      <c r="T38" s="38" t="str">
        <f aca="false" t="array" ref="T38:T38">IF(Q38="","",IFERROR(INDEX(SummaryData[Engagement Type],MATCH(TRIM(Q38),TRIM(SummaryData[Statement]),0)),""))</f>
        <v>Large Connect</v>
      </c>
      <c r="AJ38" s="17" t="str">
        <f aca="false">IF(Data_Summary!Y39&lt;&gt;"Coverage","",IF(Data_Summary!AA39="","",IF(COUNTIFS(Data_Summary!$Y$2:$Y39,"Coverage",Data_Summary!$AA$2:$AA39,Data_Summary!AA39)=1,Data_Summary!AA39,"")))</f>
        <v/>
      </c>
      <c r="AK38" s="17" t="str">
        <f aca="false">IF(AJ38="","",COUNTIFS(Data_Summary!$Y$2:$Y$20001,"Coverage",Data_Summary!$AA$2:$AA$20001,AJ38))</f>
        <v/>
      </c>
      <c r="AM38" s="17" t="str">
        <f aca="false">IF(Data_Insight!X38="","",IF(COUNTIF(Data_Insight!$X$2:$X38,Data_Insight!X38)=1,Data_Insight!X38,""))</f>
        <v/>
      </c>
      <c r="AN38" s="17" t="str">
        <f aca="false">IF(AM38="","",COUNTIF(Data_Insight!$X$2:$X$20001,AM38))</f>
        <v/>
      </c>
    </row>
    <row r="39" customFormat="false" ht="25.5" hidden="false" customHeight="true" outlineLevel="0" collapsed="false">
      <c r="Q39" s="36" t="str">
        <f aca="false" t="array" ref="Q39:Q39">IFERROR(INDEX($AJ$2:$AJ$599,MATCH(1,($AK$2:$AK$599=R39)*(COUNTIF($Q$3:$Q38,$AJ$2:$AJ$599)=0)*($AJ$2:$AJ$599&lt;&gt;""),0)),"")</f>
        <v>Learning Curve Support</v>
      </c>
      <c r="R39" s="34" t="n">
        <f aca="false">IFERROR(LARGE($AK$2:$AK$599,37),"")</f>
        <v>6</v>
      </c>
      <c r="S39" s="37" t="n">
        <f aca="false">IF(Q39="","",IFERROR(R39/$B$3,0))</f>
        <v>0.02</v>
      </c>
      <c r="T39" s="38" t="str">
        <f aca="false" t="array" ref="T39:T39">IF(Q39="","",IFERROR(INDEX(SummaryData[Engagement Type],MATCH(TRIM(Q39),TRIM(SummaryData[Statement]),0)),""))</f>
        <v>Location-Offshore</v>
      </c>
      <c r="AJ39" s="17" t="str">
        <f aca="false">IF(Data_Summary!Y40&lt;&gt;"Coverage","",IF(Data_Summary!AA40="","",IF(COUNTIFS(Data_Summary!$Y$2:$Y40,"Coverage",Data_Summary!$AA$2:$AA40,Data_Summary!AA40)=1,Data_Summary!AA40,"")))</f>
        <v/>
      </c>
      <c r="AK39" s="17" t="str">
        <f aca="false">IF(AJ39="","",COUNTIFS(Data_Summary!$Y$2:$Y$20001,"Coverage",Data_Summary!$AA$2:$AA$20001,AJ39))</f>
        <v/>
      </c>
      <c r="AM39" s="17" t="str">
        <f aca="false">IF(Data_Insight!X39="","",IF(COUNTIF(Data_Insight!$X$2:$X39,Data_Insight!X39)=1,Data_Insight!X39,""))</f>
        <v/>
      </c>
      <c r="AN39" s="17" t="str">
        <f aca="false">IF(AM39="","",COUNTIF(Data_Insight!$X$2:$X$20001,AM39))</f>
        <v/>
      </c>
    </row>
    <row r="40" customFormat="false" ht="15.75" hidden="false" customHeight="true" outlineLevel="0" collapsed="false">
      <c r="A40" s="18" t="s">
        <v>2054</v>
      </c>
      <c r="B40" s="18"/>
      <c r="Q40" s="36" t="str">
        <f aca="false" t="array" ref="Q40:Q40">IFERROR(INDEX($AJ$2:$AJ$599,MATCH(1,($AK$2:$AK$599=R40)*(COUNTIF($Q$3:$Q39,$AJ$2:$AJ$599)=0)*($AJ$2:$AJ$599&lt;&gt;""),0)),"")</f>
        <v>Long-Term Role Alignment</v>
      </c>
      <c r="R40" s="34" t="n">
        <f aca="false">IFERROR(LARGE($AK$2:$AK$599,38),"")</f>
        <v>6</v>
      </c>
      <c r="S40" s="37" t="n">
        <f aca="false">IF(Q40="","",IFERROR(R40/$B$3,0))</f>
        <v>0.02</v>
      </c>
      <c r="T40" s="38" t="str">
        <f aca="false" t="array" ref="T40:T40">IF(Q40="","",IFERROR(INDEX(SummaryData[Engagement Type],MATCH(TRIM(Q40),TRIM(SummaryData[Statement]),0)),""))</f>
        <v>1:1</v>
      </c>
      <c r="AJ40" s="17" t="str">
        <f aca="false">IF(Data_Summary!Y41&lt;&gt;"Coverage","",IF(Data_Summary!AA41="","",IF(COUNTIFS(Data_Summary!$Y$2:$Y41,"Coverage",Data_Summary!$AA$2:$AA41,Data_Summary!AA41)=1,Data_Summary!AA41,"")))</f>
        <v>Recognition &amp; Visibility</v>
      </c>
      <c r="AK40" s="17" t="n">
        <f aca="false">IF(AJ40="","",COUNTIFS(Data_Summary!$Y$2:$Y$20001,"Coverage",Data_Summary!$AA$2:$AA$20001,AJ40))</f>
        <v>3</v>
      </c>
      <c r="AM40" s="17" t="str">
        <f aca="false">IF(Data_Insight!X40="","",IF(COUNTIF(Data_Insight!$X$2:$X40,Data_Insight!X40)=1,Data_Insight!X40,""))</f>
        <v/>
      </c>
      <c r="AN40" s="17" t="str">
        <f aca="false">IF(AM40="","",COUNTIF(Data_Insight!$X$2:$X$20001,AM40))</f>
        <v/>
      </c>
    </row>
    <row r="41" customFormat="false" ht="13.5" hidden="false" customHeight="true" outlineLevel="0" collapsed="false">
      <c r="A41" s="24" t="s">
        <v>2049</v>
      </c>
      <c r="B41" s="24" t="s">
        <v>2009</v>
      </c>
      <c r="Q41" s="36" t="str">
        <f aca="false" t="array" ref="Q41:Q41">IFERROR(INDEX($AJ$2:$AJ$599,MATCH(1,($AK$2:$AK$599=R41)*(COUNTIF($Q$3:$Q40,$AJ$2:$AJ$599)=0)*($AJ$2:$AJ$599&lt;&gt;""),0)),"")</f>
        <v>Infrastructure / Workplace Enablement</v>
      </c>
      <c r="R41" s="34" t="n">
        <f aca="false">IFERROR(LARGE($AK$2:$AK$599,39),"")</f>
        <v>6</v>
      </c>
      <c r="S41" s="37" t="n">
        <f aca="false">IF(Q41="","",IFERROR(R41/$B$3,0))</f>
        <v>0.02</v>
      </c>
      <c r="T41" s="38" t="str">
        <f aca="false" t="array" ref="T41:T41">IF(Q41="","",IFERROR(INDEX(SummaryData[Engagement Type],MATCH(TRIM(Q41),TRIM(SummaryData[Statement]),0)),""))</f>
        <v>1:1</v>
      </c>
      <c r="AJ41" s="17" t="str">
        <f aca="false">IF(Data_Summary!Y42&lt;&gt;"Coverage","",IF(Data_Summary!AA42="","",IF(COUNTIFS(Data_Summary!$Y$2:$Y42,"Coverage",Data_Summary!$AA$2:$AA42,Data_Summary!AA42)=1,Data_Summary!AA42,"")))</f>
        <v>Grievance/speak-up Clarity</v>
      </c>
      <c r="AK41" s="17" t="n">
        <f aca="false">IF(AJ41="","",COUNTIFS(Data_Summary!$Y$2:$Y$20001,"Coverage",Data_Summary!$AA$2:$AA$20001,AJ41))</f>
        <v>5</v>
      </c>
      <c r="AM41" s="17" t="str">
        <f aca="false">IF(Data_Insight!X41="","",IF(COUNTIF(Data_Insight!$X$2:$X41,Data_Insight!X41)=1,Data_Insight!X41,""))</f>
        <v>LSA Connect</v>
      </c>
      <c r="AN41" s="17" t="n">
        <f aca="false">IF(AM41="","",COUNTIF(Data_Insight!$X$2:$X$20001,AM41))</f>
        <v>3</v>
      </c>
    </row>
    <row r="42" customFormat="false" ht="15" hidden="false" customHeight="true" outlineLevel="0" collapsed="false">
      <c r="A42" s="30" t="s">
        <v>22</v>
      </c>
      <c r="B42" s="30" t="n">
        <f aca="false">COUNTIF(RawData[CARES Framework],A42)</f>
        <v>173</v>
      </c>
      <c r="Q42" s="36" t="str">
        <f aca="false" t="array" ref="Q42:Q42">IFERROR(INDEX($AJ$2:$AJ$599,MATCH(1,($AK$2:$AK$599=R42)*(COUNTIF($Q$3:$Q41,$AJ$2:$AJ$599)=0)*($AJ$2:$AJ$599&lt;&gt;""),0)),"")</f>
        <v>Buddy / Support System</v>
      </c>
      <c r="R42" s="34" t="n">
        <f aca="false">IFERROR(LARGE($AK$2:$AK$599,40),"")</f>
        <v>6</v>
      </c>
      <c r="S42" s="37" t="n">
        <f aca="false">IF(Q42="","",IFERROR(R42/$B$3,0))</f>
        <v>0.02</v>
      </c>
      <c r="T42" s="38" t="str">
        <f aca="false" t="array" ref="T42:T42">IF(Q42="","",IFERROR(INDEX(SummaryData[Engagement Type],MATCH(TRIM(Q42),TRIM(SummaryData[Statement]),0)),""))</f>
        <v>FGD</v>
      </c>
      <c r="AJ42" s="17" t="str">
        <f aca="false">IF(Data_Summary!Y43&lt;&gt;"Coverage","",IF(Data_Summary!AA43="","",IF(COUNTIFS(Data_Summary!$Y$2:$Y43,"Coverage",Data_Summary!$AA$2:$AA43,Data_Summary!AA43)=1,Data_Summary!AA43,"")))</f>
        <v>Empathy And Communication</v>
      </c>
      <c r="AK42" s="17" t="n">
        <f aca="false">IF(AJ42="","",COUNTIFS(Data_Summary!$Y$2:$Y$20001,"Coverage",Data_Summary!$AA$2:$AA$20001,AJ42))</f>
        <v>4</v>
      </c>
      <c r="AM42" s="17" t="str">
        <f aca="false">IF(Data_Insight!X42="","",IF(COUNTIF(Data_Insight!$X$2:$X42,Data_Insight!X42)=1,Data_Insight!X42,""))</f>
        <v/>
      </c>
      <c r="AN42" s="17" t="str">
        <f aca="false">IF(AM42="","",COUNTIF(Data_Insight!$X$2:$X$20001,AM42))</f>
        <v/>
      </c>
    </row>
    <row r="43" customFormat="false" ht="15" hidden="false" customHeight="true" outlineLevel="0" collapsed="false">
      <c r="A43" s="30" t="s">
        <v>21</v>
      </c>
      <c r="B43" s="30" t="n">
        <f aca="false">COUNTIF(RawData[CARES Framework],A43)</f>
        <v>40</v>
      </c>
      <c r="Q43" s="36" t="str">
        <f aca="false" t="array" ref="Q43:Q43">IFERROR(INDEX($AJ$2:$AJ$599,MATCH(1,($AK$2:$AK$599=R43)*(COUNTIF($Q$3:$Q42,$AJ$2:$AJ$599)=0)*($AJ$2:$AJ$599&lt;&gt;""),0)),"")</f>
        <v>On Hybrid/WFO Rules And Monthly Compliance Expectations</v>
      </c>
      <c r="R43" s="34" t="n">
        <f aca="false">IFERROR(LARGE($AK$2:$AK$599,41),"")</f>
        <v>5</v>
      </c>
      <c r="S43" s="37" t="n">
        <f aca="false">IF(Q43="","",IFERROR(R43/$B$3,0))</f>
        <v>0.0166666666666667</v>
      </c>
      <c r="T43" s="38" t="str">
        <f aca="false" t="array" ref="T43:T43">IF(Q43="","",IFERROR(INDEX(SummaryData[Engagement Type],MATCH(TRIM(Q43),TRIM(SummaryData[Statement]),0)),""))</f>
        <v>FGD</v>
      </c>
      <c r="AJ43" s="17" t="str">
        <f aca="false">IF(Data_Summary!Y44&lt;&gt;"Coverage","",IF(Data_Summary!AA44="","",IF(COUNTIFS(Data_Summary!$Y$2:$Y44,"Coverage",Data_Summary!$AA$2:$AA44,Data_Summary!AA44)=1,Data_Summary!AA44,"")))</f>
        <v/>
      </c>
      <c r="AK43" s="17" t="str">
        <f aca="false">IF(AJ43="","",COUNTIFS(Data_Summary!$Y$2:$Y$20001,"Coverage",Data_Summary!$AA$2:$AA$20001,AJ43))</f>
        <v/>
      </c>
      <c r="AM43" s="17" t="str">
        <f aca="false">IF(Data_Insight!X43="","",IF(COUNTIF(Data_Insight!$X$2:$X43,Data_Insight!X43)=1,Data_Insight!X43,""))</f>
        <v/>
      </c>
      <c r="AN43" s="17" t="str">
        <f aca="false">IF(AM43="","",COUNTIF(Data_Insight!$X$2:$X$20001,AM43))</f>
        <v/>
      </c>
    </row>
    <row r="44" customFormat="false" ht="15" hidden="false" customHeight="true" outlineLevel="0" collapsed="false">
      <c r="A44" s="30" t="s">
        <v>24</v>
      </c>
      <c r="B44" s="30" t="n">
        <f aca="false">COUNTIF(RawData[CARES Framework],A44)</f>
        <v>58</v>
      </c>
      <c r="Q44" s="36" t="str">
        <f aca="false" t="array" ref="Q44:Q44">IFERROR(INDEX($AJ$2:$AJ$599,MATCH(1,($AK$2:$AK$599=R44)*(COUNTIF($Q$3:$Q43,$AJ$2:$AJ$599)=0)*($AJ$2:$AJ$599&lt;&gt;""),0)),"")</f>
        <v>Grievance/speak-up Clarity</v>
      </c>
      <c r="R44" s="34" t="n">
        <f aca="false">IFERROR(LARGE($AK$2:$AK$599,42),"")</f>
        <v>5</v>
      </c>
      <c r="S44" s="37" t="n">
        <f aca="false">IF(Q44="","",IFERROR(R44/$B$3,0))</f>
        <v>0.0166666666666667</v>
      </c>
      <c r="T44" s="38" t="str">
        <f aca="false" t="array" ref="T44:T44">IF(Q44="","",IFERROR(INDEX(SummaryData[Engagement Type],MATCH(TRIM(Q44),TRIM(SummaryData[Statement]),0)),""))</f>
        <v>Large Connect</v>
      </c>
      <c r="AJ44" s="17" t="str">
        <f aca="false">IF(Data_Summary!Y45&lt;&gt;"Coverage","",IF(Data_Summary!AA45="","",IF(COUNTIFS(Data_Summary!$Y$2:$Y45,"Coverage",Data_Summary!$AA$2:$AA45,Data_Summary!AA45)=1,Data_Summary!AA45,"")))</f>
        <v/>
      </c>
      <c r="AK44" s="17" t="str">
        <f aca="false">IF(AJ44="","",COUNTIFS(Data_Summary!$Y$2:$Y$20001,"Coverage",Data_Summary!$AA$2:$AA$20001,AJ44))</f>
        <v/>
      </c>
      <c r="AM44" s="17" t="str">
        <f aca="false">IF(Data_Insight!X44="","",IF(COUNTIF(Data_Insight!$X$2:$X44,Data_Insight!X44)=1,Data_Insight!X44,""))</f>
        <v/>
      </c>
      <c r="AN44" s="17" t="str">
        <f aca="false">IF(AM44="","",COUNTIF(Data_Insight!$X$2:$X$20001,AM44))</f>
        <v/>
      </c>
    </row>
    <row r="45" customFormat="false" ht="15" hidden="false" customHeight="true" outlineLevel="0" collapsed="false">
      <c r="A45" s="30" t="s">
        <v>23</v>
      </c>
      <c r="B45" s="30" t="n">
        <f aca="false">COUNTIF(RawData[CARES Framework],A45)</f>
        <v>14</v>
      </c>
      <c r="Q45" s="36" t="str">
        <f aca="false" t="array" ref="Q45:Q45">IFERROR(INDEX($AJ$2:$AJ$599,MATCH(1,($AK$2:$AK$599=R45)*(COUNTIF($Q$3:$Q44,$AJ$2:$AJ$599)=0)*($AJ$2:$AJ$599&lt;&gt;""),0)),"")</f>
        <v>Career Support &amp; Sponsorship</v>
      </c>
      <c r="R45" s="34" t="n">
        <f aca="false">IFERROR(LARGE($AK$2:$AK$599,43),"")</f>
        <v>5</v>
      </c>
      <c r="S45" s="37" t="n">
        <f aca="false">IF(Q45="","",IFERROR(R45/$B$3,0))</f>
        <v>0.0166666666666667</v>
      </c>
      <c r="T45" s="38" t="str">
        <f aca="false" t="array" ref="T45:T45">IF(Q45="","",IFERROR(INDEX(SummaryData[Engagement Type],MATCH(TRIM(Q45),TRIM(SummaryData[Statement]),0)),""))</f>
        <v>FGD</v>
      </c>
      <c r="AJ45" s="17" t="str">
        <f aca="false">IF(Data_Summary!Y46&lt;&gt;"Coverage","",IF(Data_Summary!AA46="","",IF(COUNTIFS(Data_Summary!$Y$2:$Y46,"Coverage",Data_Summary!$AA$2:$AA46,Data_Summary!AA46)=1,Data_Summary!AA46,"")))</f>
        <v/>
      </c>
      <c r="AK45" s="17" t="str">
        <f aca="false">IF(AJ45="","",COUNTIFS(Data_Summary!$Y$2:$Y$20001,"Coverage",Data_Summary!$AA$2:$AA$20001,AJ45))</f>
        <v/>
      </c>
      <c r="AM45" s="17" t="str">
        <f aca="false">IF(Data_Insight!X45="","",IF(COUNTIF(Data_Insight!$X$2:$X45,Data_Insight!X45)=1,Data_Insight!X45,""))</f>
        <v/>
      </c>
      <c r="AN45" s="17" t="str">
        <f aca="false">IF(AM45="","",COUNTIF(Data_Insight!$X$2:$X$20001,AM45))</f>
        <v/>
      </c>
    </row>
    <row r="46" customFormat="false" ht="15" hidden="false" customHeight="true" outlineLevel="0" collapsed="false">
      <c r="A46" s="30" t="s">
        <v>25</v>
      </c>
      <c r="B46" s="30" t="n">
        <f aca="false">COUNTIF(RawData[CARES Framework],A46)</f>
        <v>15</v>
      </c>
      <c r="Q46" s="36" t="str">
        <f aca="false" t="array" ref="Q46:Q46">IFERROR(INDEX($AJ$2:$AJ$599,MATCH(1,($AK$2:$AK$599=R46)*(COUNTIF($Q$3:$Q45,$AJ$2:$AJ$599)=0)*($AJ$2:$AJ$599&lt;&gt;""),0)),"")</f>
        <v>Learning &amp; Skill Building</v>
      </c>
      <c r="R46" s="34" t="n">
        <f aca="false">IFERROR(LARGE($AK$2:$AK$599,44),"")</f>
        <v>5</v>
      </c>
      <c r="S46" s="37" t="n">
        <f aca="false">IF(Q46="","",IFERROR(R46/$B$3,0))</f>
        <v>0.0166666666666667</v>
      </c>
      <c r="T46" s="38" t="str">
        <f aca="false" t="array" ref="T46:T46">IF(Q46="","",IFERROR(INDEX(SummaryData[Engagement Type],MATCH(TRIM(Q46),TRIM(SummaryData[Statement]),0)),""))</f>
        <v>Floor Connect</v>
      </c>
      <c r="AJ46" s="17" t="str">
        <f aca="false">IF(Data_Summary!Y47&lt;&gt;"Coverage","",IF(Data_Summary!AA47="","",IF(COUNTIFS(Data_Summary!$Y$2:$Y47,"Coverage",Data_Summary!$AA$2:$AA47,Data_Summary!AA47)=1,Data_Summary!AA47,"")))</f>
        <v/>
      </c>
      <c r="AK46" s="17" t="str">
        <f aca="false">IF(AJ46="","",COUNTIFS(Data_Summary!$Y$2:$Y$20001,"Coverage",Data_Summary!$AA$2:$AA$20001,AJ46))</f>
        <v/>
      </c>
      <c r="AM46" s="17" t="str">
        <f aca="false">IF(Data_Insight!X46="","",IF(COUNTIF(Data_Insight!$X$2:$X46,Data_Insight!X46)=1,Data_Insight!X46,""))</f>
        <v/>
      </c>
      <c r="AN46" s="17" t="str">
        <f aca="false">IF(AM46="","",COUNTIF(Data_Insight!$X$2:$X$20001,AM46))</f>
        <v/>
      </c>
    </row>
    <row r="47" customFormat="false" ht="15" hidden="false" customHeight="true" outlineLevel="0" collapsed="false">
      <c r="A47" s="30"/>
      <c r="B47" s="30"/>
      <c r="Q47" s="36" t="str">
        <f aca="false" t="array" ref="Q47:Q47">IFERROR(INDEX($AJ$2:$AJ$599,MATCH(1,($AK$2:$AK$599=R47)*(COUNTIF($Q$3:$Q46,$AJ$2:$AJ$599)=0)*($AJ$2:$AJ$599&lt;&gt;""),0)),"")</f>
        <v>Timesheet Submission/approval Process Inconsistencies Create</v>
      </c>
      <c r="R47" s="34" t="n">
        <f aca="false">IFERROR(LARGE($AK$2:$AK$599,45),"")</f>
        <v>5</v>
      </c>
      <c r="S47" s="37" t="n">
        <f aca="false">IF(Q47="","",IFERROR(R47/$B$3,0))</f>
        <v>0.0166666666666667</v>
      </c>
      <c r="T47" s="38" t="str">
        <f aca="false" t="array" ref="T47:T47">IF(Q47="","",IFERROR(INDEX(SummaryData[Engagement Type],MATCH(TRIM(Q47),TRIM(SummaryData[Statement]),0)),""))</f>
        <v>FGD</v>
      </c>
      <c r="AJ47" s="17" t="str">
        <f aca="false">IF(Data_Summary!Y48&lt;&gt;"Coverage","",IF(Data_Summary!AA48="","",IF(COUNTIFS(Data_Summary!$Y$2:$Y48,"Coverage",Data_Summary!$AA$2:$AA48,Data_Summary!AA48)=1,Data_Summary!AA48,"")))</f>
        <v>Career Support &amp; Sponsorship</v>
      </c>
      <c r="AK47" s="17" t="n">
        <f aca="false">IF(AJ47="","",COUNTIFS(Data_Summary!$Y$2:$Y$20001,"Coverage",Data_Summary!$AA$2:$AA$20001,AJ47))</f>
        <v>5</v>
      </c>
      <c r="AM47" s="17" t="str">
        <f aca="false">IF(Data_Insight!X47="","",IF(COUNTIF(Data_Insight!$X$2:$X47,Data_Insight!X47)=1,Data_Insight!X47,""))</f>
        <v/>
      </c>
      <c r="AN47" s="17" t="str">
        <f aca="false">IF(AM47="","",COUNTIF(Data_Insight!$X$2:$X$20001,AM47))</f>
        <v/>
      </c>
    </row>
    <row r="48" customFormat="false" ht="15" hidden="false" customHeight="true" outlineLevel="0" collapsed="false">
      <c r="A48" s="21" t="s">
        <v>2055</v>
      </c>
      <c r="B48" s="21"/>
      <c r="C48" s="21"/>
      <c r="D48" s="21"/>
      <c r="Q48" s="36" t="str">
        <f aca="false" t="array" ref="Q48:Q48">IFERROR(INDEX($AJ$2:$AJ$599,MATCH(1,($AK$2:$AK$599=R48)*(COUNTIF($Q$3:$Q47,$AJ$2:$AJ$599)=0)*($AJ$2:$AJ$599&lt;&gt;""),0)),"")</f>
        <v>Recognition &amp; Visibility of Growth</v>
      </c>
      <c r="R48" s="34" t="n">
        <f aca="false">IFERROR(LARGE($AK$2:$AK$599,46),"")</f>
        <v>5</v>
      </c>
      <c r="S48" s="37" t="n">
        <f aca="false">IF(Q48="","",IFERROR(R48/$B$3,0))</f>
        <v>0.0166666666666667</v>
      </c>
      <c r="T48" s="38" t="str">
        <f aca="false" t="array" ref="T48:T48">IF(Q48="","",IFERROR(INDEX(SummaryData[Engagement Type],MATCH(TRIM(Q48),TRIM(SummaryData[Statement]),0)),""))</f>
        <v>Large Connect</v>
      </c>
      <c r="AJ48" s="17" t="str">
        <f aca="false">IF(Data_Summary!Y49&lt;&gt;"Coverage","",IF(Data_Summary!AA49="","",IF(COUNTIFS(Data_Summary!$Y$2:$Y49,"Coverage",Data_Summary!$AA$2:$AA49,Data_Summary!AA49)=1,Data_Summary!AA49,"")))</f>
        <v>Work-Life Balance &amp; Flexibility</v>
      </c>
      <c r="AK48" s="17" t="n">
        <f aca="false">IF(AJ48="","",COUNTIFS(Data_Summary!$Y$2:$Y$20001,"Coverage",Data_Summary!$AA$2:$AA$20001,AJ48))</f>
        <v>7</v>
      </c>
      <c r="AM48" s="17" t="str">
        <f aca="false">IF(Data_Insight!X48="","",IF(COUNTIF(Data_Insight!$X$2:$X48,Data_Insight!X48)=1,Data_Insight!X48,""))</f>
        <v/>
      </c>
      <c r="AN48" s="17" t="str">
        <f aca="false">IF(AM48="","",COUNTIF(Data_Insight!$X$2:$X$20001,AM48))</f>
        <v/>
      </c>
    </row>
    <row r="49" customFormat="false" ht="15" hidden="false" customHeight="true" outlineLevel="0" collapsed="false">
      <c r="A49" s="24" t="s">
        <v>2056</v>
      </c>
      <c r="B49" s="24" t="s">
        <v>2009</v>
      </c>
      <c r="C49" s="24" t="s">
        <v>2057</v>
      </c>
      <c r="Q49" s="36" t="str">
        <f aca="false" t="array" ref="Q49:Q49">IFERROR(INDEX($AJ$2:$AJ$599,MATCH(1,($AK$2:$AK$599=R49)*(COUNTIF($Q$3:$Q48,$AJ$2:$AJ$599)=0)*($AJ$2:$AJ$599&lt;&gt;""),0)),"")</f>
        <v>Communication &amp; Transparency</v>
      </c>
      <c r="R49" s="34" t="n">
        <f aca="false">IFERROR(LARGE($AK$2:$AK$599,47),"")</f>
        <v>5</v>
      </c>
      <c r="S49" s="37" t="n">
        <f aca="false">IF(Q49="","",IFERROR(R49/$B$3,0))</f>
        <v>0.0166666666666667</v>
      </c>
      <c r="T49" s="38" t="str">
        <f aca="false" t="array" ref="T49:T49">IF(Q49="","",IFERROR(INDEX(SummaryData[Engagement Type],MATCH(TRIM(Q49),TRIM(SummaryData[Statement]),0)),""))</f>
        <v>1:1</v>
      </c>
      <c r="AJ49" s="17" t="str">
        <f aca="false">IF(Data_Summary!Y50&lt;&gt;"Coverage","",IF(Data_Summary!AA50="","",IF(COUNTIFS(Data_Summary!$Y$2:$Y50,"Coverage",Data_Summary!$AA$2:$AA50,Data_Summary!AA50)=1,Data_Summary!AA50,"")))</f>
        <v/>
      </c>
      <c r="AK49" s="17" t="str">
        <f aca="false">IF(AJ49="","",COUNTIFS(Data_Summary!$Y$2:$Y$20001,"Coverage",Data_Summary!$AA$2:$AA$20001,AJ49))</f>
        <v/>
      </c>
      <c r="AM49" s="17" t="str">
        <f aca="false">IF(Data_Insight!X49="","",IF(COUNTIF(Data_Insight!$X$2:$X49,Data_Insight!X49)=1,Data_Insight!X49,""))</f>
        <v/>
      </c>
      <c r="AN49" s="17" t="str">
        <f aca="false">IF(AM49="","",COUNTIF(Data_Insight!$X$2:$X$20001,AM49))</f>
        <v/>
      </c>
    </row>
    <row r="50" customFormat="false" ht="15" hidden="false" customHeight="true" outlineLevel="0" collapsed="false">
      <c r="A50" s="30" t="s">
        <v>112</v>
      </c>
      <c r="B50" s="30" t="n">
        <f aca="false">COUNTIF(RawData[Engagement Mode],C50)</f>
        <v>206</v>
      </c>
      <c r="C50" s="43" t="s">
        <v>112</v>
      </c>
      <c r="Q50" s="36" t="str">
        <f aca="false" t="array" ref="Q50:Q50">IFERROR(INDEX($AJ$2:$AJ$599,MATCH(1,($AK$2:$AK$599=R50)*(COUNTIF($Q$3:$Q49,$AJ$2:$AJ$599)=0)*($AJ$2:$AJ$599&lt;&gt;""),0)),"")</f>
        <v>Strategic Connect</v>
      </c>
      <c r="R50" s="34" t="n">
        <f aca="false">IFERROR(LARGE($AK$2:$AK$599,48),"")</f>
        <v>5</v>
      </c>
      <c r="S50" s="37" t="n">
        <f aca="false">IF(Q50="","",IFERROR(R50/$B$3,0))</f>
        <v>0.0166666666666667</v>
      </c>
      <c r="T50" s="38" t="str">
        <f aca="false" t="array" ref="T50:T50">IF(Q50="","",IFERROR(INDEX(SummaryData[Engagement Type],MATCH(TRIM(Q50),TRIM(SummaryData[Statement]),0)),""))</f>
        <v>Large Connect</v>
      </c>
      <c r="AJ50" s="17" t="str">
        <f aca="false">IF(Data_Summary!Y51&lt;&gt;"Coverage","",IF(Data_Summary!AA51="","",IF(COUNTIFS(Data_Summary!$Y$2:$Y51,"Coverage",Data_Summary!$AA$2:$AA51,Data_Summary!AA51)=1,Data_Summary!AA51,"")))</f>
        <v/>
      </c>
      <c r="AK50" s="17" t="str">
        <f aca="false">IF(AJ50="","",COUNTIFS(Data_Summary!$Y$2:$Y$20001,"Coverage",Data_Summary!$AA$2:$AA$20001,AJ50))</f>
        <v/>
      </c>
      <c r="AM50" s="17" t="str">
        <f aca="false">IF(Data_Insight!X50="","",IF(COUNTIF(Data_Insight!$X$2:$X50,Data_Insight!X50)=1,Data_Insight!X50,""))</f>
        <v/>
      </c>
      <c r="AN50" s="17" t="str">
        <f aca="false">IF(AM50="","",COUNTIF(Data_Insight!$X$2:$X$20001,AM50))</f>
        <v/>
      </c>
    </row>
    <row r="51" customFormat="false" ht="15" hidden="false" customHeight="true" outlineLevel="0" collapsed="false">
      <c r="A51" s="30" t="s">
        <v>2058</v>
      </c>
      <c r="B51" s="30" t="n">
        <f aca="false">COUNTIF(RawData[Engagement Mode],C51)</f>
        <v>67</v>
      </c>
      <c r="C51" s="43" t="s">
        <v>145</v>
      </c>
      <c r="Q51" s="36" t="str">
        <f aca="false" t="array" ref="Q51:Q51">IFERROR(INDEX($AJ$2:$AJ$599,MATCH(1,($AK$2:$AK$599=R51)*(COUNTIF($Q$3:$Q50,$AJ$2:$AJ$599)=0)*($AJ$2:$AJ$599&lt;&gt;""),0)),"")</f>
        <v>Feedback Mechanism</v>
      </c>
      <c r="R51" s="34" t="n">
        <f aca="false">IFERROR(LARGE($AK$2:$AK$599,49),"")</f>
        <v>5</v>
      </c>
      <c r="S51" s="37" t="n">
        <f aca="false">IF(Q51="","",IFERROR(R51/$B$3,0))</f>
        <v>0.0166666666666667</v>
      </c>
      <c r="T51" s="38" t="str">
        <f aca="false" t="array" ref="T51:T51">IF(Q51="","",IFERROR(INDEX(SummaryData[Engagement Type],MATCH(TRIM(Q51),TRIM(SummaryData[Statement]),0)),""))</f>
        <v>Large Connect</v>
      </c>
      <c r="AJ51" s="17" t="str">
        <f aca="false">IF(Data_Summary!Y52&lt;&gt;"Coverage","",IF(Data_Summary!AA52="","",IF(COUNTIFS(Data_Summary!$Y$2:$Y52,"Coverage",Data_Summary!$AA$2:$AA52,Data_Summary!AA52)=1,Data_Summary!AA52,"")))</f>
        <v/>
      </c>
      <c r="AK51" s="17" t="str">
        <f aca="false">IF(AJ51="","",COUNTIFS(Data_Summary!$Y$2:$Y$20001,"Coverage",Data_Summary!$AA$2:$AA$20001,AJ51))</f>
        <v/>
      </c>
      <c r="AM51" s="17" t="str">
        <f aca="false">IF(Data_Insight!X51="","",IF(COUNTIF(Data_Insight!$X$2:$X51,Data_Insight!X51)=1,Data_Insight!X51,""))</f>
        <v>NA</v>
      </c>
      <c r="AN51" s="17" t="n">
        <f aca="false">IF(AM51="","",COUNTIF(Data_Insight!$X$2:$X$20001,AM51))</f>
        <v>3</v>
      </c>
    </row>
    <row r="52" customFormat="false" ht="15" hidden="false" customHeight="true" outlineLevel="0" collapsed="false">
      <c r="A52" s="30" t="s">
        <v>2059</v>
      </c>
      <c r="B52" s="30" t="n">
        <f aca="false">COUNTIF(RawData[Engagement Mode],C52)</f>
        <v>20</v>
      </c>
      <c r="C52" s="43" t="s">
        <v>247</v>
      </c>
      <c r="Q52" s="36" t="str">
        <f aca="false" t="array" ref="Q52:Q52">IFERROR(INDEX($AJ$2:$AJ$599,MATCH(1,($AK$2:$AK$599=R52)*(COUNTIF($Q$3:$Q51,$AJ$2:$AJ$599)=0)*($AJ$2:$AJ$599&lt;&gt;""),0)),"")</f>
        <v>Work-Life &amp; Sustainability Signals</v>
      </c>
      <c r="R52" s="34" t="n">
        <f aca="false">IFERROR(LARGE($AK$2:$AK$599,50),"")</f>
        <v>5</v>
      </c>
      <c r="S52" s="37" t="n">
        <f aca="false">IF(Q52="","",IFERROR(R52/$B$3,0))</f>
        <v>0.0166666666666667</v>
      </c>
      <c r="T52" s="38" t="str">
        <f aca="false" t="array" ref="T52:T52">IF(Q52="","",IFERROR(INDEX(SummaryData[Engagement Type],MATCH(TRIM(Q52),TRIM(SummaryData[Statement]),0)),""))</f>
        <v>Large Connect</v>
      </c>
      <c r="AJ52" s="17" t="str">
        <f aca="false">IF(Data_Summary!Y53&lt;&gt;"Coverage","",IF(Data_Summary!AA53="","",IF(COUNTIFS(Data_Summary!$Y$2:$Y53,"Coverage",Data_Summary!$AA$2:$AA53,Data_Summary!AA53)=1,Data_Summary!AA53,"")))</f>
        <v/>
      </c>
      <c r="AK52" s="17" t="str">
        <f aca="false">IF(AJ52="","",COUNTIFS(Data_Summary!$Y$2:$Y$20001,"Coverage",Data_Summary!$AA$2:$AA$20001,AJ52))</f>
        <v/>
      </c>
      <c r="AM52" s="17" t="str">
        <f aca="false">IF(Data_Insight!X52="","",IF(COUNTIF(Data_Insight!$X$2:$X52,Data_Insight!X52)=1,Data_Insight!X52,""))</f>
        <v/>
      </c>
      <c r="AN52" s="17" t="str">
        <f aca="false">IF(AM52="","",COUNTIF(Data_Insight!$X$2:$X$20001,AM52))</f>
        <v/>
      </c>
    </row>
    <row r="53" customFormat="false" ht="15" hidden="false" customHeight="true" outlineLevel="0" collapsed="false">
      <c r="A53" s="30" t="s">
        <v>2060</v>
      </c>
      <c r="B53" s="30" t="n">
        <f aca="false">COUNTIF(RawData[Engagement Mode],C53)</f>
        <v>7</v>
      </c>
      <c r="C53" s="43" t="s">
        <v>198</v>
      </c>
      <c r="Q53" s="36" t="str">
        <f aca="false" t="array" ref="Q53:Q53">IFERROR(INDEX($AJ$2:$AJ$599,MATCH(1,($AK$2:$AK$599=R53)*(COUNTIF($Q$3:$Q52,$AJ$2:$AJ$599)=0)*($AJ$2:$AJ$599&lt;&gt;""),0)),"")</f>
        <v>Initial Organization Understanding</v>
      </c>
      <c r="R53" s="34" t="n">
        <f aca="false">IFERROR(LARGE($AK$2:$AK$599,51),"")</f>
        <v>5</v>
      </c>
      <c r="S53" s="37" t="n">
        <f aca="false">IF(Q53="","",IFERROR(R53/$B$3,0))</f>
        <v>0.0166666666666667</v>
      </c>
      <c r="T53" s="38" t="str">
        <f aca="false" t="array" ref="T53:T53">IF(Q53="","",IFERROR(INDEX(SummaryData[Engagement Type],MATCH(TRIM(Q53),TRIM(SummaryData[Statement]),0)),""))</f>
        <v>Location-Mixed</v>
      </c>
      <c r="AJ53" s="17" t="str">
        <f aca="false">IF(Data_Summary!Y54&lt;&gt;"Coverage","",IF(Data_Summary!AA54="","",IF(COUNTIFS(Data_Summary!$Y$2:$Y54,"Coverage",Data_Summary!$AA$2:$AA54,Data_Summary!AA54)=1,Data_Summary!AA54,"")))</f>
        <v>Feedback on recent processes</v>
      </c>
      <c r="AK53" s="17" t="n">
        <f aca="false">IF(AJ53="","",COUNTIFS(Data_Summary!$Y$2:$Y$20001,"Coverage",Data_Summary!$AA$2:$AA$20001,AJ53))</f>
        <v>24</v>
      </c>
      <c r="AM53" s="17" t="str">
        <f aca="false">IF(Data_Insight!X53="","",IF(COUNTIF(Data_Insight!$X$2:$X53,Data_Insight!X53)=1,Data_Insight!X53,""))</f>
        <v/>
      </c>
      <c r="AN53" s="17" t="str">
        <f aca="false">IF(AM53="","",COUNTIF(Data_Insight!$X$2:$X$20001,AM53))</f>
        <v/>
      </c>
    </row>
    <row r="54" customFormat="false" ht="25.5" hidden="false" customHeight="true" outlineLevel="0" collapsed="false">
      <c r="Q54" s="36" t="str">
        <f aca="false" t="array" ref="Q54:Q54">IFERROR(INDEX($AJ$2:$AJ$599,MATCH(1,($AK$2:$AK$599=R54)*(COUNTIF($Q$3:$Q53,$AJ$2:$AJ$599)=0)*($AJ$2:$AJ$599&lt;&gt;""),0)),"")</f>
        <v>HR Process Clarity</v>
      </c>
      <c r="R54" s="34" t="n">
        <f aca="false">IFERROR(LARGE($AK$2:$AK$599,52),"")</f>
        <v>5</v>
      </c>
      <c r="S54" s="37" t="n">
        <f aca="false">IF(Q54="","",IFERROR(R54/$B$3,0))</f>
        <v>0.0166666666666667</v>
      </c>
      <c r="T54" s="38" t="str">
        <f aca="false" t="array" ref="T54:T54">IF(Q54="","",IFERROR(INDEX(SummaryData[Engagement Type],MATCH(TRIM(Q54),TRIM(SummaryData[Statement]),0)),""))</f>
        <v>FGD</v>
      </c>
      <c r="AJ54" s="17" t="str">
        <f aca="false">IF(Data_Summary!Y55&lt;&gt;"Coverage","",IF(Data_Summary!AA55="","",IF(COUNTIFS(Data_Summary!$Y$2:$Y55,"Coverage",Data_Summary!$AA$2:$AA55,Data_Summary!AA55)=1,Data_Summary!AA55,"")))</f>
        <v/>
      </c>
      <c r="AK54" s="17" t="str">
        <f aca="false">IF(AJ54="","",COUNTIFS(Data_Summary!$Y$2:$Y$20001,"Coverage",Data_Summary!$AA$2:$AA$20001,AJ54))</f>
        <v/>
      </c>
      <c r="AM54" s="17" t="str">
        <f aca="false">IF(Data_Insight!X54="","",IF(COUNTIF(Data_Insight!$X$2:$X54,Data_Insight!X54)=1,Data_Insight!X54,""))</f>
        <v/>
      </c>
      <c r="AN54" s="17" t="str">
        <f aca="false">IF(AM54="","",COUNTIF(Data_Insight!$X$2:$X$20001,AM54))</f>
        <v/>
      </c>
    </row>
    <row r="55" customFormat="false" ht="25.5" hidden="false" customHeight="true" outlineLevel="0" collapsed="false">
      <c r="A55" s="20"/>
      <c r="B55" s="25"/>
      <c r="Q55" s="36" t="str">
        <f aca="false" t="array" ref="Q55:Q55">IFERROR(INDEX($AJ$2:$AJ$599,MATCH(1,($AK$2:$AK$599=R55)*(COUNTIF($Q$3:$Q54,$AJ$2:$AJ$599)=0)*($AJ$2:$AJ$599&lt;&gt;""),0)),"")</f>
        <v>AI/future Readiness Messaging Is High-level</v>
      </c>
      <c r="R55" s="34" t="n">
        <f aca="false">IFERROR(LARGE($AK$2:$AK$599,53),"")</f>
        <v>4</v>
      </c>
      <c r="S55" s="37" t="n">
        <f aca="false">IF(Q55="","",IFERROR(R55/$B$3,0))</f>
        <v>0.0133333333333333</v>
      </c>
      <c r="T55" s="38" t="str">
        <f aca="false" t="array" ref="T55:T55">IF(Q55="","",IFERROR(INDEX(SummaryData[Engagement Type],MATCH(TRIM(Q55),TRIM(SummaryData[Statement]),0)),""))</f>
        <v>Large Connect</v>
      </c>
      <c r="AJ55" s="17" t="str">
        <f aca="false">IF(Data_Summary!Y56&lt;&gt;"Coverage","",IF(Data_Summary!AA56="","",IF(COUNTIFS(Data_Summary!$Y$2:$Y56,"Coverage",Data_Summary!$AA$2:$AA56,Data_Summary!AA56)=1,Data_Summary!AA56,"")))</f>
        <v/>
      </c>
      <c r="AK55" s="17" t="str">
        <f aca="false">IF(AJ55="","",COUNTIFS(Data_Summary!$Y$2:$Y$20001,"Coverage",Data_Summary!$AA$2:$AA$20001,AJ55))</f>
        <v/>
      </c>
      <c r="AM55" s="17" t="str">
        <f aca="false">IF(Data_Insight!X55="","",IF(COUNTIF(Data_Insight!$X$2:$X55,Data_Insight!X55)=1,Data_Insight!X55,""))</f>
        <v/>
      </c>
      <c r="AN55" s="17" t="str">
        <f aca="false">IF(AM55="","",COUNTIF(Data_Insight!$X$2:$X$20001,AM55))</f>
        <v/>
      </c>
    </row>
    <row r="56" customFormat="false" ht="25.5" hidden="false" customHeight="true" outlineLevel="0" collapsed="false">
      <c r="A56" s="25"/>
      <c r="B56" s="25"/>
      <c r="C56" s="25"/>
      <c r="D56" s="25"/>
      <c r="Q56" s="36" t="str">
        <f aca="false" t="array" ref="Q56:Q56">IFERROR(INDEX($AJ$2:$AJ$599,MATCH(1,($AK$2:$AK$599=R56)*(COUNTIF($Q$3:$Q55,$AJ$2:$AJ$599)=0)*($AJ$2:$AJ$599&lt;&gt;""),0)),"")</f>
        <v>Empathy And Communication</v>
      </c>
      <c r="R56" s="34" t="n">
        <f aca="false">IFERROR(LARGE($AK$2:$AK$599,54),"")</f>
        <v>4</v>
      </c>
      <c r="S56" s="37" t="n">
        <f aca="false">IF(Q56="","",IFERROR(R56/$B$3,0))</f>
        <v>0.0133333333333333</v>
      </c>
      <c r="T56" s="38" t="str">
        <f aca="false" t="array" ref="T56:T56">IF(Q56="","",IFERROR(INDEX(SummaryData[Engagement Type],MATCH(TRIM(Q56),TRIM(SummaryData[Statement]),0)),""))</f>
        <v>Large Connect</v>
      </c>
      <c r="AJ56" s="17" t="str">
        <f aca="false">IF(Data_Summary!Y57&lt;&gt;"Coverage","",IF(Data_Summary!AA57="","",IF(COUNTIFS(Data_Summary!$Y$2:$Y57,"Coverage",Data_Summary!$AA$2:$AA57,Data_Summary!AA57)=1,Data_Summary!AA57,"")))</f>
        <v/>
      </c>
      <c r="AK56" s="17" t="str">
        <f aca="false">IF(AJ56="","",COUNTIFS(Data_Summary!$Y$2:$Y$20001,"Coverage",Data_Summary!$AA$2:$AA$20001,AJ56))</f>
        <v/>
      </c>
      <c r="AM56" s="17" t="str">
        <f aca="false">IF(Data_Insight!X56="","",IF(COUNTIF(Data_Insight!$X$2:$X56,Data_Insight!X56)=1,Data_Insight!X56,""))</f>
        <v/>
      </c>
      <c r="AN56" s="17" t="str">
        <f aca="false">IF(AM56="","",COUNTIF(Data_Insight!$X$2:$X$20001,AM56))</f>
        <v/>
      </c>
    </row>
    <row r="57" customFormat="false" ht="15" hidden="false" customHeight="true" outlineLevel="0" collapsed="false">
      <c r="A57" s="44"/>
      <c r="B57" s="45"/>
      <c r="C57" s="46"/>
      <c r="D57" s="47"/>
      <c r="E57" s="17" t="n">
        <f aca="false">IFERROR(IF(D170=0,0,(D170-E170)/D170),0)</f>
        <v>0</v>
      </c>
      <c r="Q57" s="36" t="str">
        <f aca="false" t="array" ref="Q57:Q57">IFERROR(INDEX($AJ$2:$AJ$599,MATCH(1,($AK$2:$AK$599=R57)*(COUNTIF($Q$3:$Q56,$AJ$2:$AJ$599)=0)*($AJ$2:$AJ$599&lt;&gt;""),0)),"")</f>
        <v>Inclusive Team Practices</v>
      </c>
      <c r="R57" s="34" t="n">
        <f aca="false">IFERROR(LARGE($AK$2:$AK$599,55),"")</f>
        <v>4</v>
      </c>
      <c r="S57" s="37" t="n">
        <f aca="false">IF(Q57="","",IFERROR(R57/$B$3,0))</f>
        <v>0.0133333333333333</v>
      </c>
      <c r="T57" s="38" t="str">
        <f aca="false" t="array" ref="T57:T57">IF(Q57="","",IFERROR(INDEX(SummaryData[Engagement Type],MATCH(TRIM(Q57),TRIM(SummaryData[Statement]),0)),""))</f>
        <v>FGD</v>
      </c>
      <c r="AJ57" s="17" t="str">
        <f aca="false">IF(Data_Summary!Y58&lt;&gt;"Coverage","",IF(Data_Summary!AA58="","",IF(COUNTIFS(Data_Summary!$Y$2:$Y58,"Coverage",Data_Summary!$AA$2:$AA58,Data_Summary!AA58)=1,Data_Summary!AA58,"")))</f>
        <v/>
      </c>
      <c r="AK57" s="17" t="str">
        <f aca="false">IF(AJ57="","",COUNTIFS(Data_Summary!$Y$2:$Y$20001,"Coverage",Data_Summary!$AA$2:$AA$20001,AJ57))</f>
        <v/>
      </c>
      <c r="AM57" s="17" t="str">
        <f aca="false">IF(Data_Insight!X57="","",IF(COUNTIF(Data_Insight!$X$2:$X57,Data_Insight!X57)=1,Data_Insight!X57,""))</f>
        <v/>
      </c>
      <c r="AN57" s="17" t="str">
        <f aca="false">IF(AM57="","",COUNTIF(Data_Insight!$X$2:$X$20001,AM57))</f>
        <v/>
      </c>
    </row>
    <row r="58" customFormat="false" ht="25.5" hidden="false" customHeight="true" outlineLevel="0" collapsed="false">
      <c r="A58" s="44"/>
      <c r="B58" s="45"/>
      <c r="C58" s="46"/>
      <c r="D58" s="47"/>
      <c r="Q58" s="36" t="str">
        <f aca="false" t="array" ref="Q58:Q58">IFERROR(INDEX($AJ$2:$AJ$599,MATCH(1,($AK$2:$AK$599=R58)*(COUNTIF($Q$3:$Q57,$AJ$2:$AJ$599)=0)*($AJ$2:$AJ$599&lt;&gt;""),0)),"")</f>
        <v>Career Clarity &amp; Growth Continuity</v>
      </c>
      <c r="R58" s="34" t="n">
        <f aca="false">IFERROR(LARGE($AK$2:$AK$599,56),"")</f>
        <v>4</v>
      </c>
      <c r="S58" s="37" t="n">
        <f aca="false">IF(Q58="","",IFERROR(R58/$B$3,0))</f>
        <v>0.0133333333333333</v>
      </c>
      <c r="T58" s="38" t="str">
        <f aca="false" t="array" ref="T58:T58">IF(Q58="","",IFERROR(INDEX(SummaryData[Engagement Type],MATCH(TRIM(Q58),TRIM(SummaryData[Statement]),0)),""))</f>
        <v>Leadership Connect</v>
      </c>
      <c r="AJ58" s="17" t="str">
        <f aca="false">IF(Data_Summary!Y59&lt;&gt;"Coverage","",IF(Data_Summary!AA59="","",IF(COUNTIFS(Data_Summary!$Y$2:$Y59,"Coverage",Data_Summary!$AA$2:$AA59,Data_Summary!AA59)=1,Data_Summary!AA59,"")))</f>
        <v>AI Session</v>
      </c>
      <c r="AK58" s="17" t="n">
        <f aca="false">IF(AJ58="","",COUNTIFS(Data_Summary!$Y$2:$Y$20001,"Coverage",Data_Summary!$AA$2:$AA$20001,AJ58))</f>
        <v>3</v>
      </c>
      <c r="AM58" s="17" t="str">
        <f aca="false">IF(Data_Insight!X58="","",IF(COUNTIF(Data_Insight!$X$2:$X58,Data_Insight!X58)=1,Data_Insight!X58,""))</f>
        <v/>
      </c>
      <c r="AN58" s="17" t="str">
        <f aca="false">IF(AM58="","",COUNTIF(Data_Insight!$X$2:$X$20001,AM58))</f>
        <v/>
      </c>
    </row>
    <row r="59" customFormat="false" ht="25.5" hidden="false" customHeight="true" outlineLevel="0" collapsed="false">
      <c r="A59" s="44"/>
      <c r="B59" s="45"/>
      <c r="C59" s="46"/>
      <c r="D59" s="47"/>
      <c r="Q59" s="36" t="str">
        <f aca="false" t="array" ref="Q59:Q59">IFERROR(INDEX($AJ$2:$AJ$599,MATCH(1,($AK$2:$AK$599=R59)*(COUNTIF($Q$3:$Q58,$AJ$2:$AJ$599)=0)*($AJ$2:$AJ$599&lt;&gt;""),0)),"")</f>
        <v>Allocation &amp; Deployment Transparency</v>
      </c>
      <c r="R59" s="34" t="n">
        <f aca="false">IFERROR(LARGE($AK$2:$AK$599,57),"")</f>
        <v>4</v>
      </c>
      <c r="S59" s="37" t="n">
        <f aca="false">IF(Q59="","",IFERROR(R59/$B$3,0))</f>
        <v>0.0133333333333333</v>
      </c>
      <c r="T59" s="38" t="str">
        <f aca="false" t="array" ref="T59:T59">IF(Q59="","",IFERROR(INDEX(SummaryData[Engagement Type],MATCH(TRIM(Q59),TRIM(SummaryData[Statement]),0)),""))</f>
        <v>Leadership Connect</v>
      </c>
      <c r="AJ59" s="17" t="str">
        <f aca="false">IF(Data_Summary!Y60&lt;&gt;"Coverage","",IF(Data_Summary!AA60="","",IF(COUNTIFS(Data_Summary!$Y$2:$Y60,"Coverage",Data_Summary!$AA$2:$AA60,Data_Summary!AA60)=1,Data_Summary!AA60,"")))</f>
        <v>Review Cadence</v>
      </c>
      <c r="AK59" s="17" t="n">
        <f aca="false">IF(AJ59="","",COUNTIFS(Data_Summary!$Y$2:$Y$20001,"Coverage",Data_Summary!$AA$2:$AA$20001,AJ59))</f>
        <v>1</v>
      </c>
      <c r="AM59" s="17" t="str">
        <f aca="false">IF(Data_Insight!X59="","",IF(COUNTIF(Data_Insight!$X$2:$X59,Data_Insight!X59)=1,Data_Insight!X59,""))</f>
        <v/>
      </c>
      <c r="AN59" s="17" t="str">
        <f aca="false">IF(AM59="","",COUNTIF(Data_Insight!$X$2:$X$20001,AM59))</f>
        <v/>
      </c>
    </row>
    <row r="60" customFormat="false" ht="15" hidden="false" customHeight="true" outlineLevel="0" collapsed="false">
      <c r="A60" s="44"/>
      <c r="B60" s="45"/>
      <c r="C60" s="46"/>
      <c r="D60" s="47"/>
      <c r="Q60" s="36" t="str">
        <f aca="false" t="array" ref="Q60:Q60">IFERROR(INDEX($AJ$2:$AJ$599,MATCH(1,($AK$2:$AK$599=R60)*(COUNTIF($Q$3:$Q59,$AJ$2:$AJ$599)=0)*($AJ$2:$AJ$599&lt;&gt;""),0)),"")</f>
        <v>Timely Policy/process Updates</v>
      </c>
      <c r="R60" s="34" t="n">
        <f aca="false">IFERROR(LARGE($AK$2:$AK$599,58),"")</f>
        <v>4</v>
      </c>
      <c r="S60" s="37" t="n">
        <f aca="false">IF(Q60="","",IFERROR(R60/$B$3,0))</f>
        <v>0.0133333333333333</v>
      </c>
      <c r="T60" s="38" t="str">
        <f aca="false" t="array" ref="T60:T60">IF(Q60="","",IFERROR(INDEX(SummaryData[Engagement Type],MATCH(TRIM(Q60),TRIM(SummaryData[Statement]),0)),""))</f>
        <v>1:1</v>
      </c>
      <c r="AJ60" s="17" t="str">
        <f aca="false">IF(Data_Summary!Y61&lt;&gt;"Coverage","",IF(Data_Summary!AA61="","",IF(COUNTIFS(Data_Summary!$Y$2:$Y61,"Coverage",Data_Summary!$AA$2:$AA61,Data_Summary!AA61)=1,Data_Summary!AA61,"")))</f>
        <v/>
      </c>
      <c r="AK60" s="17" t="str">
        <f aca="false">IF(AJ60="","",COUNTIFS(Data_Summary!$Y$2:$Y$20001,"Coverage",Data_Summary!$AA$2:$AA$20001,AJ60))</f>
        <v/>
      </c>
      <c r="AM60" s="17" t="str">
        <f aca="false">IF(Data_Insight!X60="","",IF(COUNTIF(Data_Insight!$X$2:$X60,Data_Insight!X60)=1,Data_Insight!X60,""))</f>
        <v/>
      </c>
      <c r="AN60" s="17" t="str">
        <f aca="false">IF(AM60="","",COUNTIF(Data_Insight!$X$2:$X$20001,AM60))</f>
        <v/>
      </c>
    </row>
    <row r="61" customFormat="false" ht="15" hidden="false" customHeight="true" outlineLevel="0" collapsed="false">
      <c r="A61" s="44"/>
      <c r="B61" s="45"/>
      <c r="C61" s="46"/>
      <c r="D61" s="47"/>
      <c r="Q61" s="48" t="str">
        <f aca="false" t="array" ref="Q61:Q61">IFERROR(INDEX($AJ$2:$AJ$599,MATCH(1,($AK$2:$AK$599=R61)*(COUNTIF($Q$3:$Q60,$AJ$2:$AJ$599)=0)*($AJ$2:$AJ$599&lt;&gt;""),0)),"")</f>
        <v>Learning/cert Support Requests</v>
      </c>
      <c r="R61" s="49" t="n">
        <f aca="false">IFERROR(LARGE($AK$2:$AK$599,59),"")</f>
        <v>4</v>
      </c>
      <c r="S61" s="49" t="n">
        <f aca="false">IF(Q61="","",IFERROR(R61/$B$3,0))</f>
        <v>0.0133333333333333</v>
      </c>
      <c r="T61" s="49" t="str">
        <f aca="false" t="array" ref="T61:T61">IF(Q61="","",IFERROR(INDEX(SummaryData[Engagement Type],MATCH(TRIM(Q61),TRIM(SummaryData[Statement]),0)),""))</f>
        <v>Location-Offshore</v>
      </c>
      <c r="AJ61" s="17" t="str">
        <f aca="false">IF(Data_Summary!Y62&lt;&gt;"Coverage","",IF(Data_Summary!AA62="","",IF(COUNTIFS(Data_Summary!$Y$2:$Y62,"Coverage",Data_Summary!$AA$2:$AA62,Data_Summary!AA62)=1,Data_Summary!AA62,"")))</f>
        <v/>
      </c>
      <c r="AK61" s="17" t="str">
        <f aca="false">IF(AJ61="","",COUNTIFS(Data_Summary!$Y$2:$Y$20001,"Coverage",Data_Summary!$AA$2:$AA$20001,AJ61))</f>
        <v/>
      </c>
      <c r="AM61" s="17" t="str">
        <f aca="false">IF(Data_Insight!X61="","",IF(COUNTIF(Data_Insight!$X$2:$X61,Data_Insight!X61)=1,Data_Insight!X61,""))</f>
        <v/>
      </c>
      <c r="AN61" s="17" t="str">
        <f aca="false">IF(AM61="","",COUNTIF(Data_Insight!$X$2:$X$20001,AM61))</f>
        <v/>
      </c>
    </row>
    <row r="62" customFormat="false" ht="15" hidden="false" customHeight="true" outlineLevel="0" collapsed="false">
      <c r="A62" s="44"/>
      <c r="B62" s="45"/>
      <c r="C62" s="46"/>
      <c r="D62" s="47"/>
      <c r="Q62" s="49" t="str">
        <f aca="false" t="array" ref="Q62:Q62">IFERROR(INDEX($AJ$2:$AJ$599,MATCH(1,($AK$2:$AK$599=R62)*(COUNTIF($Q$3:$Q61,$AJ$2:$AJ$599)=0)*($AJ$2:$AJ$599&lt;&gt;""),0)),"")</f>
        <v>AI Workshop By Natesh</v>
      </c>
      <c r="R62" s="49" t="n">
        <f aca="false">IFERROR(LARGE($AK$2:$AK$599,60),"")</f>
        <v>4</v>
      </c>
      <c r="S62" s="49" t="n">
        <f aca="false">IF(Q62="","",IFERROR(R62/$B$3,0))</f>
        <v>0.0133333333333333</v>
      </c>
      <c r="T62" s="49" t="str">
        <f aca="false" t="array" ref="T62:T62">IF(Q62="","",IFERROR(INDEX(SummaryData[Engagement Type],MATCH(TRIM(Q62),TRIM(SummaryData[Statement]),0)),""))</f>
        <v>Location-Mixed</v>
      </c>
      <c r="AJ62" s="17" t="str">
        <f aca="false">IF(Data_Summary!Y63&lt;&gt;"Coverage","",IF(Data_Summary!AA63="","",IF(COUNTIFS(Data_Summary!$Y$2:$Y63,"Coverage",Data_Summary!$AA$2:$AA63,Data_Summary!AA63)=1,Data_Summary!AA63,"")))</f>
        <v/>
      </c>
      <c r="AK62" s="17" t="str">
        <f aca="false">IF(AJ62="","",COUNTIFS(Data_Summary!$Y$2:$Y$20001,"Coverage",Data_Summary!$AA$2:$AA$20001,AJ62))</f>
        <v/>
      </c>
      <c r="AM62" s="17" t="str">
        <f aca="false">IF(Data_Insight!X62="","",IF(COUNTIF(Data_Insight!$X$2:$X62,Data_Insight!X62)=1,Data_Insight!X62,""))</f>
        <v/>
      </c>
      <c r="AN62" s="17" t="str">
        <f aca="false">IF(AM62="","",COUNTIF(Data_Insight!$X$2:$X$20001,AM62))</f>
        <v/>
      </c>
    </row>
    <row r="63" customFormat="false" ht="15" hidden="false" customHeight="true" outlineLevel="0" collapsed="false">
      <c r="A63" s="44"/>
      <c r="B63" s="45"/>
      <c r="C63" s="46"/>
      <c r="D63" s="47"/>
      <c r="AJ63" s="17" t="str">
        <f aca="false">IF(Data_Summary!Y64&lt;&gt;"Coverage","",IF(Data_Summary!AA64="","",IF(COUNTIFS(Data_Summary!$Y$2:$Y64,"Coverage",Data_Summary!$AA$2:$AA64,Data_Summary!AA64)=1,Data_Summary!AA64,"")))</f>
        <v>Role Expectation Clarity</v>
      </c>
      <c r="AK63" s="17" t="n">
        <f aca="false">IF(AJ63="","",COUNTIFS(Data_Summary!$Y$2:$Y$20001,"Coverage",Data_Summary!$AA$2:$AA$20001,AJ63))</f>
        <v>7</v>
      </c>
      <c r="AM63" s="17" t="str">
        <f aca="false">IF(Data_Insight!X63="","",IF(COUNTIF(Data_Insight!$X$2:$X63,Data_Insight!X63)=1,Data_Insight!X63,""))</f>
        <v/>
      </c>
      <c r="AN63" s="17" t="str">
        <f aca="false">IF(AM63="","",COUNTIF(Data_Insight!$X$2:$X$20001,AM63))</f>
        <v/>
      </c>
    </row>
    <row r="64" customFormat="false" ht="15" hidden="false" customHeight="true" outlineLevel="0" collapsed="false">
      <c r="A64" s="44"/>
      <c r="B64" s="45"/>
      <c r="C64" s="46"/>
      <c r="D64" s="47"/>
      <c r="AJ64" s="17" t="str">
        <f aca="false">IF(Data_Summary!Y65&lt;&gt;"Coverage","",IF(Data_Summary!AA65="","",IF(COUNTIFS(Data_Summary!$Y$2:$Y65,"Coverage",Data_Summary!$AA$2:$AA65,Data_Summary!AA65)=1,Data_Summary!AA65,"")))</f>
        <v>Initial Engagement Level</v>
      </c>
      <c r="AK64" s="17" t="n">
        <f aca="false">IF(AJ64="","",COUNTIFS(Data_Summary!$Y$2:$Y$20001,"Coverage",Data_Summary!$AA$2:$AA$20001,AJ64))</f>
        <v>7</v>
      </c>
      <c r="AM64" s="17" t="str">
        <f aca="false">IF(Data_Insight!X64="","",IF(COUNTIF(Data_Insight!$X$2:$X64,Data_Insight!X64)=1,Data_Insight!X64,""))</f>
        <v/>
      </c>
      <c r="AN64" s="17" t="str">
        <f aca="false">IF(AM64="","",COUNTIF(Data_Insight!$X$2:$X$20001,AM64))</f>
        <v/>
      </c>
    </row>
    <row r="65" customFormat="false" ht="15" hidden="false" customHeight="true" outlineLevel="0" collapsed="false">
      <c r="A65" s="44"/>
      <c r="B65" s="45"/>
      <c r="C65" s="46"/>
      <c r="D65" s="47"/>
      <c r="AJ65" s="17" t="str">
        <f aca="false">IF(Data_Summary!Y66&lt;&gt;"Coverage","",IF(Data_Summary!AA66="","",IF(COUNTIFS(Data_Summary!$Y$2:$Y66,"Coverage",Data_Summary!$AA$2:$AA66,Data_Summary!AA66)=1,Data_Summary!AA66,"")))</f>
        <v/>
      </c>
      <c r="AK65" s="17" t="str">
        <f aca="false">IF(AJ65="","",COUNTIFS(Data_Summary!$Y$2:$Y$20001,"Coverage",Data_Summary!$AA$2:$AA$20001,AJ65))</f>
        <v/>
      </c>
      <c r="AM65" s="17" t="str">
        <f aca="false">IF(Data_Insight!X65="","",IF(COUNTIF(Data_Insight!$X$2:$X65,Data_Insight!X65)=1,Data_Insight!X65,""))</f>
        <v/>
      </c>
      <c r="AN65" s="17" t="str">
        <f aca="false">IF(AM65="","",COUNTIF(Data_Insight!$X$2:$X$20001,AM65))</f>
        <v/>
      </c>
    </row>
    <row r="66" customFormat="false" ht="15" hidden="false" customHeight="true" outlineLevel="0" collapsed="false">
      <c r="A66" s="44"/>
      <c r="B66" s="45"/>
      <c r="C66" s="46"/>
      <c r="D66" s="47"/>
      <c r="AJ66" s="17" t="str">
        <f aca="false">IF(Data_Summary!Y67&lt;&gt;"Coverage","",IF(Data_Summary!AA67="","",IF(COUNTIFS(Data_Summary!$Y$2:$Y67,"Coverage",Data_Summary!$AA$2:$AA67,Data_Summary!AA67)=1,Data_Summary!AA67,"")))</f>
        <v/>
      </c>
      <c r="AK66" s="17" t="str">
        <f aca="false">IF(AJ66="","",COUNTIFS(Data_Summary!$Y$2:$Y$20001,"Coverage",Data_Summary!$AA$2:$AA$20001,AJ66))</f>
        <v/>
      </c>
      <c r="AM66" s="17" t="str">
        <f aca="false">IF(Data_Insight!X66="","",IF(COUNTIF(Data_Insight!$X$2:$X66,Data_Insight!X66)=1,Data_Insight!X66,""))</f>
        <v/>
      </c>
      <c r="AN66" s="17" t="str">
        <f aca="false">IF(AM66="","",COUNTIF(Data_Insight!$X$2:$X$20001,AM66))</f>
        <v/>
      </c>
    </row>
    <row r="67" customFormat="false" ht="15" hidden="false" customHeight="true" outlineLevel="0" collapsed="false">
      <c r="A67" s="44"/>
      <c r="B67" s="45"/>
      <c r="C67" s="46"/>
      <c r="D67" s="47"/>
      <c r="AJ67" s="17" t="str">
        <f aca="false">IF(Data_Summary!Y68&lt;&gt;"Coverage","",IF(Data_Summary!AA68="","",IF(COUNTIFS(Data_Summary!$Y$2:$Y68,"Coverage",Data_Summary!$AA$2:$AA68,Data_Summary!AA68)=1,Data_Summary!AA68,"")))</f>
        <v/>
      </c>
      <c r="AK67" s="17" t="str">
        <f aca="false">IF(AJ67="","",COUNTIFS(Data_Summary!$Y$2:$Y$20001,"Coverage",Data_Summary!$AA$2:$AA$20001,AJ67))</f>
        <v/>
      </c>
      <c r="AM67" s="17" t="str">
        <f aca="false">IF(Data_Insight!X67="","",IF(COUNTIF(Data_Insight!$X$2:$X67,Data_Insight!X67)=1,Data_Insight!X67,""))</f>
        <v/>
      </c>
      <c r="AN67" s="17" t="str">
        <f aca="false">IF(AM67="","",COUNTIF(Data_Insight!$X$2:$X$20001,AM67))</f>
        <v/>
      </c>
    </row>
    <row r="68" customFormat="false" ht="15" hidden="false" customHeight="true" outlineLevel="0" collapsed="false">
      <c r="A68" s="44"/>
      <c r="B68" s="45"/>
      <c r="C68" s="46"/>
      <c r="D68" s="47"/>
      <c r="AJ68" s="17" t="str">
        <f aca="false">IF(Data_Summary!Y69&lt;&gt;"Coverage","",IF(Data_Summary!AA69="","",IF(COUNTIFS(Data_Summary!$Y$2:$Y69,"Coverage",Data_Summary!$AA$2:$AA69,Data_Summary!AA69)=1,Data_Summary!AA69,"")))</f>
        <v/>
      </c>
      <c r="AK68" s="17" t="str">
        <f aca="false">IF(AJ68="","",COUNTIFS(Data_Summary!$Y$2:$Y$20001,"Coverage",Data_Summary!$AA$2:$AA$20001,AJ68))</f>
        <v/>
      </c>
      <c r="AM68" s="17" t="str">
        <f aca="false">IF(Data_Insight!X68="","",IF(COUNTIF(Data_Insight!$X$2:$X68,Data_Insight!X68)=1,Data_Insight!X68,""))</f>
        <v>Wellness Session</v>
      </c>
      <c r="AN68" s="17" t="n">
        <f aca="false">IF(AM68="","",COUNTIF(Data_Insight!$X$2:$X$20001,AM68))</f>
        <v>3</v>
      </c>
    </row>
    <row r="69" customFormat="false" ht="15" hidden="false" customHeight="true" outlineLevel="0" collapsed="false">
      <c r="A69" s="44"/>
      <c r="B69" s="45"/>
      <c r="C69" s="46"/>
      <c r="D69" s="47"/>
      <c r="AJ69" s="17" t="str">
        <f aca="false">IF(Data_Summary!Y70&lt;&gt;"Coverage","",IF(Data_Summary!AA70="","",IF(COUNTIFS(Data_Summary!$Y$2:$Y70,"Coverage",Data_Summary!$AA$2:$AA70,Data_Summary!AA70)=1,Data_Summary!AA70,"")))</f>
        <v>Learning &amp; Skill Building</v>
      </c>
      <c r="AK69" s="17" t="n">
        <f aca="false">IF(AJ69="","",COUNTIFS(Data_Summary!$Y$2:$Y$20001,"Coverage",Data_Summary!$AA$2:$AA$20001,AJ69))</f>
        <v>5</v>
      </c>
      <c r="AM69" s="17" t="str">
        <f aca="false">IF(Data_Insight!X69="","",IF(COUNTIF(Data_Insight!$X$2:$X69,Data_Insight!X69)=1,Data_Insight!X69,""))</f>
        <v/>
      </c>
      <c r="AN69" s="17" t="str">
        <f aca="false">IF(AM69="","",COUNTIF(Data_Insight!$X$2:$X$20001,AM69))</f>
        <v/>
      </c>
    </row>
    <row r="70" customFormat="false" ht="15" hidden="false" customHeight="true" outlineLevel="0" collapsed="false">
      <c r="A70" s="44"/>
      <c r="B70" s="45"/>
      <c r="C70" s="46"/>
      <c r="D70" s="47"/>
      <c r="AJ70" s="17" t="str">
        <f aca="false">IF(Data_Summary!Y71&lt;&gt;"Coverage","",IF(Data_Summary!AA71="","",IF(COUNTIFS(Data_Summary!$Y$2:$Y71,"Coverage",Data_Summary!$AA$2:$AA71,Data_Summary!AA71)=1,Data_Summary!AA71,"")))</f>
        <v/>
      </c>
      <c r="AK70" s="17" t="str">
        <f aca="false">IF(AJ70="","",COUNTIFS(Data_Summary!$Y$2:$Y$20001,"Coverage",Data_Summary!$AA$2:$AA$20001,AJ70))</f>
        <v/>
      </c>
      <c r="AM70" s="17" t="str">
        <f aca="false">IF(Data_Insight!X70="","",IF(COUNTIF(Data_Insight!$X$2:$X70,Data_Insight!X70)=1,Data_Insight!X70,""))</f>
        <v/>
      </c>
      <c r="AN70" s="17" t="str">
        <f aca="false">IF(AM70="","",COUNTIF(Data_Insight!$X$2:$X$20001,AM70))</f>
        <v/>
      </c>
    </row>
    <row r="71" customFormat="false" ht="15" hidden="false" customHeight="true" outlineLevel="0" collapsed="false">
      <c r="A71" s="44"/>
      <c r="B71" s="45"/>
      <c r="C71" s="46"/>
      <c r="D71" s="47"/>
      <c r="AJ71" s="17" t="str">
        <f aca="false">IF(Data_Summary!Y72&lt;&gt;"Coverage","",IF(Data_Summary!AA72="","",IF(COUNTIFS(Data_Summary!$Y$2:$Y72,"Coverage",Data_Summary!$AA$2:$AA72,Data_Summary!AA72)=1,Data_Summary!AA72,"")))</f>
        <v>Inclusive Team Practices</v>
      </c>
      <c r="AK71" s="17" t="n">
        <f aca="false">IF(AJ71="","",COUNTIFS(Data_Summary!$Y$2:$Y$20001,"Coverage",Data_Summary!$AA$2:$AA$20001,AJ71))</f>
        <v>4</v>
      </c>
      <c r="AM71" s="17" t="str">
        <f aca="false">IF(Data_Insight!X71="","",IF(COUNTIF(Data_Insight!$X$2:$X71,Data_Insight!X71)=1,Data_Insight!X71,""))</f>
        <v/>
      </c>
      <c r="AN71" s="17" t="str">
        <f aca="false">IF(AM71="","",COUNTIF(Data_Insight!$X$2:$X$20001,AM71))</f>
        <v/>
      </c>
    </row>
    <row r="72" customFormat="false" ht="15" hidden="false" customHeight="true" outlineLevel="0" collapsed="false">
      <c r="A72" s="44"/>
      <c r="B72" s="45"/>
      <c r="C72" s="46"/>
      <c r="D72" s="47"/>
      <c r="AJ72" s="17" t="str">
        <f aca="false">IF(Data_Summary!Y73&lt;&gt;"Coverage","",IF(Data_Summary!AA73="","",IF(COUNTIFS(Data_Summary!$Y$2:$Y73,"Coverage",Data_Summary!$AA$2:$AA73,Data_Summary!AA73)=1,Data_Summary!AA73,"")))</f>
        <v/>
      </c>
      <c r="AK72" s="17" t="str">
        <f aca="false">IF(AJ72="","",COUNTIFS(Data_Summary!$Y$2:$Y$20001,"Coverage",Data_Summary!$AA$2:$AA$20001,AJ72))</f>
        <v/>
      </c>
      <c r="AM72" s="17" t="str">
        <f aca="false">IF(Data_Insight!X72="","",IF(COUNTIF(Data_Insight!$X$2:$X72,Data_Insight!X72)=1,Data_Insight!X72,""))</f>
        <v>New Joiner Connect (7 Days)</v>
      </c>
      <c r="AN72" s="17" t="n">
        <f aca="false">IF(AM72="","",COUNTIF(Data_Insight!$X$2:$X$20001,AM72))</f>
        <v>16</v>
      </c>
    </row>
    <row r="73" customFormat="false" ht="15" hidden="false" customHeight="true" outlineLevel="0" collapsed="false">
      <c r="A73" s="44"/>
      <c r="B73" s="45"/>
      <c r="C73" s="46"/>
      <c r="D73" s="47"/>
      <c r="AJ73" s="17" t="str">
        <f aca="false">IF(Data_Summary!Y74&lt;&gt;"Coverage","",IF(Data_Summary!AA74="","",IF(COUNTIFS(Data_Summary!$Y$2:$Y74,"Coverage",Data_Summary!$AA$2:$AA74,Data_Summary!AA74)=1,Data_Summary!AA74,"")))</f>
        <v/>
      </c>
      <c r="AK73" s="17" t="str">
        <f aca="false">IF(AJ73="","",COUNTIFS(Data_Summary!$Y$2:$Y$20001,"Coverage",Data_Summary!$AA$2:$AA$20001,AJ73))</f>
        <v/>
      </c>
      <c r="AM73" s="17" t="str">
        <f aca="false">IF(Data_Insight!X73="","",IF(COUNTIF(Data_Insight!$X$2:$X73,Data_Insight!X73)=1,Data_Insight!X73,""))</f>
        <v/>
      </c>
      <c r="AN73" s="17" t="str">
        <f aca="false">IF(AM73="","",COUNTIF(Data_Insight!$X$2:$X$20001,AM73))</f>
        <v/>
      </c>
    </row>
    <row r="74" customFormat="false" ht="12.75" hidden="false" customHeight="true" outlineLevel="0" collapsed="false">
      <c r="A74" s="50"/>
      <c r="B74" s="45"/>
      <c r="C74" s="51"/>
      <c r="D74" s="52"/>
      <c r="AJ74" s="17" t="str">
        <f aca="false">IF(Data_Summary!Y75&lt;&gt;"Coverage","",IF(Data_Summary!AA75="","",IF(COUNTIFS(Data_Summary!$Y$2:$Y75,"Coverage",Data_Summary!$AA$2:$AA75,Data_Summary!AA75)=1,Data_Summary!AA75,"")))</f>
        <v/>
      </c>
      <c r="AK74" s="17" t="str">
        <f aca="false">IF(AJ74="","",COUNTIFS(Data_Summary!$Y$2:$Y$20001,"Coverage",Data_Summary!$AA$2:$AA$20001,AJ74))</f>
        <v/>
      </c>
      <c r="AM74" s="17" t="str">
        <f aca="false">IF(Data_Insight!X74="","",IF(COUNTIF(Data_Insight!$X$2:$X74,Data_Insight!X74)=1,Data_Insight!X74,""))</f>
        <v/>
      </c>
      <c r="AN74" s="17" t="str">
        <f aca="false">IF(AM74="","",COUNTIF(Data_Insight!$X$2:$X$20001,AM74))</f>
        <v/>
      </c>
    </row>
    <row r="75" customFormat="false" ht="15.75" hidden="false" customHeight="true" outlineLevel="0" collapsed="false">
      <c r="A75" s="50"/>
      <c r="B75" s="46"/>
      <c r="C75" s="50"/>
      <c r="D75" s="53"/>
      <c r="AJ75" s="17" t="str">
        <f aca="false">IF(Data_Summary!Y76&lt;&gt;"Coverage","",IF(Data_Summary!AA76="","",IF(COUNTIFS(Data_Summary!$Y$2:$Y76,"Coverage",Data_Summary!$AA$2:$AA76,Data_Summary!AA76)=1,Data_Summary!AA76,"")))</f>
        <v>HR / WFM / Training Communication Effectiveness</v>
      </c>
      <c r="AK75" s="17" t="n">
        <f aca="false">IF(AJ75="","",COUNTIFS(Data_Summary!$Y$2:$Y$20001,"Coverage",Data_Summary!$AA$2:$AA$20001,AJ75))</f>
        <v>11</v>
      </c>
      <c r="AM75" s="17" t="str">
        <f aca="false">IF(Data_Insight!X75="","",IF(COUNTIF(Data_Insight!$X$2:$X75,Data_Insight!X75)=1,Data_Insight!X75,""))</f>
        <v/>
      </c>
      <c r="AN75" s="17" t="str">
        <f aca="false">IF(AM75="","",COUNTIF(Data_Insight!$X$2:$X$20001,AM75))</f>
        <v/>
      </c>
    </row>
    <row r="76" customFormat="false" ht="13.5" hidden="false" customHeight="true" outlineLevel="0" collapsed="false">
      <c r="AJ76" s="17" t="str">
        <f aca="false">IF(Data_Summary!Y77&lt;&gt;"Coverage","",IF(Data_Summary!AA77="","",IF(COUNTIFS(Data_Summary!$Y$2:$Y77,"Coverage",Data_Summary!$AA$2:$AA77,Data_Summary!AA77)=1,Data_Summary!AA77,"")))</f>
        <v/>
      </c>
      <c r="AK76" s="17" t="str">
        <f aca="false">IF(AJ76="","",COUNTIFS(Data_Summary!$Y$2:$Y$20001,"Coverage",Data_Summary!$AA$2:$AA$20001,AJ76))</f>
        <v/>
      </c>
      <c r="AM76" s="17" t="str">
        <f aca="false">IF(Data_Insight!X76="","",IF(COUNTIF(Data_Insight!$X$2:$X76,Data_Insight!X76)=1,Data_Insight!X76,""))</f>
        <v/>
      </c>
      <c r="AN76" s="17" t="str">
        <f aca="false">IF(AM76="","",COUNTIF(Data_Insight!$X$2:$X$20001,AM76))</f>
        <v/>
      </c>
    </row>
    <row r="77" customFormat="false" ht="15" hidden="false" customHeight="true" outlineLevel="0" collapsed="false">
      <c r="AJ77" s="17" t="str">
        <f aca="false">IF(Data_Summary!Y78&lt;&gt;"Coverage","",IF(Data_Summary!AA78="","",IF(COUNTIFS(Data_Summary!$Y$2:$Y78,"Coverage",Data_Summary!$AA$2:$AA78,Data_Summary!AA78)=1,Data_Summary!AA78,"")))</f>
        <v/>
      </c>
      <c r="AK77" s="17" t="str">
        <f aca="false">IF(AJ77="","",COUNTIFS(Data_Summary!$Y$2:$Y$20001,"Coverage",Data_Summary!$AA$2:$AA$20001,AJ77))</f>
        <v/>
      </c>
      <c r="AM77" s="17" t="str">
        <f aca="false">IF(Data_Insight!X77="","",IF(COUNTIF(Data_Insight!$X$2:$X77,Data_Insight!X77)=1,Data_Insight!X77,""))</f>
        <v/>
      </c>
      <c r="AN77" s="17" t="str">
        <f aca="false">IF(AM77="","",COUNTIF(Data_Insight!$X$2:$X$20001,AM77))</f>
        <v/>
      </c>
    </row>
    <row r="78" customFormat="false" ht="15" hidden="false" customHeight="true" outlineLevel="0" collapsed="false">
      <c r="AJ78" s="17" t="str">
        <f aca="false">IF(Data_Summary!Y79&lt;&gt;"Coverage","",IF(Data_Summary!AA79="","",IF(COUNTIFS(Data_Summary!$Y$2:$Y79,"Coverage",Data_Summary!$AA$2:$AA79,Data_Summary!AA79)=1,Data_Summary!AA79,"")))</f>
        <v/>
      </c>
      <c r="AK78" s="17" t="str">
        <f aca="false">IF(AJ78="","",COUNTIFS(Data_Summary!$Y$2:$Y$20001,"Coverage",Data_Summary!$AA$2:$AA$20001,AJ78))</f>
        <v/>
      </c>
      <c r="AM78" s="17" t="str">
        <f aca="false">IF(Data_Insight!X78="","",IF(COUNTIF(Data_Insight!$X$2:$X78,Data_Insight!X78)=1,Data_Insight!X78,""))</f>
        <v/>
      </c>
      <c r="AN78" s="17" t="str">
        <f aca="false">IF(AM78="","",COUNTIF(Data_Insight!$X$2:$X$20001,AM78))</f>
        <v/>
      </c>
    </row>
    <row r="79" customFormat="false" ht="15" hidden="false" customHeight="true" outlineLevel="0" collapsed="false">
      <c r="AJ79" s="17" t="str">
        <f aca="false">IF(Data_Summary!Y80&lt;&gt;"Coverage","",IF(Data_Summary!AA80="","",IF(COUNTIFS(Data_Summary!$Y$2:$Y80,"Coverage",Data_Summary!$AA$2:$AA80,Data_Summary!AA80)=1,Data_Summary!AA80,"")))</f>
        <v/>
      </c>
      <c r="AK79" s="17" t="str">
        <f aca="false">IF(AJ79="","",COUNTIFS(Data_Summary!$Y$2:$Y$20001,"Coverage",Data_Summary!$AA$2:$AA$20001,AJ79))</f>
        <v/>
      </c>
      <c r="AM79" s="17" t="str">
        <f aca="false">IF(Data_Insight!X79="","",IF(COUNTIF(Data_Insight!$X$2:$X79,Data_Insight!X79)=1,Data_Insight!X79,""))</f>
        <v/>
      </c>
      <c r="AN79" s="17" t="str">
        <f aca="false">IF(AM79="","",COUNTIF(Data_Insight!$X$2:$X$20001,AM79))</f>
        <v/>
      </c>
    </row>
    <row r="80" customFormat="false" ht="15" hidden="false" customHeight="true" outlineLevel="0" collapsed="false">
      <c r="AJ80" s="17" t="str">
        <f aca="false">IF(Data_Summary!Y81&lt;&gt;"Coverage","",IF(Data_Summary!AA81="","",IF(COUNTIFS(Data_Summary!$Y$2:$Y81,"Coverage",Data_Summary!$AA$2:$AA81,Data_Summary!AA81)=1,Data_Summary!AA81,"")))</f>
        <v>Timesheet Submission/approval Process Inconsistencies Create</v>
      </c>
      <c r="AK80" s="17" t="n">
        <f aca="false">IF(AJ80="","",COUNTIFS(Data_Summary!$Y$2:$Y$20001,"Coverage",Data_Summary!$AA$2:$AA$20001,AJ80))</f>
        <v>5</v>
      </c>
      <c r="AM80" s="17" t="str">
        <f aca="false">IF(Data_Insight!X80="","",IF(COUNTIF(Data_Insight!$X$2:$X80,Data_Insight!X80)=1,Data_Insight!X80,""))</f>
        <v/>
      </c>
      <c r="AN80" s="17" t="str">
        <f aca="false">IF(AM80="","",COUNTIF(Data_Insight!$X$2:$X$20001,AM80))</f>
        <v/>
      </c>
    </row>
    <row r="81" customFormat="false" ht="15" hidden="false" customHeight="true" outlineLevel="0" collapsed="false">
      <c r="AJ81" s="17" t="str">
        <f aca="false">IF(Data_Summary!Y82&lt;&gt;"Coverage","",IF(Data_Summary!AA82="","",IF(COUNTIFS(Data_Summary!$Y$2:$Y82,"Coverage",Data_Summary!$AA$2:$AA82,Data_Summary!AA82)=1,Data_Summary!AA82,"")))</f>
        <v>Workload &amp; Work-Life Balance</v>
      </c>
      <c r="AK81" s="17" t="n">
        <f aca="false">IF(AJ81="","",COUNTIFS(Data_Summary!$Y$2:$Y$20001,"Coverage",Data_Summary!$AA$2:$AA$20001,AJ81))</f>
        <v>12</v>
      </c>
      <c r="AM81" s="17" t="str">
        <f aca="false">IF(Data_Insight!X81="","",IF(COUNTIF(Data_Insight!$X$2:$X81,Data_Insight!X81)=1,Data_Insight!X81,""))</f>
        <v/>
      </c>
      <c r="AN81" s="17" t="str">
        <f aca="false">IF(AM81="","",COUNTIF(Data_Insight!$X$2:$X$20001,AM81))</f>
        <v/>
      </c>
    </row>
    <row r="82" customFormat="false" ht="15" hidden="false" customHeight="true" outlineLevel="0" collapsed="false">
      <c r="AJ82" s="17" t="str">
        <f aca="false">IF(Data_Summary!Y83&lt;&gt;"Coverage","",IF(Data_Summary!AA83="","",IF(COUNTIFS(Data_Summary!$Y$2:$Y83,"Coverage",Data_Summary!$AA$2:$AA83,Data_Summary!AA83)=1,Data_Summary!AA83,"")))</f>
        <v>Manager Support &amp; Local Leadership Effectiveness</v>
      </c>
      <c r="AK82" s="17" t="n">
        <f aca="false">IF(AJ82="","",COUNTIFS(Data_Summary!$Y$2:$Y$20001,"Coverage",Data_Summary!$AA$2:$AA$20001,AJ82))</f>
        <v>10</v>
      </c>
      <c r="AM82" s="17" t="str">
        <f aca="false">IF(Data_Insight!X82="","",IF(COUNTIF(Data_Insight!$X$2:$X82,Data_Insight!X82)=1,Data_Insight!X82,""))</f>
        <v/>
      </c>
      <c r="AN82" s="17" t="str">
        <f aca="false">IF(AM82="","",COUNTIF(Data_Insight!$X$2:$X$20001,AM82))</f>
        <v/>
      </c>
    </row>
    <row r="83" customFormat="false" ht="15" hidden="false" customHeight="true" outlineLevel="0" collapsed="false">
      <c r="AJ83" s="17" t="str">
        <f aca="false">IF(Data_Summary!Y84&lt;&gt;"Coverage","",IF(Data_Summary!AA84="","",IF(COUNTIFS(Data_Summary!$Y$2:$Y84,"Coverage",Data_Summary!$AA$2:$AA84,Data_Summary!AA84)=1,Data_Summary!AA84,"")))</f>
        <v/>
      </c>
      <c r="AK83" s="17" t="str">
        <f aca="false">IF(AJ83="","",COUNTIFS(Data_Summary!$Y$2:$Y$20001,"Coverage",Data_Summary!$AA$2:$AA$20001,AJ83))</f>
        <v/>
      </c>
      <c r="AM83" s="17" t="str">
        <f aca="false">IF(Data_Insight!X83="","",IF(COUNTIF(Data_Insight!$X$2:$X83,Data_Insight!X83)=1,Data_Insight!X83,""))</f>
        <v/>
      </c>
      <c r="AN83" s="17" t="str">
        <f aca="false">IF(AM83="","",COUNTIF(Data_Insight!$X$2:$X$20001,AM83))</f>
        <v/>
      </c>
    </row>
    <row r="84" customFormat="false" ht="15" hidden="false" customHeight="true" outlineLevel="0" collapsed="false">
      <c r="AJ84" s="17" t="str">
        <f aca="false">IF(Data_Summary!Y85&lt;&gt;"Coverage","",IF(Data_Summary!AA85="","",IF(COUNTIFS(Data_Summary!$Y$2:$Y85,"Coverage",Data_Summary!$AA$2:$AA85,Data_Summary!AA85)=1,Data_Summary!AA85,"")))</f>
        <v/>
      </c>
      <c r="AK84" s="17" t="str">
        <f aca="false">IF(AJ84="","",COUNTIFS(Data_Summary!$Y$2:$Y$20001,"Coverage",Data_Summary!$AA$2:$AA$20001,AJ84))</f>
        <v/>
      </c>
      <c r="AM84" s="17" t="str">
        <f aca="false">IF(Data_Insight!X84="","",IF(COUNTIF(Data_Insight!$X$2:$X84,Data_Insight!X84)=1,Data_Insight!X84,""))</f>
        <v/>
      </c>
      <c r="AN84" s="17" t="str">
        <f aca="false">IF(AM84="","",COUNTIF(Data_Insight!$X$2:$X$20001,AM84))</f>
        <v/>
      </c>
    </row>
    <row r="85" customFormat="false" ht="15" hidden="false" customHeight="true" outlineLevel="0" collapsed="false">
      <c r="AJ85" s="17" t="str">
        <f aca="false">IF(Data_Summary!Y86&lt;&gt;"Coverage","",IF(Data_Summary!AA86="","",IF(COUNTIFS(Data_Summary!$Y$2:$Y86,"Coverage",Data_Summary!$AA$2:$AA86,Data_Summary!AA86)=1,Data_Summary!AA86,"")))</f>
        <v/>
      </c>
      <c r="AK85" s="17" t="str">
        <f aca="false">IF(AJ85="","",COUNTIFS(Data_Summary!$Y$2:$Y$20001,"Coverage",Data_Summary!$AA$2:$AA$20001,AJ85))</f>
        <v/>
      </c>
      <c r="AM85" s="17" t="str">
        <f aca="false">IF(Data_Insight!X85="","",IF(COUNTIF(Data_Insight!$X$2:$X85,Data_Insight!X85)=1,Data_Insight!X85,""))</f>
        <v/>
      </c>
      <c r="AN85" s="17" t="str">
        <f aca="false">IF(AM85="","",COUNTIF(Data_Insight!$X$2:$X$20001,AM85))</f>
        <v/>
      </c>
    </row>
    <row r="86" customFormat="false" ht="15" hidden="false" customHeight="true" outlineLevel="0" collapsed="false">
      <c r="AJ86" s="17" t="str">
        <f aca="false">IF(Data_Summary!Y87&lt;&gt;"Coverage","",IF(Data_Summary!AA87="","",IF(COUNTIFS(Data_Summary!$Y$2:$Y87,"Coverage",Data_Summary!$AA$2:$AA87,Data_Summary!AA87)=1,Data_Summary!AA87,"")))</f>
        <v>Internal Mobility / Rotation Opportunities</v>
      </c>
      <c r="AK86" s="17" t="n">
        <f aca="false">IF(AJ86="","",COUNTIFS(Data_Summary!$Y$2:$Y$20001,"Coverage",Data_Summary!$AA$2:$AA$20001,AJ86))</f>
        <v>6</v>
      </c>
      <c r="AM86" s="17" t="str">
        <f aca="false">IF(Data_Insight!X86="","",IF(COUNTIF(Data_Insight!$X$2:$X86,Data_Insight!X86)=1,Data_Insight!X86,""))</f>
        <v/>
      </c>
      <c r="AN86" s="17" t="str">
        <f aca="false">IF(AM86="","",COUNTIF(Data_Insight!$X$2:$X$20001,AM86))</f>
        <v/>
      </c>
    </row>
    <row r="87" customFormat="false" ht="15" hidden="false" customHeight="true" outlineLevel="0" collapsed="false">
      <c r="AJ87" s="17" t="str">
        <f aca="false">IF(Data_Summary!Y88&lt;&gt;"Coverage","",IF(Data_Summary!AA88="","",IF(COUNTIFS(Data_Summary!$Y$2:$Y88,"Coverage",Data_Summary!$AA$2:$AA88,Data_Summary!AA88)=1,Data_Summary!AA88,"")))</f>
        <v>Recognition &amp; Visibility of Growth</v>
      </c>
      <c r="AK87" s="17" t="n">
        <f aca="false">IF(AJ87="","",COUNTIFS(Data_Summary!$Y$2:$Y$20001,"Coverage",Data_Summary!$AA$2:$AA$20001,AJ87))</f>
        <v>5</v>
      </c>
      <c r="AM87" s="17" t="str">
        <f aca="false">IF(Data_Insight!X87="","",IF(COUNTIF(Data_Insight!$X$2:$X87,Data_Insight!X87)=1,Data_Insight!X87,""))</f>
        <v/>
      </c>
      <c r="AN87" s="17" t="str">
        <f aca="false">IF(AM87="","",COUNTIF(Data_Insight!$X$2:$X$20001,AM87))</f>
        <v/>
      </c>
    </row>
    <row r="88" customFormat="false" ht="15" hidden="false" customHeight="true" outlineLevel="0" collapsed="false">
      <c r="AJ88" s="17" t="str">
        <f aca="false">IF(Data_Summary!Y89&lt;&gt;"Coverage","",IF(Data_Summary!AA89="","",IF(COUNTIFS(Data_Summary!$Y$2:$Y89,"Coverage",Data_Summary!$AA$2:$AA89,Data_Summary!AA89)=1,Data_Summary!AA89,"")))</f>
        <v>Career Progression &amp; Next-Level Readiness</v>
      </c>
      <c r="AK88" s="17" t="n">
        <f aca="false">IF(AJ88="","",COUNTIFS(Data_Summary!$Y$2:$Y$20001,"Coverage",Data_Summary!$AA$2:$AA$20001,AJ88))</f>
        <v>7</v>
      </c>
      <c r="AM88" s="17" t="str">
        <f aca="false">IF(Data_Insight!X88="","",IF(COUNTIF(Data_Insight!$X$2:$X88,Data_Insight!X88)=1,Data_Insight!X88,""))</f>
        <v/>
      </c>
      <c r="AN88" s="17" t="str">
        <f aca="false">IF(AM88="","",COUNTIF(Data_Insight!$X$2:$X$20001,AM88))</f>
        <v/>
      </c>
    </row>
    <row r="89" customFormat="false" ht="15" hidden="false" customHeight="true" outlineLevel="0" collapsed="false">
      <c r="A89" s="30"/>
      <c r="B89" s="30"/>
      <c r="AJ89" s="17" t="str">
        <f aca="false">IF(Data_Summary!Y90&lt;&gt;"Coverage","",IF(Data_Summary!AA90="","",IF(COUNTIFS(Data_Summary!$Y$2:$Y90,"Coverage",Data_Summary!$AA$2:$AA90,Data_Summary!AA90)=1,Data_Summary!AA90,"")))</f>
        <v/>
      </c>
      <c r="AK89" s="17" t="str">
        <f aca="false">IF(AJ89="","",COUNTIFS(Data_Summary!$Y$2:$Y$20001,"Coverage",Data_Summary!$AA$2:$AA$20001,AJ89))</f>
        <v/>
      </c>
      <c r="AM89" s="17" t="str">
        <f aca="false">IF(Data_Insight!X89="","",IF(COUNTIF(Data_Insight!$X$2:$X89,Data_Insight!X89)=1,Data_Insight!X89,""))</f>
        <v/>
      </c>
      <c r="AN89" s="17" t="str">
        <f aca="false">IF(AM89="","",COUNTIF(Data_Insight!$X$2:$X$20001,AM89))</f>
        <v/>
      </c>
    </row>
    <row r="90" customFormat="false" ht="12.75" hidden="false" customHeight="true" outlineLevel="0" collapsed="false">
      <c r="AJ90" s="17" t="str">
        <f aca="false">IF(Data_Summary!Y91&lt;&gt;"Coverage","",IF(Data_Summary!AA91="","",IF(COUNTIFS(Data_Summary!$Y$2:$Y91,"Coverage",Data_Summary!$AA$2:$AA91,Data_Summary!AA91)=1,Data_Summary!AA91,"")))</f>
        <v/>
      </c>
      <c r="AK90" s="17" t="str">
        <f aca="false">IF(AJ90="","",COUNTIFS(Data_Summary!$Y$2:$Y$20001,"Coverage",Data_Summary!$AA$2:$AA$20001,AJ90))</f>
        <v/>
      </c>
      <c r="AM90" s="17" t="str">
        <f aca="false">IF(Data_Insight!X90="","",IF(COUNTIF(Data_Insight!$X$2:$X90,Data_Insight!X90)=1,Data_Insight!X90,""))</f>
        <v/>
      </c>
      <c r="AN90" s="17" t="str">
        <f aca="false">IF(AM90="","",COUNTIF(Data_Insight!$X$2:$X$20001,AM90))</f>
        <v/>
      </c>
    </row>
    <row r="91" customFormat="false" ht="15.75" hidden="false" customHeight="true" outlineLevel="0" collapsed="false">
      <c r="AJ91" s="17" t="str">
        <f aca="false">IF(Data_Summary!Y92&lt;&gt;"Coverage","",IF(Data_Summary!AA92="","",IF(COUNTIFS(Data_Summary!$Y$2:$Y92,"Coverage",Data_Summary!$AA$2:$AA92,Data_Summary!AA92)=1,Data_Summary!AA92,"")))</f>
        <v/>
      </c>
      <c r="AK91" s="17" t="str">
        <f aca="false">IF(AJ91="","",COUNTIFS(Data_Summary!$Y$2:$Y$20001,"Coverage",Data_Summary!$AA$2:$AA$20001,AJ91))</f>
        <v/>
      </c>
      <c r="AM91" s="17" t="str">
        <f aca="false">IF(Data_Insight!X91="","",IF(COUNTIF(Data_Insight!$X$2:$X91,Data_Insight!X91)=1,Data_Insight!X91,""))</f>
        <v/>
      </c>
      <c r="AN91" s="17" t="str">
        <f aca="false">IF(AM91="","",COUNTIF(Data_Insight!$X$2:$X$20001,AM91))</f>
        <v/>
      </c>
    </row>
    <row r="92" customFormat="false" ht="13.5" hidden="false" customHeight="true" outlineLevel="0" collapsed="false">
      <c r="AJ92" s="17" t="str">
        <f aca="false">IF(Data_Summary!Y93&lt;&gt;"Coverage","",IF(Data_Summary!AA93="","",IF(COUNTIFS(Data_Summary!$Y$2:$Y93,"Coverage",Data_Summary!$AA$2:$AA93,Data_Summary!AA93)=1,Data_Summary!AA93,"")))</f>
        <v/>
      </c>
      <c r="AK92" s="17" t="str">
        <f aca="false">IF(AJ92="","",COUNTIFS(Data_Summary!$Y$2:$Y$20001,"Coverage",Data_Summary!$AA$2:$AA$20001,AJ92))</f>
        <v/>
      </c>
      <c r="AM92" s="17" t="str">
        <f aca="false">IF(Data_Insight!X92="","",IF(COUNTIF(Data_Insight!$X$2:$X92,Data_Insight!X92)=1,Data_Insight!X92,""))</f>
        <v/>
      </c>
      <c r="AN92" s="17" t="str">
        <f aca="false">IF(AM92="","",COUNTIF(Data_Insight!$X$2:$X$20001,AM92))</f>
        <v/>
      </c>
    </row>
    <row r="93" customFormat="false" ht="15" hidden="false" customHeight="true" outlineLevel="0" collapsed="false">
      <c r="AJ93" s="17" t="str">
        <f aca="false">IF(Data_Summary!Y94&lt;&gt;"Coverage","",IF(Data_Summary!AA94="","",IF(COUNTIFS(Data_Summary!$Y$2:$Y94,"Coverage",Data_Summary!$AA$2:$AA94,Data_Summary!AA94)=1,Data_Summary!AA94,"")))</f>
        <v>Project Allocation Clarity</v>
      </c>
      <c r="AK93" s="17" t="n">
        <f aca="false">IF(AJ93="","",COUNTIFS(Data_Summary!$Y$2:$Y$20001,"Coverage",Data_Summary!$AA$2:$AA$20001,AJ93))</f>
        <v>8</v>
      </c>
      <c r="AM93" s="17" t="str">
        <f aca="false">IF(Data_Insight!X93="","",IF(COUNTIF(Data_Insight!$X$2:$X93,Data_Insight!X93)=1,Data_Insight!X93,""))</f>
        <v/>
      </c>
      <c r="AN93" s="17" t="str">
        <f aca="false">IF(AM93="","",COUNTIF(Data_Insight!$X$2:$X$20001,AM93))</f>
        <v/>
      </c>
    </row>
    <row r="94" customFormat="false" ht="15" hidden="false" customHeight="true" outlineLevel="0" collapsed="false">
      <c r="AJ94" s="17" t="str">
        <f aca="false">IF(Data_Summary!Y95&lt;&gt;"Coverage","",IF(Data_Summary!AA95="","",IF(COUNTIFS(Data_Summary!$Y$2:$Y95,"Coverage",Data_Summary!$AA$2:$AA95,Data_Summary!AA95)=1,Data_Summary!AA95,"")))</f>
        <v>Manager Connect Effectiveness</v>
      </c>
      <c r="AK94" s="17" t="n">
        <f aca="false">IF(AJ94="","",COUNTIFS(Data_Summary!$Y$2:$Y$20001,"Coverage",Data_Summary!$AA$2:$AA$20001,AJ94))</f>
        <v>7</v>
      </c>
      <c r="AM94" s="17" t="str">
        <f aca="false">IF(Data_Insight!X94="","",IF(COUNTIF(Data_Insight!$X$2:$X94,Data_Insight!X94)=1,Data_Insight!X94,""))</f>
        <v/>
      </c>
      <c r="AN94" s="17" t="str">
        <f aca="false">IF(AM94="","",COUNTIF(Data_Insight!$X$2:$X$20001,AM94))</f>
        <v/>
      </c>
    </row>
    <row r="95" customFormat="false" ht="15" hidden="false" customHeight="true" outlineLevel="0" collapsed="false">
      <c r="AJ95" s="17" t="str">
        <f aca="false">IF(Data_Summary!Y96&lt;&gt;"Coverage","",IF(Data_Summary!AA96="","",IF(COUNTIFS(Data_Summary!$Y$2:$Y96,"Coverage",Data_Summary!$AA$2:$AA96,Data_Summary!AA96)=1,Data_Summary!AA96,"")))</f>
        <v/>
      </c>
      <c r="AK95" s="17" t="str">
        <f aca="false">IF(AJ95="","",COUNTIFS(Data_Summary!$Y$2:$Y$20001,"Coverage",Data_Summary!$AA$2:$AA$20001,AJ95))</f>
        <v/>
      </c>
      <c r="AM95" s="17" t="str">
        <f aca="false">IF(Data_Insight!X95="","",IF(COUNTIF(Data_Insight!$X$2:$X95,Data_Insight!X95)=1,Data_Insight!X95,""))</f>
        <v>Cadence Connect</v>
      </c>
      <c r="AN95" s="17" t="n">
        <f aca="false">IF(AM95="","",COUNTIF(Data_Insight!$X$2:$X$20001,AM95))</f>
        <v>12</v>
      </c>
    </row>
    <row r="96" customFormat="false" ht="15" hidden="false" customHeight="true" outlineLevel="0" collapsed="false">
      <c r="AJ96" s="17" t="str">
        <f aca="false">IF(Data_Summary!Y97&lt;&gt;"Coverage","",IF(Data_Summary!AA97="","",IF(COUNTIFS(Data_Summary!$Y$2:$Y97,"Coverage",Data_Summary!$AA$2:$AA97,Data_Summary!AA97)=1,Data_Summary!AA97,"")))</f>
        <v/>
      </c>
      <c r="AK96" s="17" t="str">
        <f aca="false">IF(AJ96="","",COUNTIFS(Data_Summary!$Y$2:$Y$20001,"Coverage",Data_Summary!$AA$2:$AA$20001,AJ96))</f>
        <v/>
      </c>
      <c r="AM96" s="17" t="str">
        <f aca="false">IF(Data_Insight!X96="","",IF(COUNTIF(Data_Insight!$X$2:$X96,Data_Insight!X96)=1,Data_Insight!X96,""))</f>
        <v/>
      </c>
      <c r="AN96" s="17" t="str">
        <f aca="false">IF(AM96="","",COUNTIF(Data_Insight!$X$2:$X$20001,AM96))</f>
        <v/>
      </c>
    </row>
    <row r="97" customFormat="false" ht="12.75" hidden="false" customHeight="true" outlineLevel="0" collapsed="false">
      <c r="AJ97" s="17" t="str">
        <f aca="false">IF(Data_Summary!Y98&lt;&gt;"Coverage","",IF(Data_Summary!AA98="","",IF(COUNTIFS(Data_Summary!$Y$2:$Y98,"Coverage",Data_Summary!$AA$2:$AA98,Data_Summary!AA98)=1,Data_Summary!AA98,"")))</f>
        <v/>
      </c>
      <c r="AK97" s="17" t="str">
        <f aca="false">IF(AJ97="","",COUNTIFS(Data_Summary!$Y$2:$Y$20001,"Coverage",Data_Summary!$AA$2:$AA$20001,AJ97))</f>
        <v/>
      </c>
      <c r="AM97" s="17" t="str">
        <f aca="false">IF(Data_Insight!X97="","",IF(COUNTIF(Data_Insight!$X$2:$X97,Data_Insight!X97)=1,Data_Insight!X97,""))</f>
        <v/>
      </c>
      <c r="AN97" s="17" t="str">
        <f aca="false">IF(AM97="","",COUNTIF(Data_Insight!$X$2:$X$20001,AM97))</f>
        <v/>
      </c>
    </row>
    <row r="98" customFormat="false" ht="15.75" hidden="false" customHeight="true" outlineLevel="0" collapsed="false">
      <c r="AJ98" s="17" t="str">
        <f aca="false">IF(Data_Summary!Y99&lt;&gt;"Coverage","",IF(Data_Summary!AA99="","",IF(COUNTIFS(Data_Summary!$Y$2:$Y99,"Coverage",Data_Summary!$AA$2:$AA99,Data_Summary!AA99)=1,Data_Summary!AA99,"")))</f>
        <v/>
      </c>
      <c r="AK98" s="17" t="str">
        <f aca="false">IF(AJ98="","",COUNTIFS(Data_Summary!$Y$2:$Y$20001,"Coverage",Data_Summary!$AA$2:$AA$20001,AJ98))</f>
        <v/>
      </c>
      <c r="AM98" s="17" t="str">
        <f aca="false">IF(Data_Insight!X98="","",IF(COUNTIF(Data_Insight!$X$2:$X98,Data_Insight!X98)=1,Data_Insight!X98,""))</f>
        <v/>
      </c>
      <c r="AN98" s="17" t="str">
        <f aca="false">IF(AM98="","",COUNTIF(Data_Insight!$X$2:$X$20001,AM98))</f>
        <v/>
      </c>
    </row>
    <row r="99" customFormat="false" ht="13.5" hidden="false" customHeight="true" outlineLevel="0" collapsed="false">
      <c r="AJ99" s="17" t="str">
        <f aca="false">IF(Data_Summary!Y100&lt;&gt;"Coverage","",IF(Data_Summary!AA100="","",IF(COUNTIFS(Data_Summary!$Y$2:$Y100,"Coverage",Data_Summary!$AA$2:$AA100,Data_Summary!AA100)=1,Data_Summary!AA100,"")))</f>
        <v/>
      </c>
      <c r="AK99" s="17" t="str">
        <f aca="false">IF(AJ99="","",COUNTIFS(Data_Summary!$Y$2:$Y$20001,"Coverage",Data_Summary!$AA$2:$AA$20001,AJ99))</f>
        <v/>
      </c>
      <c r="AM99" s="17" t="str">
        <f aca="false">IF(Data_Insight!X99="","",IF(COUNTIF(Data_Insight!$X$2:$X99,Data_Insight!X99)=1,Data_Insight!X99,""))</f>
        <v/>
      </c>
      <c r="AN99" s="17" t="str">
        <f aca="false">IF(AM99="","",COUNTIF(Data_Insight!$X$2:$X$20001,AM99))</f>
        <v/>
      </c>
    </row>
    <row r="100" customFormat="false" ht="15" hidden="false" customHeight="true" outlineLevel="0" collapsed="false">
      <c r="AJ100" s="17" t="str">
        <f aca="false">IF(Data_Summary!Y101&lt;&gt;"Coverage","",IF(Data_Summary!AA101="","",IF(COUNTIFS(Data_Summary!$Y$2:$Y101,"Coverage",Data_Summary!$AA$2:$AA101,Data_Summary!AA101)=1,Data_Summary!AA101,"")))</f>
        <v>Discussion on team dynamics</v>
      </c>
      <c r="AK100" s="17" t="n">
        <f aca="false">IF(AJ100="","",COUNTIFS(Data_Summary!$Y$2:$Y$20001,"Coverage",Data_Summary!$AA$2:$AA$20001,AJ100))</f>
        <v>12</v>
      </c>
      <c r="AM100" s="17" t="str">
        <f aca="false">IF(Data_Insight!X100="","",IF(COUNTIF(Data_Insight!$X$2:$X100,Data_Insight!X100)=1,Data_Insight!X100,""))</f>
        <v/>
      </c>
      <c r="AN100" s="17" t="str">
        <f aca="false">IF(AM100="","",COUNTIF(Data_Insight!$X$2:$X$20001,AM100))</f>
        <v/>
      </c>
    </row>
    <row r="101" customFormat="false" ht="15" hidden="false" customHeight="true" outlineLevel="0" collapsed="false">
      <c r="AJ101" s="17" t="str">
        <f aca="false">IF(Data_Summary!Y102&lt;&gt;"Coverage","",IF(Data_Summary!AA102="","",IF(COUNTIFS(Data_Summary!$Y$2:$Y102,"Coverage",Data_Summary!$AA$2:$AA102,Data_Summary!AA102)=1,Data_Summary!AA102,"")))</f>
        <v/>
      </c>
      <c r="AK101" s="17" t="str">
        <f aca="false">IF(AJ101="","",COUNTIFS(Data_Summary!$Y$2:$Y$20001,"Coverage",Data_Summary!$AA$2:$AA$20001,AJ101))</f>
        <v/>
      </c>
      <c r="AM101" s="17" t="str">
        <f aca="false">IF(Data_Insight!X101="","",IF(COUNTIF(Data_Insight!$X$2:$X101,Data_Insight!X101)=1,Data_Insight!X101,""))</f>
        <v/>
      </c>
      <c r="AN101" s="17" t="str">
        <f aca="false">IF(AM101="","",COUNTIF(Data_Insight!$X$2:$X$20001,AM101))</f>
        <v/>
      </c>
    </row>
    <row r="102" customFormat="false" ht="15" hidden="false" customHeight="true" outlineLevel="0" collapsed="false">
      <c r="AJ102" s="17" t="str">
        <f aca="false">IF(Data_Summary!Y103&lt;&gt;"Coverage","",IF(Data_Summary!AA103="","",IF(COUNTIFS(Data_Summary!$Y$2:$Y103,"Coverage",Data_Summary!$AA$2:$AA103,Data_Summary!AA103)=1,Data_Summary!AA103,"")))</f>
        <v/>
      </c>
      <c r="AK102" s="17" t="str">
        <f aca="false">IF(AJ102="","",COUNTIFS(Data_Summary!$Y$2:$Y$20001,"Coverage",Data_Summary!$AA$2:$AA$20001,AJ102))</f>
        <v/>
      </c>
      <c r="AM102" s="17" t="str">
        <f aca="false">IF(Data_Insight!X102="","",IF(COUNTIF(Data_Insight!$X$2:$X102,Data_Insight!X102)=1,Data_Insight!X102,""))</f>
        <v/>
      </c>
      <c r="AN102" s="17" t="str">
        <f aca="false">IF(AM102="","",COUNTIF(Data_Insight!$X$2:$X$20001,AM102))</f>
        <v/>
      </c>
    </row>
    <row r="103" customFormat="false" ht="15" hidden="false" customHeight="true" outlineLevel="0" collapsed="false">
      <c r="AJ103" s="17" t="str">
        <f aca="false">IF(Data_Summary!Y104&lt;&gt;"Coverage","",IF(Data_Summary!AA104="","",IF(COUNTIFS(Data_Summary!$Y$2:$Y104,"Coverage",Data_Summary!$AA$2:$AA104,Data_Summary!AA104)=1,Data_Summary!AA104,"")))</f>
        <v/>
      </c>
      <c r="AK103" s="17" t="str">
        <f aca="false">IF(AJ103="","",COUNTIFS(Data_Summary!$Y$2:$Y$20001,"Coverage",Data_Summary!$AA$2:$AA$20001,AJ103))</f>
        <v/>
      </c>
      <c r="AM103" s="17" t="str">
        <f aca="false">IF(Data_Insight!X103="","",IF(COUNTIF(Data_Insight!$X$2:$X103,Data_Insight!X103)=1,Data_Insight!X103,""))</f>
        <v/>
      </c>
      <c r="AN103" s="17" t="str">
        <f aca="false">IF(AM103="","",COUNTIF(Data_Insight!$X$2:$X$20001,AM103))</f>
        <v/>
      </c>
    </row>
    <row r="104" customFormat="false" ht="15" hidden="false" customHeight="true" outlineLevel="0" collapsed="false">
      <c r="AJ104" s="17" t="str">
        <f aca="false">IF(Data_Summary!Y105&lt;&gt;"Coverage","",IF(Data_Summary!AA105="","",IF(COUNTIFS(Data_Summary!$Y$2:$Y105,"Coverage",Data_Summary!$AA$2:$AA105,Data_Summary!AA105)=1,Data_Summary!AA105,"")))</f>
        <v/>
      </c>
      <c r="AK104" s="17" t="str">
        <f aca="false">IF(AJ104="","",COUNTIFS(Data_Summary!$Y$2:$Y$20001,"Coverage",Data_Summary!$AA$2:$AA$20001,AJ104))</f>
        <v/>
      </c>
      <c r="AM104" s="17" t="str">
        <f aca="false">IF(Data_Insight!X104="","",IF(COUNTIF(Data_Insight!$X$2:$X104,Data_Insight!X104)=1,Data_Insight!X104,""))</f>
        <v/>
      </c>
      <c r="AN104" s="17" t="str">
        <f aca="false">IF(AM104="","",COUNTIF(Data_Insight!$X$2:$X$20001,AM104))</f>
        <v/>
      </c>
    </row>
    <row r="105" customFormat="false" ht="15" hidden="false" customHeight="true" outlineLevel="0" collapsed="false">
      <c r="AJ105" s="17" t="str">
        <f aca="false">IF(Data_Summary!Y106&lt;&gt;"Coverage","",IF(Data_Summary!AA106="","",IF(COUNTIFS(Data_Summary!$Y$2:$Y106,"Coverage",Data_Summary!$AA$2:$AA106,Data_Summary!AA106)=1,Data_Summary!AA106,"")))</f>
        <v>Workload Management</v>
      </c>
      <c r="AK105" s="17" t="n">
        <f aca="false">IF(AJ105="","",COUNTIFS(Data_Summary!$Y$2:$Y$20001,"Coverage",Data_Summary!$AA$2:$AA$20001,AJ105))</f>
        <v>6</v>
      </c>
      <c r="AM105" s="17" t="str">
        <f aca="false">IF(Data_Insight!X105="","",IF(COUNTIF(Data_Insight!$X$2:$X105,Data_Insight!X105)=1,Data_Insight!X105,""))</f>
        <v/>
      </c>
      <c r="AN105" s="17" t="str">
        <f aca="false">IF(AM105="","",COUNTIF(Data_Insight!$X$2:$X$20001,AM105))</f>
        <v/>
      </c>
    </row>
    <row r="106" customFormat="false" ht="15" hidden="false" customHeight="true" outlineLevel="0" collapsed="false">
      <c r="AJ106" s="17" t="str">
        <f aca="false">IF(Data_Summary!Y107&lt;&gt;"Coverage","",IF(Data_Summary!AA107="","",IF(COUNTIFS(Data_Summary!$Y$2:$Y107,"Coverage",Data_Summary!$AA$2:$AA107,Data_Summary!AA107)=1,Data_Summary!AA107,"")))</f>
        <v/>
      </c>
      <c r="AK106" s="17" t="str">
        <f aca="false">IF(AJ106="","",COUNTIFS(Data_Summary!$Y$2:$Y$20001,"Coverage",Data_Summary!$AA$2:$AA$20001,AJ106))</f>
        <v/>
      </c>
      <c r="AM106" s="17" t="str">
        <f aca="false">IF(Data_Insight!X106="","",IF(COUNTIF(Data_Insight!$X$2:$X106,Data_Insight!X106)=1,Data_Insight!X106,""))</f>
        <v/>
      </c>
      <c r="AN106" s="17" t="str">
        <f aca="false">IF(AM106="","",COUNTIF(Data_Insight!$X$2:$X$20001,AM106))</f>
        <v/>
      </c>
    </row>
    <row r="107" customFormat="false" ht="15" hidden="false" customHeight="true" outlineLevel="0" collapsed="false">
      <c r="AJ107" s="17" t="str">
        <f aca="false">IF(Data_Summary!Y108&lt;&gt;"Coverage","",IF(Data_Summary!AA108="","",IF(COUNTIFS(Data_Summary!$Y$2:$Y108,"Coverage",Data_Summary!$AA$2:$AA108,Data_Summary!AA108)=1,Data_Summary!AA108,"")))</f>
        <v/>
      </c>
      <c r="AK107" s="17" t="str">
        <f aca="false">IF(AJ107="","",COUNTIFS(Data_Summary!$Y$2:$Y$20001,"Coverage",Data_Summary!$AA$2:$AA$20001,AJ107))</f>
        <v/>
      </c>
      <c r="AM107" s="17" t="str">
        <f aca="false">IF(Data_Insight!X107="","",IF(COUNTIF(Data_Insight!$X$2:$X107,Data_Insight!X107)=1,Data_Insight!X107,""))</f>
        <v/>
      </c>
      <c r="AN107" s="17" t="str">
        <f aca="false">IF(AM107="","",COUNTIF(Data_Insight!$X$2:$X$20001,AM107))</f>
        <v/>
      </c>
    </row>
    <row r="108" customFormat="false" ht="15" hidden="false" customHeight="true" outlineLevel="0" collapsed="false">
      <c r="AJ108" s="17" t="str">
        <f aca="false">IF(Data_Summary!Y109&lt;&gt;"Coverage","",IF(Data_Summary!AA109="","",IF(COUNTIFS(Data_Summary!$Y$2:$Y109,"Coverage",Data_Summary!$AA$2:$AA109,Data_Summary!AA109)=1,Data_Summary!AA109,"")))</f>
        <v/>
      </c>
      <c r="AK108" s="17" t="str">
        <f aca="false">IF(AJ108="","",COUNTIFS(Data_Summary!$Y$2:$Y$20001,"Coverage",Data_Summary!$AA$2:$AA$20001,AJ108))</f>
        <v/>
      </c>
      <c r="AM108" s="17" t="str">
        <f aca="false">IF(Data_Insight!X108="","",IF(COUNTIF(Data_Insight!$X$2:$X108,Data_Insight!X108)=1,Data_Insight!X108,""))</f>
        <v/>
      </c>
      <c r="AN108" s="17" t="str">
        <f aca="false">IF(AM108="","",COUNTIF(Data_Insight!$X$2:$X$20001,AM108))</f>
        <v/>
      </c>
    </row>
    <row r="109" customFormat="false" ht="15" hidden="false" customHeight="true" outlineLevel="0" collapsed="false">
      <c r="AJ109" s="17" t="str">
        <f aca="false">IF(Data_Summary!Y110&lt;&gt;"Coverage","",IF(Data_Summary!AA110="","",IF(COUNTIFS(Data_Summary!$Y$2:$Y110,"Coverage",Data_Summary!$AA$2:$AA110,Data_Summary!AA110)=1,Data_Summary!AA110,"")))</f>
        <v/>
      </c>
      <c r="AK109" s="17" t="str">
        <f aca="false">IF(AJ109="","",COUNTIFS(Data_Summary!$Y$2:$Y$20001,"Coverage",Data_Summary!$AA$2:$AA$20001,AJ109))</f>
        <v/>
      </c>
      <c r="AM109" s="17" t="str">
        <f aca="false">IF(Data_Insight!X109="","",IF(COUNTIF(Data_Insight!$X$2:$X109,Data_Insight!X109)=1,Data_Insight!X109,""))</f>
        <v/>
      </c>
      <c r="AN109" s="17" t="str">
        <f aca="false">IF(AM109="","",COUNTIF(Data_Insight!$X$2:$X$20001,AM109))</f>
        <v/>
      </c>
    </row>
    <row r="110" customFormat="false" ht="15" hidden="false" customHeight="true" outlineLevel="0" collapsed="false">
      <c r="AJ110" s="17" t="str">
        <f aca="false">IF(Data_Summary!Y111&lt;&gt;"Coverage","",IF(Data_Summary!AA111="","",IF(COUNTIFS(Data_Summary!$Y$2:$Y111,"Coverage",Data_Summary!$AA$2:$AA111,Data_Summary!AA111)=1,Data_Summary!AA111,"")))</f>
        <v>Clarity on Org Changes &amp; Priorities</v>
      </c>
      <c r="AK110" s="17" t="n">
        <f aca="false">IF(AJ110="","",COUNTIFS(Data_Summary!$Y$2:$Y$20001,"Coverage",Data_Summary!$AA$2:$AA$20001,AJ110))</f>
        <v>3</v>
      </c>
      <c r="AM110" s="17" t="str">
        <f aca="false">IF(Data_Insight!X110="","",IF(COUNTIF(Data_Insight!$X$2:$X110,Data_Insight!X110)=1,Data_Insight!X110,""))</f>
        <v/>
      </c>
      <c r="AN110" s="17" t="str">
        <f aca="false">IF(AM110="","",COUNTIF(Data_Insight!$X$2:$X$20001,AM110))</f>
        <v/>
      </c>
    </row>
    <row r="111" customFormat="false" ht="15" hidden="false" customHeight="true" outlineLevel="0" collapsed="false">
      <c r="AJ111" s="17" t="str">
        <f aca="false">IF(Data_Summary!Y112&lt;&gt;"Coverage","",IF(Data_Summary!AA112="","",IF(COUNTIFS(Data_Summary!$Y$2:$Y112,"Coverage",Data_Summary!$AA$2:$AA112,Data_Summary!AA112)=1,Data_Summary!AA112,"")))</f>
        <v/>
      </c>
      <c r="AK111" s="17" t="str">
        <f aca="false">IF(AJ111="","",COUNTIFS(Data_Summary!$Y$2:$Y$20001,"Coverage",Data_Summary!$AA$2:$AA$20001,AJ111))</f>
        <v/>
      </c>
      <c r="AM111" s="17" t="str">
        <f aca="false">IF(Data_Insight!X111="","",IF(COUNTIF(Data_Insight!$X$2:$X111,Data_Insight!X111)=1,Data_Insight!X111,""))</f>
        <v/>
      </c>
      <c r="AN111" s="17" t="str">
        <f aca="false">IF(AM111="","",COUNTIF(Data_Insight!$X$2:$X$20001,AM111))</f>
        <v/>
      </c>
    </row>
    <row r="112" customFormat="false" ht="15" hidden="false" customHeight="true" outlineLevel="0" collapsed="false">
      <c r="AJ112" s="17" t="str">
        <f aca="false">IF(Data_Summary!Y113&lt;&gt;"Coverage","",IF(Data_Summary!AA113="","",IF(COUNTIFS(Data_Summary!$Y$2:$Y113,"Coverage",Data_Summary!$AA$2:$AA113,Data_Summary!AA113)=1,Data_Summary!AA113,"")))</f>
        <v/>
      </c>
      <c r="AK112" s="17" t="str">
        <f aca="false">IF(AJ112="","",COUNTIFS(Data_Summary!$Y$2:$Y$20001,"Coverage",Data_Summary!$AA$2:$AA$20001,AJ112))</f>
        <v/>
      </c>
      <c r="AM112" s="17" t="str">
        <f aca="false">IF(Data_Insight!X112="","",IF(COUNTIF(Data_Insight!$X$2:$X112,Data_Insight!X112)=1,Data_Insight!X112,""))</f>
        <v/>
      </c>
      <c r="AN112" s="17" t="str">
        <f aca="false">IF(AM112="","",COUNTIF(Data_Insight!$X$2:$X$20001,AM112))</f>
        <v/>
      </c>
    </row>
    <row r="113" customFormat="false" ht="12.75" hidden="false" customHeight="true" outlineLevel="0" collapsed="false">
      <c r="AJ113" s="17" t="str">
        <f aca="false">IF(Data_Summary!Y114&lt;&gt;"Coverage","",IF(Data_Summary!AA114="","",IF(COUNTIFS(Data_Summary!$Y$2:$Y114,"Coverage",Data_Summary!$AA$2:$AA114,Data_Summary!AA114)=1,Data_Summary!AA114,"")))</f>
        <v/>
      </c>
      <c r="AK113" s="17" t="str">
        <f aca="false">IF(AJ113="","",COUNTIFS(Data_Summary!$Y$2:$Y$20001,"Coverage",Data_Summary!$AA$2:$AA$20001,AJ113))</f>
        <v/>
      </c>
      <c r="AM113" s="17" t="str">
        <f aca="false">IF(Data_Insight!X113="","",IF(COUNTIF(Data_Insight!$X$2:$X113,Data_Insight!X113)=1,Data_Insight!X113,""))</f>
        <v/>
      </c>
      <c r="AN113" s="17" t="str">
        <f aca="false">IF(AM113="","",COUNTIF(Data_Insight!$X$2:$X$20001,AM113))</f>
        <v/>
      </c>
    </row>
    <row r="114" customFormat="false" ht="15.75" hidden="false" customHeight="true" outlineLevel="0" collapsed="false">
      <c r="AJ114" s="17" t="str">
        <f aca="false">IF(Data_Summary!Y115&lt;&gt;"Coverage","",IF(Data_Summary!AA115="","",IF(COUNTIFS(Data_Summary!$Y$2:$Y115,"Coverage",Data_Summary!$AA$2:$AA115,Data_Summary!AA115)=1,Data_Summary!AA115,"")))</f>
        <v/>
      </c>
      <c r="AK114" s="17" t="str">
        <f aca="false">IF(AJ114="","",COUNTIFS(Data_Summary!$Y$2:$Y$20001,"Coverage",Data_Summary!$AA$2:$AA$20001,AJ114))</f>
        <v/>
      </c>
      <c r="AM114" s="17" t="str">
        <f aca="false">IF(Data_Insight!X114="","",IF(COUNTIF(Data_Insight!$X$2:$X114,Data_Insight!X114)=1,Data_Insight!X114,""))</f>
        <v/>
      </c>
      <c r="AN114" s="17" t="str">
        <f aca="false">IF(AM114="","",COUNTIF(Data_Insight!$X$2:$X$20001,AM114))</f>
        <v/>
      </c>
    </row>
    <row r="115" customFormat="false" ht="13.5" hidden="false" customHeight="true" outlineLevel="0" collapsed="false">
      <c r="AJ115" s="17" t="str">
        <f aca="false">IF(Data_Summary!Y116&lt;&gt;"Coverage","",IF(Data_Summary!AA116="","",IF(COUNTIFS(Data_Summary!$Y$2:$Y116,"Coverage",Data_Summary!$AA$2:$AA116,Data_Summary!AA116)=1,Data_Summary!AA116,"")))</f>
        <v/>
      </c>
      <c r="AK115" s="17" t="str">
        <f aca="false">IF(AJ115="","",COUNTIFS(Data_Summary!$Y$2:$Y$20001,"Coverage",Data_Summary!$AA$2:$AA$20001,AJ115))</f>
        <v/>
      </c>
      <c r="AM115" s="17" t="str">
        <f aca="false">IF(Data_Insight!X115="","",IF(COUNTIF(Data_Insight!$X$2:$X115,Data_Insight!X115)=1,Data_Insight!X115,""))</f>
        <v/>
      </c>
      <c r="AN115" s="17" t="str">
        <f aca="false">IF(AM115="","",COUNTIF(Data_Insight!$X$2:$X$20001,AM115))</f>
        <v/>
      </c>
    </row>
    <row r="116" customFormat="false" ht="15" hidden="false" customHeight="true" outlineLevel="0" collapsed="false">
      <c r="AJ116" s="17" t="str">
        <f aca="false">IF(Data_Summary!Y117&lt;&gt;"Coverage","",IF(Data_Summary!AA117="","",IF(COUNTIFS(Data_Summary!$Y$2:$Y117,"Coverage",Data_Summary!$AA$2:$AA117,Data_Summary!AA117)=1,Data_Summary!AA117,"")))</f>
        <v/>
      </c>
      <c r="AK116" s="17" t="str">
        <f aca="false">IF(AJ116="","",COUNTIFS(Data_Summary!$Y$2:$Y$20001,"Coverage",Data_Summary!$AA$2:$AA$20001,AJ116))</f>
        <v/>
      </c>
      <c r="AM116" s="17" t="str">
        <f aca="false">IF(Data_Insight!X116="","",IF(COUNTIF(Data_Insight!$X$2:$X116,Data_Insight!X116)=1,Data_Insight!X116,""))</f>
        <v/>
      </c>
      <c r="AN116" s="17" t="str">
        <f aca="false">IF(AM116="","",COUNTIF(Data_Insight!$X$2:$X$20001,AM116))</f>
        <v/>
      </c>
    </row>
    <row r="117" customFormat="false" ht="15" hidden="false" customHeight="true" outlineLevel="0" collapsed="false">
      <c r="AJ117" s="17" t="str">
        <f aca="false">IF(Data_Summary!Y118&lt;&gt;"Coverage","",IF(Data_Summary!AA118="","",IF(COUNTIFS(Data_Summary!$Y$2:$Y118,"Coverage",Data_Summary!$AA$2:$AA118,Data_Summary!AA118)=1,Data_Summary!AA118,"")))</f>
        <v/>
      </c>
      <c r="AK117" s="17" t="str">
        <f aca="false">IF(AJ117="","",COUNTIFS(Data_Summary!$Y$2:$Y$20001,"Coverage",Data_Summary!$AA$2:$AA$20001,AJ117))</f>
        <v/>
      </c>
      <c r="AM117" s="17" t="str">
        <f aca="false">IF(Data_Insight!X117="","",IF(COUNTIF(Data_Insight!$X$2:$X117,Data_Insight!X117)=1,Data_Insight!X117,""))</f>
        <v/>
      </c>
      <c r="AN117" s="17" t="str">
        <f aca="false">IF(AM117="","",COUNTIF(Data_Insight!$X$2:$X$20001,AM117))</f>
        <v/>
      </c>
    </row>
    <row r="118" customFormat="false" ht="15" hidden="false" customHeight="true" outlineLevel="0" collapsed="false">
      <c r="AJ118" s="17" t="str">
        <f aca="false">IF(Data_Summary!Y119&lt;&gt;"Coverage","",IF(Data_Summary!AA119="","",IF(COUNTIFS(Data_Summary!$Y$2:$Y119,"Coverage",Data_Summary!$AA$2:$AA119,Data_Summary!AA119)=1,Data_Summary!AA119,"")))</f>
        <v/>
      </c>
      <c r="AK118" s="17" t="str">
        <f aca="false">IF(AJ118="","",COUNTIFS(Data_Summary!$Y$2:$Y$20001,"Coverage",Data_Summary!$AA$2:$AA$20001,AJ118))</f>
        <v/>
      </c>
      <c r="AM118" s="17" t="str">
        <f aca="false">IF(Data_Insight!X118="","",IF(COUNTIF(Data_Insight!$X$2:$X118,Data_Insight!X118)=1,Data_Insight!X118,""))</f>
        <v/>
      </c>
      <c r="AN118" s="17" t="str">
        <f aca="false">IF(AM118="","",COUNTIF(Data_Insight!$X$2:$X$20001,AM118))</f>
        <v/>
      </c>
    </row>
    <row r="119" customFormat="false" ht="15" hidden="false" customHeight="true" outlineLevel="0" collapsed="false">
      <c r="AJ119" s="17" t="str">
        <f aca="false">IF(Data_Summary!Y120&lt;&gt;"Coverage","",IF(Data_Summary!AA120="","",IF(COUNTIFS(Data_Summary!$Y$2:$Y120,"Coverage",Data_Summary!$AA$2:$AA120,Data_Summary!AA120)=1,Data_Summary!AA120,"")))</f>
        <v/>
      </c>
      <c r="AK119" s="17" t="str">
        <f aca="false">IF(AJ119="","",COUNTIFS(Data_Summary!$Y$2:$Y$20001,"Coverage",Data_Summary!$AA$2:$AA$20001,AJ119))</f>
        <v/>
      </c>
      <c r="AM119" s="17" t="str">
        <f aca="false">IF(Data_Insight!X119="","",IF(COUNTIF(Data_Insight!$X$2:$X119,Data_Insight!X119)=1,Data_Insight!X119,""))</f>
        <v/>
      </c>
      <c r="AN119" s="17" t="str">
        <f aca="false">IF(AM119="","",COUNTIF(Data_Insight!$X$2:$X$20001,AM119))</f>
        <v/>
      </c>
    </row>
    <row r="120" customFormat="false" ht="15" hidden="false" customHeight="true" outlineLevel="0" collapsed="false">
      <c r="AJ120" s="17" t="str">
        <f aca="false">IF(Data_Summary!Y121&lt;&gt;"Coverage","",IF(Data_Summary!AA121="","",IF(COUNTIFS(Data_Summary!$Y$2:$Y121,"Coverage",Data_Summary!$AA$2:$AA121,Data_Summary!AA121)=1,Data_Summary!AA121,"")))</f>
        <v/>
      </c>
      <c r="AK120" s="17" t="str">
        <f aca="false">IF(AJ120="","",COUNTIFS(Data_Summary!$Y$2:$Y$20001,"Coverage",Data_Summary!$AA$2:$AA$20001,AJ120))</f>
        <v/>
      </c>
      <c r="AM120" s="17" t="str">
        <f aca="false">IF(Data_Insight!X120="","",IF(COUNTIF(Data_Insight!$X$2:$X120,Data_Insight!X120)=1,Data_Insight!X120,""))</f>
        <v/>
      </c>
      <c r="AN120" s="17" t="str">
        <f aca="false">IF(AM120="","",COUNTIF(Data_Insight!$X$2:$X$20001,AM120))</f>
        <v/>
      </c>
    </row>
    <row r="121" customFormat="false" ht="15" hidden="false" customHeight="true" outlineLevel="0" collapsed="false">
      <c r="AJ121" s="17" t="str">
        <f aca="false">IF(Data_Summary!Y122&lt;&gt;"Coverage","",IF(Data_Summary!AA122="","",IF(COUNTIFS(Data_Summary!$Y$2:$Y122,"Coverage",Data_Summary!$AA$2:$AA122,Data_Summary!AA122)=1,Data_Summary!AA122,"")))</f>
        <v/>
      </c>
      <c r="AK121" s="17" t="str">
        <f aca="false">IF(AJ121="","",COUNTIFS(Data_Summary!$Y$2:$Y$20001,"Coverage",Data_Summary!$AA$2:$AA$20001,AJ121))</f>
        <v/>
      </c>
      <c r="AM121" s="17" t="str">
        <f aca="false">IF(Data_Insight!X121="","",IF(COUNTIF(Data_Insight!$X$2:$X121,Data_Insight!X121)=1,Data_Insight!X121,""))</f>
        <v/>
      </c>
      <c r="AN121" s="17" t="str">
        <f aca="false">IF(AM121="","",COUNTIF(Data_Insight!$X$2:$X$20001,AM121))</f>
        <v/>
      </c>
    </row>
    <row r="122" customFormat="false" ht="15" hidden="false" customHeight="true" outlineLevel="0" collapsed="false">
      <c r="AJ122" s="17" t="str">
        <f aca="false">IF(Data_Summary!Y123&lt;&gt;"Coverage","",IF(Data_Summary!AA123="","",IF(COUNTIFS(Data_Summary!$Y$2:$Y123,"Coverage",Data_Summary!$AA$2:$AA123,Data_Summary!AA123)=1,Data_Summary!AA123,"")))</f>
        <v>Engagement &amp; Motivation Across Stages</v>
      </c>
      <c r="AK122" s="17" t="n">
        <f aca="false">IF(AJ122="","",COUNTIFS(Data_Summary!$Y$2:$Y$20001,"Coverage",Data_Summary!$AA$2:$AA$20001,AJ122))</f>
        <v>3</v>
      </c>
      <c r="AM122" s="17" t="str">
        <f aca="false">IF(Data_Insight!X122="","",IF(COUNTIF(Data_Insight!$X$2:$X122,Data_Insight!X122)=1,Data_Insight!X122,""))</f>
        <v/>
      </c>
      <c r="AN122" s="17" t="str">
        <f aca="false">IF(AM122="","",COUNTIF(Data_Insight!$X$2:$X$20001,AM122))</f>
        <v/>
      </c>
    </row>
    <row r="123" customFormat="false" ht="15" hidden="false" customHeight="true" outlineLevel="0" collapsed="false">
      <c r="AJ123" s="17" t="str">
        <f aca="false">IF(Data_Summary!Y124&lt;&gt;"Coverage","",IF(Data_Summary!AA124="","",IF(COUNTIFS(Data_Summary!$Y$2:$Y124,"Coverage",Data_Summary!$AA$2:$AA124,Data_Summary!AA124)=1,Data_Summary!AA124,"")))</f>
        <v>Career Clarity &amp; Growth Continuity</v>
      </c>
      <c r="AK123" s="17" t="n">
        <f aca="false">IF(AJ123="","",COUNTIFS(Data_Summary!$Y$2:$Y$20001,"Coverage",Data_Summary!$AA$2:$AA$20001,AJ123))</f>
        <v>4</v>
      </c>
      <c r="AM123" s="17" t="str">
        <f aca="false">IF(Data_Insight!X123="","",IF(COUNTIF(Data_Insight!$X$2:$X123,Data_Insight!X123)=1,Data_Insight!X123,""))</f>
        <v/>
      </c>
      <c r="AN123" s="17" t="str">
        <f aca="false">IF(AM123="","",COUNTIF(Data_Insight!$X$2:$X$20001,AM123))</f>
        <v/>
      </c>
    </row>
    <row r="124" customFormat="false" ht="15" hidden="false" customHeight="true" outlineLevel="0" collapsed="false">
      <c r="AJ124" s="17" t="str">
        <f aca="false">IF(Data_Summary!Y125&lt;&gt;"Coverage","",IF(Data_Summary!AA125="","",IF(COUNTIFS(Data_Summary!$Y$2:$Y125,"Coverage",Data_Summary!$AA$2:$AA125,Data_Summary!AA125)=1,Data_Summary!AA125,"")))</f>
        <v>Allocation &amp; Deployment Transparency</v>
      </c>
      <c r="AK124" s="17" t="n">
        <f aca="false">IF(AJ124="","",COUNTIFS(Data_Summary!$Y$2:$Y$20001,"Coverage",Data_Summary!$AA$2:$AA$20001,AJ124))</f>
        <v>4</v>
      </c>
      <c r="AM124" s="17" t="str">
        <f aca="false">IF(Data_Insight!X124="","",IF(COUNTIF(Data_Insight!$X$2:$X124,Data_Insight!X124)=1,Data_Insight!X124,""))</f>
        <v/>
      </c>
      <c r="AN124" s="17" t="str">
        <f aca="false">IF(AM124="","",COUNTIF(Data_Insight!$X$2:$X$20001,AM124))</f>
        <v/>
      </c>
    </row>
    <row r="125" customFormat="false" ht="15" hidden="false" customHeight="true" outlineLevel="0" collapsed="false">
      <c r="AJ125" s="17" t="str">
        <f aca="false">IF(Data_Summary!Y126&lt;&gt;"Coverage","",IF(Data_Summary!AA126="","",IF(COUNTIFS(Data_Summary!$Y$2:$Y126,"Coverage",Data_Summary!$AA$2:$AA126,Data_Summary!AA126)=1,Data_Summary!AA126,"")))</f>
        <v/>
      </c>
      <c r="AK125" s="17" t="str">
        <f aca="false">IF(AJ125="","",COUNTIFS(Data_Summary!$Y$2:$Y$20001,"Coverage",Data_Summary!$AA$2:$AA$20001,AJ125))</f>
        <v/>
      </c>
      <c r="AM125" s="17" t="str">
        <f aca="false">IF(Data_Insight!X125="","",IF(COUNTIF(Data_Insight!$X$2:$X125,Data_Insight!X125)=1,Data_Insight!X125,""))</f>
        <v/>
      </c>
      <c r="AN125" s="17" t="str">
        <f aca="false">IF(AM125="","",COUNTIF(Data_Insight!$X$2:$X$20001,AM125))</f>
        <v/>
      </c>
    </row>
    <row r="126" customFormat="false" ht="15" hidden="false" customHeight="true" outlineLevel="0" collapsed="false">
      <c r="AJ126" s="17" t="str">
        <f aca="false">IF(Data_Summary!Y127&lt;&gt;"Coverage","",IF(Data_Summary!AA127="","",IF(COUNTIFS(Data_Summary!$Y$2:$Y127,"Coverage",Data_Summary!$AA$2:$AA127,Data_Summary!AA127)=1,Data_Summary!AA127,"")))</f>
        <v/>
      </c>
      <c r="AK126" s="17" t="str">
        <f aca="false">IF(AJ126="","",COUNTIFS(Data_Summary!$Y$2:$Y$20001,"Coverage",Data_Summary!$AA$2:$AA$20001,AJ126))</f>
        <v/>
      </c>
      <c r="AM126" s="17" t="str">
        <f aca="false">IF(Data_Insight!X126="","",IF(COUNTIF(Data_Insight!$X$2:$X126,Data_Insight!X126)=1,Data_Insight!X126,""))</f>
        <v/>
      </c>
      <c r="AN126" s="17" t="str">
        <f aca="false">IF(AM126="","",COUNTIF(Data_Insight!$X$2:$X$20001,AM126))</f>
        <v/>
      </c>
    </row>
    <row r="127" customFormat="false" ht="15" hidden="false" customHeight="true" outlineLevel="0" collapsed="false">
      <c r="AJ127" s="17" t="str">
        <f aca="false">IF(Data_Summary!Y128&lt;&gt;"Coverage","",IF(Data_Summary!AA128="","",IF(COUNTIFS(Data_Summary!$Y$2:$Y128,"Coverage",Data_Summary!$AA$2:$AA128,Data_Summary!AA128)=1,Data_Summary!AA128,"")))</f>
        <v/>
      </c>
      <c r="AK127" s="17" t="str">
        <f aca="false">IF(AJ127="","",COUNTIFS(Data_Summary!$Y$2:$Y$20001,"Coverage",Data_Summary!$AA$2:$AA$20001,AJ127))</f>
        <v/>
      </c>
      <c r="AM127" s="17" t="str">
        <f aca="false">IF(Data_Insight!X127="","",IF(COUNTIF(Data_Insight!$X$2:$X127,Data_Insight!X127)=1,Data_Insight!X127,""))</f>
        <v/>
      </c>
      <c r="AN127" s="17" t="str">
        <f aca="false">IF(AM127="","",COUNTIF(Data_Insight!$X$2:$X$20001,AM127))</f>
        <v/>
      </c>
    </row>
    <row r="128" customFormat="false" ht="15" hidden="false" customHeight="true" outlineLevel="0" collapsed="false">
      <c r="AJ128" s="17" t="str">
        <f aca="false">IF(Data_Summary!Y129&lt;&gt;"Coverage","",IF(Data_Summary!AA129="","",IF(COUNTIFS(Data_Summary!$Y$2:$Y129,"Coverage",Data_Summary!$AA$2:$AA129,Data_Summary!AA129)=1,Data_Summary!AA129,"")))</f>
        <v>Career Path Visibility</v>
      </c>
      <c r="AK128" s="17" t="n">
        <f aca="false">IF(AJ128="","",COUNTIFS(Data_Summary!$Y$2:$Y$20001,"Coverage",Data_Summary!$AA$2:$AA$20001,AJ128))</f>
        <v>8</v>
      </c>
      <c r="AM128" s="17" t="str">
        <f aca="false">IF(Data_Insight!X128="","",IF(COUNTIF(Data_Insight!$X$2:$X128,Data_Insight!X128)=1,Data_Insight!X128,""))</f>
        <v/>
      </c>
      <c r="AN128" s="17" t="str">
        <f aca="false">IF(AM128="","",COUNTIF(Data_Insight!$X$2:$X$20001,AM128))</f>
        <v/>
      </c>
    </row>
    <row r="129" customFormat="false" ht="15" hidden="false" customHeight="true" outlineLevel="0" collapsed="false">
      <c r="AJ129" s="17" t="str">
        <f aca="false">IF(Data_Summary!Y130&lt;&gt;"Coverage","",IF(Data_Summary!AA130="","",IF(COUNTIFS(Data_Summary!$Y$2:$Y130,"Coverage",Data_Summary!$AA$2:$AA130,Data_Summary!AA130)=1,Data_Summary!AA130,"")))</f>
        <v/>
      </c>
      <c r="AK129" s="17" t="str">
        <f aca="false">IF(AJ129="","",COUNTIFS(Data_Summary!$Y$2:$Y$20001,"Coverage",Data_Summary!$AA$2:$AA$20001,AJ129))</f>
        <v/>
      </c>
      <c r="AM129" s="17" t="str">
        <f aca="false">IF(Data_Insight!X129="","",IF(COUNTIF(Data_Insight!$X$2:$X129,Data_Insight!X129)=1,Data_Insight!X129,""))</f>
        <v/>
      </c>
      <c r="AN129" s="17" t="str">
        <f aca="false">IF(AM129="","",COUNTIF(Data_Insight!$X$2:$X$20001,AM129))</f>
        <v/>
      </c>
    </row>
    <row r="130" customFormat="false" ht="15" hidden="false" customHeight="true" outlineLevel="0" collapsed="false">
      <c r="AJ130" s="17" t="str">
        <f aca="false">IF(Data_Summary!Y131&lt;&gt;"Coverage","",IF(Data_Summary!AA131="","",IF(COUNTIFS(Data_Summary!$Y$2:$Y131,"Coverage",Data_Summary!$AA$2:$AA131,Data_Summary!AA131)=1,Data_Summary!AA131,"")))</f>
        <v/>
      </c>
      <c r="AK130" s="17" t="str">
        <f aca="false">IF(AJ130="","",COUNTIFS(Data_Summary!$Y$2:$Y$20001,"Coverage",Data_Summary!$AA$2:$AA$20001,AJ130))</f>
        <v/>
      </c>
      <c r="AM130" s="17" t="str">
        <f aca="false">IF(Data_Insight!X130="","",IF(COUNTIF(Data_Insight!$X$2:$X130,Data_Insight!X130)=1,Data_Insight!X130,""))</f>
        <v/>
      </c>
      <c r="AN130" s="17" t="str">
        <f aca="false">IF(AM130="","",COUNTIF(Data_Insight!$X$2:$X$20001,AM130))</f>
        <v/>
      </c>
    </row>
    <row r="131" customFormat="false" ht="15" hidden="false" customHeight="true" outlineLevel="0" collapsed="false">
      <c r="AJ131" s="17" t="str">
        <f aca="false">IF(Data_Summary!Y132&lt;&gt;"Coverage","",IF(Data_Summary!AA132="","",IF(COUNTIFS(Data_Summary!$Y$2:$Y132,"Coverage",Data_Summary!$AA$2:$AA132,Data_Summary!AA132)=1,Data_Summary!AA132,"")))</f>
        <v/>
      </c>
      <c r="AK131" s="17" t="str">
        <f aca="false">IF(AJ131="","",COUNTIFS(Data_Summary!$Y$2:$Y$20001,"Coverage",Data_Summary!$AA$2:$AA$20001,AJ131))</f>
        <v/>
      </c>
      <c r="AM131" s="17" t="str">
        <f aca="false">IF(Data_Insight!X131="","",IF(COUNTIF(Data_Insight!$X$2:$X131,Data_Insight!X131)=1,Data_Insight!X131,""))</f>
        <v/>
      </c>
      <c r="AN131" s="17" t="str">
        <f aca="false">IF(AM131="","",COUNTIF(Data_Insight!$X$2:$X$20001,AM131))</f>
        <v/>
      </c>
    </row>
    <row r="132" customFormat="false" ht="15" hidden="false" customHeight="true" outlineLevel="0" collapsed="false">
      <c r="AJ132" s="17" t="str">
        <f aca="false">IF(Data_Summary!Y133&lt;&gt;"Coverage","",IF(Data_Summary!AA133="","",IF(COUNTIFS(Data_Summary!$Y$2:$Y133,"Coverage",Data_Summary!$AA$2:$AA133,Data_Summary!AA133)=1,Data_Summary!AA133,"")))</f>
        <v/>
      </c>
      <c r="AK132" s="17" t="str">
        <f aca="false">IF(AJ132="","",COUNTIFS(Data_Summary!$Y$2:$Y$20001,"Coverage",Data_Summary!$AA$2:$AA$20001,AJ132))</f>
        <v/>
      </c>
      <c r="AM132" s="17" t="str">
        <f aca="false">IF(Data_Insight!X132="","",IF(COUNTIF(Data_Insight!$X$2:$X132,Data_Insight!X132)=1,Data_Insight!X132,""))</f>
        <v/>
      </c>
      <c r="AN132" s="17" t="str">
        <f aca="false">IF(AM132="","",COUNTIF(Data_Insight!$X$2:$X$20001,AM132))</f>
        <v/>
      </c>
    </row>
    <row r="133" customFormat="false" ht="15" hidden="false" customHeight="true" outlineLevel="0" collapsed="false">
      <c r="AJ133" s="17" t="str">
        <f aca="false">IF(Data_Summary!Y134&lt;&gt;"Coverage","",IF(Data_Summary!AA134="","",IF(COUNTIFS(Data_Summary!$Y$2:$Y134,"Coverage",Data_Summary!$AA$2:$AA134,Data_Summary!AA134)=1,Data_Summary!AA134,"")))</f>
        <v>For Role Rotation (PM/PGM/architect)</v>
      </c>
      <c r="AK133" s="17" t="n">
        <f aca="false">IF(AJ133="","",COUNTIFS(Data_Summary!$Y$2:$Y$20001,"Coverage",Data_Summary!$AA$2:$AA$20001,AJ133))</f>
        <v>3</v>
      </c>
      <c r="AM133" s="17" t="str">
        <f aca="false">IF(Data_Insight!X133="","",IF(COUNTIF(Data_Insight!$X$2:$X133,Data_Insight!X133)=1,Data_Insight!X133,""))</f>
        <v/>
      </c>
      <c r="AN133" s="17" t="str">
        <f aca="false">IF(AM133="","",COUNTIF(Data_Insight!$X$2:$X$20001,AM133))</f>
        <v/>
      </c>
    </row>
    <row r="134" customFormat="false" ht="15" hidden="false" customHeight="true" outlineLevel="0" collapsed="false">
      <c r="AJ134" s="17" t="str">
        <f aca="false">IF(Data_Summary!Y135&lt;&gt;"Coverage","",IF(Data_Summary!AA135="","",IF(COUNTIFS(Data_Summary!$Y$2:$Y135,"Coverage",Data_Summary!$AA$2:$AA135,Data_Summary!AA135)=1,Data_Summary!AA135,"")))</f>
        <v>Recognition Equity &amp; Visibility</v>
      </c>
      <c r="AK134" s="17" t="n">
        <f aca="false">IF(AJ134="","",COUNTIFS(Data_Summary!$Y$2:$Y$20001,"Coverage",Data_Summary!$AA$2:$AA$20001,AJ134))</f>
        <v>2</v>
      </c>
      <c r="AM134" s="17" t="str">
        <f aca="false">IF(Data_Insight!X134="","",IF(COUNTIF(Data_Insight!$X$2:$X134,Data_Insight!X134)=1,Data_Insight!X134,""))</f>
        <v/>
      </c>
      <c r="AN134" s="17" t="str">
        <f aca="false">IF(AM134="","",COUNTIF(Data_Insight!$X$2:$X$20001,AM134))</f>
        <v/>
      </c>
    </row>
    <row r="135" customFormat="false" ht="15" hidden="false" customHeight="true" outlineLevel="0" collapsed="false">
      <c r="AJ135" s="17" t="str">
        <f aca="false">IF(Data_Summary!Y136&lt;&gt;"Coverage","",IF(Data_Summary!AA136="","",IF(COUNTIFS(Data_Summary!$Y$2:$Y136,"Coverage",Data_Summary!$AA$2:$AA136,Data_Summary!AA136)=1,Data_Summary!AA136,"")))</f>
        <v/>
      </c>
      <c r="AK135" s="17" t="str">
        <f aca="false">IF(AJ135="","",COUNTIFS(Data_Summary!$Y$2:$Y$20001,"Coverage",Data_Summary!$AA$2:$AA$20001,AJ135))</f>
        <v/>
      </c>
      <c r="AM135" s="17" t="str">
        <f aca="false">IF(Data_Insight!X135="","",IF(COUNTIF(Data_Insight!$X$2:$X135,Data_Insight!X135)=1,Data_Insight!X135,""))</f>
        <v/>
      </c>
      <c r="AN135" s="17" t="str">
        <f aca="false">IF(AM135="","",COUNTIF(Data_Insight!$X$2:$X$20001,AM135))</f>
        <v/>
      </c>
    </row>
    <row r="136" customFormat="false" ht="15" hidden="false" customHeight="true" outlineLevel="0" collapsed="false">
      <c r="AJ136" s="17" t="str">
        <f aca="false">IF(Data_Summary!Y137&lt;&gt;"Coverage","",IF(Data_Summary!AA137="","",IF(COUNTIFS(Data_Summary!$Y$2:$Y137,"Coverage",Data_Summary!$AA$2:$AA137,Data_Summary!AA137)=1,Data_Summary!AA137,"")))</f>
        <v/>
      </c>
      <c r="AK136" s="17" t="str">
        <f aca="false">IF(AJ136="","",COUNTIFS(Data_Summary!$Y$2:$Y$20001,"Coverage",Data_Summary!$AA$2:$AA$20001,AJ136))</f>
        <v/>
      </c>
      <c r="AM136" s="17" t="str">
        <f aca="false">IF(Data_Insight!X136="","",IF(COUNTIF(Data_Insight!$X$2:$X136,Data_Insight!X136)=1,Data_Insight!X136,""))</f>
        <v/>
      </c>
      <c r="AN136" s="17" t="str">
        <f aca="false">IF(AM136="","",COUNTIF(Data_Insight!$X$2:$X$20001,AM136))</f>
        <v/>
      </c>
    </row>
    <row r="137" customFormat="false" ht="15" hidden="false" customHeight="true" outlineLevel="0" collapsed="false">
      <c r="AJ137" s="17" t="str">
        <f aca="false">IF(Data_Summary!Y138&lt;&gt;"Coverage","",IF(Data_Summary!AA138="","",IF(COUNTIFS(Data_Summary!$Y$2:$Y138,"Coverage",Data_Summary!$AA$2:$AA138,Data_Summary!AA138)=1,Data_Summary!AA138,"")))</f>
        <v/>
      </c>
      <c r="AK137" s="17" t="str">
        <f aca="false">IF(AJ137="","",COUNTIFS(Data_Summary!$Y$2:$Y$20001,"Coverage",Data_Summary!$AA$2:$AA$20001,AJ137))</f>
        <v/>
      </c>
      <c r="AM137" s="17" t="str">
        <f aca="false">IF(Data_Insight!X137="","",IF(COUNTIF(Data_Insight!$X$2:$X137,Data_Insight!X137)=1,Data_Insight!X137,""))</f>
        <v/>
      </c>
      <c r="AN137" s="17" t="str">
        <f aca="false">IF(AM137="","",COUNTIF(Data_Insight!$X$2:$X$20001,AM137))</f>
        <v/>
      </c>
    </row>
    <row r="138" customFormat="false" ht="15" hidden="false" customHeight="true" outlineLevel="0" collapsed="false">
      <c r="AJ138" s="17" t="str">
        <f aca="false">IF(Data_Summary!Y139&lt;&gt;"Coverage","",IF(Data_Summary!AA139="","",IF(COUNTIFS(Data_Summary!$Y$2:$Y139,"Coverage",Data_Summary!$AA$2:$AA139,Data_Summary!AA139)=1,Data_Summary!AA139,"")))</f>
        <v/>
      </c>
      <c r="AK138" s="17" t="str">
        <f aca="false">IF(AJ138="","",COUNTIFS(Data_Summary!$Y$2:$Y$20001,"Coverage",Data_Summary!$AA$2:$AA$20001,AJ138))</f>
        <v/>
      </c>
      <c r="AM138" s="17" t="str">
        <f aca="false">IF(Data_Insight!X138="","",IF(COUNTIF(Data_Insight!$X$2:$X138,Data_Insight!X138)=1,Data_Insight!X138,""))</f>
        <v/>
      </c>
      <c r="AN138" s="17" t="str">
        <f aca="false">IF(AM138="","",COUNTIF(Data_Insight!$X$2:$X$20001,AM138))</f>
        <v/>
      </c>
    </row>
    <row r="139" customFormat="false" ht="15" hidden="false" customHeight="true" outlineLevel="0" collapsed="false">
      <c r="AJ139" s="17" t="str">
        <f aca="false">IF(Data_Summary!Y140&lt;&gt;"Coverage","",IF(Data_Summary!AA140="","",IF(COUNTIFS(Data_Summary!$Y$2:$Y140,"Coverage",Data_Summary!$AA$2:$AA140,Data_Summary!AA140)=1,Data_Summary!AA140,"")))</f>
        <v/>
      </c>
      <c r="AK139" s="17" t="str">
        <f aca="false">IF(AJ139="","",COUNTIFS(Data_Summary!$Y$2:$Y$20001,"Coverage",Data_Summary!$AA$2:$AA$20001,AJ139))</f>
        <v/>
      </c>
      <c r="AM139" s="17" t="str">
        <f aca="false">IF(Data_Insight!X139="","",IF(COUNTIF(Data_Insight!$X$2:$X139,Data_Insight!X139)=1,Data_Insight!X139,""))</f>
        <v/>
      </c>
      <c r="AN139" s="17" t="str">
        <f aca="false">IF(AM139="","",COUNTIF(Data_Insight!$X$2:$X$20001,AM139))</f>
        <v/>
      </c>
    </row>
    <row r="140" customFormat="false" ht="15" hidden="false" customHeight="true" outlineLevel="0" collapsed="false">
      <c r="AJ140" s="17" t="str">
        <f aca="false">IF(Data_Summary!Y141&lt;&gt;"Coverage","",IF(Data_Summary!AA141="","",IF(COUNTIFS(Data_Summary!$Y$2:$Y141,"Coverage",Data_Summary!$AA$2:$AA141,Data_Summary!AA141)=1,Data_Summary!AA141,"")))</f>
        <v>Team Integration</v>
      </c>
      <c r="AK140" s="17" t="n">
        <f aca="false">IF(AJ140="","",COUNTIFS(Data_Summary!$Y$2:$Y$20001,"Coverage",Data_Summary!$AA$2:$AA$20001,AJ140))</f>
        <v>13</v>
      </c>
      <c r="AM140" s="17" t="str">
        <f aca="false">IF(Data_Insight!X140="","",IF(COUNTIF(Data_Insight!$X$2:$X140,Data_Insight!X140)=1,Data_Insight!X140,""))</f>
        <v/>
      </c>
      <c r="AN140" s="17" t="str">
        <f aca="false">IF(AM140="","",COUNTIF(Data_Insight!$X$2:$X$20001,AM140))</f>
        <v/>
      </c>
    </row>
    <row r="141" customFormat="false" ht="15" hidden="false" customHeight="true" outlineLevel="0" collapsed="false">
      <c r="AJ141" s="17" t="str">
        <f aca="false">IF(Data_Summary!Y142&lt;&gt;"Coverage","",IF(Data_Summary!AA142="","",IF(COUNTIFS(Data_Summary!$Y$2:$Y142,"Coverage",Data_Summary!$AA$2:$AA142,Data_Summary!AA142)=1,Data_Summary!AA142,"")))</f>
        <v>Queries related to BGV check</v>
      </c>
      <c r="AK141" s="17" t="n">
        <f aca="false">IF(AJ141="","",COUNTIFS(Data_Summary!$Y$2:$Y$20001,"Coverage",Data_Summary!$AA$2:$AA$20001,AJ141))</f>
        <v>10</v>
      </c>
      <c r="AM141" s="17" t="str">
        <f aca="false">IF(Data_Insight!X141="","",IF(COUNTIF(Data_Insight!$X$2:$X141,Data_Insight!X141)=1,Data_Insight!X141,""))</f>
        <v/>
      </c>
      <c r="AN141" s="17" t="str">
        <f aca="false">IF(AM141="","",COUNTIF(Data_Insight!$X$2:$X$20001,AM141))</f>
        <v/>
      </c>
    </row>
    <row r="142" customFormat="false" ht="12.75" hidden="false" customHeight="true" outlineLevel="0" collapsed="false">
      <c r="AJ142" s="17" t="str">
        <f aca="false">IF(Data_Summary!Y143&lt;&gt;"Coverage","",IF(Data_Summary!AA143="","",IF(COUNTIFS(Data_Summary!$Y$2:$Y143,"Coverage",Data_Summary!$AA$2:$AA143,Data_Summary!AA143)=1,Data_Summary!AA143,"")))</f>
        <v/>
      </c>
      <c r="AK142" s="17" t="str">
        <f aca="false">IF(AJ142="","",COUNTIFS(Data_Summary!$Y$2:$Y$20001,"Coverage",Data_Summary!$AA$2:$AA$20001,AJ142))</f>
        <v/>
      </c>
      <c r="AM142" s="17" t="str">
        <f aca="false">IF(Data_Insight!X142="","",IF(COUNTIF(Data_Insight!$X$2:$X142,Data_Insight!X142)=1,Data_Insight!X142,""))</f>
        <v/>
      </c>
      <c r="AN142" s="17" t="str">
        <f aca="false">IF(AM142="","",COUNTIF(Data_Insight!$X$2:$X$20001,AM142))</f>
        <v/>
      </c>
    </row>
    <row r="143" customFormat="false" ht="15.75" hidden="false" customHeight="true" outlineLevel="0" collapsed="false">
      <c r="AJ143" s="17" t="str">
        <f aca="false">IF(Data_Summary!Y144&lt;&gt;"Coverage","",IF(Data_Summary!AA144="","",IF(COUNTIFS(Data_Summary!$Y$2:$Y144,"Coverage",Data_Summary!$AA$2:$AA144,Data_Summary!AA144)=1,Data_Summary!AA144,"")))</f>
        <v/>
      </c>
      <c r="AK143" s="17" t="str">
        <f aca="false">IF(AJ143="","",COUNTIFS(Data_Summary!$Y$2:$Y$20001,"Coverage",Data_Summary!$AA$2:$AA$20001,AJ143))</f>
        <v/>
      </c>
      <c r="AM143" s="17" t="str">
        <f aca="false">IF(Data_Insight!X143="","",IF(COUNTIF(Data_Insight!$X$2:$X143,Data_Insight!X143)=1,Data_Insight!X143,""))</f>
        <v/>
      </c>
      <c r="AN143" s="17" t="str">
        <f aca="false">IF(AM143="","",COUNTIF(Data_Insight!$X$2:$X$20001,AM143))</f>
        <v/>
      </c>
    </row>
    <row r="144" customFormat="false" ht="13.5" hidden="false" customHeight="true" outlineLevel="0" collapsed="false">
      <c r="AJ144" s="17" t="str">
        <f aca="false">IF(Data_Summary!Y145&lt;&gt;"Coverage","",IF(Data_Summary!AA145="","",IF(COUNTIFS(Data_Summary!$Y$2:$Y145,"Coverage",Data_Summary!$AA$2:$AA145,Data_Summary!AA145)=1,Data_Summary!AA145,"")))</f>
        <v/>
      </c>
      <c r="AK144" s="17" t="str">
        <f aca="false">IF(AJ144="","",COUNTIFS(Data_Summary!$Y$2:$Y$20001,"Coverage",Data_Summary!$AA$2:$AA$20001,AJ144))</f>
        <v/>
      </c>
      <c r="AM144" s="17" t="str">
        <f aca="false">IF(Data_Insight!X144="","",IF(COUNTIF(Data_Insight!$X$2:$X144,Data_Insight!X144)=1,Data_Insight!X144,""))</f>
        <v/>
      </c>
      <c r="AN144" s="17" t="str">
        <f aca="false">IF(AM144="","",COUNTIF(Data_Insight!$X$2:$X$20001,AM144))</f>
        <v/>
      </c>
    </row>
    <row r="145" customFormat="false" ht="15" hidden="false" customHeight="true" outlineLevel="0" collapsed="false">
      <c r="AJ145" s="17" t="str">
        <f aca="false">IF(Data_Summary!Y146&lt;&gt;"Coverage","",IF(Data_Summary!AA146="","",IF(COUNTIFS(Data_Summary!$Y$2:$Y146,"Coverage",Data_Summary!$AA$2:$AA146,Data_Summary!AA146)=1,Data_Summary!AA146,"")))</f>
        <v/>
      </c>
      <c r="AK145" s="17" t="str">
        <f aca="false">IF(AJ145="","",COUNTIFS(Data_Summary!$Y$2:$Y$20001,"Coverage",Data_Summary!$AA$2:$AA$20001,AJ145))</f>
        <v/>
      </c>
      <c r="AM145" s="17" t="str">
        <f aca="false">IF(Data_Insight!X145="","",IF(COUNTIF(Data_Insight!$X$2:$X145,Data_Insight!X145)=1,Data_Insight!X145,""))</f>
        <v/>
      </c>
      <c r="AN145" s="17" t="str">
        <f aca="false">IF(AM145="","",COUNTIF(Data_Insight!$X$2:$X$20001,AM145))</f>
        <v/>
      </c>
    </row>
    <row r="146" customFormat="false" ht="15" hidden="false" customHeight="true" outlineLevel="0" collapsed="false">
      <c r="AJ146" s="17" t="str">
        <f aca="false">IF(Data_Summary!Y147&lt;&gt;"Coverage","",IF(Data_Summary!AA147="","",IF(COUNTIFS(Data_Summary!$Y$2:$Y147,"Coverage",Data_Summary!$AA$2:$AA147,Data_Summary!AA147)=1,Data_Summary!AA147,"")))</f>
        <v/>
      </c>
      <c r="AK146" s="17" t="str">
        <f aca="false">IF(AJ146="","",COUNTIFS(Data_Summary!$Y$2:$Y$20001,"Coverage",Data_Summary!$AA$2:$AA$20001,AJ146))</f>
        <v/>
      </c>
      <c r="AM146" s="17" t="str">
        <f aca="false">IF(Data_Insight!X146="","",IF(COUNTIF(Data_Insight!$X$2:$X146,Data_Insight!X146)=1,Data_Insight!X146,""))</f>
        <v/>
      </c>
      <c r="AN146" s="17" t="str">
        <f aca="false">IF(AM146="","",COUNTIF(Data_Insight!$X$2:$X$20001,AM146))</f>
        <v/>
      </c>
    </row>
    <row r="147" customFormat="false" ht="15" hidden="false" customHeight="true" outlineLevel="0" collapsed="false">
      <c r="AJ147" s="17" t="str">
        <f aca="false">IF(Data_Summary!Y148&lt;&gt;"Coverage","",IF(Data_Summary!AA148="","",IF(COUNTIFS(Data_Summary!$Y$2:$Y148,"Coverage",Data_Summary!$AA$2:$AA148,Data_Summary!AA148)=1,Data_Summary!AA148,"")))</f>
        <v/>
      </c>
      <c r="AK147" s="17" t="str">
        <f aca="false">IF(AJ147="","",COUNTIFS(Data_Summary!$Y$2:$Y$20001,"Coverage",Data_Summary!$AA$2:$AA$20001,AJ147))</f>
        <v/>
      </c>
      <c r="AM147" s="17" t="str">
        <f aca="false">IF(Data_Insight!X147="","",IF(COUNTIF(Data_Insight!$X$2:$X147,Data_Insight!X147)=1,Data_Insight!X147,""))</f>
        <v/>
      </c>
      <c r="AN147" s="17" t="str">
        <f aca="false">IF(AM147="","",COUNTIF(Data_Insight!$X$2:$X$20001,AM147))</f>
        <v/>
      </c>
    </row>
    <row r="148" customFormat="false" ht="12.75" hidden="false" customHeight="true" outlineLevel="0" collapsed="false">
      <c r="AJ148" s="17" t="str">
        <f aca="false">IF(Data_Summary!Y149&lt;&gt;"Coverage","",IF(Data_Summary!AA149="","",IF(COUNTIFS(Data_Summary!$Y$2:$Y149,"Coverage",Data_Summary!$AA$2:$AA149,Data_Summary!AA149)=1,Data_Summary!AA149,"")))</f>
        <v/>
      </c>
      <c r="AK148" s="17" t="str">
        <f aca="false">IF(AJ148="","",COUNTIFS(Data_Summary!$Y$2:$Y$20001,"Coverage",Data_Summary!$AA$2:$AA$20001,AJ148))</f>
        <v/>
      </c>
      <c r="AM148" s="17" t="str">
        <f aca="false">IF(Data_Insight!X148="","",IF(COUNTIF(Data_Insight!$X$2:$X148,Data_Insight!X148)=1,Data_Insight!X148,""))</f>
        <v/>
      </c>
      <c r="AN148" s="17" t="str">
        <f aca="false">IF(AM148="","",COUNTIF(Data_Insight!$X$2:$X$20001,AM148))</f>
        <v/>
      </c>
    </row>
    <row r="149" customFormat="false" ht="12.75" hidden="false" customHeight="true" outlineLevel="0" collapsed="false">
      <c r="AJ149" s="17" t="str">
        <f aca="false">IF(Data_Summary!Y150&lt;&gt;"Coverage","",IF(Data_Summary!AA150="","",IF(COUNTIFS(Data_Summary!$Y$2:$Y150,"Coverage",Data_Summary!$AA$2:$AA150,Data_Summary!AA150)=1,Data_Summary!AA150,"")))</f>
        <v/>
      </c>
      <c r="AK149" s="17" t="str">
        <f aca="false">IF(AJ149="","",COUNTIFS(Data_Summary!$Y$2:$Y$20001,"Coverage",Data_Summary!$AA$2:$AA$20001,AJ149))</f>
        <v/>
      </c>
      <c r="AM149" s="17" t="str">
        <f aca="false">IF(Data_Insight!X149="","",IF(COUNTIF(Data_Insight!$X$2:$X149,Data_Insight!X149)=1,Data_Insight!X149,""))</f>
        <v/>
      </c>
      <c r="AN149" s="17" t="str">
        <f aca="false">IF(AM149="","",COUNTIF(Data_Insight!$X$2:$X$20001,AM149))</f>
        <v/>
      </c>
    </row>
    <row r="150" customFormat="false" ht="15" hidden="false" customHeight="true" outlineLevel="0" collapsed="false">
      <c r="AJ150" s="17" t="str">
        <f aca="false">IF(Data_Summary!Y151&lt;&gt;"Coverage","",IF(Data_Summary!AA151="","",IF(COUNTIFS(Data_Summary!$Y$2:$Y151,"Coverage",Data_Summary!$AA$2:$AA151,Data_Summary!AA151)=1,Data_Summary!AA151,"")))</f>
        <v/>
      </c>
      <c r="AK150" s="17" t="str">
        <f aca="false">IF(AJ150="","",COUNTIFS(Data_Summary!$Y$2:$Y$20001,"Coverage",Data_Summary!$AA$2:$AA$20001,AJ150))</f>
        <v/>
      </c>
      <c r="AM150" s="17" t="str">
        <f aca="false">IF(Data_Insight!X150="","",IF(COUNTIF(Data_Insight!$X$2:$X150,Data_Insight!X150)=1,Data_Insight!X150,""))</f>
        <v/>
      </c>
      <c r="AN150" s="17" t="str">
        <f aca="false">IF(AM150="","",COUNTIF(Data_Insight!$X$2:$X$20001,AM150))</f>
        <v/>
      </c>
    </row>
    <row r="151" customFormat="false" ht="32.25" hidden="false" customHeight="true" outlineLevel="0" collapsed="false">
      <c r="AJ151" s="17" t="str">
        <f aca="false">IF(Data_Summary!Y152&lt;&gt;"Coverage","",IF(Data_Summary!AA152="","",IF(COUNTIFS(Data_Summary!$Y$2:$Y152,"Coverage",Data_Summary!$AA$2:$AA152,Data_Summary!AA152)=1,Data_Summary!AA152,"")))</f>
        <v/>
      </c>
      <c r="AK151" s="17" t="str">
        <f aca="false">IF(AJ151="","",COUNTIFS(Data_Summary!$Y$2:$Y$20001,"Coverage",Data_Summary!$AA$2:$AA$20001,AJ151))</f>
        <v/>
      </c>
      <c r="AM151" s="17" t="str">
        <f aca="false">IF(Data_Insight!X151="","",IF(COUNTIF(Data_Insight!$X$2:$X151,Data_Insight!X151)=1,Data_Insight!X151,""))</f>
        <v/>
      </c>
      <c r="AN151" s="17" t="str">
        <f aca="false">IF(AM151="","",COUNTIF(Data_Insight!$X$2:$X$20001,AM151))</f>
        <v/>
      </c>
    </row>
    <row r="152" customFormat="false" ht="15" hidden="false" customHeight="true" outlineLevel="0" collapsed="false">
      <c r="AJ152" s="17" t="str">
        <f aca="false">IF(Data_Summary!Y153&lt;&gt;"Coverage","",IF(Data_Summary!AA153="","",IF(COUNTIFS(Data_Summary!$Y$2:$Y153,"Coverage",Data_Summary!$AA$2:$AA153,Data_Summary!AA153)=1,Data_Summary!AA153,"")))</f>
        <v/>
      </c>
      <c r="AK152" s="17" t="str">
        <f aca="false">IF(AJ152="","",COUNTIFS(Data_Summary!$Y$2:$Y$20001,"Coverage",Data_Summary!$AA$2:$AA$20001,AJ152))</f>
        <v/>
      </c>
      <c r="AM152" s="17" t="str">
        <f aca="false">IF(Data_Insight!X152="","",IF(COUNTIF(Data_Insight!$X$2:$X152,Data_Insight!X152)=1,Data_Insight!X152,""))</f>
        <v/>
      </c>
      <c r="AN152" s="17" t="str">
        <f aca="false">IF(AM152="","",COUNTIF(Data_Insight!$X$2:$X$20001,AM152))</f>
        <v/>
      </c>
    </row>
    <row r="153" customFormat="false" ht="15" hidden="false" customHeight="true" outlineLevel="0" collapsed="false">
      <c r="AJ153" s="17" t="str">
        <f aca="false">IF(Data_Summary!Y154&lt;&gt;"Coverage","",IF(Data_Summary!AA154="","",IF(COUNTIFS(Data_Summary!$Y$2:$Y154,"Coverage",Data_Summary!$AA$2:$AA154,Data_Summary!AA154)=1,Data_Summary!AA154,"")))</f>
        <v/>
      </c>
      <c r="AK153" s="17" t="str">
        <f aca="false">IF(AJ153="","",COUNTIFS(Data_Summary!$Y$2:$Y$20001,"Coverage",Data_Summary!$AA$2:$AA$20001,AJ153))</f>
        <v/>
      </c>
      <c r="AM153" s="17" t="str">
        <f aca="false">IF(Data_Insight!X153="","",IF(COUNTIF(Data_Insight!$X$2:$X153,Data_Insight!X153)=1,Data_Insight!X153,""))</f>
        <v/>
      </c>
      <c r="AN153" s="17" t="str">
        <f aca="false">IF(AM153="","",COUNTIF(Data_Insight!$X$2:$X$20001,AM153))</f>
        <v/>
      </c>
    </row>
    <row r="154" customFormat="false" ht="15" hidden="false" customHeight="true" outlineLevel="0" collapsed="false">
      <c r="AJ154" s="17" t="str">
        <f aca="false">IF(Data_Summary!Y155&lt;&gt;"Coverage","",IF(Data_Summary!AA155="","",IF(COUNTIFS(Data_Summary!$Y$2:$Y155,"Coverage",Data_Summary!$AA$2:$AA155,Data_Summary!AA155)=1,Data_Summary!AA155,"")))</f>
        <v/>
      </c>
      <c r="AK154" s="17" t="str">
        <f aca="false">IF(AJ154="","",COUNTIFS(Data_Summary!$Y$2:$Y$20001,"Coverage",Data_Summary!$AA$2:$AA$20001,AJ154))</f>
        <v/>
      </c>
      <c r="AM154" s="17" t="str">
        <f aca="false">IF(Data_Insight!X154="","",IF(COUNTIF(Data_Insight!$X$2:$X154,Data_Insight!X154)=1,Data_Insight!X154,""))</f>
        <v/>
      </c>
      <c r="AN154" s="17" t="str">
        <f aca="false">IF(AM154="","",COUNTIF(Data_Insight!$X$2:$X$20001,AM154))</f>
        <v/>
      </c>
    </row>
    <row r="155" customFormat="false" ht="15" hidden="false" customHeight="true" outlineLevel="0" collapsed="false">
      <c r="AJ155" s="17" t="str">
        <f aca="false">IF(Data_Summary!Y156&lt;&gt;"Coverage","",IF(Data_Summary!AA156="","",IF(COUNTIFS(Data_Summary!$Y$2:$Y156,"Coverage",Data_Summary!$AA$2:$AA156,Data_Summary!AA156)=1,Data_Summary!AA156,"")))</f>
        <v/>
      </c>
      <c r="AK155" s="17" t="str">
        <f aca="false">IF(AJ155="","",COUNTIFS(Data_Summary!$Y$2:$Y$20001,"Coverage",Data_Summary!$AA$2:$AA$20001,AJ155))</f>
        <v/>
      </c>
      <c r="AM155" s="17" t="str">
        <f aca="false">IF(Data_Insight!X155="","",IF(COUNTIF(Data_Insight!$X$2:$X155,Data_Insight!X155)=1,Data_Insight!X155,""))</f>
        <v/>
      </c>
      <c r="AN155" s="17" t="str">
        <f aca="false">IF(AM155="","",COUNTIF(Data_Insight!$X$2:$X$20001,AM155))</f>
        <v/>
      </c>
    </row>
    <row r="156" customFormat="false" ht="15" hidden="false" customHeight="true" outlineLevel="0" collapsed="false">
      <c r="AJ156" s="17" t="str">
        <f aca="false">IF(Data_Summary!Y157&lt;&gt;"Coverage","",IF(Data_Summary!AA157="","",IF(COUNTIFS(Data_Summary!$Y$2:$Y157,"Coverage",Data_Summary!$AA$2:$AA157,Data_Summary!AA157)=1,Data_Summary!AA157,"")))</f>
        <v/>
      </c>
      <c r="AK156" s="17" t="str">
        <f aca="false">IF(AJ156="","",COUNTIFS(Data_Summary!$Y$2:$Y$20001,"Coverage",Data_Summary!$AA$2:$AA$20001,AJ156))</f>
        <v/>
      </c>
      <c r="AM156" s="17" t="str">
        <f aca="false">IF(Data_Insight!X156="","",IF(COUNTIF(Data_Insight!$X$2:$X156,Data_Insight!X156)=1,Data_Insight!X156,""))</f>
        <v/>
      </c>
      <c r="AN156" s="17" t="str">
        <f aca="false">IF(AM156="","",COUNTIF(Data_Insight!$X$2:$X$20001,AM156))</f>
        <v/>
      </c>
    </row>
    <row r="157" customFormat="false" ht="15" hidden="false" customHeight="true" outlineLevel="0" collapsed="false">
      <c r="AJ157" s="17" t="str">
        <f aca="false">IF(Data_Summary!Y158&lt;&gt;"Coverage","",IF(Data_Summary!AA158="","",IF(COUNTIFS(Data_Summary!$Y$2:$Y158,"Coverage",Data_Summary!$AA$2:$AA158,Data_Summary!AA158)=1,Data_Summary!AA158,"")))</f>
        <v/>
      </c>
      <c r="AK157" s="17" t="str">
        <f aca="false">IF(AJ157="","",COUNTIFS(Data_Summary!$Y$2:$Y$20001,"Coverage",Data_Summary!$AA$2:$AA$20001,AJ157))</f>
        <v/>
      </c>
      <c r="AM157" s="17" t="str">
        <f aca="false">IF(Data_Insight!X157="","",IF(COUNTIF(Data_Insight!$X$2:$X157,Data_Insight!X157)=1,Data_Insight!X157,""))</f>
        <v/>
      </c>
      <c r="AN157" s="17" t="str">
        <f aca="false">IF(AM157="","",COUNTIF(Data_Insight!$X$2:$X$20001,AM157))</f>
        <v/>
      </c>
    </row>
    <row r="158" customFormat="false" ht="15" hidden="false" customHeight="true" outlineLevel="0" collapsed="false">
      <c r="AJ158" s="17" t="str">
        <f aca="false">IF(Data_Summary!Y159&lt;&gt;"Coverage","",IF(Data_Summary!AA159="","",IF(COUNTIFS(Data_Summary!$Y$2:$Y159,"Coverage",Data_Summary!$AA$2:$AA159,Data_Summary!AA159)=1,Data_Summary!AA159,"")))</f>
        <v/>
      </c>
      <c r="AK158" s="17" t="str">
        <f aca="false">IF(AJ158="","",COUNTIFS(Data_Summary!$Y$2:$Y$20001,"Coverage",Data_Summary!$AA$2:$AA$20001,AJ158))</f>
        <v/>
      </c>
      <c r="AM158" s="17" t="str">
        <f aca="false">IF(Data_Insight!X158="","",IF(COUNTIF(Data_Insight!$X$2:$X158,Data_Insight!X158)=1,Data_Insight!X158,""))</f>
        <v/>
      </c>
      <c r="AN158" s="17" t="str">
        <f aca="false">IF(AM158="","",COUNTIF(Data_Insight!$X$2:$X$20001,AM158))</f>
        <v/>
      </c>
    </row>
    <row r="159" customFormat="false" ht="15" hidden="false" customHeight="true" outlineLevel="0" collapsed="false">
      <c r="AJ159" s="17" t="str">
        <f aca="false">IF(Data_Summary!Y160&lt;&gt;"Coverage","",IF(Data_Summary!AA160="","",IF(COUNTIFS(Data_Summary!$Y$2:$Y160,"Coverage",Data_Summary!$AA$2:$AA160,Data_Summary!AA160)=1,Data_Summary!AA160,"")))</f>
        <v/>
      </c>
      <c r="AK159" s="17" t="str">
        <f aca="false">IF(AJ159="","",COUNTIFS(Data_Summary!$Y$2:$Y$20001,"Coverage",Data_Summary!$AA$2:$AA$20001,AJ159))</f>
        <v/>
      </c>
      <c r="AM159" s="17" t="str">
        <f aca="false">IF(Data_Insight!X159="","",IF(COUNTIF(Data_Insight!$X$2:$X159,Data_Insight!X159)=1,Data_Insight!X159,""))</f>
        <v/>
      </c>
      <c r="AN159" s="17" t="str">
        <f aca="false">IF(AM159="","",COUNTIF(Data_Insight!$X$2:$X$20001,AM159))</f>
        <v/>
      </c>
    </row>
    <row r="160" customFormat="false" ht="15" hidden="false" customHeight="true" outlineLevel="0" collapsed="false">
      <c r="AJ160" s="17" t="str">
        <f aca="false">IF(Data_Summary!Y161&lt;&gt;"Coverage","",IF(Data_Summary!AA161="","",IF(COUNTIFS(Data_Summary!$Y$2:$Y161,"Coverage",Data_Summary!$AA$2:$AA161,Data_Summary!AA161)=1,Data_Summary!AA161,"")))</f>
        <v/>
      </c>
      <c r="AK160" s="17" t="str">
        <f aca="false">IF(AJ160="","",COUNTIFS(Data_Summary!$Y$2:$Y$20001,"Coverage",Data_Summary!$AA$2:$AA$20001,AJ160))</f>
        <v/>
      </c>
      <c r="AM160" s="17" t="str">
        <f aca="false">IF(Data_Insight!X160="","",IF(COUNTIF(Data_Insight!$X$2:$X160,Data_Insight!X160)=1,Data_Insight!X160,""))</f>
        <v/>
      </c>
      <c r="AN160" s="17" t="str">
        <f aca="false">IF(AM160="","",COUNTIF(Data_Insight!$X$2:$X$20001,AM160))</f>
        <v/>
      </c>
    </row>
    <row r="161" customFormat="false" ht="15" hidden="false" customHeight="true" outlineLevel="0" collapsed="false">
      <c r="AJ161" s="17" t="str">
        <f aca="false">IF(Data_Summary!Y162&lt;&gt;"Coverage","",IF(Data_Summary!AA162="","",IF(COUNTIFS(Data_Summary!$Y$2:$Y162,"Coverage",Data_Summary!$AA$2:$AA162,Data_Summary!AA162)=1,Data_Summary!AA162,"")))</f>
        <v/>
      </c>
      <c r="AK161" s="17" t="str">
        <f aca="false">IF(AJ161="","",COUNTIFS(Data_Summary!$Y$2:$Y$20001,"Coverage",Data_Summary!$AA$2:$AA$20001,AJ161))</f>
        <v/>
      </c>
      <c r="AM161" s="17" t="str">
        <f aca="false">IF(Data_Insight!X161="","",IF(COUNTIF(Data_Insight!$X$2:$X161,Data_Insight!X161)=1,Data_Insight!X161,""))</f>
        <v/>
      </c>
      <c r="AN161" s="17" t="str">
        <f aca="false">IF(AM161="","",COUNTIF(Data_Insight!$X$2:$X$20001,AM161))</f>
        <v/>
      </c>
    </row>
    <row r="162" customFormat="false" ht="15" hidden="false" customHeight="true" outlineLevel="0" collapsed="false">
      <c r="AJ162" s="17" t="str">
        <f aca="false">IF(Data_Summary!Y163&lt;&gt;"Coverage","",IF(Data_Summary!AA163="","",IF(COUNTIFS(Data_Summary!$Y$2:$Y163,"Coverage",Data_Summary!$AA$2:$AA163,Data_Summary!AA163)=1,Data_Summary!AA163,"")))</f>
        <v>Timely Policy/process Updates</v>
      </c>
      <c r="AK162" s="17" t="n">
        <f aca="false">IF(AJ162="","",COUNTIFS(Data_Summary!$Y$2:$Y$20001,"Coverage",Data_Summary!$AA$2:$AA$20001,AJ162))</f>
        <v>4</v>
      </c>
      <c r="AM162" s="17" t="str">
        <f aca="false">IF(Data_Insight!X162="","",IF(COUNTIF(Data_Insight!$X$2:$X162,Data_Insight!X162)=1,Data_Insight!X162,""))</f>
        <v/>
      </c>
      <c r="AN162" s="17" t="str">
        <f aca="false">IF(AM162="","",COUNTIF(Data_Insight!$X$2:$X$20001,AM162))</f>
        <v/>
      </c>
    </row>
    <row r="163" customFormat="false" ht="15" hidden="false" customHeight="true" outlineLevel="0" collapsed="false">
      <c r="AJ163" s="17" t="str">
        <f aca="false">IF(Data_Summary!Y164&lt;&gt;"Coverage","",IF(Data_Summary!AA164="","",IF(COUNTIFS(Data_Summary!$Y$2:$Y164,"Coverage",Data_Summary!$AA$2:$AA164,Data_Summary!AA164)=1,Data_Summary!AA164,"")))</f>
        <v>Manager Effectiveness &amp; Delegation</v>
      </c>
      <c r="AK163" s="17" t="n">
        <f aca="false">IF(AJ163="","",COUNTIFS(Data_Summary!$Y$2:$Y$20001,"Coverage",Data_Summary!$AA$2:$AA$20001,AJ163))</f>
        <v>6</v>
      </c>
      <c r="AM163" s="17" t="str">
        <f aca="false">IF(Data_Insight!X163="","",IF(COUNTIF(Data_Insight!$X$2:$X163,Data_Insight!X163)=1,Data_Insight!X163,""))</f>
        <v/>
      </c>
      <c r="AN163" s="17" t="str">
        <f aca="false">IF(AM163="","",COUNTIF(Data_Insight!$X$2:$X$20001,AM163))</f>
        <v/>
      </c>
    </row>
    <row r="164" customFormat="false" ht="15" hidden="false" customHeight="true" outlineLevel="0" collapsed="false">
      <c r="AJ164" s="17" t="str">
        <f aca="false">IF(Data_Summary!Y165&lt;&gt;"Coverage","",IF(Data_Summary!AA165="","",IF(COUNTIFS(Data_Summary!$Y$2:$Y165,"Coverage",Data_Summary!$AA$2:$AA165,Data_Summary!AA165)=1,Data_Summary!AA165,"")))</f>
        <v>Communication &amp; Transparency</v>
      </c>
      <c r="AK164" s="17" t="n">
        <f aca="false">IF(AJ164="","",COUNTIFS(Data_Summary!$Y$2:$Y$20001,"Coverage",Data_Summary!$AA$2:$AA$20001,AJ164))</f>
        <v>5</v>
      </c>
      <c r="AM164" s="17" t="str">
        <f aca="false">IF(Data_Insight!X164="","",IF(COUNTIF(Data_Insight!$X$2:$X164,Data_Insight!X164)=1,Data_Insight!X164,""))</f>
        <v/>
      </c>
      <c r="AN164" s="17" t="str">
        <f aca="false">IF(AM164="","",COUNTIF(Data_Insight!$X$2:$X$20001,AM164))</f>
        <v/>
      </c>
    </row>
    <row r="165" customFormat="false" ht="15" hidden="false" customHeight="true" outlineLevel="0" collapsed="false">
      <c r="AJ165" s="17" t="str">
        <f aca="false">IF(Data_Summary!Y166&lt;&gt;"Coverage","",IF(Data_Summary!AA166="","",IF(COUNTIFS(Data_Summary!$Y$2:$Y166,"Coverage",Data_Summary!$AA$2:$AA166,Data_Summary!AA166)=1,Data_Summary!AA166,"")))</f>
        <v/>
      </c>
      <c r="AK165" s="17" t="str">
        <f aca="false">IF(AJ165="","",COUNTIFS(Data_Summary!$Y$2:$Y$20001,"Coverage",Data_Summary!$AA$2:$AA$20001,AJ165))</f>
        <v/>
      </c>
      <c r="AM165" s="17" t="str">
        <f aca="false">IF(Data_Insight!X165="","",IF(COUNTIF(Data_Insight!$X$2:$X165,Data_Insight!X165)=1,Data_Insight!X165,""))</f>
        <v/>
      </c>
      <c r="AN165" s="17" t="str">
        <f aca="false">IF(AM165="","",COUNTIF(Data_Insight!$X$2:$X$20001,AM165))</f>
        <v/>
      </c>
    </row>
    <row r="166" customFormat="false" ht="15" hidden="false" customHeight="true" outlineLevel="0" collapsed="false">
      <c r="AJ166" s="17" t="str">
        <f aca="false">IF(Data_Summary!Y167&lt;&gt;"Coverage","",IF(Data_Summary!AA167="","",IF(COUNTIFS(Data_Summary!$Y$2:$Y167,"Coverage",Data_Summary!$AA$2:$AA167,Data_Summary!AA167)=1,Data_Summary!AA167,"")))</f>
        <v/>
      </c>
      <c r="AK166" s="17" t="str">
        <f aca="false">IF(AJ166="","",COUNTIFS(Data_Summary!$Y$2:$Y$20001,"Coverage",Data_Summary!$AA$2:$AA$20001,AJ166))</f>
        <v/>
      </c>
      <c r="AM166" s="17" t="str">
        <f aca="false">IF(Data_Insight!X166="","",IF(COUNTIF(Data_Insight!$X$2:$X166,Data_Insight!X166)=1,Data_Insight!X166,""))</f>
        <v/>
      </c>
      <c r="AN166" s="17" t="str">
        <f aca="false">IF(AM166="","",COUNTIF(Data_Insight!$X$2:$X$20001,AM166))</f>
        <v/>
      </c>
    </row>
    <row r="167" customFormat="false" ht="15" hidden="false" customHeight="true" outlineLevel="0" collapsed="false">
      <c r="AJ167" s="17" t="str">
        <f aca="false">IF(Data_Summary!Y168&lt;&gt;"Coverage","",IF(Data_Summary!AA168="","",IF(COUNTIFS(Data_Summary!$Y$2:$Y168,"Coverage",Data_Summary!$AA$2:$AA168,Data_Summary!AA168)=1,Data_Summary!AA168,"")))</f>
        <v/>
      </c>
      <c r="AK167" s="17" t="str">
        <f aca="false">IF(AJ167="","",COUNTIFS(Data_Summary!$Y$2:$Y$20001,"Coverage",Data_Summary!$AA$2:$AA$20001,AJ167))</f>
        <v/>
      </c>
      <c r="AM167" s="17" t="str">
        <f aca="false">IF(Data_Insight!X167="","",IF(COUNTIF(Data_Insight!$X$2:$X167,Data_Insight!X167)=1,Data_Insight!X167,""))</f>
        <v/>
      </c>
      <c r="AN167" s="17" t="str">
        <f aca="false">IF(AM167="","",COUNTIF(Data_Insight!$X$2:$X$20001,AM167))</f>
        <v/>
      </c>
    </row>
    <row r="168" customFormat="false" ht="15" hidden="false" customHeight="true" outlineLevel="0" collapsed="false">
      <c r="AJ168" s="17" t="str">
        <f aca="false">IF(Data_Summary!Y169&lt;&gt;"Coverage","",IF(Data_Summary!AA169="","",IF(COUNTIFS(Data_Summary!$Y$2:$Y169,"Coverage",Data_Summary!$AA$2:$AA169,Data_Summary!AA169)=1,Data_Summary!AA169,"")))</f>
        <v/>
      </c>
      <c r="AK168" s="17" t="str">
        <f aca="false">IF(AJ168="","",COUNTIFS(Data_Summary!$Y$2:$Y$20001,"Coverage",Data_Summary!$AA$2:$AA$20001,AJ168))</f>
        <v/>
      </c>
      <c r="AM168" s="17" t="str">
        <f aca="false">IF(Data_Insight!X168="","",IF(COUNTIF(Data_Insight!$X$2:$X168,Data_Insight!X168)=1,Data_Insight!X168,""))</f>
        <v/>
      </c>
      <c r="AN168" s="17" t="str">
        <f aca="false">IF(AM168="","",COUNTIF(Data_Insight!$X$2:$X$20001,AM168))</f>
        <v/>
      </c>
    </row>
    <row r="169" customFormat="false" ht="15" hidden="false" customHeight="true" outlineLevel="0" collapsed="false">
      <c r="AJ169" s="17" t="str">
        <f aca="false">IF(Data_Summary!Y170&lt;&gt;"Coverage","",IF(Data_Summary!AA170="","",IF(COUNTIFS(Data_Summary!$Y$2:$Y170,"Coverage",Data_Summary!$AA$2:$AA170,Data_Summary!AA170)=1,Data_Summary!AA170,"")))</f>
        <v/>
      </c>
      <c r="AK169" s="17" t="str">
        <f aca="false">IF(AJ169="","",COUNTIFS(Data_Summary!$Y$2:$Y$20001,"Coverage",Data_Summary!$AA$2:$AA$20001,AJ169))</f>
        <v/>
      </c>
      <c r="AM169" s="17" t="str">
        <f aca="false">IF(Data_Insight!X169="","",IF(COUNTIF(Data_Insight!$X$2:$X169,Data_Insight!X169)=1,Data_Insight!X169,""))</f>
        <v/>
      </c>
      <c r="AN169" s="17" t="str">
        <f aca="false">IF(AM169="","",COUNTIF(Data_Insight!$X$2:$X$20001,AM169))</f>
        <v/>
      </c>
    </row>
    <row r="170" customFormat="false" ht="15" hidden="false" customHeight="true" outlineLevel="0" collapsed="false">
      <c r="AJ170" s="17" t="str">
        <f aca="false">IF(Data_Summary!Y171&lt;&gt;"Coverage","",IF(Data_Summary!AA171="","",IF(COUNTIFS(Data_Summary!$Y$2:$Y171,"Coverage",Data_Summary!$AA$2:$AA171,Data_Summary!AA171)=1,Data_Summary!AA171,"")))</f>
        <v/>
      </c>
      <c r="AK170" s="17" t="str">
        <f aca="false">IF(AJ170="","",COUNTIFS(Data_Summary!$Y$2:$Y$20001,"Coverage",Data_Summary!$AA$2:$AA$20001,AJ170))</f>
        <v/>
      </c>
      <c r="AM170" s="17" t="str">
        <f aca="false">IF(Data_Insight!X170="","",IF(COUNTIF(Data_Insight!$X$2:$X170,Data_Insight!X170)=1,Data_Insight!X170,""))</f>
        <v/>
      </c>
      <c r="AN170" s="17" t="str">
        <f aca="false">IF(AM170="","",COUNTIF(Data_Insight!$X$2:$X$20001,AM170))</f>
        <v/>
      </c>
    </row>
    <row r="171" customFormat="false" ht="15" hidden="false" customHeight="true" outlineLevel="0" collapsed="false">
      <c r="AJ171" s="17" t="str">
        <f aca="false">IF(Data_Summary!Y172&lt;&gt;"Coverage","",IF(Data_Summary!AA172="","",IF(COUNTIFS(Data_Summary!$Y$2:$Y172,"Coverage",Data_Summary!$AA$2:$AA172,Data_Summary!AA172)=1,Data_Summary!AA172,"")))</f>
        <v/>
      </c>
      <c r="AK171" s="17" t="str">
        <f aca="false">IF(AJ171="","",COUNTIFS(Data_Summary!$Y$2:$Y$20001,"Coverage",Data_Summary!$AA$2:$AA$20001,AJ171))</f>
        <v/>
      </c>
      <c r="AM171" s="17" t="str">
        <f aca="false">IF(Data_Insight!X171="","",IF(COUNTIF(Data_Insight!$X$2:$X171,Data_Insight!X171)=1,Data_Insight!X171,""))</f>
        <v/>
      </c>
      <c r="AN171" s="17" t="str">
        <f aca="false">IF(AM171="","",COUNTIF(Data_Insight!$X$2:$X$20001,AM171))</f>
        <v/>
      </c>
    </row>
    <row r="172" customFormat="false" ht="15" hidden="false" customHeight="true" outlineLevel="0" collapsed="false">
      <c r="AJ172" s="17" t="str">
        <f aca="false">IF(Data_Summary!Y173&lt;&gt;"Coverage","",IF(Data_Summary!AA173="","",IF(COUNTIFS(Data_Summary!$Y$2:$Y173,"Coverage",Data_Summary!$AA$2:$AA173,Data_Summary!AA173)=1,Data_Summary!AA173,"")))</f>
        <v/>
      </c>
      <c r="AK172" s="17" t="str">
        <f aca="false">IF(AJ172="","",COUNTIFS(Data_Summary!$Y$2:$Y$20001,"Coverage",Data_Summary!$AA$2:$AA$20001,AJ172))</f>
        <v/>
      </c>
      <c r="AM172" s="17" t="str">
        <f aca="false">IF(Data_Insight!X172="","",IF(COUNTIF(Data_Insight!$X$2:$X172,Data_Insight!X172)=1,Data_Insight!X172,""))</f>
        <v/>
      </c>
      <c r="AN172" s="17" t="str">
        <f aca="false">IF(AM172="","",COUNTIF(Data_Insight!$X$2:$X$20001,AM172))</f>
        <v/>
      </c>
    </row>
    <row r="173" customFormat="false" ht="15" hidden="false" customHeight="true" outlineLevel="0" collapsed="false">
      <c r="AJ173" s="17" t="str">
        <f aca="false">IF(Data_Summary!Y174&lt;&gt;"Coverage","",IF(Data_Summary!AA174="","",IF(COUNTIFS(Data_Summary!$Y$2:$Y174,"Coverage",Data_Summary!$AA$2:$AA174,Data_Summary!AA174)=1,Data_Summary!AA174,"")))</f>
        <v/>
      </c>
      <c r="AK173" s="17" t="str">
        <f aca="false">IF(AJ173="","",COUNTIFS(Data_Summary!$Y$2:$Y$20001,"Coverage",Data_Summary!$AA$2:$AA$20001,AJ173))</f>
        <v/>
      </c>
      <c r="AM173" s="17" t="str">
        <f aca="false">IF(Data_Insight!X173="","",IF(COUNTIF(Data_Insight!$X$2:$X173,Data_Insight!X173)=1,Data_Insight!X173,""))</f>
        <v/>
      </c>
      <c r="AN173" s="17" t="str">
        <f aca="false">IF(AM173="","",COUNTIF(Data_Insight!$X$2:$X$20001,AM173))</f>
        <v/>
      </c>
    </row>
    <row r="174" customFormat="false" ht="15" hidden="false" customHeight="true" outlineLevel="0" collapsed="false">
      <c r="AJ174" s="17" t="str">
        <f aca="false">IF(Data_Summary!Y175&lt;&gt;"Coverage","",IF(Data_Summary!AA175="","",IF(COUNTIFS(Data_Summary!$Y$2:$Y175,"Coverage",Data_Summary!$AA$2:$AA175,Data_Summary!AA175)=1,Data_Summary!AA175,"")))</f>
        <v>Internal Growth Opportunities</v>
      </c>
      <c r="AK174" s="17" t="n">
        <f aca="false">IF(AJ174="","",COUNTIFS(Data_Summary!$Y$2:$Y$20001,"Coverage",Data_Summary!$AA$2:$AA$20001,AJ174))</f>
        <v>7</v>
      </c>
      <c r="AM174" s="17" t="str">
        <f aca="false">IF(Data_Insight!X174="","",IF(COUNTIF(Data_Insight!$X$2:$X174,Data_Insight!X174)=1,Data_Insight!X174,""))</f>
        <v/>
      </c>
      <c r="AN174" s="17" t="str">
        <f aca="false">IF(AM174="","",COUNTIF(Data_Insight!$X$2:$X$20001,AM174))</f>
        <v/>
      </c>
    </row>
    <row r="175" customFormat="false" ht="15" hidden="false" customHeight="true" outlineLevel="0" collapsed="false">
      <c r="AJ175" s="17" t="str">
        <f aca="false">IF(Data_Summary!Y176&lt;&gt;"Coverage","",IF(Data_Summary!AA176="","",IF(COUNTIFS(Data_Summary!$Y$2:$Y176,"Coverage",Data_Summary!$AA$2:$AA176,Data_Summary!AA176)=1,Data_Summary!AA176,"")))</f>
        <v/>
      </c>
      <c r="AK175" s="17" t="str">
        <f aca="false">IF(AJ175="","",COUNTIFS(Data_Summary!$Y$2:$Y$20001,"Coverage",Data_Summary!$AA$2:$AA$20001,AJ175))</f>
        <v/>
      </c>
      <c r="AM175" s="17" t="str">
        <f aca="false">IF(Data_Insight!X175="","",IF(COUNTIF(Data_Insight!$X$2:$X175,Data_Insight!X175)=1,Data_Insight!X175,""))</f>
        <v/>
      </c>
      <c r="AN175" s="17" t="str">
        <f aca="false">IF(AM175="","",COUNTIF(Data_Insight!$X$2:$X$20001,AM175))</f>
        <v/>
      </c>
    </row>
    <row r="176" customFormat="false" ht="12.75" hidden="false" customHeight="true" outlineLevel="0" collapsed="false">
      <c r="AJ176" s="17" t="str">
        <f aca="false">IF(Data_Summary!Y177&lt;&gt;"Coverage","",IF(Data_Summary!AA177="","",IF(COUNTIFS(Data_Summary!$Y$2:$Y177,"Coverage",Data_Summary!$AA$2:$AA177,Data_Summary!AA177)=1,Data_Summary!AA177,"")))</f>
        <v/>
      </c>
      <c r="AK176" s="17" t="str">
        <f aca="false">IF(AJ176="","",COUNTIFS(Data_Summary!$Y$2:$Y$20001,"Coverage",Data_Summary!$AA$2:$AA$20001,AJ176))</f>
        <v/>
      </c>
      <c r="AM176" s="17" t="str">
        <f aca="false">IF(Data_Insight!X176="","",IF(COUNTIF(Data_Insight!$X$2:$X176,Data_Insight!X176)=1,Data_Insight!X176,""))</f>
        <v/>
      </c>
      <c r="AN176" s="17" t="str">
        <f aca="false">IF(AM176="","",COUNTIF(Data_Insight!$X$2:$X$20001,AM176))</f>
        <v/>
      </c>
    </row>
    <row r="177" customFormat="false" ht="12.75" hidden="false" customHeight="true" outlineLevel="0" collapsed="false">
      <c r="AJ177" s="17" t="str">
        <f aca="false">IF(Data_Summary!Y178&lt;&gt;"Coverage","",IF(Data_Summary!AA178="","",IF(COUNTIFS(Data_Summary!$Y$2:$Y178,"Coverage",Data_Summary!$AA$2:$AA178,Data_Summary!AA178)=1,Data_Summary!AA178,"")))</f>
        <v/>
      </c>
      <c r="AK177" s="17" t="str">
        <f aca="false">IF(AJ177="","",COUNTIFS(Data_Summary!$Y$2:$Y$20001,"Coverage",Data_Summary!$AA$2:$AA$20001,AJ177))</f>
        <v/>
      </c>
      <c r="AM177" s="17" t="str">
        <f aca="false">IF(Data_Insight!X177="","",IF(COUNTIF(Data_Insight!$X$2:$X177,Data_Insight!X177)=1,Data_Insight!X177,""))</f>
        <v/>
      </c>
      <c r="AN177" s="17" t="str">
        <f aca="false">IF(AM177="","",COUNTIF(Data_Insight!$X$2:$X$20001,AM177))</f>
        <v/>
      </c>
    </row>
    <row r="178" customFormat="false" ht="15" hidden="false" customHeight="true" outlineLevel="0" collapsed="false">
      <c r="AJ178" s="17" t="str">
        <f aca="false">IF(Data_Summary!Y179&lt;&gt;"Coverage","",IF(Data_Summary!AA179="","",IF(COUNTIFS(Data_Summary!$Y$2:$Y179,"Coverage",Data_Summary!$AA$2:$AA179,Data_Summary!AA179)=1,Data_Summary!AA179,"")))</f>
        <v/>
      </c>
      <c r="AK178" s="17" t="str">
        <f aca="false">IF(AJ178="","",COUNTIFS(Data_Summary!$Y$2:$Y$20001,"Coverage",Data_Summary!$AA$2:$AA$20001,AJ178))</f>
        <v/>
      </c>
      <c r="AM178" s="17" t="str">
        <f aca="false">IF(Data_Insight!X178="","",IF(COUNTIF(Data_Insight!$X$2:$X178,Data_Insight!X178)=1,Data_Insight!X178,""))</f>
        <v/>
      </c>
      <c r="AN178" s="17" t="str">
        <f aca="false">IF(AM178="","",COUNTIF(Data_Insight!$X$2:$X$20001,AM178))</f>
        <v/>
      </c>
    </row>
    <row r="179" customFormat="false" ht="32.25" hidden="false" customHeight="true" outlineLevel="0" collapsed="false">
      <c r="AJ179" s="17" t="str">
        <f aca="false">IF(Data_Summary!Y180&lt;&gt;"Coverage","",IF(Data_Summary!AA180="","",IF(COUNTIFS(Data_Summary!$Y$2:$Y180,"Coverage",Data_Summary!$AA$2:$AA180,Data_Summary!AA180)=1,Data_Summary!AA180,"")))</f>
        <v/>
      </c>
      <c r="AK179" s="17" t="str">
        <f aca="false">IF(AJ179="","",COUNTIFS(Data_Summary!$Y$2:$Y$20001,"Coverage",Data_Summary!$AA$2:$AA$20001,AJ179))</f>
        <v/>
      </c>
      <c r="AM179" s="17" t="str">
        <f aca="false">IF(Data_Insight!X179="","",IF(COUNTIF(Data_Insight!$X$2:$X179,Data_Insight!X179)=1,Data_Insight!X179,""))</f>
        <v/>
      </c>
      <c r="AN179" s="17" t="str">
        <f aca="false">IF(AM179="","",COUNTIF(Data_Insight!$X$2:$X$20001,AM179))</f>
        <v/>
      </c>
    </row>
    <row r="180" customFormat="false" ht="15" hidden="false" customHeight="true" outlineLevel="0" collapsed="false">
      <c r="AJ180" s="17" t="str">
        <f aca="false">IF(Data_Summary!Y181&lt;&gt;"Coverage","",IF(Data_Summary!AA181="","",IF(COUNTIFS(Data_Summary!$Y$2:$Y181,"Coverage",Data_Summary!$AA$2:$AA181,Data_Summary!AA181)=1,Data_Summary!AA181,"")))</f>
        <v/>
      </c>
      <c r="AK180" s="17" t="str">
        <f aca="false">IF(AJ180="","",COUNTIFS(Data_Summary!$Y$2:$Y$20001,"Coverage",Data_Summary!$AA$2:$AA$20001,AJ180))</f>
        <v/>
      </c>
      <c r="AM180" s="17" t="str">
        <f aca="false">IF(Data_Insight!X180="","",IF(COUNTIF(Data_Insight!$X$2:$X180,Data_Insight!X180)=1,Data_Insight!X180,""))</f>
        <v/>
      </c>
      <c r="AN180" s="17" t="str">
        <f aca="false">IF(AM180="","",COUNTIF(Data_Insight!$X$2:$X$20001,AM180))</f>
        <v/>
      </c>
    </row>
    <row r="181" customFormat="false" ht="15" hidden="false" customHeight="true" outlineLevel="0" collapsed="false">
      <c r="AJ181" s="17" t="str">
        <f aca="false">IF(Data_Summary!Y182&lt;&gt;"Coverage","",IF(Data_Summary!AA182="","",IF(COUNTIFS(Data_Summary!$Y$2:$Y182,"Coverage",Data_Summary!$AA$2:$AA182,Data_Summary!AA182)=1,Data_Summary!AA182,"")))</f>
        <v/>
      </c>
      <c r="AK181" s="17" t="str">
        <f aca="false">IF(AJ181="","",COUNTIFS(Data_Summary!$Y$2:$Y$20001,"Coverage",Data_Summary!$AA$2:$AA$20001,AJ181))</f>
        <v/>
      </c>
      <c r="AM181" s="17" t="str">
        <f aca="false">IF(Data_Insight!X181="","",IF(COUNTIF(Data_Insight!$X$2:$X181,Data_Insight!X181)=1,Data_Insight!X181,""))</f>
        <v/>
      </c>
      <c r="AN181" s="17" t="str">
        <f aca="false">IF(AM181="","",COUNTIF(Data_Insight!$X$2:$X$20001,AM181))</f>
        <v/>
      </c>
    </row>
    <row r="182" customFormat="false" ht="15" hidden="false" customHeight="true" outlineLevel="0" collapsed="false">
      <c r="AJ182" s="17" t="str">
        <f aca="false">IF(Data_Summary!Y183&lt;&gt;"Coverage","",IF(Data_Summary!AA183="","",IF(COUNTIFS(Data_Summary!$Y$2:$Y183,"Coverage",Data_Summary!$AA$2:$AA183,Data_Summary!AA183)=1,Data_Summary!AA183,"")))</f>
        <v>Leadership Communication &amp; Q&amp;A Effectiveness</v>
      </c>
      <c r="AK182" s="17" t="n">
        <f aca="false">IF(AJ182="","",COUNTIFS(Data_Summary!$Y$2:$Y$20001,"Coverage",Data_Summary!$AA$2:$AA$20001,AJ182))</f>
        <v>7</v>
      </c>
      <c r="AM182" s="17" t="str">
        <f aca="false">IF(Data_Insight!X182="","",IF(COUNTIF(Data_Insight!$X$2:$X182,Data_Insight!X182)=1,Data_Insight!X182,""))</f>
        <v/>
      </c>
      <c r="AN182" s="17" t="str">
        <f aca="false">IF(AM182="","",COUNTIF(Data_Insight!$X$2:$X$20001,AM182))</f>
        <v/>
      </c>
    </row>
    <row r="183" customFormat="false" ht="12.75" hidden="false" customHeight="true" outlineLevel="0" collapsed="false">
      <c r="AJ183" s="17" t="str">
        <f aca="false">IF(Data_Summary!Y184&lt;&gt;"Coverage","",IF(Data_Summary!AA184="","",IF(COUNTIFS(Data_Summary!$Y$2:$Y184,"Coverage",Data_Summary!$AA$2:$AA184,Data_Summary!AA184)=1,Data_Summary!AA184,"")))</f>
        <v/>
      </c>
      <c r="AK183" s="17" t="str">
        <f aca="false">IF(AJ183="","",COUNTIFS(Data_Summary!$Y$2:$Y$20001,"Coverage",Data_Summary!$AA$2:$AA$20001,AJ183))</f>
        <v/>
      </c>
      <c r="AM183" s="17" t="str">
        <f aca="false">IF(Data_Insight!X183="","",IF(COUNTIF(Data_Insight!$X$2:$X183,Data_Insight!X183)=1,Data_Insight!X183,""))</f>
        <v/>
      </c>
      <c r="AN183" s="17" t="str">
        <f aca="false">IF(AM183="","",COUNTIF(Data_Insight!$X$2:$X$20001,AM183))</f>
        <v/>
      </c>
    </row>
    <row r="184" customFormat="false" ht="12.75" hidden="false" customHeight="true" outlineLevel="0" collapsed="false">
      <c r="AJ184" s="17" t="str">
        <f aca="false">IF(Data_Summary!Y185&lt;&gt;"Coverage","",IF(Data_Summary!AA185="","",IF(COUNTIFS(Data_Summary!$Y$2:$Y185,"Coverage",Data_Summary!$AA$2:$AA185,Data_Summary!AA185)=1,Data_Summary!AA185,"")))</f>
        <v/>
      </c>
      <c r="AK184" s="17" t="str">
        <f aca="false">IF(AJ184="","",COUNTIFS(Data_Summary!$Y$2:$Y$20001,"Coverage",Data_Summary!$AA$2:$AA$20001,AJ184))</f>
        <v/>
      </c>
      <c r="AM184" s="17" t="str">
        <f aca="false">IF(Data_Insight!X184="","",IF(COUNTIF(Data_Insight!$X$2:$X184,Data_Insight!X184)=1,Data_Insight!X184,""))</f>
        <v/>
      </c>
      <c r="AN184" s="17" t="str">
        <f aca="false">IF(AM184="","",COUNTIF(Data_Insight!$X$2:$X$20001,AM184))</f>
        <v/>
      </c>
    </row>
    <row r="185" customFormat="false" ht="21" hidden="false" customHeight="true" outlineLevel="0" collapsed="false">
      <c r="AJ185" s="17" t="str">
        <f aca="false">IF(Data_Summary!Y186&lt;&gt;"Coverage","",IF(Data_Summary!AA186="","",IF(COUNTIFS(Data_Summary!$Y$2:$Y186,"Coverage",Data_Summary!$AA$2:$AA186,Data_Summary!AA186)=1,Data_Summary!AA186,"")))</f>
        <v/>
      </c>
      <c r="AK185" s="17" t="str">
        <f aca="false">IF(AJ185="","",COUNTIFS(Data_Summary!$Y$2:$Y$20001,"Coverage",Data_Summary!$AA$2:$AA$20001,AJ185))</f>
        <v/>
      </c>
      <c r="AM185" s="17" t="str">
        <f aca="false">IF(Data_Insight!X185="","",IF(COUNTIF(Data_Insight!$X$2:$X185,Data_Insight!X185)=1,Data_Insight!X185,""))</f>
        <v/>
      </c>
      <c r="AN185" s="17" t="str">
        <f aca="false">IF(AM185="","",COUNTIF(Data_Insight!$X$2:$X$20001,AM185))</f>
        <v/>
      </c>
    </row>
    <row r="186" customFormat="false" ht="12.75" hidden="false" customHeight="true" outlineLevel="0" collapsed="false">
      <c r="AJ186" s="17" t="str">
        <f aca="false">IF(Data_Summary!Y187&lt;&gt;"Coverage","",IF(Data_Summary!AA187="","",IF(COUNTIFS(Data_Summary!$Y$2:$Y187,"Coverage",Data_Summary!$AA$2:$AA187,Data_Summary!AA187)=1,Data_Summary!AA187,"")))</f>
        <v/>
      </c>
      <c r="AK186" s="17" t="str">
        <f aca="false">IF(AJ186="","",COUNTIFS(Data_Summary!$Y$2:$Y$20001,"Coverage",Data_Summary!$AA$2:$AA$20001,AJ186))</f>
        <v/>
      </c>
      <c r="AM186" s="17" t="str">
        <f aca="false">IF(Data_Insight!X186="","",IF(COUNTIF(Data_Insight!$X$2:$X186,Data_Insight!X186)=1,Data_Insight!X186,""))</f>
        <v/>
      </c>
      <c r="AN186" s="17" t="str">
        <f aca="false">IF(AM186="","",COUNTIF(Data_Insight!$X$2:$X$20001,AM186))</f>
        <v/>
      </c>
    </row>
    <row r="187" customFormat="false" ht="29.25" hidden="false" customHeight="true" outlineLevel="0" collapsed="false">
      <c r="AJ187" s="17" t="str">
        <f aca="false">IF(Data_Summary!Y188&lt;&gt;"Coverage","",IF(Data_Summary!AA188="","",IF(COUNTIFS(Data_Summary!$Y$2:$Y188,"Coverage",Data_Summary!$AA$2:$AA188,Data_Summary!AA188)=1,Data_Summary!AA188,"")))</f>
        <v>Engagement with Leadership &amp; Confidence Level</v>
      </c>
      <c r="AK187" s="17" t="n">
        <f aca="false">IF(AJ187="","",COUNTIFS(Data_Summary!$Y$2:$Y$20001,"Coverage",Data_Summary!$AA$2:$AA$20001,AJ187))</f>
        <v>10</v>
      </c>
      <c r="AM187" s="17" t="str">
        <f aca="false">IF(Data_Insight!X187="","",IF(COUNTIF(Data_Insight!$X$2:$X187,Data_Insight!X187)=1,Data_Insight!X187,""))</f>
        <v/>
      </c>
      <c r="AN187" s="17" t="str">
        <f aca="false">IF(AM187="","",COUNTIF(Data_Insight!$X$2:$X$20001,AM187))</f>
        <v/>
      </c>
    </row>
    <row r="188" customFormat="false" ht="15" hidden="false" customHeight="true" outlineLevel="0" collapsed="false">
      <c r="AJ188" s="17" t="str">
        <f aca="false">IF(Data_Summary!Y189&lt;&gt;"Coverage","",IF(Data_Summary!AA189="","",IF(COUNTIFS(Data_Summary!$Y$2:$Y189,"Coverage",Data_Summary!$AA$2:$AA189,Data_Summary!AA189)=1,Data_Summary!AA189,"")))</f>
        <v/>
      </c>
      <c r="AK188" s="17" t="str">
        <f aca="false">IF(AJ188="","",COUNTIFS(Data_Summary!$Y$2:$Y$20001,"Coverage",Data_Summary!$AA$2:$AA$20001,AJ188))</f>
        <v/>
      </c>
      <c r="AM188" s="17" t="str">
        <f aca="false">IF(Data_Insight!X188="","",IF(COUNTIF(Data_Insight!$X$2:$X188,Data_Insight!X188)=1,Data_Insight!X188,""))</f>
        <v/>
      </c>
      <c r="AN188" s="17" t="str">
        <f aca="false">IF(AM188="","",COUNTIF(Data_Insight!$X$2:$X$20001,AM188))</f>
        <v/>
      </c>
    </row>
    <row r="189" customFormat="false" ht="15" hidden="false" customHeight="true" outlineLevel="0" collapsed="false">
      <c r="AJ189" s="17" t="str">
        <f aca="false">IF(Data_Summary!Y190&lt;&gt;"Coverage","",IF(Data_Summary!AA190="","",IF(COUNTIFS(Data_Summary!$Y$2:$Y190,"Coverage",Data_Summary!$AA$2:$AA190,Data_Summary!AA190)=1,Data_Summary!AA190,"")))</f>
        <v/>
      </c>
      <c r="AK189" s="17" t="str">
        <f aca="false">IF(AJ189="","",COUNTIFS(Data_Summary!$Y$2:$Y$20001,"Coverage",Data_Summary!$AA$2:$AA$20001,AJ189))</f>
        <v/>
      </c>
      <c r="AM189" s="17" t="str">
        <f aca="false">IF(Data_Insight!X189="","",IF(COUNTIF(Data_Insight!$X$2:$X189,Data_Insight!X189)=1,Data_Insight!X189,""))</f>
        <v/>
      </c>
      <c r="AN189" s="17" t="str">
        <f aca="false">IF(AM189="","",COUNTIF(Data_Insight!$X$2:$X$20001,AM189))</f>
        <v/>
      </c>
    </row>
    <row r="190" customFormat="false" ht="27.75" hidden="false" customHeight="true" outlineLevel="0" collapsed="false">
      <c r="AJ190" s="17" t="str">
        <f aca="false">IF(Data_Summary!Y191&lt;&gt;"Coverage","",IF(Data_Summary!AA191="","",IF(COUNTIFS(Data_Summary!$Y$2:$Y191,"Coverage",Data_Summary!$AA$2:$AA191,Data_Summary!AA191)=1,Data_Summary!AA191,"")))</f>
        <v/>
      </c>
      <c r="AK190" s="17" t="str">
        <f aca="false">IF(AJ190="","",COUNTIFS(Data_Summary!$Y$2:$Y$20001,"Coverage",Data_Summary!$AA$2:$AA$20001,AJ190))</f>
        <v/>
      </c>
      <c r="AM190" s="17" t="str">
        <f aca="false">IF(Data_Insight!X190="","",IF(COUNTIF(Data_Insight!$X$2:$X190,Data_Insight!X190)=1,Data_Insight!X190,""))</f>
        <v/>
      </c>
      <c r="AN190" s="17" t="str">
        <f aca="false">IF(AM190="","",COUNTIF(Data_Insight!$X$2:$X$20001,AM190))</f>
        <v/>
      </c>
    </row>
    <row r="191" customFormat="false" ht="15" hidden="false" customHeight="true" outlineLevel="0" collapsed="false">
      <c r="AJ191" s="17" t="str">
        <f aca="false">IF(Data_Summary!Y192&lt;&gt;"Coverage","",IF(Data_Summary!AA192="","",IF(COUNTIFS(Data_Summary!$Y$2:$Y192,"Coverage",Data_Summary!$AA$2:$AA192,Data_Summary!AA192)=1,Data_Summary!AA192,"")))</f>
        <v/>
      </c>
      <c r="AK191" s="17" t="str">
        <f aca="false">IF(AJ191="","",COUNTIFS(Data_Summary!$Y$2:$Y$20001,"Coverage",Data_Summary!$AA$2:$AA$20001,AJ191))</f>
        <v/>
      </c>
      <c r="AM191" s="17" t="str">
        <f aca="false">IF(Data_Insight!X191="","",IF(COUNTIF(Data_Insight!$X$2:$X191,Data_Insight!X191)=1,Data_Insight!X191,""))</f>
        <v/>
      </c>
      <c r="AN191" s="17" t="str">
        <f aca="false">IF(AM191="","",COUNTIF(Data_Insight!$X$2:$X$20001,AM191))</f>
        <v/>
      </c>
    </row>
    <row r="192" customFormat="false" ht="28.5" hidden="false" customHeight="true" outlineLevel="0" collapsed="false">
      <c r="AJ192" s="17" t="str">
        <f aca="false">IF(Data_Summary!Y193&lt;&gt;"Coverage","",IF(Data_Summary!AA193="","",IF(COUNTIFS(Data_Summary!$Y$2:$Y193,"Coverage",Data_Summary!$AA$2:$AA193,Data_Summary!AA193)=1,Data_Summary!AA193,"")))</f>
        <v/>
      </c>
      <c r="AK192" s="17" t="str">
        <f aca="false">IF(AJ192="","",COUNTIFS(Data_Summary!$Y$2:$Y$20001,"Coverage",Data_Summary!$AA$2:$AA$20001,AJ192))</f>
        <v/>
      </c>
      <c r="AM192" s="17" t="str">
        <f aca="false">IF(Data_Insight!X192="","",IF(COUNTIF(Data_Insight!$X$2:$X192,Data_Insight!X192)=1,Data_Insight!X192,""))</f>
        <v/>
      </c>
      <c r="AN192" s="17" t="str">
        <f aca="false">IF(AM192="","",COUNTIF(Data_Insight!$X$2:$X$20001,AM192))</f>
        <v/>
      </c>
    </row>
    <row r="193" customFormat="false" ht="15" hidden="false" customHeight="true" outlineLevel="0" collapsed="false">
      <c r="AJ193" s="17" t="str">
        <f aca="false">IF(Data_Summary!Y194&lt;&gt;"Coverage","",IF(Data_Summary!AA194="","",IF(COUNTIFS(Data_Summary!$Y$2:$Y194,"Coverage",Data_Summary!$AA$2:$AA194,Data_Summary!AA194)=1,Data_Summary!AA194,"")))</f>
        <v/>
      </c>
      <c r="AK193" s="17" t="str">
        <f aca="false">IF(AJ193="","",COUNTIFS(Data_Summary!$Y$2:$Y$20001,"Coverage",Data_Summary!$AA$2:$AA$20001,AJ193))</f>
        <v/>
      </c>
      <c r="AM193" s="17" t="str">
        <f aca="false">IF(Data_Insight!X193="","",IF(COUNTIF(Data_Insight!$X$2:$X193,Data_Insight!X193)=1,Data_Insight!X193,""))</f>
        <v/>
      </c>
      <c r="AN193" s="17" t="str">
        <f aca="false">IF(AM193="","",COUNTIF(Data_Insight!$X$2:$X$20001,AM193))</f>
        <v/>
      </c>
    </row>
    <row r="194" customFormat="false" ht="27.75" hidden="false" customHeight="true" outlineLevel="0" collapsed="false">
      <c r="AJ194" s="17" t="str">
        <f aca="false">IF(Data_Summary!Y195&lt;&gt;"Coverage","",IF(Data_Summary!AA195="","",IF(COUNTIFS(Data_Summary!$Y$2:$Y195,"Coverage",Data_Summary!$AA$2:$AA195,Data_Summary!AA195)=1,Data_Summary!AA195,"")))</f>
        <v>Learning/cert Support Requests</v>
      </c>
      <c r="AK194" s="17" t="n">
        <f aca="false">IF(AJ194="","",COUNTIFS(Data_Summary!$Y$2:$Y$20001,"Coverage",Data_Summary!$AA$2:$AA$20001,AJ194))</f>
        <v>4</v>
      </c>
      <c r="AM194" s="17" t="str">
        <f aca="false">IF(Data_Insight!X194="","",IF(COUNTIF(Data_Insight!$X$2:$X194,Data_Insight!X194)=1,Data_Insight!X194,""))</f>
        <v/>
      </c>
      <c r="AN194" s="17" t="str">
        <f aca="false">IF(AM194="","",COUNTIF(Data_Insight!$X$2:$X$20001,AM194))</f>
        <v/>
      </c>
    </row>
    <row r="195" customFormat="false" ht="27.75" hidden="false" customHeight="true" outlineLevel="0" collapsed="false">
      <c r="AJ195" s="17" t="str">
        <f aca="false">IF(Data_Summary!Y196&lt;&gt;"Coverage","",IF(Data_Summary!AA196="","",IF(COUNTIFS(Data_Summary!$Y$2:$Y196,"Coverage",Data_Summary!$AA$2:$AA196,Data_Summary!AA196)=1,Data_Summary!AA196,"")))</f>
        <v/>
      </c>
      <c r="AK195" s="17" t="str">
        <f aca="false">IF(AJ195="","",COUNTIFS(Data_Summary!$Y$2:$Y$20001,"Coverage",Data_Summary!$AA$2:$AA$20001,AJ195))</f>
        <v/>
      </c>
      <c r="AM195" s="17" t="str">
        <f aca="false">IF(Data_Insight!X195="","",IF(COUNTIF(Data_Insight!$X$2:$X195,Data_Insight!X195)=1,Data_Insight!X195,""))</f>
        <v/>
      </c>
      <c r="AN195" s="17" t="str">
        <f aca="false">IF(AM195="","",COUNTIF(Data_Insight!$X$2:$X$20001,AM195))</f>
        <v/>
      </c>
    </row>
    <row r="196" customFormat="false" ht="15" hidden="false" customHeight="true" outlineLevel="0" collapsed="false">
      <c r="AJ196" s="17" t="str">
        <f aca="false">IF(Data_Summary!Y197&lt;&gt;"Coverage","",IF(Data_Summary!AA197="","",IF(COUNTIFS(Data_Summary!$Y$2:$Y197,"Coverage",Data_Summary!$AA$2:$AA197,Data_Summary!AA197)=1,Data_Summary!AA197,"")))</f>
        <v/>
      </c>
      <c r="AK196" s="17" t="str">
        <f aca="false">IF(AJ196="","",COUNTIFS(Data_Summary!$Y$2:$Y$20001,"Coverage",Data_Summary!$AA$2:$AA$20001,AJ196))</f>
        <v/>
      </c>
      <c r="AM196" s="17" t="str">
        <f aca="false">IF(Data_Insight!X196="","",IF(COUNTIF(Data_Insight!$X$2:$X196,Data_Insight!X196)=1,Data_Insight!X196,""))</f>
        <v/>
      </c>
      <c r="AN196" s="17" t="str">
        <f aca="false">IF(AM196="","",COUNTIF(Data_Insight!$X$2:$X$20001,AM196))</f>
        <v/>
      </c>
    </row>
    <row r="197" customFormat="false" ht="15" hidden="false" customHeight="true" outlineLevel="0" collapsed="false">
      <c r="AJ197" s="17" t="str">
        <f aca="false">IF(Data_Summary!Y198&lt;&gt;"Coverage","",IF(Data_Summary!AA198="","",IF(COUNTIFS(Data_Summary!$Y$2:$Y198,"Coverage",Data_Summary!$AA$2:$AA198,Data_Summary!AA198)=1,Data_Summary!AA198,"")))</f>
        <v/>
      </c>
      <c r="AK197" s="17" t="str">
        <f aca="false">IF(AJ197="","",COUNTIFS(Data_Summary!$Y$2:$Y$20001,"Coverage",Data_Summary!$AA$2:$AA$20001,AJ197))</f>
        <v/>
      </c>
      <c r="AM197" s="17" t="str">
        <f aca="false">IF(Data_Insight!X197="","",IF(COUNTIF(Data_Insight!$X$2:$X197,Data_Insight!X197)=1,Data_Insight!X197,""))</f>
        <v/>
      </c>
      <c r="AN197" s="17" t="str">
        <f aca="false">IF(AM197="","",COUNTIF(Data_Insight!$X$2:$X$20001,AM197))</f>
        <v/>
      </c>
    </row>
    <row r="198" customFormat="false" ht="15" hidden="false" customHeight="true" outlineLevel="0" collapsed="false">
      <c r="AJ198" s="17" t="str">
        <f aca="false">IF(Data_Summary!Y199&lt;&gt;"Coverage","",IF(Data_Summary!AA199="","",IF(COUNTIFS(Data_Summary!$Y$2:$Y199,"Coverage",Data_Summary!$AA$2:$AA199,Data_Summary!AA199)=1,Data_Summary!AA199,"")))</f>
        <v/>
      </c>
      <c r="AK198" s="17" t="str">
        <f aca="false">IF(AJ198="","",COUNTIFS(Data_Summary!$Y$2:$Y$20001,"Coverage",Data_Summary!$AA$2:$AA$20001,AJ198))</f>
        <v/>
      </c>
      <c r="AM198" s="17" t="str">
        <f aca="false">IF(Data_Insight!X198="","",IF(COUNTIF(Data_Insight!$X$2:$X198,Data_Insight!X198)=1,Data_Insight!X198,""))</f>
        <v/>
      </c>
      <c r="AN198" s="17" t="str">
        <f aca="false">IF(AM198="","",COUNTIF(Data_Insight!$X$2:$X$20001,AM198))</f>
        <v/>
      </c>
    </row>
    <row r="199" customFormat="false" ht="15" hidden="false" customHeight="true" outlineLevel="0" collapsed="false">
      <c r="AJ199" s="17" t="str">
        <f aca="false">IF(Data_Summary!Y200&lt;&gt;"Coverage","",IF(Data_Summary!AA200="","",IF(COUNTIFS(Data_Summary!$Y$2:$Y200,"Coverage",Data_Summary!$AA$2:$AA200,Data_Summary!AA200)=1,Data_Summary!AA200,"")))</f>
        <v/>
      </c>
      <c r="AK199" s="17" t="str">
        <f aca="false">IF(AJ199="","",COUNTIFS(Data_Summary!$Y$2:$Y$20001,"Coverage",Data_Summary!$AA$2:$AA$20001,AJ199))</f>
        <v/>
      </c>
      <c r="AM199" s="17" t="str">
        <f aca="false">IF(Data_Insight!X199="","",IF(COUNTIF(Data_Insight!$X$2:$X199,Data_Insight!X199)=1,Data_Insight!X199,""))</f>
        <v/>
      </c>
      <c r="AN199" s="17" t="str">
        <f aca="false">IF(AM199="","",COUNTIF(Data_Insight!$X$2:$X$20001,AM199))</f>
        <v/>
      </c>
    </row>
    <row r="200" customFormat="false" ht="15" hidden="false" customHeight="true" outlineLevel="0" collapsed="false">
      <c r="AJ200" s="17" t="str">
        <f aca="false">IF(Data_Summary!Y201&lt;&gt;"Coverage","",IF(Data_Summary!AA201="","",IF(COUNTIFS(Data_Summary!$Y$2:$Y201,"Coverage",Data_Summary!$AA$2:$AA201,Data_Summary!AA201)=1,Data_Summary!AA201,"")))</f>
        <v/>
      </c>
      <c r="AK200" s="17" t="str">
        <f aca="false">IF(AJ200="","",COUNTIFS(Data_Summary!$Y$2:$Y$20001,"Coverage",Data_Summary!$AA$2:$AA$20001,AJ200))</f>
        <v/>
      </c>
    </row>
    <row r="201" customFormat="false" ht="28.5" hidden="false" customHeight="true" outlineLevel="0" collapsed="false">
      <c r="AJ201" s="17" t="str">
        <f aca="false">IF(Data_Summary!Y202&lt;&gt;"Coverage","",IF(Data_Summary!AA202="","",IF(COUNTIFS(Data_Summary!$Y$2:$Y202,"Coverage",Data_Summary!$AA$2:$AA202,Data_Summary!AA202)=1,Data_Summary!AA202,"")))</f>
        <v/>
      </c>
      <c r="AK201" s="17" t="str">
        <f aca="false">IF(AJ201="","",COUNTIFS(Data_Summary!$Y$2:$Y$20001,"Coverage",Data_Summary!$AA$2:$AA$20001,AJ201))</f>
        <v/>
      </c>
    </row>
    <row r="202" customFormat="false" ht="27.75" hidden="false" customHeight="true" outlineLevel="0" collapsed="false">
      <c r="AJ202" s="17" t="str">
        <f aca="false">IF(Data_Summary!Y203&lt;&gt;"Coverage","",IF(Data_Summary!AA203="","",IF(COUNTIFS(Data_Summary!$Y$2:$Y203,"Coverage",Data_Summary!$AA$2:$AA203,Data_Summary!AA203)=1,Data_Summary!AA203,"")))</f>
        <v/>
      </c>
      <c r="AK202" s="17" t="str">
        <f aca="false">IF(AJ202="","",COUNTIFS(Data_Summary!$Y$2:$Y$20001,"Coverage",Data_Summary!$AA$2:$AA$20001,AJ202))</f>
        <v/>
      </c>
    </row>
    <row r="203" customFormat="false" ht="27.75" hidden="false" customHeight="true" outlineLevel="0" collapsed="false">
      <c r="AJ203" s="17" t="str">
        <f aca="false">IF(Data_Summary!Y204&lt;&gt;"Coverage","",IF(Data_Summary!AA204="","",IF(COUNTIFS(Data_Summary!$Y$2:$Y204,"Coverage",Data_Summary!$AA$2:$AA204,Data_Summary!AA204)=1,Data_Summary!AA204,"")))</f>
        <v>Recognition &amp; Motivation</v>
      </c>
      <c r="AK203" s="17" t="n">
        <f aca="false">IF(AJ203="","",COUNTIFS(Data_Summary!$Y$2:$Y$20001,"Coverage",Data_Summary!$AA$2:$AA$20001,AJ203))</f>
        <v>3</v>
      </c>
    </row>
    <row r="204" customFormat="false" ht="27.75" hidden="false" customHeight="true" outlineLevel="0" collapsed="false">
      <c r="AJ204" s="17" t="str">
        <f aca="false">IF(Data_Summary!Y205&lt;&gt;"Coverage","",IF(Data_Summary!AA205="","",IF(COUNTIFS(Data_Summary!$Y$2:$Y205,"Coverage",Data_Summary!$AA$2:$AA205,Data_Summary!AA205)=1,Data_Summary!AA205,"")))</f>
        <v/>
      </c>
      <c r="AK204" s="17" t="str">
        <f aca="false">IF(AJ204="","",COUNTIFS(Data_Summary!$Y$2:$Y$20001,"Coverage",Data_Summary!$AA$2:$AA$20001,AJ204))</f>
        <v/>
      </c>
    </row>
    <row r="205" customFormat="false" ht="27.75" hidden="false" customHeight="true" outlineLevel="0" collapsed="false">
      <c r="AJ205" s="17" t="str">
        <f aca="false">IF(Data_Summary!Y206&lt;&gt;"Coverage","",IF(Data_Summary!AA206="","",IF(COUNTIFS(Data_Summary!$Y$2:$Y206,"Coverage",Data_Summary!$AA$2:$AA206,Data_Summary!AA206)=1,Data_Summary!AA206,"")))</f>
        <v/>
      </c>
      <c r="AK205" s="17" t="str">
        <f aca="false">IF(AJ205="","",COUNTIFS(Data_Summary!$Y$2:$Y$20001,"Coverage",Data_Summary!$AA$2:$AA$20001,AJ205))</f>
        <v/>
      </c>
    </row>
    <row r="206" customFormat="false" ht="15" hidden="false" customHeight="true" outlineLevel="0" collapsed="false">
      <c r="AJ206" s="17" t="str">
        <f aca="false">IF(Data_Summary!Y207&lt;&gt;"Coverage","",IF(Data_Summary!AA207="","",IF(COUNTIFS(Data_Summary!$Y$2:$Y207,"Coverage",Data_Summary!$AA$2:$AA207,Data_Summary!AA207)=1,Data_Summary!AA207,"")))</f>
        <v/>
      </c>
      <c r="AK206" s="17" t="str">
        <f aca="false">IF(AJ206="","",COUNTIFS(Data_Summary!$Y$2:$Y$20001,"Coverage",Data_Summary!$AA$2:$AA$20001,AJ206))</f>
        <v/>
      </c>
    </row>
    <row r="207" customFormat="false" ht="15" hidden="false" customHeight="true" outlineLevel="0" collapsed="false">
      <c r="AJ207" s="17" t="str">
        <f aca="false">IF(Data_Summary!Y208&lt;&gt;"Coverage","",IF(Data_Summary!AA208="","",IF(COUNTIFS(Data_Summary!$Y$2:$Y208,"Coverage",Data_Summary!$AA$2:$AA208,Data_Summary!AA208)=1,Data_Summary!AA208,"")))</f>
        <v/>
      </c>
      <c r="AK207" s="17" t="str">
        <f aca="false">IF(AJ207="","",COUNTIFS(Data_Summary!$Y$2:$Y$20001,"Coverage",Data_Summary!$AA$2:$AA$20001,AJ207))</f>
        <v/>
      </c>
    </row>
    <row r="208" customFormat="false" ht="15" hidden="false" customHeight="true" outlineLevel="0" collapsed="false">
      <c r="AJ208" s="17" t="str">
        <f aca="false">IF(Data_Summary!Y209&lt;&gt;"Coverage","",IF(Data_Summary!AA209="","",IF(COUNTIFS(Data_Summary!$Y$2:$Y209,"Coverage",Data_Summary!$AA$2:$AA209,Data_Summary!AA209)=1,Data_Summary!AA209,"")))</f>
        <v/>
      </c>
      <c r="AK208" s="17" t="str">
        <f aca="false">IF(AJ208="","",COUNTIFS(Data_Summary!$Y$2:$Y$20001,"Coverage",Data_Summary!$AA$2:$AA$20001,AJ208))</f>
        <v/>
      </c>
    </row>
    <row r="209" customFormat="false" ht="15" hidden="false" customHeight="true" outlineLevel="0" collapsed="false">
      <c r="AJ209" s="17" t="str">
        <f aca="false">IF(Data_Summary!Y210&lt;&gt;"Coverage","",IF(Data_Summary!AA210="","",IF(COUNTIFS(Data_Summary!$Y$2:$Y210,"Coverage",Data_Summary!$AA$2:$AA210,Data_Summary!AA210)=1,Data_Summary!AA210,"")))</f>
        <v/>
      </c>
      <c r="AK209" s="17" t="str">
        <f aca="false">IF(AJ209="","",COUNTIFS(Data_Summary!$Y$2:$Y$20001,"Coverage",Data_Summary!$AA$2:$AA$20001,AJ209))</f>
        <v/>
      </c>
    </row>
    <row r="210" customFormat="false" ht="15" hidden="false" customHeight="true" outlineLevel="0" collapsed="false">
      <c r="AJ210" s="17" t="str">
        <f aca="false">IF(Data_Summary!Y211&lt;&gt;"Coverage","",IF(Data_Summary!AA211="","",IF(COUNTIFS(Data_Summary!$Y$2:$Y211,"Coverage",Data_Summary!$AA$2:$AA211,Data_Summary!AA211)=1,Data_Summary!AA211,"")))</f>
        <v/>
      </c>
      <c r="AK210" s="17" t="str">
        <f aca="false">IF(AJ210="","",COUNTIFS(Data_Summary!$Y$2:$Y$20001,"Coverage",Data_Summary!$AA$2:$AA$20001,AJ210))</f>
        <v/>
      </c>
    </row>
    <row r="211" customFormat="false" ht="15" hidden="false" customHeight="true" outlineLevel="0" collapsed="false">
      <c r="AJ211" s="17" t="str">
        <f aca="false">IF(Data_Summary!Y212&lt;&gt;"Coverage","",IF(Data_Summary!AA212="","",IF(COUNTIFS(Data_Summary!$Y$2:$Y212,"Coverage",Data_Summary!$AA$2:$AA212,Data_Summary!AA212)=1,Data_Summary!AA212,"")))</f>
        <v/>
      </c>
      <c r="AK211" s="17" t="str">
        <f aca="false">IF(AJ211="","",COUNTIFS(Data_Summary!$Y$2:$Y$20001,"Coverage",Data_Summary!$AA$2:$AA$20001,AJ211))</f>
        <v/>
      </c>
    </row>
    <row r="212" customFormat="false" ht="15" hidden="false" customHeight="true" outlineLevel="0" collapsed="false">
      <c r="AJ212" s="17" t="str">
        <f aca="false">IF(Data_Summary!Y213&lt;&gt;"Coverage","",IF(Data_Summary!AA213="","",IF(COUNTIFS(Data_Summary!$Y$2:$Y213,"Coverage",Data_Summary!$AA$2:$AA213,Data_Summary!AA213)=1,Data_Summary!AA213,"")))</f>
        <v/>
      </c>
      <c r="AK212" s="17" t="str">
        <f aca="false">IF(AJ212="","",COUNTIFS(Data_Summary!$Y$2:$Y$20001,"Coverage",Data_Summary!$AA$2:$AA$20001,AJ212))</f>
        <v/>
      </c>
    </row>
    <row r="213" customFormat="false" ht="15" hidden="false" customHeight="true" outlineLevel="0" collapsed="false">
      <c r="AJ213" s="17" t="str">
        <f aca="false">IF(Data_Summary!Y214&lt;&gt;"Coverage","",IF(Data_Summary!AA214="","",IF(COUNTIFS(Data_Summary!$Y$2:$Y214,"Coverage",Data_Summary!$AA$2:$AA214,Data_Summary!AA214)=1,Data_Summary!AA214,"")))</f>
        <v/>
      </c>
      <c r="AK213" s="17" t="str">
        <f aca="false">IF(AJ213="","",COUNTIFS(Data_Summary!$Y$2:$Y$20001,"Coverage",Data_Summary!$AA$2:$AA$20001,AJ213))</f>
        <v/>
      </c>
    </row>
    <row r="214" customFormat="false" ht="15" hidden="false" customHeight="true" outlineLevel="0" collapsed="false">
      <c r="AJ214" s="17" t="str">
        <f aca="false">IF(Data_Summary!Y215&lt;&gt;"Coverage","",IF(Data_Summary!AA215="","",IF(COUNTIFS(Data_Summary!$Y$2:$Y215,"Coverage",Data_Summary!$AA$2:$AA215,Data_Summary!AA215)=1,Data_Summary!AA215,"")))</f>
        <v/>
      </c>
      <c r="AK214" s="17" t="str">
        <f aca="false">IF(AJ214="","",COUNTIFS(Data_Summary!$Y$2:$Y$20001,"Coverage",Data_Summary!$AA$2:$AA$20001,AJ214))</f>
        <v/>
      </c>
    </row>
    <row r="215" customFormat="false" ht="15" hidden="false" customHeight="true" outlineLevel="0" collapsed="false">
      <c r="AJ215" s="17" t="str">
        <f aca="false">IF(Data_Summary!Y216&lt;&gt;"Coverage","",IF(Data_Summary!AA216="","",IF(COUNTIFS(Data_Summary!$Y$2:$Y216,"Coverage",Data_Summary!$AA$2:$AA216,Data_Summary!AA216)=1,Data_Summary!AA216,"")))</f>
        <v/>
      </c>
      <c r="AK215" s="17" t="str">
        <f aca="false">IF(AJ215="","",COUNTIFS(Data_Summary!$Y$2:$Y$20001,"Coverage",Data_Summary!$AA$2:$AA$20001,AJ215))</f>
        <v/>
      </c>
    </row>
    <row r="216" customFormat="false" ht="15" hidden="false" customHeight="true" outlineLevel="0" collapsed="false">
      <c r="AJ216" s="17" t="str">
        <f aca="false">IF(Data_Summary!Y217&lt;&gt;"Coverage","",IF(Data_Summary!AA217="","",IF(COUNTIFS(Data_Summary!$Y$2:$Y217,"Coverage",Data_Summary!$AA$2:$AA217,Data_Summary!AA217)=1,Data_Summary!AA217,"")))</f>
        <v/>
      </c>
      <c r="AK216" s="17" t="str">
        <f aca="false">IF(AJ216="","",COUNTIFS(Data_Summary!$Y$2:$Y$20001,"Coverage",Data_Summary!$AA$2:$AA$20001,AJ216))</f>
        <v/>
      </c>
    </row>
    <row r="217" customFormat="false" ht="15" hidden="false" customHeight="true" outlineLevel="0" collapsed="false">
      <c r="AJ217" s="17" t="str">
        <f aca="false">IF(Data_Summary!Y218&lt;&gt;"Coverage","",IF(Data_Summary!AA218="","",IF(COUNTIFS(Data_Summary!$Y$2:$Y218,"Coverage",Data_Summary!$AA$2:$AA218,Data_Summary!AA218)=1,Data_Summary!AA218,"")))</f>
        <v>Policy &amp; Process Clarity</v>
      </c>
      <c r="AK217" s="17" t="n">
        <f aca="false">IF(AJ217="","",COUNTIFS(Data_Summary!$Y$2:$Y$20001,"Coverage",Data_Summary!$AA$2:$AA$20001,AJ217))</f>
        <v>8</v>
      </c>
    </row>
    <row r="218" customFormat="false" ht="15" hidden="false" customHeight="true" outlineLevel="0" collapsed="false">
      <c r="AJ218" s="17" t="str">
        <f aca="false">IF(Data_Summary!Y219&lt;&gt;"Coverage","",IF(Data_Summary!AA219="","",IF(COUNTIFS(Data_Summary!$Y$2:$Y219,"Coverage",Data_Summary!$AA$2:$AA219,Data_Summary!AA219)=1,Data_Summary!AA219,"")))</f>
        <v>Strategic Connect</v>
      </c>
      <c r="AK218" s="17" t="n">
        <f aca="false">IF(AJ218="","",COUNTIFS(Data_Summary!$Y$2:$Y$20001,"Coverage",Data_Summary!$AA$2:$AA$20001,AJ218))</f>
        <v>5</v>
      </c>
    </row>
    <row r="219" customFormat="false" ht="15" hidden="false" customHeight="true" outlineLevel="0" collapsed="false">
      <c r="AJ219" s="17" t="str">
        <f aca="false">IF(Data_Summary!Y220&lt;&gt;"Coverage","",IF(Data_Summary!AA220="","",IF(COUNTIFS(Data_Summary!$Y$2:$Y220,"Coverage",Data_Summary!$AA$2:$AA220,Data_Summary!AA220)=1,Data_Summary!AA220,"")))</f>
        <v/>
      </c>
      <c r="AK219" s="17" t="str">
        <f aca="false">IF(AJ219="","",COUNTIFS(Data_Summary!$Y$2:$Y$20001,"Coverage",Data_Summary!$AA$2:$AA$20001,AJ219))</f>
        <v/>
      </c>
    </row>
    <row r="220" customFormat="false" ht="15" hidden="false" customHeight="true" outlineLevel="0" collapsed="false">
      <c r="AJ220" s="17" t="str">
        <f aca="false">IF(Data_Summary!Y221&lt;&gt;"Coverage","",IF(Data_Summary!AA221="","",IF(COUNTIFS(Data_Summary!$Y$2:$Y221,"Coverage",Data_Summary!$AA$2:$AA221,Data_Summary!AA221)=1,Data_Summary!AA221,"")))</f>
        <v/>
      </c>
      <c r="AK220" s="17" t="str">
        <f aca="false">IF(AJ220="","",COUNTIFS(Data_Summary!$Y$2:$Y$20001,"Coverage",Data_Summary!$AA$2:$AA$20001,AJ220))</f>
        <v/>
      </c>
    </row>
    <row r="221" customFormat="false" ht="15" hidden="false" customHeight="true" outlineLevel="0" collapsed="false">
      <c r="AJ221" s="17" t="str">
        <f aca="false">IF(Data_Summary!Y222&lt;&gt;"Coverage","",IF(Data_Summary!AA222="","",IF(COUNTIFS(Data_Summary!$Y$2:$Y222,"Coverage",Data_Summary!$AA$2:$AA222,Data_Summary!AA222)=1,Data_Summary!AA222,"")))</f>
        <v/>
      </c>
      <c r="AK221" s="17" t="str">
        <f aca="false">IF(AJ221="","",COUNTIFS(Data_Summary!$Y$2:$Y$20001,"Coverage",Data_Summary!$AA$2:$AA$20001,AJ221))</f>
        <v/>
      </c>
    </row>
    <row r="222" customFormat="false" ht="15" hidden="false" customHeight="true" outlineLevel="0" collapsed="false">
      <c r="AJ222" s="17" t="str">
        <f aca="false">IF(Data_Summary!Y223&lt;&gt;"Coverage","",IF(Data_Summary!AA223="","",IF(COUNTIFS(Data_Summary!$Y$2:$Y223,"Coverage",Data_Summary!$AA$2:$AA223,Data_Summary!AA223)=1,Data_Summary!AA223,"")))</f>
        <v/>
      </c>
      <c r="AK222" s="17" t="str">
        <f aca="false">IF(AJ222="","",COUNTIFS(Data_Summary!$Y$2:$Y$20001,"Coverage",Data_Summary!$AA$2:$AA$20001,AJ222))</f>
        <v/>
      </c>
    </row>
    <row r="223" customFormat="false" ht="15" hidden="false" customHeight="true" outlineLevel="0" collapsed="false">
      <c r="AJ223" s="17" t="str">
        <f aca="false">IF(Data_Summary!Y224&lt;&gt;"Coverage","",IF(Data_Summary!AA224="","",IF(COUNTIFS(Data_Summary!$Y$2:$Y224,"Coverage",Data_Summary!$AA$2:$AA224,Data_Summary!AA224)=1,Data_Summary!AA224,"")))</f>
        <v/>
      </c>
      <c r="AK223" s="17" t="str">
        <f aca="false">IF(AJ223="","",COUNTIFS(Data_Summary!$Y$2:$Y$20001,"Coverage",Data_Summary!$AA$2:$AA$20001,AJ223))</f>
        <v/>
      </c>
    </row>
    <row r="224" customFormat="false" ht="15" hidden="false" customHeight="true" outlineLevel="0" collapsed="false">
      <c r="AJ224" s="17" t="str">
        <f aca="false">IF(Data_Summary!Y225&lt;&gt;"Coverage","",IF(Data_Summary!AA225="","",IF(COUNTIFS(Data_Summary!$Y$2:$Y225,"Coverage",Data_Summary!$AA$2:$AA225,Data_Summary!AA225)=1,Data_Summary!AA225,"")))</f>
        <v/>
      </c>
      <c r="AK224" s="17" t="str">
        <f aca="false">IF(AJ224="","",COUNTIFS(Data_Summary!$Y$2:$Y$20001,"Coverage",Data_Summary!$AA$2:$AA$20001,AJ224))</f>
        <v/>
      </c>
    </row>
    <row r="225" customFormat="false" ht="15" hidden="false" customHeight="true" outlineLevel="0" collapsed="false">
      <c r="AJ225" s="17" t="str">
        <f aca="false">IF(Data_Summary!Y226&lt;&gt;"Coverage","",IF(Data_Summary!AA226="","",IF(COUNTIFS(Data_Summary!$Y$2:$Y226,"Coverage",Data_Summary!$AA$2:$AA226,Data_Summary!AA226)=1,Data_Summary!AA226,"")))</f>
        <v/>
      </c>
      <c r="AK225" s="17" t="str">
        <f aca="false">IF(AJ225="","",COUNTIFS(Data_Summary!$Y$2:$Y$20001,"Coverage",Data_Summary!$AA$2:$AA$20001,AJ225))</f>
        <v/>
      </c>
    </row>
    <row r="226" customFormat="false" ht="15" hidden="false" customHeight="true" outlineLevel="0" collapsed="false">
      <c r="AJ226" s="17" t="str">
        <f aca="false">IF(Data_Summary!Y227&lt;&gt;"Coverage","",IF(Data_Summary!AA227="","",IF(COUNTIFS(Data_Summary!$Y$2:$Y227,"Coverage",Data_Summary!$AA$2:$AA227,Data_Summary!AA227)=1,Data_Summary!AA227,"")))</f>
        <v/>
      </c>
      <c r="AK226" s="17" t="str">
        <f aca="false">IF(AJ226="","",COUNTIFS(Data_Summary!$Y$2:$Y$20001,"Coverage",Data_Summary!$AA$2:$AA$20001,AJ226))</f>
        <v/>
      </c>
    </row>
    <row r="227" customFormat="false" ht="28.5" hidden="false" customHeight="true" outlineLevel="0" collapsed="false">
      <c r="AJ227" s="17" t="str">
        <f aca="false">IF(Data_Summary!Y228&lt;&gt;"Coverage","",IF(Data_Summary!AA228="","",IF(COUNTIFS(Data_Summary!$Y$2:$Y228,"Coverage",Data_Summary!$AA$2:$AA228,Data_Summary!AA228)=1,Data_Summary!AA228,"")))</f>
        <v/>
      </c>
      <c r="AK227" s="17" t="str">
        <f aca="false">IF(AJ227="","",COUNTIFS(Data_Summary!$Y$2:$Y$20001,"Coverage",Data_Summary!$AA$2:$AA$20001,AJ227))</f>
        <v/>
      </c>
    </row>
    <row r="228" customFormat="false" ht="25.5" hidden="false" customHeight="true" outlineLevel="0" collapsed="false">
      <c r="AJ228" s="17" t="str">
        <f aca="false">IF(Data_Summary!Y229&lt;&gt;"Coverage","",IF(Data_Summary!AA229="","",IF(COUNTIFS(Data_Summary!$Y$2:$Y229,"Coverage",Data_Summary!$AA$2:$AA229,Data_Summary!AA229)=1,Data_Summary!AA229,"")))</f>
        <v>Role Confidence Level</v>
      </c>
      <c r="AK228" s="17" t="n">
        <f aca="false">IF(AJ228="","",COUNTIFS(Data_Summary!$Y$2:$Y$20001,"Coverage",Data_Summary!$AA$2:$AA$20001,AJ228))</f>
        <v>9</v>
      </c>
    </row>
    <row r="229" customFormat="false" ht="15" hidden="false" customHeight="true" outlineLevel="0" collapsed="false">
      <c r="AJ229" s="17" t="str">
        <f aca="false">IF(Data_Summary!Y230&lt;&gt;"Coverage","",IF(Data_Summary!AA230="","",IF(COUNTIFS(Data_Summary!$Y$2:$Y230,"Coverage",Data_Summary!$AA$2:$AA230,Data_Summary!AA230)=1,Data_Summary!AA230,"")))</f>
        <v>Feedback Mechanism</v>
      </c>
      <c r="AK229" s="17" t="n">
        <f aca="false">IF(AJ229="","",COUNTIFS(Data_Summary!$Y$2:$Y$20001,"Coverage",Data_Summary!$AA$2:$AA$20001,AJ229))</f>
        <v>5</v>
      </c>
    </row>
    <row r="230" customFormat="false" ht="15" hidden="false" customHeight="true" outlineLevel="0" collapsed="false">
      <c r="AJ230" s="17" t="str">
        <f aca="false">IF(Data_Summary!Y231&lt;&gt;"Coverage","",IF(Data_Summary!AA231="","",IF(COUNTIFS(Data_Summary!$Y$2:$Y231,"Coverage",Data_Summary!$AA$2:$AA231,Data_Summary!AA231)=1,Data_Summary!AA231,"")))</f>
        <v/>
      </c>
      <c r="AK230" s="17" t="str">
        <f aca="false">IF(AJ230="","",COUNTIFS(Data_Summary!$Y$2:$Y$20001,"Coverage",Data_Summary!$AA$2:$AA$20001,AJ230))</f>
        <v/>
      </c>
    </row>
    <row r="231" customFormat="false" ht="15" hidden="false" customHeight="true" outlineLevel="0" collapsed="false">
      <c r="AJ231" s="17" t="str">
        <f aca="false">IF(Data_Summary!Y232&lt;&gt;"Coverage","",IF(Data_Summary!AA232="","",IF(COUNTIFS(Data_Summary!$Y$2:$Y232,"Coverage",Data_Summary!$AA$2:$AA232,Data_Summary!AA232)=1,Data_Summary!AA232,"")))</f>
        <v/>
      </c>
      <c r="AK231" s="17" t="str">
        <f aca="false">IF(AJ231="","",COUNTIFS(Data_Summary!$Y$2:$Y$20001,"Coverage",Data_Summary!$AA$2:$AA$20001,AJ231))</f>
        <v/>
      </c>
    </row>
    <row r="232" customFormat="false" ht="15" hidden="false" customHeight="true" outlineLevel="0" collapsed="false">
      <c r="AJ232" s="17" t="str">
        <f aca="false">IF(Data_Summary!Y233&lt;&gt;"Coverage","",IF(Data_Summary!AA233="","",IF(COUNTIFS(Data_Summary!$Y$2:$Y233,"Coverage",Data_Summary!$AA$2:$AA233,Data_Summary!AA233)=1,Data_Summary!AA233,"")))</f>
        <v/>
      </c>
      <c r="AK232" s="17" t="str">
        <f aca="false">IF(AJ232="","",COUNTIFS(Data_Summary!$Y$2:$Y$20001,"Coverage",Data_Summary!$AA$2:$AA$20001,AJ232))</f>
        <v/>
      </c>
    </row>
    <row r="233" customFormat="false" ht="15" hidden="false" customHeight="true" outlineLevel="0" collapsed="false">
      <c r="AJ233" s="17" t="str">
        <f aca="false">IF(Data_Summary!Y234&lt;&gt;"Coverage","",IF(Data_Summary!AA234="","",IF(COUNTIFS(Data_Summary!$Y$2:$Y234,"Coverage",Data_Summary!$AA$2:$AA234,Data_Summary!AA234)=1,Data_Summary!AA234,"")))</f>
        <v/>
      </c>
      <c r="AK233" s="17" t="str">
        <f aca="false">IF(AJ233="","",COUNTIFS(Data_Summary!$Y$2:$Y$20001,"Coverage",Data_Summary!$AA$2:$AA$20001,AJ233))</f>
        <v/>
      </c>
    </row>
    <row r="234" customFormat="false" ht="15" hidden="false" customHeight="true" outlineLevel="0" collapsed="false">
      <c r="AJ234" s="17" t="str">
        <f aca="false">IF(Data_Summary!Y235&lt;&gt;"Coverage","",IF(Data_Summary!AA235="","",IF(COUNTIFS(Data_Summary!$Y$2:$Y235,"Coverage",Data_Summary!$AA$2:$AA235,Data_Summary!AA235)=1,Data_Summary!AA235,"")))</f>
        <v/>
      </c>
      <c r="AK234" s="17" t="str">
        <f aca="false">IF(AJ234="","",COUNTIFS(Data_Summary!$Y$2:$Y$20001,"Coverage",Data_Summary!$AA$2:$AA$20001,AJ234))</f>
        <v/>
      </c>
    </row>
    <row r="235" customFormat="false" ht="27" hidden="false" customHeight="true" outlineLevel="0" collapsed="false">
      <c r="AJ235" s="17" t="str">
        <f aca="false">IF(Data_Summary!Y236&lt;&gt;"Coverage","",IF(Data_Summary!AA236="","",IF(COUNTIFS(Data_Summary!$Y$2:$Y236,"Coverage",Data_Summary!$AA$2:$AA236,Data_Summary!AA236)=1,Data_Summary!AA236,"")))</f>
        <v/>
      </c>
      <c r="AK235" s="17" t="str">
        <f aca="false">IF(AJ235="","",COUNTIFS(Data_Summary!$Y$2:$Y$20001,"Coverage",Data_Summary!$AA$2:$AA$20001,AJ235))</f>
        <v/>
      </c>
    </row>
    <row r="236" customFormat="false" ht="15" hidden="false" customHeight="true" outlineLevel="0" collapsed="false">
      <c r="AJ236" s="17" t="str">
        <f aca="false">IF(Data_Summary!Y237&lt;&gt;"Coverage","",IF(Data_Summary!AA237="","",IF(COUNTIFS(Data_Summary!$Y$2:$Y237,"Coverage",Data_Summary!$AA$2:$AA237,Data_Summary!AA237)=1,Data_Summary!AA237,"")))</f>
        <v>Recognition Visibility</v>
      </c>
      <c r="AK236" s="17" t="n">
        <f aca="false">IF(AJ236="","",COUNTIFS(Data_Summary!$Y$2:$Y$20001,"Coverage",Data_Summary!$AA$2:$AA$20001,AJ236))</f>
        <v>6</v>
      </c>
    </row>
    <row r="237" customFormat="false" ht="15" hidden="false" customHeight="true" outlineLevel="0" collapsed="false">
      <c r="AJ237" s="17" t="str">
        <f aca="false">IF(Data_Summary!Y238&lt;&gt;"Coverage","",IF(Data_Summary!AA238="","",IF(COUNTIFS(Data_Summary!$Y$2:$Y238,"Coverage",Data_Summary!$AA$2:$AA238,Data_Summary!AA238)=1,Data_Summary!AA238,"")))</f>
        <v>Work-Life &amp; Sustainability Signals</v>
      </c>
      <c r="AK237" s="17" t="n">
        <f aca="false">IF(AJ237="","",COUNTIFS(Data_Summary!$Y$2:$Y$20001,"Coverage",Data_Summary!$AA$2:$AA$20001,AJ237))</f>
        <v>5</v>
      </c>
    </row>
    <row r="238" customFormat="false" ht="15" hidden="false" customHeight="true" outlineLevel="0" collapsed="false">
      <c r="AJ238" s="17" t="str">
        <f aca="false">IF(Data_Summary!Y239&lt;&gt;"Coverage","",IF(Data_Summary!AA239="","",IF(COUNTIFS(Data_Summary!$Y$2:$Y239,"Coverage",Data_Summary!$AA$2:$AA239,Data_Summary!AA239)=1,Data_Summary!AA239,"")))</f>
        <v/>
      </c>
      <c r="AK238" s="17" t="str">
        <f aca="false">IF(AJ238="","",COUNTIFS(Data_Summary!$Y$2:$Y$20001,"Coverage",Data_Summary!$AA$2:$AA$20001,AJ238))</f>
        <v/>
      </c>
    </row>
    <row r="239" customFormat="false" ht="15" hidden="false" customHeight="true" outlineLevel="0" collapsed="false">
      <c r="AJ239" s="17" t="str">
        <f aca="false">IF(Data_Summary!Y240&lt;&gt;"Coverage","",IF(Data_Summary!AA240="","",IF(COUNTIFS(Data_Summary!$Y$2:$Y240,"Coverage",Data_Summary!$AA$2:$AA240,Data_Summary!AA240)=1,Data_Summary!AA240,"")))</f>
        <v/>
      </c>
      <c r="AK239" s="17" t="str">
        <f aca="false">IF(AJ239="","",COUNTIFS(Data_Summary!$Y$2:$Y$20001,"Coverage",Data_Summary!$AA$2:$AA$20001,AJ239))</f>
        <v/>
      </c>
    </row>
    <row r="240" customFormat="false" ht="15" hidden="false" customHeight="true" outlineLevel="0" collapsed="false">
      <c r="AJ240" s="17" t="str">
        <f aca="false">IF(Data_Summary!Y241&lt;&gt;"Coverage","",IF(Data_Summary!AA241="","",IF(COUNTIFS(Data_Summary!$Y$2:$Y241,"Coverage",Data_Summary!$AA$2:$AA241,Data_Summary!AA241)=1,Data_Summary!AA241,"")))</f>
        <v/>
      </c>
      <c r="AK240" s="17" t="str">
        <f aca="false">IF(AJ240="","",COUNTIFS(Data_Summary!$Y$2:$Y$20001,"Coverage",Data_Summary!$AA$2:$AA$20001,AJ240))</f>
        <v/>
      </c>
    </row>
    <row r="241" customFormat="false" ht="15" hidden="false" customHeight="true" outlineLevel="0" collapsed="false">
      <c r="AJ241" s="17" t="str">
        <f aca="false">IF(Data_Summary!Y242&lt;&gt;"Coverage","",IF(Data_Summary!AA242="","",IF(COUNTIFS(Data_Summary!$Y$2:$Y242,"Coverage",Data_Summary!$AA$2:$AA242,Data_Summary!AA242)=1,Data_Summary!AA242,"")))</f>
        <v/>
      </c>
      <c r="AK241" s="17" t="str">
        <f aca="false">IF(AJ241="","",COUNTIFS(Data_Summary!$Y$2:$Y$20001,"Coverage",Data_Summary!$AA$2:$AA$20001,AJ241))</f>
        <v/>
      </c>
    </row>
    <row r="242" customFormat="false" ht="15" hidden="false" customHeight="true" outlineLevel="0" collapsed="false">
      <c r="AJ242" s="17" t="str">
        <f aca="false">IF(Data_Summary!Y243&lt;&gt;"Coverage","",IF(Data_Summary!AA243="","",IF(COUNTIFS(Data_Summary!$Y$2:$Y243,"Coverage",Data_Summary!$AA$2:$AA243,Data_Summary!AA243)=1,Data_Summary!AA243,"")))</f>
        <v/>
      </c>
      <c r="AK242" s="17" t="str">
        <f aca="false">IF(AJ242="","",COUNTIFS(Data_Summary!$Y$2:$Y$20001,"Coverage",Data_Summary!$AA$2:$AA$20001,AJ242))</f>
        <v/>
      </c>
    </row>
    <row r="243" customFormat="false" ht="15" hidden="false" customHeight="true" outlineLevel="0" collapsed="false">
      <c r="AJ243" s="17" t="str">
        <f aca="false">IF(Data_Summary!Y244&lt;&gt;"Coverage","",IF(Data_Summary!AA244="","",IF(COUNTIFS(Data_Summary!$Y$2:$Y244,"Coverage",Data_Summary!$AA$2:$AA244,Data_Summary!AA244)=1,Data_Summary!AA244,"")))</f>
        <v>Queries On Performance Cycle Steps And Deadlines</v>
      </c>
      <c r="AK243" s="17" t="n">
        <f aca="false">IF(AJ243="","",COUNTIFS(Data_Summary!$Y$2:$Y$20001,"Coverage",Data_Summary!$AA$2:$AA$20001,AJ243))</f>
        <v>3</v>
      </c>
    </row>
    <row r="244" customFormat="false" ht="15" hidden="false" customHeight="true" outlineLevel="0" collapsed="false">
      <c r="AJ244" s="17" t="str">
        <f aca="false">IF(Data_Summary!Y245&lt;&gt;"Coverage","",IF(Data_Summary!AA245="","",IF(COUNTIFS(Data_Summary!$Y$2:$Y245,"Coverage",Data_Summary!$AA$2:$AA245,Data_Summary!AA245)=1,Data_Summary!AA245,"")))</f>
        <v/>
      </c>
      <c r="AK244" s="17" t="str">
        <f aca="false">IF(AJ244="","",COUNTIFS(Data_Summary!$Y$2:$Y$20001,"Coverage",Data_Summary!$AA$2:$AA$20001,AJ244))</f>
        <v/>
      </c>
    </row>
    <row r="245" customFormat="false" ht="12.75" hidden="false" customHeight="true" outlineLevel="0" collapsed="false">
      <c r="AJ245" s="17" t="str">
        <f aca="false">IF(Data_Summary!Y246&lt;&gt;"Coverage","",IF(Data_Summary!AA246="","",IF(COUNTIFS(Data_Summary!$Y$2:$Y246,"Coverage",Data_Summary!$AA$2:$AA246,Data_Summary!AA246)=1,Data_Summary!AA246,"")))</f>
        <v/>
      </c>
      <c r="AK245" s="17" t="str">
        <f aca="false">IF(AJ245="","",COUNTIFS(Data_Summary!$Y$2:$Y$20001,"Coverage",Data_Summary!$AA$2:$AA$20001,AJ245))</f>
        <v/>
      </c>
    </row>
    <row r="246" customFormat="false" ht="12.75" hidden="false" customHeight="true" outlineLevel="0" collapsed="false">
      <c r="AJ246" s="17" t="str">
        <f aca="false">IF(Data_Summary!Y247&lt;&gt;"Coverage","",IF(Data_Summary!AA247="","",IF(COUNTIFS(Data_Summary!$Y$2:$Y247,"Coverage",Data_Summary!$AA$2:$AA247,Data_Summary!AA247)=1,Data_Summary!AA247,"")))</f>
        <v/>
      </c>
      <c r="AK246" s="17" t="str">
        <f aca="false">IF(AJ246="","",COUNTIFS(Data_Summary!$Y$2:$Y$20001,"Coverage",Data_Summary!$AA$2:$AA$20001,AJ246))</f>
        <v/>
      </c>
    </row>
    <row r="247" customFormat="false" ht="19.5" hidden="false" customHeight="true" outlineLevel="0" collapsed="false">
      <c r="AJ247" s="17" t="str">
        <f aca="false">IF(Data_Summary!Y248&lt;&gt;"Coverage","",IF(Data_Summary!AA248="","",IF(COUNTIFS(Data_Summary!$Y$2:$Y248,"Coverage",Data_Summary!$AA$2:$AA248,Data_Summary!AA248)=1,Data_Summary!AA248,"")))</f>
        <v/>
      </c>
      <c r="AK247" s="17" t="str">
        <f aca="false">IF(AJ247="","",COUNTIFS(Data_Summary!$Y$2:$Y$20001,"Coverage",Data_Summary!$AA$2:$AA$20001,AJ247))</f>
        <v/>
      </c>
    </row>
    <row r="248" customFormat="false" ht="15" hidden="false" customHeight="true" outlineLevel="0" collapsed="false">
      <c r="AJ248" s="17" t="str">
        <f aca="false">IF(Data_Summary!Y249&lt;&gt;"Coverage","",IF(Data_Summary!AA249="","",IF(COUNTIFS(Data_Summary!$Y$2:$Y249,"Coverage",Data_Summary!$AA$2:$AA249,Data_Summary!AA249)=1,Data_Summary!AA249,"")))</f>
        <v>Recognition &amp; Engagement within Project</v>
      </c>
      <c r="AK248" s="17" t="n">
        <f aca="false">IF(AJ248="","",COUNTIFS(Data_Summary!$Y$2:$Y$20001,"Coverage",Data_Summary!$AA$2:$AA$20001,AJ248))</f>
        <v>7</v>
      </c>
    </row>
    <row r="249" customFormat="false" ht="15" hidden="false" customHeight="true" outlineLevel="0" collapsed="false">
      <c r="AJ249" s="17" t="str">
        <f aca="false">IF(Data_Summary!Y250&lt;&gt;"Coverage","",IF(Data_Summary!AA250="","",IF(COUNTIFS(Data_Summary!$Y$2:$Y250,"Coverage",Data_Summary!$AA$2:$AA250,Data_Summary!AA250)=1,Data_Summary!AA250,"")))</f>
        <v>On Leave/comp-off Due To Client Calendar Mismatches</v>
      </c>
      <c r="AK249" s="17" t="n">
        <f aca="false">IF(AJ249="","",COUNTIFS(Data_Summary!$Y$2:$Y$20001,"Coverage",Data_Summary!$AA$2:$AA$20001,AJ249))</f>
        <v>6</v>
      </c>
    </row>
    <row r="250" customFormat="false" ht="34.5" hidden="false" customHeight="true" outlineLevel="0" collapsed="false">
      <c r="J250" s="54" t="n">
        <f aca="false" t="array" ref="J250:J250">IFERROR(SMALL(IF(((Data_Insight!$W$2:$W$5001="Open")+(Data_Insight!$W$2:$W$5001="In-progress")),(IF((Data_Insight!$V$2:$V$5001="High")*(Data_Insight!$W$2:$W$5001="Open"),1,IF((Data_Insight!$V$2:$V$5001="High")*(Data_Insight!$W$2:$W$5001="In-progress"),2,IF((Data_Insight!$V$2:$V$5001="Moderate")*(Data_Insight!$W$2:$W$5001="Open"),3,IF((Data_Insight!$V$2:$V$5001="Moderate")*(Data_Insight!$W$2:$W$5001="In-progress"),4,IF((Data_Insight!$V$2:$V$5001="Low")*(Data_Insight!$W$2:$W$5001="Open"),5,IF((Data_Insight!$V$2:$V$5001="Low")*(Data_Insight!$W$2:$W$5001="In-progress"),6,9999)))))))*100000+ROW(Data_Insight!$V$2:$V$5001)),1),"")</f>
        <v>100026</v>
      </c>
      <c r="AJ250" s="17" t="str">
        <f aca="false">IF(Data_Summary!Y251&lt;&gt;"Coverage","",IF(Data_Summary!AA251="","",IF(COUNTIFS(Data_Summary!$Y$2:$Y251,"Coverage",Data_Summary!$AA$2:$AA251,Data_Summary!AA251)=1,Data_Summary!AA251,"")))</f>
        <v/>
      </c>
      <c r="AK250" s="17" t="str">
        <f aca="false">IF(AJ250="","",COUNTIFS(Data_Summary!$Y$2:$Y$20001,"Coverage",Data_Summary!$AA$2:$AA$20001,AJ250))</f>
        <v/>
      </c>
    </row>
    <row r="251" customFormat="false" ht="34.5" hidden="false" customHeight="true" outlineLevel="0" collapsed="false">
      <c r="J251" s="54" t="n">
        <f aca="false" t="array" ref="J251:J251">IFERROR(SMALL(IF(((Data_Insight!$W$2:$W$5001="Open")+(Data_Insight!$W$2:$W$5001="In-progress")),(IF((Data_Insight!$V$2:$V$5001="High")*(Data_Insight!$W$2:$W$5001="Open"),1,IF((Data_Insight!$V$2:$V$5001="High")*(Data_Insight!$W$2:$W$5001="In-progress"),2,IF((Data_Insight!$V$2:$V$5001="Moderate")*(Data_Insight!$W$2:$W$5001="Open"),3,IF((Data_Insight!$V$2:$V$5001="Moderate")*(Data_Insight!$W$2:$W$5001="In-progress"),4,IF((Data_Insight!$V$2:$V$5001="Low")*(Data_Insight!$W$2:$W$5001="Open"),5,IF((Data_Insight!$V$2:$V$5001="Low")*(Data_Insight!$W$2:$W$5001="In-progress"),6,9999)))))))*100000+ROW(Data_Insight!$V$2:$V$5001)),2),"")</f>
        <v>100064</v>
      </c>
      <c r="AJ251" s="17" t="str">
        <f aca="false">IF(Data_Summary!Y252&lt;&gt;"Coverage","",IF(Data_Summary!AA252="","",IF(COUNTIFS(Data_Summary!$Y$2:$Y252,"Coverage",Data_Summary!$AA$2:$AA252,Data_Summary!AA252)=1,Data_Summary!AA252,"")))</f>
        <v/>
      </c>
      <c r="AK251" s="17" t="str">
        <f aca="false">IF(AJ251="","",COUNTIFS(Data_Summary!$Y$2:$Y$20001,"Coverage",Data_Summary!$AA$2:$AA$20001,AJ251))</f>
        <v/>
      </c>
    </row>
    <row r="252" customFormat="false" ht="34.5" hidden="false" customHeight="true" outlineLevel="0" collapsed="false">
      <c r="J252" s="54" t="n">
        <f aca="false" t="array" ref="J252:J252">IFERROR(SMALL(IF(((Data_Insight!$W$2:$W$5001="Open")+(Data_Insight!$W$2:$W$5001="In-progress")),(IF((Data_Insight!$V$2:$V$5001="High")*(Data_Insight!$W$2:$W$5001="Open"),1,IF((Data_Insight!$V$2:$V$5001="High")*(Data_Insight!$W$2:$W$5001="In-progress"),2,IF((Data_Insight!$V$2:$V$5001="Moderate")*(Data_Insight!$W$2:$W$5001="Open"),3,IF((Data_Insight!$V$2:$V$5001="Moderate")*(Data_Insight!$W$2:$W$5001="In-progress"),4,IF((Data_Insight!$V$2:$V$5001="Low")*(Data_Insight!$W$2:$W$5001="Open"),5,IF((Data_Insight!$V$2:$V$5001="Low")*(Data_Insight!$W$2:$W$5001="In-progress"),6,9999)))))))*100000+ROW(Data_Insight!$V$2:$V$5001)),3),"")</f>
        <v>100167</v>
      </c>
      <c r="AJ252" s="17" t="str">
        <f aca="false">IF(Data_Summary!Y253&lt;&gt;"Coverage","",IF(Data_Summary!AA253="","",IF(COUNTIFS(Data_Summary!$Y$2:$Y253,"Coverage",Data_Summary!$AA$2:$AA253,Data_Summary!AA253)=1,Data_Summary!AA253,"")))</f>
        <v/>
      </c>
      <c r="AK252" s="17" t="str">
        <f aca="false">IF(AJ252="","",COUNTIFS(Data_Summary!$Y$2:$Y$20001,"Coverage",Data_Summary!$AA$2:$AA$20001,AJ252))</f>
        <v/>
      </c>
    </row>
    <row r="253" customFormat="false" ht="34.5" hidden="false" customHeight="true" outlineLevel="0" collapsed="false">
      <c r="J253" s="54" t="n">
        <f aca="false" t="array" ref="J253:J253">IFERROR(SMALL(IF(((Data_Insight!$W$2:$W$5001="Open")+(Data_Insight!$W$2:$W$5001="In-progress")),(IF((Data_Insight!$V$2:$V$5001="High")*(Data_Insight!$W$2:$W$5001="Open"),1,IF((Data_Insight!$V$2:$V$5001="High")*(Data_Insight!$W$2:$W$5001="In-progress"),2,IF((Data_Insight!$V$2:$V$5001="Moderate")*(Data_Insight!$W$2:$W$5001="Open"),3,IF((Data_Insight!$V$2:$V$5001="Moderate")*(Data_Insight!$W$2:$W$5001="In-progress"),4,IF((Data_Insight!$V$2:$V$5001="Low")*(Data_Insight!$W$2:$W$5001="Open"),5,IF((Data_Insight!$V$2:$V$5001="Low")*(Data_Insight!$W$2:$W$5001="In-progress"),6,9999)))))))*100000+ROW(Data_Insight!$V$2:$V$5001)),4),"")</f>
        <v>100254</v>
      </c>
      <c r="AJ253" s="17" t="str">
        <f aca="false">IF(Data_Summary!Y254&lt;&gt;"Coverage","",IF(Data_Summary!AA254="","",IF(COUNTIFS(Data_Summary!$Y$2:$Y254,"Coverage",Data_Summary!$AA$2:$AA254,Data_Summary!AA254)=1,Data_Summary!AA254,"")))</f>
        <v/>
      </c>
      <c r="AK253" s="17" t="str">
        <f aca="false">IF(AJ253="","",COUNTIFS(Data_Summary!$Y$2:$Y$20001,"Coverage",Data_Summary!$AA$2:$AA$20001,AJ253))</f>
        <v/>
      </c>
    </row>
    <row r="254" customFormat="false" ht="34.5" hidden="false" customHeight="true" outlineLevel="0" collapsed="false">
      <c r="J254" s="54" t="n">
        <f aca="false" t="array" ref="J254:J254">IFERROR(SMALL(IF(((Data_Insight!$W$2:$W$5001="Open")+(Data_Insight!$W$2:$W$5001="In-progress")),(IF((Data_Insight!$V$2:$V$5001="High")*(Data_Insight!$W$2:$W$5001="Open"),1,IF((Data_Insight!$V$2:$V$5001="High")*(Data_Insight!$W$2:$W$5001="In-progress"),2,IF((Data_Insight!$V$2:$V$5001="Moderate")*(Data_Insight!$W$2:$W$5001="Open"),3,IF((Data_Insight!$V$2:$V$5001="Moderate")*(Data_Insight!$W$2:$W$5001="In-progress"),4,IF((Data_Insight!$V$2:$V$5001="Low")*(Data_Insight!$W$2:$W$5001="Open"),5,IF((Data_Insight!$V$2:$V$5001="Low")*(Data_Insight!$W$2:$W$5001="In-progress"),6,9999)))))))*100000+ROW(Data_Insight!$V$2:$V$5001)),5),"")</f>
        <v>200005</v>
      </c>
      <c r="AJ254" s="17" t="str">
        <f aca="false">IF(Data_Summary!Y255&lt;&gt;"Coverage","",IF(Data_Summary!AA255="","",IF(COUNTIFS(Data_Summary!$Y$2:$Y255,"Coverage",Data_Summary!$AA$2:$AA255,Data_Summary!AA255)=1,Data_Summary!AA255,"")))</f>
        <v/>
      </c>
      <c r="AK254" s="17" t="str">
        <f aca="false">IF(AJ254="","",COUNTIFS(Data_Summary!$Y$2:$Y$20001,"Coverage",Data_Summary!$AA$2:$AA$20001,AJ254))</f>
        <v/>
      </c>
    </row>
    <row r="255" customFormat="false" ht="34.5" hidden="false" customHeight="true" outlineLevel="0" collapsed="false">
      <c r="J255" s="54" t="n">
        <f aca="false" t="array" ref="J255:J255">IFERROR(SMALL(IF(((Data_Insight!$W$2:$W$5001="Open")+(Data_Insight!$W$2:$W$5001="In-progress")),(IF((Data_Insight!$V$2:$V$5001="High")*(Data_Insight!$W$2:$W$5001="Open"),1,IF((Data_Insight!$V$2:$V$5001="High")*(Data_Insight!$W$2:$W$5001="In-progress"),2,IF((Data_Insight!$V$2:$V$5001="Moderate")*(Data_Insight!$W$2:$W$5001="Open"),3,IF((Data_Insight!$V$2:$V$5001="Moderate")*(Data_Insight!$W$2:$W$5001="In-progress"),4,IF((Data_Insight!$V$2:$V$5001="Low")*(Data_Insight!$W$2:$W$5001="Open"),5,IF((Data_Insight!$V$2:$V$5001="Low")*(Data_Insight!$W$2:$W$5001="In-progress"),6,9999)))))))*100000+ROW(Data_Insight!$V$2:$V$5001)),6),"")</f>
        <v>200027</v>
      </c>
      <c r="AJ255" s="17" t="str">
        <f aca="false">IF(Data_Summary!Y256&lt;&gt;"Coverage","",IF(Data_Summary!AA256="","",IF(COUNTIFS(Data_Summary!$Y$2:$Y256,"Coverage",Data_Summary!$AA$2:$AA256,Data_Summary!AA256)=1,Data_Summary!AA256,"")))</f>
        <v/>
      </c>
      <c r="AK255" s="17" t="str">
        <f aca="false">IF(AJ255="","",COUNTIFS(Data_Summary!$Y$2:$Y$20001,"Coverage",Data_Summary!$AA$2:$AA$20001,AJ255))</f>
        <v/>
      </c>
    </row>
    <row r="256" customFormat="false" ht="34.5" hidden="false" customHeight="true" outlineLevel="0" collapsed="false">
      <c r="J256" s="54" t="n">
        <f aca="false" t="array" ref="J256:J256">IFERROR(SMALL(IF(((Data_Insight!$W$2:$W$5001="Open")+(Data_Insight!$W$2:$W$5001="In-progress")),(IF((Data_Insight!$V$2:$V$5001="High")*(Data_Insight!$W$2:$W$5001="Open"),1,IF((Data_Insight!$V$2:$V$5001="High")*(Data_Insight!$W$2:$W$5001="In-progress"),2,IF((Data_Insight!$V$2:$V$5001="Moderate")*(Data_Insight!$W$2:$W$5001="Open"),3,IF((Data_Insight!$V$2:$V$5001="Moderate")*(Data_Insight!$W$2:$W$5001="In-progress"),4,IF((Data_Insight!$V$2:$V$5001="Low")*(Data_Insight!$W$2:$W$5001="Open"),5,IF((Data_Insight!$V$2:$V$5001="Low")*(Data_Insight!$W$2:$W$5001="In-progress"),6,9999)))))))*100000+ROW(Data_Insight!$V$2:$V$5001)),7),"")</f>
        <v>200068</v>
      </c>
      <c r="AJ256" s="17" t="str">
        <f aca="false">IF(Data_Summary!Y257&lt;&gt;"Coverage","",IF(Data_Summary!AA257="","",IF(COUNTIFS(Data_Summary!$Y$2:$Y257,"Coverage",Data_Summary!$AA$2:$AA257,Data_Summary!AA257)=1,Data_Summary!AA257,"")))</f>
        <v/>
      </c>
      <c r="AK256" s="17" t="str">
        <f aca="false">IF(AJ256="","",COUNTIFS(Data_Summary!$Y$2:$Y$20001,"Coverage",Data_Summary!$AA$2:$AA$20001,AJ256))</f>
        <v/>
      </c>
    </row>
    <row r="257" customFormat="false" ht="34.5" hidden="false" customHeight="true" outlineLevel="0" collapsed="false">
      <c r="J257" s="54" t="n">
        <f aca="false" t="array" ref="J257:J257">IFERROR(SMALL(IF(((Data_Insight!$W$2:$W$5001="Open")+(Data_Insight!$W$2:$W$5001="In-progress")),(IF((Data_Insight!$V$2:$V$5001="High")*(Data_Insight!$W$2:$W$5001="Open"),1,IF((Data_Insight!$V$2:$V$5001="High")*(Data_Insight!$W$2:$W$5001="In-progress"),2,IF((Data_Insight!$V$2:$V$5001="Moderate")*(Data_Insight!$W$2:$W$5001="Open"),3,IF((Data_Insight!$V$2:$V$5001="Moderate")*(Data_Insight!$W$2:$W$5001="In-progress"),4,IF((Data_Insight!$V$2:$V$5001="Low")*(Data_Insight!$W$2:$W$5001="Open"),5,IF((Data_Insight!$V$2:$V$5001="Low")*(Data_Insight!$W$2:$W$5001="In-progress"),6,9999)))))))*100000+ROW(Data_Insight!$V$2:$V$5001)),8),"")</f>
        <v>200113</v>
      </c>
      <c r="AJ257" s="17" t="str">
        <f aca="false">IF(Data_Summary!Y258&lt;&gt;"Coverage","",IF(Data_Summary!AA258="","",IF(COUNTIFS(Data_Summary!$Y$2:$Y258,"Coverage",Data_Summary!$AA$2:$AA258,Data_Summary!AA258)=1,Data_Summary!AA258,"")))</f>
        <v/>
      </c>
      <c r="AK257" s="17" t="str">
        <f aca="false">IF(AJ257="","",COUNTIFS(Data_Summary!$Y$2:$Y$20001,"Coverage",Data_Summary!$AA$2:$AA$20001,AJ257))</f>
        <v/>
      </c>
    </row>
    <row r="258" customFormat="false" ht="34.5" hidden="false" customHeight="true" outlineLevel="0" collapsed="false">
      <c r="J258" s="54" t="n">
        <f aca="false" t="array" ref="J258:J258">IFERROR(SMALL(IF(((Data_Insight!$W$2:$W$5001="Open")+(Data_Insight!$W$2:$W$5001="In-progress")),(IF((Data_Insight!$V$2:$V$5001="High")*(Data_Insight!$W$2:$W$5001="Open"),1,IF((Data_Insight!$V$2:$V$5001="High")*(Data_Insight!$W$2:$W$5001="In-progress"),2,IF((Data_Insight!$V$2:$V$5001="Moderate")*(Data_Insight!$W$2:$W$5001="Open"),3,IF((Data_Insight!$V$2:$V$5001="Moderate")*(Data_Insight!$W$2:$W$5001="In-progress"),4,IF((Data_Insight!$V$2:$V$5001="Low")*(Data_Insight!$W$2:$W$5001="Open"),5,IF((Data_Insight!$V$2:$V$5001="Low")*(Data_Insight!$W$2:$W$5001="In-progress"),6,9999)))))))*100000+ROW(Data_Insight!$V$2:$V$5001)),9),"")</f>
        <v>200151</v>
      </c>
      <c r="AJ258" s="17" t="str">
        <f aca="false">IF(Data_Summary!Y259&lt;&gt;"Coverage","",IF(Data_Summary!AA259="","",IF(COUNTIFS(Data_Summary!$Y$2:$Y259,"Coverage",Data_Summary!$AA$2:$AA259,Data_Summary!AA259)=1,Data_Summary!AA259,"")))</f>
        <v/>
      </c>
      <c r="AK258" s="17" t="str">
        <f aca="false">IF(AJ258="","",COUNTIFS(Data_Summary!$Y$2:$Y$20001,"Coverage",Data_Summary!$AA$2:$AA$20001,AJ258))</f>
        <v/>
      </c>
    </row>
    <row r="259" customFormat="false" ht="34.5" hidden="false" customHeight="true" outlineLevel="0" collapsed="false">
      <c r="J259" s="54" t="n">
        <f aca="false" t="array" ref="J259:J259">IFERROR(SMALL(IF(((Data_Insight!$W$2:$W$5001="Open")+(Data_Insight!$W$2:$W$5001="In-progress")),(IF((Data_Insight!$V$2:$V$5001="High")*(Data_Insight!$W$2:$W$5001="Open"),1,IF((Data_Insight!$V$2:$V$5001="High")*(Data_Insight!$W$2:$W$5001="In-progress"),2,IF((Data_Insight!$V$2:$V$5001="Moderate")*(Data_Insight!$W$2:$W$5001="Open"),3,IF((Data_Insight!$V$2:$V$5001="Moderate")*(Data_Insight!$W$2:$W$5001="In-progress"),4,IF((Data_Insight!$V$2:$V$5001="Low")*(Data_Insight!$W$2:$W$5001="Open"),5,IF((Data_Insight!$V$2:$V$5001="Low")*(Data_Insight!$W$2:$W$5001="In-progress"),6,9999)))))))*100000+ROW(Data_Insight!$V$2:$V$5001)),10),"")</f>
        <v>200156</v>
      </c>
      <c r="AJ259" s="17" t="str">
        <f aca="false">IF(Data_Summary!Y260&lt;&gt;"Coverage","",IF(Data_Summary!AA260="","",IF(COUNTIFS(Data_Summary!$Y$2:$Y260,"Coverage",Data_Summary!$AA$2:$AA260,Data_Summary!AA260)=1,Data_Summary!AA260,"")))</f>
        <v/>
      </c>
      <c r="AK259" s="17" t="str">
        <f aca="false">IF(AJ259="","",COUNTIFS(Data_Summary!$Y$2:$Y$20001,"Coverage",Data_Summary!$AA$2:$AA$20001,AJ259))</f>
        <v/>
      </c>
    </row>
    <row r="260" customFormat="false" ht="12.75" hidden="false" customHeight="true" outlineLevel="0" collapsed="false">
      <c r="AJ260" s="17" t="str">
        <f aca="false">IF(Data_Summary!Y261&lt;&gt;"Coverage","",IF(Data_Summary!AA261="","",IF(COUNTIFS(Data_Summary!$Y$2:$Y261,"Coverage",Data_Summary!$AA$2:$AA261,Data_Summary!AA261)=1,Data_Summary!AA261,"")))</f>
        <v/>
      </c>
      <c r="AK260" s="17" t="str">
        <f aca="false">IF(AJ260="","",COUNTIFS(Data_Summary!$Y$2:$Y$20001,"Coverage",Data_Summary!$AA$2:$AA$20001,AJ260))</f>
        <v/>
      </c>
    </row>
    <row r="261" customFormat="false" ht="24.75" hidden="false" customHeight="true" outlineLevel="0" collapsed="false">
      <c r="A261" s="55" t="s">
        <v>2061</v>
      </c>
      <c r="B261" s="55"/>
      <c r="C261" s="55"/>
      <c r="D261" s="55"/>
      <c r="E261" s="55"/>
      <c r="AJ261" s="17" t="str">
        <f aca="false">IF(Data_Summary!Y262&lt;&gt;"Coverage","",IF(Data_Summary!AA262="","",IF(COUNTIFS(Data_Summary!$Y$2:$Y262,"Coverage",Data_Summary!$AA$2:$AA262,Data_Summary!AA262)=1,Data_Summary!AA262,"")))</f>
        <v/>
      </c>
      <c r="AK261" s="17" t="str">
        <f aca="false">IF(AJ261="","",COUNTIFS(Data_Summary!$Y$2:$Y$20001,"Coverage",Data_Summary!$AA$2:$AA$20001,AJ261))</f>
        <v/>
      </c>
    </row>
    <row r="262" customFormat="false" ht="12.75" hidden="false" customHeight="true" outlineLevel="0" collapsed="false">
      <c r="AJ262" s="17" t="str">
        <f aca="false">IF(Data_Summary!Y263&lt;&gt;"Coverage","",IF(Data_Summary!AA263="","",IF(COUNTIFS(Data_Summary!$Y$2:$Y263,"Coverage",Data_Summary!$AA$2:$AA263,Data_Summary!AA263)=1,Data_Summary!AA263,"")))</f>
        <v/>
      </c>
      <c r="AK262" s="17" t="str">
        <f aca="false">IF(AJ262="","",COUNTIFS(Data_Summary!$Y$2:$Y$20001,"Coverage",Data_Summary!$AA$2:$AA$20001,AJ262))</f>
        <v/>
      </c>
    </row>
    <row r="263" customFormat="false" ht="15" hidden="false" customHeight="true" outlineLevel="0" collapsed="false">
      <c r="A263" s="56" t="s">
        <v>99</v>
      </c>
      <c r="B263" s="56" t="s">
        <v>167</v>
      </c>
      <c r="C263" s="56" t="s">
        <v>123</v>
      </c>
      <c r="D263" s="56" t="s">
        <v>192</v>
      </c>
      <c r="E263" s="56" t="s">
        <v>2010</v>
      </c>
      <c r="AJ263" s="17" t="str">
        <f aca="false">IF(Data_Summary!Y264&lt;&gt;"Coverage","",IF(Data_Summary!AA264="","",IF(COUNTIFS(Data_Summary!$Y$2:$Y264,"Coverage",Data_Summary!$AA$2:$AA264,Data_Summary!AA264)=1,Data_Summary!AA264,"")))</f>
        <v/>
      </c>
      <c r="AK263" s="17" t="str">
        <f aca="false">IF(AJ263="","",COUNTIFS(Data_Summary!$Y$2:$Y$20001,"Coverage",Data_Summary!$AA$2:$AA$20001,AJ263))</f>
        <v/>
      </c>
    </row>
    <row r="264" customFormat="false" ht="15" hidden="false" customHeight="true" outlineLevel="0" collapsed="false">
      <c r="A264" s="57" t="s">
        <v>139</v>
      </c>
      <c r="B264" s="58" t="n">
        <f aca="false">COUNTIFS(InsightData[Status],A264,InsightData[Severity],"High")</f>
        <v>4</v>
      </c>
      <c r="C264" s="58" t="n">
        <f aca="false">COUNTIFS(InsightData[Status],A264,InsightData[Severity],"Moderate")</f>
        <v>17</v>
      </c>
      <c r="D264" s="58" t="n">
        <f aca="false">COUNTIFS(InsightData[Status],A264,InsightData[Severity],"Low")</f>
        <v>8</v>
      </c>
      <c r="E264" s="58" t="n">
        <f aca="false">SUM(B264:D264)</f>
        <v>29</v>
      </c>
      <c r="AJ264" s="17" t="str">
        <f aca="false">IF(Data_Summary!Y265&lt;&gt;"Coverage","",IF(Data_Summary!AA265="","",IF(COUNTIFS(Data_Summary!$Y$2:$Y265,"Coverage",Data_Summary!$AA$2:$AA265,Data_Summary!AA265)=1,Data_Summary!AA265,"")))</f>
        <v/>
      </c>
      <c r="AK264" s="17" t="str">
        <f aca="false">IF(AJ264="","",COUNTIFS(Data_Summary!$Y$2:$Y$20001,"Coverage",Data_Summary!$AA$2:$AA$20001,AJ264))</f>
        <v/>
      </c>
    </row>
    <row r="265" customFormat="false" ht="15" hidden="false" customHeight="true" outlineLevel="0" collapsed="false">
      <c r="A265" s="59" t="s">
        <v>168</v>
      </c>
      <c r="B265" s="60" t="n">
        <f aca="false">COUNTIFS(InsightData[Status],A265,InsightData[Severity],"High")</f>
        <v>15</v>
      </c>
      <c r="C265" s="60" t="n">
        <f aca="false">COUNTIFS(InsightData[Status],A265,InsightData[Severity],"Moderate")</f>
        <v>23</v>
      </c>
      <c r="D265" s="60" t="n">
        <f aca="false">COUNTIFS(InsightData[Status],A265,InsightData[Severity],"Low")</f>
        <v>19</v>
      </c>
      <c r="E265" s="60" t="n">
        <f aca="false">SUM(B265:D265)</f>
        <v>57</v>
      </c>
      <c r="AJ265" s="17" t="str">
        <f aca="false">IF(Data_Summary!Y266&lt;&gt;"Coverage","",IF(Data_Summary!AA266="","",IF(COUNTIFS(Data_Summary!$Y$2:$Y266,"Coverage",Data_Summary!$AA$2:$AA266,Data_Summary!AA266)=1,Data_Summary!AA266,"")))</f>
        <v/>
      </c>
      <c r="AK265" s="17" t="str">
        <f aca="false">IF(AJ265="","",COUNTIFS(Data_Summary!$Y$2:$Y$20001,"Coverage",Data_Summary!$AA$2:$AA$20001,AJ265))</f>
        <v/>
      </c>
    </row>
    <row r="266" customFormat="false" ht="15" hidden="false" customHeight="true" outlineLevel="0" collapsed="false">
      <c r="A266" s="61" t="s">
        <v>124</v>
      </c>
      <c r="B266" s="58" t="n">
        <f aca="false">COUNTIFS(InsightData[Status],A266,InsightData[Severity],"High")</f>
        <v>44</v>
      </c>
      <c r="C266" s="58" t="n">
        <f aca="false">COUNTIFS(InsightData[Status],A266,InsightData[Severity],"Moderate")</f>
        <v>86</v>
      </c>
      <c r="D266" s="58" t="n">
        <f aca="false">COUNTIFS(InsightData[Status],A266,InsightData[Severity],"Low")</f>
        <v>84</v>
      </c>
      <c r="E266" s="58" t="n">
        <f aca="false">SUM(B266:D266)</f>
        <v>214</v>
      </c>
      <c r="AJ266" s="17" t="str">
        <f aca="false">IF(Data_Summary!Y267&lt;&gt;"Coverage","",IF(Data_Summary!AA267="","",IF(COUNTIFS(Data_Summary!$Y$2:$Y267,"Coverage",Data_Summary!$AA$2:$AA267,Data_Summary!AA267)=1,Data_Summary!AA267,"")))</f>
        <v/>
      </c>
      <c r="AK266" s="17" t="str">
        <f aca="false">IF(AJ266="","",COUNTIFS(Data_Summary!$Y$2:$Y$20001,"Coverage",Data_Summary!$AA$2:$AA$20001,AJ266))</f>
        <v/>
      </c>
    </row>
    <row r="267" customFormat="false" ht="12.75" hidden="false" customHeight="true" outlineLevel="0" collapsed="false">
      <c r="AJ267" s="17" t="str">
        <f aca="false">IF(Data_Summary!Y268&lt;&gt;"Coverage","",IF(Data_Summary!AA268="","",IF(COUNTIFS(Data_Summary!$Y$2:$Y268,"Coverage",Data_Summary!$AA$2:$AA268,Data_Summary!AA268)=1,Data_Summary!AA268,"")))</f>
        <v/>
      </c>
      <c r="AK267" s="17" t="str">
        <f aca="false">IF(AJ267="","",COUNTIFS(Data_Summary!$Y$2:$Y$20001,"Coverage",Data_Summary!$AA$2:$AA$20001,AJ267))</f>
        <v/>
      </c>
    </row>
    <row r="268" customFormat="false" ht="12.75" hidden="false" customHeight="true" outlineLevel="0" collapsed="false">
      <c r="A268" s="62" t="s">
        <v>2062</v>
      </c>
      <c r="B268" s="62"/>
      <c r="C268" s="62"/>
      <c r="D268" s="62"/>
      <c r="E268" s="62"/>
      <c r="F268" s="62"/>
      <c r="G268" s="62"/>
      <c r="H268" s="62"/>
      <c r="AJ268" s="17" t="str">
        <f aca="false">IF(Data_Summary!Y269&lt;&gt;"Coverage","",IF(Data_Summary!AA269="","",IF(COUNTIFS(Data_Summary!$Y$2:$Y269,"Coverage",Data_Summary!$AA$2:$AA269,Data_Summary!AA269)=1,Data_Summary!AA269,"")))</f>
        <v/>
      </c>
      <c r="AK268" s="17" t="str">
        <f aca="false">IF(AJ268="","",COUNTIFS(Data_Summary!$Y$2:$Y$20001,"Coverage",Data_Summary!$AA$2:$AA$20001,AJ268))</f>
        <v/>
      </c>
    </row>
    <row r="269" customFormat="false" ht="12.75" hidden="false" customHeight="true" outlineLevel="0" collapsed="false">
      <c r="A269" s="63"/>
      <c r="B269" s="63"/>
      <c r="C269" s="63"/>
      <c r="D269" s="63"/>
      <c r="E269" s="63"/>
      <c r="F269" s="63"/>
      <c r="G269" s="63"/>
      <c r="H269" s="63"/>
      <c r="AJ269" s="17" t="str">
        <f aca="false">IF(Data_Summary!Y270&lt;&gt;"Coverage","",IF(Data_Summary!AA270="","",IF(COUNTIFS(Data_Summary!$Y$2:$Y270,"Coverage",Data_Summary!$AA$2:$AA270,Data_Summary!AA270)=1,Data_Summary!AA270,"")))</f>
        <v/>
      </c>
      <c r="AK269" s="17" t="str">
        <f aca="false">IF(AJ269="","",COUNTIFS(Data_Summary!$Y$2:$Y$20001,"Coverage",Data_Summary!$AA$2:$AA$20001,AJ269))</f>
        <v/>
      </c>
    </row>
    <row r="270" customFormat="false" ht="12.75" hidden="false" customHeight="true" outlineLevel="0" collapsed="false">
      <c r="A270" s="64" t="s">
        <v>2063</v>
      </c>
      <c r="B270" s="64" t="s">
        <v>0</v>
      </c>
      <c r="C270" s="64" t="s">
        <v>5</v>
      </c>
      <c r="D270" s="64" t="s">
        <v>14</v>
      </c>
      <c r="E270" s="64" t="s">
        <v>2064</v>
      </c>
      <c r="F270" s="64" t="s">
        <v>98</v>
      </c>
      <c r="G270" s="64" t="s">
        <v>99</v>
      </c>
      <c r="H270" s="64" t="s">
        <v>2065</v>
      </c>
      <c r="AJ270" s="17" t="str">
        <f aca="false">IF(Data_Summary!Y271&lt;&gt;"Coverage","",IF(Data_Summary!AA271="","",IF(COUNTIFS(Data_Summary!$Y$2:$Y271,"Coverage",Data_Summary!$AA$2:$AA271,Data_Summary!AA271)=1,Data_Summary!AA271,"")))</f>
        <v/>
      </c>
      <c r="AK270" s="17" t="str">
        <f aca="false">IF(AJ270="","",COUNTIFS(Data_Summary!$Y$2:$Y$20001,"Coverage",Data_Summary!$AA$2:$AA$20001,AJ270))</f>
        <v/>
      </c>
    </row>
    <row r="271" customFormat="false" ht="12.75" hidden="false" customHeight="true" outlineLevel="0" collapsed="false">
      <c r="A271" s="65" t="n">
        <f aca="false">IF(J250="","",1)</f>
        <v>1</v>
      </c>
      <c r="B271" s="66" t="n">
        <f aca="false">IFERROR(IF(J250="","",INDEX(Data_Insight!$A:$A,MOD(J250,100000))),"—")</f>
        <v>25</v>
      </c>
      <c r="C271" s="67" t="str">
        <f aca="false">IFERROR(IF(J250="","",INDEX(Data_Insight!$F:$F,MOD(J250,100000))),"—")</f>
        <v>Aadi Naik</v>
      </c>
      <c r="D271" s="67" t="str">
        <f aca="false">IFERROR(IF(J250="","",INDEX(Data_Insight!$I:$I,MOD(J250,100000))),"—")</f>
        <v>DIG Vertical</v>
      </c>
      <c r="E271" s="67" t="str">
        <f aca="false">IFERROR(IF(J250="","",INDEX(Data_Insight!$X:$X,MOD(J250,100000))),"—")</f>
        <v>New Joiner Connect (90 Days)</v>
      </c>
      <c r="F271" s="68" t="str">
        <f aca="false">IFERROR(IF(J250="","",INDEX(Data_Insight!$V:$V,MOD(J250,100000))),"—")</f>
        <v>High</v>
      </c>
      <c r="G271" s="69" t="str">
        <f aca="false">IFERROR(IF(J250="","",INDEX(Data_Insight!$W:$W,MOD(J250,100000))),"—")</f>
        <v>Open</v>
      </c>
      <c r="H271" s="17" t="str">
        <f aca="false">IF(J250="","—",IFERROR(IF(INDEX(Data_Insight!$U:$U,MOD(J250,100000))="",IF(INDEX(Data_Insight!$AG:$AG,MOD(J250,100000))="","—",INDEX(Data_Insight!$AG:$AG,MOD(J250,100000))),INDEX(Data_Insight!$U:$U,MOD(J250,100000))),"—"))</f>
        <v>aNA</v>
      </c>
      <c r="AJ271" s="17" t="str">
        <f aca="false">IF(Data_Summary!Y272&lt;&gt;"Coverage","",IF(Data_Summary!AA272="","",IF(COUNTIFS(Data_Summary!$Y$2:$Y272,"Coverage",Data_Summary!$AA$2:$AA272,Data_Summary!AA272)=1,Data_Summary!AA272,"")))</f>
        <v/>
      </c>
      <c r="AK271" s="17" t="str">
        <f aca="false">IF(AJ271="","",COUNTIFS(Data_Summary!$Y$2:$Y$20001,"Coverage",Data_Summary!$AA$2:$AA$20001,AJ271))</f>
        <v/>
      </c>
    </row>
    <row r="272" customFormat="false" ht="12.75" hidden="false" customHeight="true" outlineLevel="0" collapsed="false">
      <c r="A272" s="70" t="n">
        <f aca="false">IF(J251="","",2)</f>
        <v>2</v>
      </c>
      <c r="B272" s="71" t="n">
        <f aca="false">IFERROR(IF(J251="","",INDEX(Data_Insight!$A:$A,MOD(J251,100000))),"—")</f>
        <v>63</v>
      </c>
      <c r="C272" s="72" t="str">
        <f aca="false">IFERROR(IF(J251="","",INDEX(Data_Insight!$F:$F,MOD(J251,100000))),"—")</f>
        <v>Chaitanya Aggarwal</v>
      </c>
      <c r="D272" s="72" t="str">
        <f aca="false">IFERROR(IF(J251="","",INDEX(Data_Insight!$I:$I,MOD(J251,100000))),"—")</f>
        <v>Network Services Service Line</v>
      </c>
      <c r="E272" s="72" t="str">
        <f aca="false">IFERROR(IF(J251="","",INDEX(Data_Insight!$X:$X,MOD(J251,100000))),"—")</f>
        <v>SL Induction</v>
      </c>
      <c r="F272" s="73" t="str">
        <f aca="false">IFERROR(IF(J251="","",INDEX(Data_Insight!$V:$V,MOD(J251,100000))),"—")</f>
        <v>High</v>
      </c>
      <c r="G272" s="74" t="str">
        <f aca="false">IFERROR(IF(J251="","",INDEX(Data_Insight!$W:$W,MOD(J251,100000))),"—")</f>
        <v>Open</v>
      </c>
      <c r="H272" s="72" t="str">
        <f aca="false">IF(J251="","—",IFERROR(IF(INDEX(Data_Insight!$U:$U,MOD(J251,100000))="",IF(INDEX(Data_Insight!$AG:$AG,MOD(J251,100000))="","—",INDEX(Data_Insight!$AG:$AG,MOD(J251,100000))),INDEX(Data_Insight!$U:$U,MOD(J251,100000))),"—"))</f>
        <v>NA</v>
      </c>
      <c r="AJ272" s="17" t="str">
        <f aca="false">IF(Data_Summary!Y273&lt;&gt;"Coverage","",IF(Data_Summary!AA273="","",IF(COUNTIFS(Data_Summary!$Y$2:$Y273,"Coverage",Data_Summary!$AA$2:$AA273,Data_Summary!AA273)=1,Data_Summary!AA273,"")))</f>
        <v/>
      </c>
      <c r="AK272" s="17" t="str">
        <f aca="false">IF(AJ272="","",COUNTIFS(Data_Summary!$Y$2:$Y$20001,"Coverage",Data_Summary!$AA$2:$AA$20001,AJ272))</f>
        <v/>
      </c>
    </row>
    <row r="273" customFormat="false" ht="25.5" hidden="false" customHeight="true" outlineLevel="0" collapsed="false">
      <c r="A273" s="65" t="n">
        <f aca="false">IF(J252="","",3)</f>
        <v>3</v>
      </c>
      <c r="B273" s="66" t="n">
        <f aca="false">IFERROR(IF(J252="","",INDEX(Data_Insight!$A:$A,MOD(J252,100000))),"—")</f>
        <v>166</v>
      </c>
      <c r="C273" s="67" t="str">
        <f aca="false">IFERROR(IF(J252="","",INDEX(Data_Insight!$F:$F,MOD(J252,100000))),"—")</f>
        <v>Harini Tripathi</v>
      </c>
      <c r="D273" s="67" t="str">
        <f aca="false">IFERROR(IF(J252="","",INDEX(Data_Insight!$I:$I,MOD(J252,100000))),"—")</f>
        <v>DEA Service Line</v>
      </c>
      <c r="E273" s="67" t="str">
        <f aca="false">IFERROR(IF(J252="","",INDEX(Data_Insight!$X:$X,MOD(J252,100000))),"—")</f>
        <v>Women Associate Connect</v>
      </c>
      <c r="F273" s="68" t="str">
        <f aca="false">IFERROR(IF(J252="","",INDEX(Data_Insight!$V:$V,MOD(J252,100000))),"—")</f>
        <v>High</v>
      </c>
      <c r="G273" s="69" t="str">
        <f aca="false">IFERROR(IF(J252="","",INDEX(Data_Insight!$W:$W,MOD(J252,100000))),"—")</f>
        <v>Open</v>
      </c>
      <c r="H273" s="67" t="str">
        <f aca="false">IF(J252="","—",IFERROR(IF(INDEX(Data_Insight!$U:$U,MOD(J252,100000))="",IF(INDEX(Data_Insight!$AG:$AG,MOD(J252,100000))="","—",INDEX(Data_Insight!$AG:$AG,MOD(J252,100000))),INDEX(Data_Insight!$U:$U,MOD(J252,100000))),"—"))</f>
        <v>NA</v>
      </c>
      <c r="AJ273" s="17" t="str">
        <f aca="false">IF(Data_Summary!Y274&lt;&gt;"Coverage","",IF(Data_Summary!AA274="","",IF(COUNTIFS(Data_Summary!$Y$2:$Y274,"Coverage",Data_Summary!$AA$2:$AA274,Data_Summary!AA274)=1,Data_Summary!AA274,"")))</f>
        <v/>
      </c>
      <c r="AK273" s="17" t="str">
        <f aca="false">IF(AJ273="","",COUNTIFS(Data_Summary!$Y$2:$Y$20001,"Coverage",Data_Summary!$AA$2:$AA$20001,AJ273))</f>
        <v/>
      </c>
    </row>
    <row r="274" customFormat="false" ht="63.75" hidden="false" customHeight="true" outlineLevel="0" collapsed="false">
      <c r="A274" s="70" t="n">
        <f aca="false">IF(J253="","",4)</f>
        <v>4</v>
      </c>
      <c r="B274" s="71" t="n">
        <f aca="false">IFERROR(IF(J253="","",INDEX(Data_Insight!$A:$A,MOD(J253,100000))),"—")</f>
        <v>253</v>
      </c>
      <c r="C274" s="72" t="str">
        <f aca="false">IFERROR(IF(J253="","",INDEX(Data_Insight!$F:$F,MOD(J253,100000))),"—")</f>
        <v>Anvi Bhalla</v>
      </c>
      <c r="D274" s="72" t="str">
        <f aca="false">IFERROR(IF(J253="","",INDEX(Data_Insight!$I:$I,MOD(J253,100000))),"—")</f>
        <v>DEA Service Line</v>
      </c>
      <c r="E274" s="72" t="str">
        <f aca="false">IFERROR(IF(J253="","",INDEX(Data_Insight!$X:$X,MOD(J253,100000))),"—")</f>
        <v>ML Returnee Connect</v>
      </c>
      <c r="F274" s="73" t="str">
        <f aca="false">IFERROR(IF(J253="","",INDEX(Data_Insight!$V:$V,MOD(J253,100000))),"—")</f>
        <v>High</v>
      </c>
      <c r="G274" s="74" t="str">
        <f aca="false">IFERROR(IF(J253="","",INDEX(Data_Insight!$W:$W,MOD(J253,100000))),"—")</f>
        <v>Open</v>
      </c>
      <c r="H274" s="72" t="str">
        <f aca="false">IF(J253="","—",IFERROR(IF(INDEX(Data_Insight!$U:$U,MOD(J253,100000))="",IF(INDEX(Data_Insight!$AG:$AG,MOD(J253,100000))="","—",INDEX(Data_Insight!$AG:$AG,MOD(J253,100000))),INDEX(Data_Insight!$U:$U,MOD(J253,100000))),"—"))</f>
        <v>NA</v>
      </c>
      <c r="AJ274" s="17" t="str">
        <f aca="false">IF(Data_Summary!Y275&lt;&gt;"Coverage","",IF(Data_Summary!AA275="","",IF(COUNTIFS(Data_Summary!$Y$2:$Y275,"Coverage",Data_Summary!$AA$2:$AA275,Data_Summary!AA275)=1,Data_Summary!AA275,"")))</f>
        <v/>
      </c>
      <c r="AK274" s="17" t="str">
        <f aca="false">IF(AJ274="","",COUNTIFS(Data_Summary!$Y$2:$Y$20001,"Coverage",Data_Summary!$AA$2:$AA$20001,AJ274))</f>
        <v/>
      </c>
    </row>
    <row r="275" customFormat="false" ht="38.25" hidden="false" customHeight="true" outlineLevel="0" collapsed="false">
      <c r="A275" s="65" t="n">
        <f aca="false">IF(J254="","",5)</f>
        <v>5</v>
      </c>
      <c r="B275" s="66" t="n">
        <f aca="false">IFERROR(IF(J254="","",INDEX(Data_Insight!$A:$A,MOD(J254,100000))),"—")</f>
        <v>4</v>
      </c>
      <c r="C275" s="67" t="str">
        <f aca="false">IFERROR(IF(J254="","",INDEX(Data_Insight!$F:$F,MOD(J254,100000))),"—")</f>
        <v>Abeer Dutta</v>
      </c>
      <c r="D275" s="67" t="str">
        <f aca="false">IFERROR(IF(J254="","",INDEX(Data_Insight!$I:$I,MOD(J254,100000))),"—")</f>
        <v>DEA Service Line</v>
      </c>
      <c r="E275" s="67" t="str">
        <f aca="false">IFERROR(IF(J254="","",INDEX(Data_Insight!$X:$X,MOD(J254,100000))),"—")</f>
        <v>ML Returnee Connect</v>
      </c>
      <c r="F275" s="68" t="str">
        <f aca="false">IFERROR(IF(J254="","",INDEX(Data_Insight!$V:$V,MOD(J254,100000))),"—")</f>
        <v>High</v>
      </c>
      <c r="G275" s="69" t="str">
        <f aca="false">IFERROR(IF(J254="","",INDEX(Data_Insight!$W:$W,MOD(J254,100000))),"—")</f>
        <v>In-progress</v>
      </c>
      <c r="H275" s="67" t="str">
        <f aca="false">IF(J254="","—",IFERROR(IF(INDEX(Data_Insight!$U:$U,MOD(J254,100000))="",IF(INDEX(Data_Insight!$AG:$AG,MOD(J254,100000))="","—",INDEX(Data_Insight!$AG:$AG,MOD(J254,100000))),INDEX(Data_Insight!$U:$U,MOD(J254,100000))),"—"))</f>
        <v>No response on IJP applied on Rapid</v>
      </c>
      <c r="AJ275" s="17" t="str">
        <f aca="false">IF(Data_Summary!Y276&lt;&gt;"Coverage","",IF(Data_Summary!AA276="","",IF(COUNTIFS(Data_Summary!$Y$2:$Y276,"Coverage",Data_Summary!$AA$2:$AA276,Data_Summary!AA276)=1,Data_Summary!AA276,"")))</f>
        <v/>
      </c>
      <c r="AK275" s="17" t="str">
        <f aca="false">IF(AJ275="","",COUNTIFS(Data_Summary!$Y$2:$Y$20001,"Coverage",Data_Summary!$AA$2:$AA$20001,AJ275))</f>
        <v/>
      </c>
    </row>
    <row r="276" customFormat="false" ht="25.5" hidden="false" customHeight="true" outlineLevel="0" collapsed="false">
      <c r="A276" s="70" t="n">
        <f aca="false">IF(J255="","",6)</f>
        <v>6</v>
      </c>
      <c r="B276" s="71" t="n">
        <f aca="false">IFERROR(IF(J255="","",INDEX(Data_Insight!$A:$A,MOD(J255,100000))),"—")</f>
        <v>26</v>
      </c>
      <c r="C276" s="75" t="str">
        <f aca="false">IFERROR(IF(J255="","",INDEX(Data_Insight!$F:$F,MOD(J255,100000))),"—")</f>
        <v>Janani Mohanty</v>
      </c>
      <c r="D276" s="75" t="str">
        <f aca="false">IFERROR(IF(J255="","",INDEX(Data_Insight!$I:$I,MOD(J255,100000))),"—")</f>
        <v>DEA Service Line</v>
      </c>
      <c r="E276" s="75" t="str">
        <f aca="false">IFERROR(IF(J255="","",INDEX(Data_Insight!$X:$X,MOD(J255,100000))),"—")</f>
        <v>Top Talent Connect</v>
      </c>
      <c r="F276" s="73" t="str">
        <f aca="false">IFERROR(IF(J255="","",INDEX(Data_Insight!$V:$V,MOD(J255,100000))),"—")</f>
        <v>High</v>
      </c>
      <c r="G276" s="74" t="str">
        <f aca="false">IFERROR(IF(J255="","",INDEX(Data_Insight!$W:$W,MOD(J255,100000))),"—")</f>
        <v>In-progress</v>
      </c>
      <c r="H276" s="76" t="str">
        <f aca="false">IF(J255="","—",IFERROR(IF(INDEX(Data_Insight!$U:$U,MOD(J255,100000))="",IF(INDEX(Data_Insight!$AG:$AG,MOD(J255,100000))="","—",INDEX(Data_Insight!$AG:$AG,MOD(J255,100000))),INDEX(Data_Insight!$U:$U,MOD(J255,100000))),"—"))</f>
        <v>NA</v>
      </c>
      <c r="AJ276" s="17" t="str">
        <f aca="false">IF(Data_Summary!Y277&lt;&gt;"Coverage","",IF(Data_Summary!AA277="","",IF(COUNTIFS(Data_Summary!$Y$2:$Y277,"Coverage",Data_Summary!$AA$2:$AA277,Data_Summary!AA277)=1,Data_Summary!AA277,"")))</f>
        <v/>
      </c>
      <c r="AK276" s="17" t="str">
        <f aca="false">IF(AJ276="","",COUNTIFS(Data_Summary!$Y$2:$Y$20001,"Coverage",Data_Summary!$AA$2:$AA$20001,AJ276))</f>
        <v/>
      </c>
    </row>
    <row r="277" customFormat="false" ht="12.75" hidden="false" customHeight="true" outlineLevel="0" collapsed="false">
      <c r="A277" s="65" t="n">
        <f aca="false">IF(J256="","",7)</f>
        <v>7</v>
      </c>
      <c r="B277" s="66" t="n">
        <f aca="false">IFERROR(IF(J256="","",INDEX(Data_Insight!$A:$A,MOD(J256,100000))),"—")</f>
        <v>67</v>
      </c>
      <c r="C277" s="76" t="str">
        <f aca="false">IFERROR(IF(J256="","",INDEX(Data_Insight!$F:$F,MOD(J256,100000))),"—")</f>
        <v>Qushi Datta</v>
      </c>
      <c r="D277" s="76" t="str">
        <f aca="false">IFERROR(IF(J256="","",INDEX(Data_Insight!$I:$I,MOD(J256,100000))),"—")</f>
        <v>DEA Service Line</v>
      </c>
      <c r="E277" s="76" t="str">
        <f aca="false">IFERROR(IF(J256="","",INDEX(Data_Insight!$X:$X,MOD(J256,100000))),"—")</f>
        <v>Wellness Session</v>
      </c>
      <c r="F277" s="68" t="str">
        <f aca="false">IFERROR(IF(J256="","",INDEX(Data_Insight!$V:$V,MOD(J256,100000))),"—")</f>
        <v>High</v>
      </c>
      <c r="G277" s="69" t="str">
        <f aca="false">IFERROR(IF(J256="","",INDEX(Data_Insight!$W:$W,MOD(J256,100000))),"—")</f>
        <v>In-progress</v>
      </c>
      <c r="H277" s="76" t="str">
        <f aca="false">IF(J256="","—",IFERROR(IF(INDEX(Data_Insight!$U:$U,MOD(J256,100000))="",IF(INDEX(Data_Insight!$AG:$AG,MOD(J256,100000))="","—",INDEX(Data_Insight!$AG:$AG,MOD(J256,100000))),INDEX(Data_Insight!$U:$U,MOD(J256,100000))),"—"))</f>
        <v>Workshops</v>
      </c>
      <c r="AJ277" s="17" t="str">
        <f aca="false">IF(Data_Summary!Y278&lt;&gt;"Coverage","",IF(Data_Summary!AA278="","",IF(COUNTIFS(Data_Summary!$Y$2:$Y278,"Coverage",Data_Summary!$AA$2:$AA278,Data_Summary!AA278)=1,Data_Summary!AA278,"")))</f>
        <v/>
      </c>
      <c r="AK277" s="17" t="str">
        <f aca="false">IF(AJ277="","",COUNTIFS(Data_Summary!$Y$2:$Y$20001,"Coverage",Data_Summary!$AA$2:$AA$20001,AJ277))</f>
        <v/>
      </c>
    </row>
    <row r="278" customFormat="false" ht="12.75" hidden="false" customHeight="true" outlineLevel="0" collapsed="false">
      <c r="A278" s="70" t="n">
        <f aca="false">IF(J257="","",8)</f>
        <v>8</v>
      </c>
      <c r="B278" s="71" t="n">
        <f aca="false">IFERROR(IF(J257="","",INDEX(Data_Insight!$A:$A,MOD(J257,100000))),"—")</f>
        <v>112</v>
      </c>
      <c r="C278" s="75" t="str">
        <f aca="false">IFERROR(IF(J257="","",INDEX(Data_Insight!$F:$F,MOD(J257,100000))),"—")</f>
        <v>Oliver Contractor</v>
      </c>
      <c r="D278" s="75" t="str">
        <f aca="false">IFERROR(IF(J257="","",INDEX(Data_Insight!$I:$I,MOD(J257,100000))),"—")</f>
        <v>DEA Service Line</v>
      </c>
      <c r="E278" s="75" t="str">
        <f aca="false">IFERROR(IF(J257="","",INDEX(Data_Insight!$X:$X,MOD(J257,100000))),"—")</f>
        <v>HR Connect (Project Wise)</v>
      </c>
      <c r="F278" s="73" t="str">
        <f aca="false">IFERROR(IF(J257="","",INDEX(Data_Insight!$V:$V,MOD(J257,100000))),"—")</f>
        <v>High</v>
      </c>
      <c r="G278" s="74" t="str">
        <f aca="false">IFERROR(IF(J257="","",INDEX(Data_Insight!$W:$W,MOD(J257,100000))),"—")</f>
        <v>In-progress</v>
      </c>
      <c r="H278" s="75" t="str">
        <f aca="false">IF(J257="","—",IFERROR(IF(INDEX(Data_Insight!$U:$U,MOD(J257,100000))="",IF(INDEX(Data_Insight!$AG:$AG,MOD(J257,100000))="","—",INDEX(Data_Insight!$AG:$AG,MOD(J257,100000))),INDEX(Data_Insight!$U:$U,MOD(J257,100000))),"—"))</f>
        <v>Leave encashment, Gratuity,Exit guidelines</v>
      </c>
      <c r="AJ278" s="17" t="str">
        <f aca="false">IF(Data_Summary!Y279&lt;&gt;"Coverage","",IF(Data_Summary!AA279="","",IF(COUNTIFS(Data_Summary!$Y$2:$Y279,"Coverage",Data_Summary!$AA$2:$AA279,Data_Summary!AA279)=1,Data_Summary!AA279,"")))</f>
        <v/>
      </c>
      <c r="AK278" s="17" t="str">
        <f aca="false">IF(AJ278="","",COUNTIFS(Data_Summary!$Y$2:$Y$20001,"Coverage",Data_Summary!$AA$2:$AA$20001,AJ278))</f>
        <v/>
      </c>
    </row>
    <row r="279" customFormat="false" ht="25.5" hidden="false" customHeight="true" outlineLevel="0" collapsed="false">
      <c r="A279" s="65" t="n">
        <f aca="false">IF(J258="","",9)</f>
        <v>9</v>
      </c>
      <c r="B279" s="66" t="n">
        <f aca="false">IFERROR(IF(J258="","",INDEX(Data_Insight!$A:$A,MOD(J258,100000))),"—")</f>
        <v>150</v>
      </c>
      <c r="C279" s="76" t="str">
        <f aca="false">IFERROR(IF(J258="","",INDEX(Data_Insight!$F:$F,MOD(J258,100000))),"—")</f>
        <v>Ekantika Krishna</v>
      </c>
      <c r="D279" s="76" t="str">
        <f aca="false">IFERROR(IF(J258="","",INDEX(Data_Insight!$I:$I,MOD(J258,100000))),"—")</f>
        <v>DEA Service Line</v>
      </c>
      <c r="E279" s="76" t="str">
        <f aca="false">IFERROR(IF(J258="","",INDEX(Data_Insight!$X:$X,MOD(J258,100000))),"—")</f>
        <v>HR Connect (General)</v>
      </c>
      <c r="F279" s="68" t="str">
        <f aca="false">IFERROR(IF(J258="","",INDEX(Data_Insight!$V:$V,MOD(J258,100000))),"—")</f>
        <v>High</v>
      </c>
      <c r="G279" s="69" t="str">
        <f aca="false">IFERROR(IF(J258="","",INDEX(Data_Insight!$W:$W,MOD(J258,100000))),"—")</f>
        <v>In-progress</v>
      </c>
      <c r="H279" s="76" t="str">
        <f aca="false">IF(J258="","—",IFERROR(IF(INDEX(Data_Insight!$U:$U,MOD(J258,100000))="",IF(INDEX(Data_Insight!$AG:$AG,MOD(J258,100000))="","—",INDEX(Data_Insight!$AG:$AG,MOD(J258,100000))),INDEX(Data_Insight!$U:$U,MOD(J258,100000))),"—"))</f>
        <v>NA</v>
      </c>
      <c r="AJ279" s="17" t="str">
        <f aca="false">IF(Data_Summary!Y280&lt;&gt;"Coverage","",IF(Data_Summary!AA280="","",IF(COUNTIFS(Data_Summary!$Y$2:$Y280,"Coverage",Data_Summary!$AA$2:$AA280,Data_Summary!AA280)=1,Data_Summary!AA280,"")))</f>
        <v/>
      </c>
      <c r="AK279" s="17" t="str">
        <f aca="false">IF(AJ279="","",COUNTIFS(Data_Summary!$Y$2:$Y$20001,"Coverage",Data_Summary!$AA$2:$AA$20001,AJ279))</f>
        <v/>
      </c>
    </row>
    <row r="280" customFormat="false" ht="57" hidden="false" customHeight="true" outlineLevel="0" collapsed="false">
      <c r="A280" s="70" t="n">
        <f aca="false">IF(J259="","",10)</f>
        <v>10</v>
      </c>
      <c r="B280" s="71" t="n">
        <f aca="false">IFERROR(IF(J259="","",INDEX(Data_Insight!$A:$A,MOD(J259,100000))),"—")</f>
        <v>155</v>
      </c>
      <c r="C280" s="75" t="str">
        <f aca="false">IFERROR(IF(J259="","",INDEX(Data_Insight!$F:$F,MOD(J259,100000))),"—")</f>
        <v>Bhavya Rattan</v>
      </c>
      <c r="D280" s="75" t="str">
        <f aca="false">IFERROR(IF(J259="","",INDEX(Data_Insight!$I:$I,MOD(J259,100000))),"—")</f>
        <v>DEA Service Line</v>
      </c>
      <c r="E280" s="75" t="str">
        <f aca="false">IFERROR(IF(J259="","",INDEX(Data_Insight!$X:$X,MOD(J259,100000))),"—")</f>
        <v>Cadence Connect</v>
      </c>
      <c r="F280" s="73" t="str">
        <f aca="false">IFERROR(IF(J259="","",INDEX(Data_Insight!$V:$V,MOD(J259,100000))),"—")</f>
        <v>High</v>
      </c>
      <c r="G280" s="74" t="str">
        <f aca="false">IFERROR(IF(J259="","",INDEX(Data_Insight!$W:$W,MOD(J259,100000))),"—")</f>
        <v>In-progress</v>
      </c>
      <c r="H280" s="75" t="str">
        <f aca="false">IF(J259="","—",IFERROR(IF(INDEX(Data_Insight!$U:$U,MOD(J259,100000))="",IF(INDEX(Data_Insight!$AG:$AG,MOD(J259,100000))="","—",INDEX(Data_Insight!$AG:$AG,MOD(J259,100000))),INDEX(Data_Insight!$U:$U,MOD(J259,100000))),"—"))</f>
        <v>the associates had queries related to timesheet which was cleared during the call</v>
      </c>
      <c r="AJ280" s="17" t="str">
        <f aca="false">IF(Data_Summary!Y281&lt;&gt;"Coverage","",IF(Data_Summary!AA281="","",IF(COUNTIFS(Data_Summary!$Y$2:$Y281,"Coverage",Data_Summary!$AA$2:$AA281,Data_Summary!AA281)=1,Data_Summary!AA281,"")))</f>
        <v/>
      </c>
      <c r="AK280" s="17" t="str">
        <f aca="false">IF(AJ280="","",COUNTIFS(Data_Summary!$Y$2:$Y$20001,"Coverage",Data_Summary!$AA$2:$AA$20001,AJ280))</f>
        <v/>
      </c>
    </row>
    <row r="281" customFormat="false" ht="12.75" hidden="false" customHeight="true" outlineLevel="0" collapsed="false">
      <c r="AJ281" s="17" t="str">
        <f aca="false">IF(Data_Summary!Y282&lt;&gt;"Coverage","",IF(Data_Summary!AA282="","",IF(COUNTIFS(Data_Summary!$Y$2:$Y282,"Coverage",Data_Summary!$AA$2:$AA282,Data_Summary!AA282)=1,Data_Summary!AA282,"")))</f>
        <v/>
      </c>
      <c r="AK281" s="17" t="str">
        <f aca="false">IF(AJ281="","",COUNTIFS(Data_Summary!$Y$2:$Y$20001,"Coverage",Data_Summary!$AA$2:$AA$20001,AJ281))</f>
        <v/>
      </c>
    </row>
    <row r="282" customFormat="false" ht="12.75" hidden="false" customHeight="true" outlineLevel="0" collapsed="false">
      <c r="AJ282" s="17" t="str">
        <f aca="false">IF(Data_Summary!Y283&lt;&gt;"Coverage","",IF(Data_Summary!AA283="","",IF(COUNTIFS(Data_Summary!$Y$2:$Y283,"Coverage",Data_Summary!$AA$2:$AA283,Data_Summary!AA283)=1,Data_Summary!AA283,"")))</f>
        <v/>
      </c>
      <c r="AK282" s="17" t="str">
        <f aca="false">IF(AJ282="","",COUNTIFS(Data_Summary!$Y$2:$Y$20001,"Coverage",Data_Summary!$AA$2:$AA$20001,AJ282))</f>
        <v/>
      </c>
    </row>
    <row r="283" customFormat="false" ht="12.75" hidden="false" customHeight="true" outlineLevel="0" collapsed="false">
      <c r="AJ283" s="17" t="str">
        <f aca="false">IF(Data_Summary!Y284&lt;&gt;"Coverage","",IF(Data_Summary!AA284="","",IF(COUNTIFS(Data_Summary!$Y$2:$Y284,"Coverage",Data_Summary!$AA$2:$AA284,Data_Summary!AA284)=1,Data_Summary!AA284,"")))</f>
        <v/>
      </c>
      <c r="AK283" s="17" t="str">
        <f aca="false">IF(AJ283="","",COUNTIFS(Data_Summary!$Y$2:$Y$20001,"Coverage",Data_Summary!$AA$2:$AA$20001,AJ283))</f>
        <v/>
      </c>
    </row>
    <row r="284" customFormat="false" ht="12.75" hidden="false" customHeight="true" outlineLevel="0" collapsed="false">
      <c r="AJ284" s="17" t="str">
        <f aca="false">IF(Data_Summary!Y285&lt;&gt;"Coverage","",IF(Data_Summary!AA285="","",IF(COUNTIFS(Data_Summary!$Y$2:$Y285,"Coverage",Data_Summary!$AA$2:$AA285,Data_Summary!AA285)=1,Data_Summary!AA285,"")))</f>
        <v/>
      </c>
      <c r="AK284" s="17" t="str">
        <f aca="false">IF(AJ284="","",COUNTIFS(Data_Summary!$Y$2:$Y$20001,"Coverage",Data_Summary!$AA$2:$AA$20001,AJ284))</f>
        <v/>
      </c>
    </row>
    <row r="285" customFormat="false" ht="12.75" hidden="false" customHeight="true" outlineLevel="0" collapsed="false">
      <c r="AJ285" s="17" t="str">
        <f aca="false">IF(Data_Summary!Y286&lt;&gt;"Coverage","",IF(Data_Summary!AA286="","",IF(COUNTIFS(Data_Summary!$Y$2:$Y286,"Coverage",Data_Summary!$AA$2:$AA286,Data_Summary!AA286)=1,Data_Summary!AA286,"")))</f>
        <v/>
      </c>
      <c r="AK285" s="17" t="str">
        <f aca="false">IF(AJ285="","",COUNTIFS(Data_Summary!$Y$2:$Y$20001,"Coverage",Data_Summary!$AA$2:$AA$20001,AJ285))</f>
        <v/>
      </c>
    </row>
    <row r="286" customFormat="false" ht="12.75" hidden="false" customHeight="true" outlineLevel="0" collapsed="false">
      <c r="AJ286" s="17" t="str">
        <f aca="false">IF(Data_Summary!Y287&lt;&gt;"Coverage","",IF(Data_Summary!AA287="","",IF(COUNTIFS(Data_Summary!$Y$2:$Y287,"Coverage",Data_Summary!$AA$2:$AA287,Data_Summary!AA287)=1,Data_Summary!AA287,"")))</f>
        <v/>
      </c>
      <c r="AK286" s="17" t="str">
        <f aca="false">IF(AJ286="","",COUNTIFS(Data_Summary!$Y$2:$Y$20001,"Coverage",Data_Summary!$AA$2:$AA$20001,AJ286))</f>
        <v/>
      </c>
    </row>
    <row r="287" customFormat="false" ht="12.75" hidden="false" customHeight="true" outlineLevel="0" collapsed="false">
      <c r="AJ287" s="17" t="str">
        <f aca="false">IF(Data_Summary!Y288&lt;&gt;"Coverage","",IF(Data_Summary!AA288="","",IF(COUNTIFS(Data_Summary!$Y$2:$Y288,"Coverage",Data_Summary!$AA$2:$AA288,Data_Summary!AA288)=1,Data_Summary!AA288,"")))</f>
        <v/>
      </c>
      <c r="AK287" s="17" t="str">
        <f aca="false">IF(AJ287="","",COUNTIFS(Data_Summary!$Y$2:$Y$20001,"Coverage",Data_Summary!$AA$2:$AA$20001,AJ287))</f>
        <v/>
      </c>
    </row>
    <row r="288" customFormat="false" ht="12.75" hidden="false" customHeight="true" outlineLevel="0" collapsed="false">
      <c r="AJ288" s="17" t="str">
        <f aca="false">IF(Data_Summary!Y289&lt;&gt;"Coverage","",IF(Data_Summary!AA289="","",IF(COUNTIFS(Data_Summary!$Y$2:$Y289,"Coverage",Data_Summary!$AA$2:$AA289,Data_Summary!AA289)=1,Data_Summary!AA289,"")))</f>
        <v/>
      </c>
      <c r="AK288" s="17" t="str">
        <f aca="false">IF(AJ288="","",COUNTIFS(Data_Summary!$Y$2:$Y$20001,"Coverage",Data_Summary!$AA$2:$AA$20001,AJ288))</f>
        <v/>
      </c>
    </row>
    <row r="289" customFormat="false" ht="12.75" hidden="false" customHeight="true" outlineLevel="0" collapsed="false">
      <c r="AJ289" s="17" t="str">
        <f aca="false">IF(Data_Summary!Y290&lt;&gt;"Coverage","",IF(Data_Summary!AA290="","",IF(COUNTIFS(Data_Summary!$Y$2:$Y290,"Coverage",Data_Summary!$AA$2:$AA290,Data_Summary!AA290)=1,Data_Summary!AA290,"")))</f>
        <v/>
      </c>
      <c r="AK289" s="17" t="str">
        <f aca="false">IF(AJ289="","",COUNTIFS(Data_Summary!$Y$2:$Y$20001,"Coverage",Data_Summary!$AA$2:$AA$20001,AJ289))</f>
        <v/>
      </c>
    </row>
    <row r="290" customFormat="false" ht="12.75" hidden="false" customHeight="true" outlineLevel="0" collapsed="false">
      <c r="AJ290" s="17" t="str">
        <f aca="false">IF(Data_Summary!Y291&lt;&gt;"Coverage","",IF(Data_Summary!AA291="","",IF(COUNTIFS(Data_Summary!$Y$2:$Y291,"Coverage",Data_Summary!$AA$2:$AA291,Data_Summary!AA291)=1,Data_Summary!AA291,"")))</f>
        <v/>
      </c>
      <c r="AK290" s="17" t="str">
        <f aca="false">IF(AJ290="","",COUNTIFS(Data_Summary!$Y$2:$Y$20001,"Coverage",Data_Summary!$AA$2:$AA$20001,AJ290))</f>
        <v/>
      </c>
    </row>
    <row r="291" customFormat="false" ht="12.75" hidden="false" customHeight="true" outlineLevel="0" collapsed="false">
      <c r="AJ291" s="17" t="str">
        <f aca="false">IF(Data_Summary!Y292&lt;&gt;"Coverage","",IF(Data_Summary!AA292="","",IF(COUNTIFS(Data_Summary!$Y$2:$Y292,"Coverage",Data_Summary!$AA$2:$AA292,Data_Summary!AA292)=1,Data_Summary!AA292,"")))</f>
        <v/>
      </c>
      <c r="AK291" s="17" t="str">
        <f aca="false">IF(AJ291="","",COUNTIFS(Data_Summary!$Y$2:$Y$20001,"Coverage",Data_Summary!$AA$2:$AA$20001,AJ291))</f>
        <v/>
      </c>
    </row>
    <row r="292" customFormat="false" ht="12.75" hidden="false" customHeight="true" outlineLevel="0" collapsed="false">
      <c r="AJ292" s="17" t="str">
        <f aca="false">IF(Data_Summary!Y293&lt;&gt;"Coverage","",IF(Data_Summary!AA293="","",IF(COUNTIFS(Data_Summary!$Y$2:$Y293,"Coverage",Data_Summary!$AA$2:$AA293,Data_Summary!AA293)=1,Data_Summary!AA293,"")))</f>
        <v/>
      </c>
      <c r="AK292" s="17" t="str">
        <f aca="false">IF(AJ292="","",COUNTIFS(Data_Summary!$Y$2:$Y$20001,"Coverage",Data_Summary!$AA$2:$AA$20001,AJ292))</f>
        <v/>
      </c>
    </row>
    <row r="293" customFormat="false" ht="12.75" hidden="false" customHeight="true" outlineLevel="0" collapsed="false">
      <c r="AJ293" s="17" t="str">
        <f aca="false">IF(Data_Summary!Y294&lt;&gt;"Coverage","",IF(Data_Summary!AA294="","",IF(COUNTIFS(Data_Summary!$Y$2:$Y294,"Coverage",Data_Summary!$AA$2:$AA294,Data_Summary!AA294)=1,Data_Summary!AA294,"")))</f>
        <v/>
      </c>
      <c r="AK293" s="17" t="str">
        <f aca="false">IF(AJ293="","",COUNTIFS(Data_Summary!$Y$2:$Y$20001,"Coverage",Data_Summary!$AA$2:$AA$20001,AJ293))</f>
        <v/>
      </c>
    </row>
    <row r="294" customFormat="false" ht="12.75" hidden="false" customHeight="true" outlineLevel="0" collapsed="false">
      <c r="AJ294" s="17" t="str">
        <f aca="false">IF(Data_Summary!Y295&lt;&gt;"Coverage","",IF(Data_Summary!AA295="","",IF(COUNTIFS(Data_Summary!$Y$2:$Y295,"Coverage",Data_Summary!$AA$2:$AA295,Data_Summary!AA295)=1,Data_Summary!AA295,"")))</f>
        <v/>
      </c>
      <c r="AK294" s="17" t="str">
        <f aca="false">IF(AJ294="","",COUNTIFS(Data_Summary!$Y$2:$Y$20001,"Coverage",Data_Summary!$AA$2:$AA$20001,AJ294))</f>
        <v/>
      </c>
    </row>
    <row r="295" customFormat="false" ht="12.75" hidden="false" customHeight="true" outlineLevel="0" collapsed="false">
      <c r="AJ295" s="17" t="str">
        <f aca="false">IF(Data_Summary!Y296&lt;&gt;"Coverage","",IF(Data_Summary!AA296="","",IF(COUNTIFS(Data_Summary!$Y$2:$Y296,"Coverage",Data_Summary!$AA$2:$AA296,Data_Summary!AA296)=1,Data_Summary!AA296,"")))</f>
        <v/>
      </c>
      <c r="AK295" s="17" t="str">
        <f aca="false">IF(AJ295="","",COUNTIFS(Data_Summary!$Y$2:$Y$20001,"Coverage",Data_Summary!$AA$2:$AA$20001,AJ295))</f>
        <v/>
      </c>
    </row>
    <row r="296" customFormat="false" ht="12.75" hidden="false" customHeight="true" outlineLevel="0" collapsed="false">
      <c r="AJ296" s="17" t="str">
        <f aca="false">IF(Data_Summary!Y297&lt;&gt;"Coverage","",IF(Data_Summary!AA297="","",IF(COUNTIFS(Data_Summary!$Y$2:$Y297,"Coverage",Data_Summary!$AA$2:$AA297,Data_Summary!AA297)=1,Data_Summary!AA297,"")))</f>
        <v/>
      </c>
      <c r="AK296" s="17" t="str">
        <f aca="false">IF(AJ296="","",COUNTIFS(Data_Summary!$Y$2:$Y$20001,"Coverage",Data_Summary!$AA$2:$AA$20001,AJ296))</f>
        <v/>
      </c>
    </row>
    <row r="297" customFormat="false" ht="12.75" hidden="false" customHeight="true" outlineLevel="0" collapsed="false">
      <c r="AJ297" s="17" t="str">
        <f aca="false">IF(Data_Summary!Y298&lt;&gt;"Coverage","",IF(Data_Summary!AA298="","",IF(COUNTIFS(Data_Summary!$Y$2:$Y298,"Coverage",Data_Summary!$AA$2:$AA298,Data_Summary!AA298)=1,Data_Summary!AA298,"")))</f>
        <v/>
      </c>
      <c r="AK297" s="17" t="str">
        <f aca="false">IF(AJ297="","",COUNTIFS(Data_Summary!$Y$2:$Y$20001,"Coverage",Data_Summary!$AA$2:$AA$20001,AJ297))</f>
        <v/>
      </c>
    </row>
    <row r="298" customFormat="false" ht="12.75" hidden="false" customHeight="true" outlineLevel="0" collapsed="false">
      <c r="AJ298" s="17" t="str">
        <f aca="false">IF(Data_Summary!Y299&lt;&gt;"Coverage","",IF(Data_Summary!AA299="","",IF(COUNTIFS(Data_Summary!$Y$2:$Y299,"Coverage",Data_Summary!$AA$2:$AA299,Data_Summary!AA299)=1,Data_Summary!AA299,"")))</f>
        <v/>
      </c>
      <c r="AK298" s="17" t="str">
        <f aca="false">IF(AJ298="","",COUNTIFS(Data_Summary!$Y$2:$Y$20001,"Coverage",Data_Summary!$AA$2:$AA$20001,AJ298))</f>
        <v/>
      </c>
    </row>
    <row r="299" customFormat="false" ht="12.75" hidden="false" customHeight="true" outlineLevel="0" collapsed="false">
      <c r="AJ299" s="17" t="str">
        <f aca="false">IF(Data_Summary!Y300&lt;&gt;"Coverage","",IF(Data_Summary!AA300="","",IF(COUNTIFS(Data_Summary!$Y$2:$Y300,"Coverage",Data_Summary!$AA$2:$AA300,Data_Summary!AA300)=1,Data_Summary!AA300,"")))</f>
        <v/>
      </c>
      <c r="AK299" s="17" t="str">
        <f aca="false">IF(AJ299="","",COUNTIFS(Data_Summary!$Y$2:$Y$20001,"Coverage",Data_Summary!$AA$2:$AA$20001,AJ299))</f>
        <v/>
      </c>
    </row>
    <row r="300" customFormat="false" ht="12.75" hidden="false" customHeight="true" outlineLevel="0" collapsed="false">
      <c r="AJ300" s="17" t="str">
        <f aca="false">IF(Data_Summary!Y301&lt;&gt;"Coverage","",IF(Data_Summary!AA301="","",IF(COUNTIFS(Data_Summary!$Y$2:$Y301,"Coverage",Data_Summary!$AA$2:$AA301,Data_Summary!AA301)=1,Data_Summary!AA301,"")))</f>
        <v/>
      </c>
      <c r="AK300" s="17" t="str">
        <f aca="false">IF(AJ300="","",COUNTIFS(Data_Summary!$Y$2:$Y$20001,"Coverage",Data_Summary!$AA$2:$AA$20001,AJ300))</f>
        <v/>
      </c>
    </row>
    <row r="301" customFormat="false" ht="12.75" hidden="false" customHeight="true" outlineLevel="0" collapsed="false">
      <c r="AJ301" s="17" t="str">
        <f aca="false">IF(Data_Summary!Y302&lt;&gt;"Coverage","",IF(Data_Summary!AA302="","",IF(COUNTIFS(Data_Summary!$Y$2:$Y302,"Coverage",Data_Summary!$AA$2:$AA302,Data_Summary!AA302)=1,Data_Summary!AA302,"")))</f>
        <v/>
      </c>
      <c r="AK301" s="17" t="str">
        <f aca="false">IF(AJ301="","",COUNTIFS(Data_Summary!$Y$2:$Y$20001,"Coverage",Data_Summary!$AA$2:$AA$20001,AJ301))</f>
        <v/>
      </c>
    </row>
    <row r="302" customFormat="false" ht="12.75" hidden="false" customHeight="true" outlineLevel="0" collapsed="false">
      <c r="AJ302" s="17" t="str">
        <f aca="false">IF(Data_Summary!Y303&lt;&gt;"Coverage","",IF(Data_Summary!AA303="","",IF(COUNTIFS(Data_Summary!$Y$2:$Y303,"Coverage",Data_Summary!$AA$2:$AA303,Data_Summary!AA303)=1,Data_Summary!AA303,"")))</f>
        <v/>
      </c>
      <c r="AK302" s="17" t="str">
        <f aca="false">IF(AJ302="","",COUNTIFS(Data_Summary!$Y$2:$Y$20001,"Coverage",Data_Summary!$AA$2:$AA$20001,AJ302))</f>
        <v/>
      </c>
    </row>
    <row r="303" customFormat="false" ht="12.75" hidden="false" customHeight="true" outlineLevel="0" collapsed="false">
      <c r="AJ303" s="17" t="str">
        <f aca="false">IF(Data_Summary!Y304&lt;&gt;"Coverage","",IF(Data_Summary!AA304="","",IF(COUNTIFS(Data_Summary!$Y$2:$Y304,"Coverage",Data_Summary!$AA$2:$AA304,Data_Summary!AA304)=1,Data_Summary!AA304,"")))</f>
        <v/>
      </c>
      <c r="AK303" s="17" t="str">
        <f aca="false">IF(AJ303="","",COUNTIFS(Data_Summary!$Y$2:$Y$20001,"Coverage",Data_Summary!$AA$2:$AA$20001,AJ303))</f>
        <v/>
      </c>
    </row>
    <row r="304" customFormat="false" ht="12.75" hidden="false" customHeight="true" outlineLevel="0" collapsed="false">
      <c r="AJ304" s="17" t="str">
        <f aca="false">IF(Data_Summary!Y305&lt;&gt;"Coverage","",IF(Data_Summary!AA305="","",IF(COUNTIFS(Data_Summary!$Y$2:$Y305,"Coverage",Data_Summary!$AA$2:$AA305,Data_Summary!AA305)=1,Data_Summary!AA305,"")))</f>
        <v/>
      </c>
      <c r="AK304" s="17" t="str">
        <f aca="false">IF(AJ304="","",COUNTIFS(Data_Summary!$Y$2:$Y$20001,"Coverage",Data_Summary!$AA$2:$AA$20001,AJ304))</f>
        <v/>
      </c>
    </row>
    <row r="305" customFormat="false" ht="12.75" hidden="false" customHeight="true" outlineLevel="0" collapsed="false">
      <c r="AJ305" s="17" t="str">
        <f aca="false">IF(Data_Summary!Y306&lt;&gt;"Coverage","",IF(Data_Summary!AA306="","",IF(COUNTIFS(Data_Summary!$Y$2:$Y306,"Coverage",Data_Summary!$AA$2:$AA306,Data_Summary!AA306)=1,Data_Summary!AA306,"")))</f>
        <v/>
      </c>
      <c r="AK305" s="17" t="str">
        <f aca="false">IF(AJ305="","",COUNTIFS(Data_Summary!$Y$2:$Y$20001,"Coverage",Data_Summary!$AA$2:$AA$20001,AJ305))</f>
        <v/>
      </c>
    </row>
    <row r="306" customFormat="false" ht="12.75" hidden="false" customHeight="true" outlineLevel="0" collapsed="false">
      <c r="AJ306" s="17" t="str">
        <f aca="false">IF(Data_Summary!Y307&lt;&gt;"Coverage","",IF(Data_Summary!AA307="","",IF(COUNTIFS(Data_Summary!$Y$2:$Y307,"Coverage",Data_Summary!$AA$2:$AA307,Data_Summary!AA307)=1,Data_Summary!AA307,"")))</f>
        <v/>
      </c>
      <c r="AK306" s="17" t="str">
        <f aca="false">IF(AJ306="","",COUNTIFS(Data_Summary!$Y$2:$Y$20001,"Coverage",Data_Summary!$AA$2:$AA$20001,AJ306))</f>
        <v/>
      </c>
    </row>
    <row r="307" customFormat="false" ht="12.75" hidden="false" customHeight="true" outlineLevel="0" collapsed="false">
      <c r="AJ307" s="17" t="str">
        <f aca="false">IF(Data_Summary!Y308&lt;&gt;"Coverage","",IF(Data_Summary!AA308="","",IF(COUNTIFS(Data_Summary!$Y$2:$Y308,"Coverage",Data_Summary!$AA$2:$AA308,Data_Summary!AA308)=1,Data_Summary!AA308,"")))</f>
        <v/>
      </c>
      <c r="AK307" s="17" t="str">
        <f aca="false">IF(AJ307="","",COUNTIFS(Data_Summary!$Y$2:$Y$20001,"Coverage",Data_Summary!$AA$2:$AA$20001,AJ307))</f>
        <v/>
      </c>
    </row>
    <row r="308" customFormat="false" ht="12.75" hidden="false" customHeight="true" outlineLevel="0" collapsed="false">
      <c r="AJ308" s="17" t="str">
        <f aca="false">IF(Data_Summary!Y309&lt;&gt;"Coverage","",IF(Data_Summary!AA309="","",IF(COUNTIFS(Data_Summary!$Y$2:$Y309,"Coverage",Data_Summary!$AA$2:$AA309,Data_Summary!AA309)=1,Data_Summary!AA309,"")))</f>
        <v/>
      </c>
      <c r="AK308" s="17" t="str">
        <f aca="false">IF(AJ308="","",COUNTIFS(Data_Summary!$Y$2:$Y$20001,"Coverage",Data_Summary!$AA$2:$AA$20001,AJ308))</f>
        <v/>
      </c>
    </row>
    <row r="309" customFormat="false" ht="12.75" hidden="false" customHeight="true" outlineLevel="0" collapsed="false">
      <c r="AJ309" s="17" t="str">
        <f aca="false">IF(Data_Summary!Y310&lt;&gt;"Coverage","",IF(Data_Summary!AA310="","",IF(COUNTIFS(Data_Summary!$Y$2:$Y310,"Coverage",Data_Summary!$AA$2:$AA310,Data_Summary!AA310)=1,Data_Summary!AA310,"")))</f>
        <v/>
      </c>
      <c r="AK309" s="17" t="str">
        <f aca="false">IF(AJ309="","",COUNTIFS(Data_Summary!$Y$2:$Y$20001,"Coverage",Data_Summary!$AA$2:$AA$20001,AJ309))</f>
        <v/>
      </c>
    </row>
    <row r="310" customFormat="false" ht="12.75" hidden="false" customHeight="true" outlineLevel="0" collapsed="false">
      <c r="AJ310" s="17" t="str">
        <f aca="false">IF(Data_Summary!Y311&lt;&gt;"Coverage","",IF(Data_Summary!AA311="","",IF(COUNTIFS(Data_Summary!$Y$2:$Y311,"Coverage",Data_Summary!$AA$2:$AA311,Data_Summary!AA311)=1,Data_Summary!AA311,"")))</f>
        <v/>
      </c>
      <c r="AK310" s="17" t="str">
        <f aca="false">IF(AJ310="","",COUNTIFS(Data_Summary!$Y$2:$Y$20001,"Coverage",Data_Summary!$AA$2:$AA$20001,AJ310))</f>
        <v/>
      </c>
    </row>
    <row r="311" customFormat="false" ht="12.75" hidden="false" customHeight="true" outlineLevel="0" collapsed="false">
      <c r="AJ311" s="17" t="str">
        <f aca="false">IF(Data_Summary!Y312&lt;&gt;"Coverage","",IF(Data_Summary!AA312="","",IF(COUNTIFS(Data_Summary!$Y$2:$Y312,"Coverage",Data_Summary!$AA$2:$AA312,Data_Summary!AA312)=1,Data_Summary!AA312,"")))</f>
        <v/>
      </c>
      <c r="AK311" s="17" t="str">
        <f aca="false">IF(AJ311="","",COUNTIFS(Data_Summary!$Y$2:$Y$20001,"Coverage",Data_Summary!$AA$2:$AA$20001,AJ311))</f>
        <v/>
      </c>
    </row>
    <row r="312" customFormat="false" ht="12.75" hidden="false" customHeight="true" outlineLevel="0" collapsed="false">
      <c r="AJ312" s="17" t="str">
        <f aca="false">IF(Data_Summary!Y313&lt;&gt;"Coverage","",IF(Data_Summary!AA313="","",IF(COUNTIFS(Data_Summary!$Y$2:$Y313,"Coverage",Data_Summary!$AA$2:$AA313,Data_Summary!AA313)=1,Data_Summary!AA313,"")))</f>
        <v/>
      </c>
      <c r="AK312" s="17" t="str">
        <f aca="false">IF(AJ312="","",COUNTIFS(Data_Summary!$Y$2:$Y$20001,"Coverage",Data_Summary!$AA$2:$AA$20001,AJ312))</f>
        <v/>
      </c>
    </row>
    <row r="313" customFormat="false" ht="12.75" hidden="false" customHeight="true" outlineLevel="0" collapsed="false">
      <c r="AJ313" s="17" t="str">
        <f aca="false">IF(Data_Summary!Y314&lt;&gt;"Coverage","",IF(Data_Summary!AA314="","",IF(COUNTIFS(Data_Summary!$Y$2:$Y314,"Coverage",Data_Summary!$AA$2:$AA314,Data_Summary!AA314)=1,Data_Summary!AA314,"")))</f>
        <v/>
      </c>
      <c r="AK313" s="17" t="str">
        <f aca="false">IF(AJ313="","",COUNTIFS(Data_Summary!$Y$2:$Y$20001,"Coverage",Data_Summary!$AA$2:$AA$20001,AJ313))</f>
        <v/>
      </c>
    </row>
    <row r="314" customFormat="false" ht="12.75" hidden="false" customHeight="true" outlineLevel="0" collapsed="false">
      <c r="AJ314" s="17" t="str">
        <f aca="false">IF(Data_Summary!Y315&lt;&gt;"Coverage","",IF(Data_Summary!AA315="","",IF(COUNTIFS(Data_Summary!$Y$2:$Y315,"Coverage",Data_Summary!$AA$2:$AA315,Data_Summary!AA315)=1,Data_Summary!AA315,"")))</f>
        <v/>
      </c>
      <c r="AK314" s="17" t="str">
        <f aca="false">IF(AJ314="","",COUNTIFS(Data_Summary!$Y$2:$Y$20001,"Coverage",Data_Summary!$AA$2:$AA$20001,AJ314))</f>
        <v/>
      </c>
    </row>
    <row r="315" customFormat="false" ht="12.75" hidden="false" customHeight="true" outlineLevel="0" collapsed="false">
      <c r="AJ315" s="17" t="str">
        <f aca="false">IF(Data_Summary!Y316&lt;&gt;"Coverage","",IF(Data_Summary!AA316="","",IF(COUNTIFS(Data_Summary!$Y$2:$Y316,"Coverage",Data_Summary!$AA$2:$AA316,Data_Summary!AA316)=1,Data_Summary!AA316,"")))</f>
        <v>BGV queries</v>
      </c>
      <c r="AK315" s="17" t="n">
        <f aca="false">IF(AJ315="","",COUNTIFS(Data_Summary!$Y$2:$Y$20001,"Coverage",Data_Summary!$AA$2:$AA$20001,AJ315))</f>
        <v>7</v>
      </c>
    </row>
    <row r="316" customFormat="false" ht="12.75" hidden="false" customHeight="true" outlineLevel="0" collapsed="false">
      <c r="AJ316" s="17" t="str">
        <f aca="false">IF(Data_Summary!Y317&lt;&gt;"Coverage","",IF(Data_Summary!AA317="","",IF(COUNTIFS(Data_Summary!$Y$2:$Y317,"Coverage",Data_Summary!$AA$2:$AA317,Data_Summary!AA317)=1,Data_Summary!AA317,"")))</f>
        <v/>
      </c>
      <c r="AK316" s="17" t="str">
        <f aca="false">IF(AJ316="","",COUNTIFS(Data_Summary!$Y$2:$Y$20001,"Coverage",Data_Summary!$AA$2:$AA$20001,AJ316))</f>
        <v/>
      </c>
    </row>
    <row r="317" customFormat="false" ht="12.75" hidden="false" customHeight="true" outlineLevel="0" collapsed="false">
      <c r="AJ317" s="17" t="str">
        <f aca="false">IF(Data_Summary!Y318&lt;&gt;"Coverage","",IF(Data_Summary!AA318="","",IF(COUNTIFS(Data_Summary!$Y$2:$Y318,"Coverage",Data_Summary!$AA$2:$AA318,Data_Summary!AA318)=1,Data_Summary!AA318,"")))</f>
        <v/>
      </c>
      <c r="AK317" s="17" t="str">
        <f aca="false">IF(AJ317="","",COUNTIFS(Data_Summary!$Y$2:$Y$20001,"Coverage",Data_Summary!$AA$2:$AA$20001,AJ317))</f>
        <v/>
      </c>
    </row>
    <row r="318" customFormat="false" ht="12.75" hidden="false" customHeight="true" outlineLevel="0" collapsed="false">
      <c r="AJ318" s="17" t="str">
        <f aca="false">IF(Data_Summary!Y319&lt;&gt;"Coverage","",IF(Data_Summary!AA319="","",IF(COUNTIFS(Data_Summary!$Y$2:$Y319,"Coverage",Data_Summary!$AA$2:$AA319,Data_Summary!AA319)=1,Data_Summary!AA319,"")))</f>
        <v/>
      </c>
      <c r="AK318" s="17" t="str">
        <f aca="false">IF(AJ318="","",COUNTIFS(Data_Summary!$Y$2:$Y$20001,"Coverage",Data_Summary!$AA$2:$AA$20001,AJ318))</f>
        <v/>
      </c>
    </row>
    <row r="319" customFormat="false" ht="12.75" hidden="false" customHeight="true" outlineLevel="0" collapsed="false">
      <c r="AJ319" s="17" t="str">
        <f aca="false">IF(Data_Summary!Y320&lt;&gt;"Coverage","",IF(Data_Summary!AA320="","",IF(COUNTIFS(Data_Summary!$Y$2:$Y320,"Coverage",Data_Summary!$AA$2:$AA320,Data_Summary!AA320)=1,Data_Summary!AA320,"")))</f>
        <v/>
      </c>
      <c r="AK319" s="17" t="str">
        <f aca="false">IF(AJ319="","",COUNTIFS(Data_Summary!$Y$2:$Y$20001,"Coverage",Data_Summary!$AA$2:$AA$20001,AJ319))</f>
        <v/>
      </c>
    </row>
    <row r="320" customFormat="false" ht="12.75" hidden="false" customHeight="true" outlineLevel="0" collapsed="false">
      <c r="AJ320" s="17" t="str">
        <f aca="false">IF(Data_Summary!Y321&lt;&gt;"Coverage","",IF(Data_Summary!AA321="","",IF(COUNTIFS(Data_Summary!$Y$2:$Y321,"Coverage",Data_Summary!$AA$2:$AA321,Data_Summary!AA321)=1,Data_Summary!AA321,"")))</f>
        <v/>
      </c>
      <c r="AK320" s="17" t="str">
        <f aca="false">IF(AJ320="","",COUNTIFS(Data_Summary!$Y$2:$Y$20001,"Coverage",Data_Summary!$AA$2:$AA$20001,AJ320))</f>
        <v/>
      </c>
    </row>
    <row r="321" customFormat="false" ht="12.75" hidden="false" customHeight="true" outlineLevel="0" collapsed="false">
      <c r="AJ321" s="17" t="str">
        <f aca="false">IF(Data_Summary!Y322&lt;&gt;"Coverage","",IF(Data_Summary!AA322="","",IF(COUNTIFS(Data_Summary!$Y$2:$Y322,"Coverage",Data_Summary!$AA$2:$AA322,Data_Summary!AA322)=1,Data_Summary!AA322,"")))</f>
        <v/>
      </c>
      <c r="AK321" s="17" t="str">
        <f aca="false">IF(AJ321="","",COUNTIFS(Data_Summary!$Y$2:$Y$20001,"Coverage",Data_Summary!$AA$2:$AA$20001,AJ321))</f>
        <v/>
      </c>
    </row>
    <row r="322" customFormat="false" ht="12.75" hidden="false" customHeight="true" outlineLevel="0" collapsed="false">
      <c r="AJ322" s="17" t="str">
        <f aca="false">IF(Data_Summary!Y323&lt;&gt;"Coverage","",IF(Data_Summary!AA323="","",IF(COUNTIFS(Data_Summary!$Y$2:$Y323,"Coverage",Data_Summary!$AA$2:$AA323,Data_Summary!AA323)=1,Data_Summary!AA323,"")))</f>
        <v/>
      </c>
      <c r="AK322" s="17" t="str">
        <f aca="false">IF(AJ322="","",COUNTIFS(Data_Summary!$Y$2:$Y$20001,"Coverage",Data_Summary!$AA$2:$AA$20001,AJ322))</f>
        <v/>
      </c>
    </row>
    <row r="323" customFormat="false" ht="12.75" hidden="false" customHeight="true" outlineLevel="0" collapsed="false">
      <c r="AJ323" s="17" t="str">
        <f aca="false">IF(Data_Summary!Y324&lt;&gt;"Coverage","",IF(Data_Summary!AA324="","",IF(COUNTIFS(Data_Summary!$Y$2:$Y324,"Coverage",Data_Summary!$AA$2:$AA324,Data_Summary!AA324)=1,Data_Summary!AA324,"")))</f>
        <v>Stress &amp; Burnout Management</v>
      </c>
      <c r="AK323" s="17" t="n">
        <f aca="false">IF(AJ323="","",COUNTIFS(Data_Summary!$Y$2:$Y$20001,"Coverage",Data_Summary!$AA$2:$AA$20001,AJ323))</f>
        <v>1</v>
      </c>
    </row>
    <row r="324" customFormat="false" ht="12.75" hidden="false" customHeight="true" outlineLevel="0" collapsed="false">
      <c r="AJ324" s="17" t="str">
        <f aca="false">IF(Data_Summary!Y325&lt;&gt;"Coverage","",IF(Data_Summary!AA325="","",IF(COUNTIFS(Data_Summary!$Y$2:$Y325,"Coverage",Data_Summary!$AA$2:$AA325,Data_Summary!AA325)=1,Data_Summary!AA325,"")))</f>
        <v/>
      </c>
      <c r="AK324" s="17" t="str">
        <f aca="false">IF(AJ324="","",COUNTIFS(Data_Summary!$Y$2:$Y$20001,"Coverage",Data_Summary!$AA$2:$AA$20001,AJ324))</f>
        <v/>
      </c>
    </row>
    <row r="325" customFormat="false" ht="12.75" hidden="false" customHeight="true" outlineLevel="0" collapsed="false">
      <c r="AJ325" s="17" t="str">
        <f aca="false">IF(Data_Summary!Y326&lt;&gt;"Coverage","",IF(Data_Summary!AA326="","",IF(COUNTIFS(Data_Summary!$Y$2:$Y326,"Coverage",Data_Summary!$AA$2:$AA326,Data_Summary!AA326)=1,Data_Summary!AA326,"")))</f>
        <v/>
      </c>
      <c r="AK325" s="17" t="str">
        <f aca="false">IF(AJ325="","",COUNTIFS(Data_Summary!$Y$2:$Y$20001,"Coverage",Data_Summary!$AA$2:$AA$20001,AJ325))</f>
        <v/>
      </c>
    </row>
    <row r="326" customFormat="false" ht="12.75" hidden="false" customHeight="true" outlineLevel="0" collapsed="false">
      <c r="AJ326" s="17" t="str">
        <f aca="false">IF(Data_Summary!Y327&lt;&gt;"Coverage","",IF(Data_Summary!AA327="","",IF(COUNTIFS(Data_Summary!$Y$2:$Y327,"Coverage",Data_Summary!$AA$2:$AA327,Data_Summary!AA327)=1,Data_Summary!AA327,"")))</f>
        <v/>
      </c>
      <c r="AK326" s="17" t="str">
        <f aca="false">IF(AJ326="","",COUNTIFS(Data_Summary!$Y$2:$Y$20001,"Coverage",Data_Summary!$AA$2:$AA$20001,AJ326))</f>
        <v/>
      </c>
    </row>
    <row r="327" customFormat="false" ht="12.75" hidden="false" customHeight="true" outlineLevel="0" collapsed="false">
      <c r="AJ327" s="17" t="str">
        <f aca="false">IF(Data_Summary!Y328&lt;&gt;"Coverage","",IF(Data_Summary!AA328="","",IF(COUNTIFS(Data_Summary!$Y$2:$Y328,"Coverage",Data_Summary!$AA$2:$AA328,Data_Summary!AA328)=1,Data_Summary!AA328,"")))</f>
        <v/>
      </c>
      <c r="AK327" s="17" t="str">
        <f aca="false">IF(AJ327="","",COUNTIFS(Data_Summary!$Y$2:$Y$20001,"Coverage",Data_Summary!$AA$2:$AA$20001,AJ327))</f>
        <v/>
      </c>
    </row>
    <row r="328" customFormat="false" ht="12.75" hidden="false" customHeight="true" outlineLevel="0" collapsed="false">
      <c r="AJ328" s="17" t="str">
        <f aca="false">IF(Data_Summary!Y329&lt;&gt;"Coverage","",IF(Data_Summary!AA329="","",IF(COUNTIFS(Data_Summary!$Y$2:$Y329,"Coverage",Data_Summary!$AA$2:$AA329,Data_Summary!AA329)=1,Data_Summary!AA329,"")))</f>
        <v/>
      </c>
      <c r="AK328" s="17" t="str">
        <f aca="false">IF(AJ328="","",COUNTIFS(Data_Summary!$Y$2:$Y$20001,"Coverage",Data_Summary!$AA$2:$AA$20001,AJ328))</f>
        <v/>
      </c>
    </row>
    <row r="329" customFormat="false" ht="12.75" hidden="false" customHeight="true" outlineLevel="0" collapsed="false">
      <c r="AJ329" s="17" t="str">
        <f aca="false">IF(Data_Summary!Y330&lt;&gt;"Coverage","",IF(Data_Summary!AA330="","",IF(COUNTIFS(Data_Summary!$Y$2:$Y330,"Coverage",Data_Summary!$AA$2:$AA330,Data_Summary!AA330)=1,Data_Summary!AA330,"")))</f>
        <v/>
      </c>
      <c r="AK329" s="17" t="str">
        <f aca="false">IF(AJ329="","",COUNTIFS(Data_Summary!$Y$2:$Y$20001,"Coverage",Data_Summary!$AA$2:$AA$20001,AJ329))</f>
        <v/>
      </c>
    </row>
    <row r="330" customFormat="false" ht="12.75" hidden="false" customHeight="true" outlineLevel="0" collapsed="false">
      <c r="AJ330" s="17" t="str">
        <f aca="false">IF(Data_Summary!Y331&lt;&gt;"Coverage","",IF(Data_Summary!AA331="","",IF(COUNTIFS(Data_Summary!$Y$2:$Y331,"Coverage",Data_Summary!$AA$2:$AA331,Data_Summary!AA331)=1,Data_Summary!AA331,"")))</f>
        <v/>
      </c>
      <c r="AK330" s="17" t="str">
        <f aca="false">IF(AJ330="","",COUNTIFS(Data_Summary!$Y$2:$Y$20001,"Coverage",Data_Summary!$AA$2:$AA$20001,AJ330))</f>
        <v/>
      </c>
    </row>
    <row r="331" customFormat="false" ht="12.75" hidden="false" customHeight="true" outlineLevel="0" collapsed="false">
      <c r="AJ331" s="17" t="str">
        <f aca="false">IF(Data_Summary!Y332&lt;&gt;"Coverage","",IF(Data_Summary!AA332="","",IF(COUNTIFS(Data_Summary!$Y$2:$Y332,"Coverage",Data_Summary!$AA$2:$AA332,Data_Summary!AA332)=1,Data_Summary!AA332,"")))</f>
        <v/>
      </c>
      <c r="AK331" s="17" t="str">
        <f aca="false">IF(AJ331="","",COUNTIFS(Data_Summary!$Y$2:$Y$20001,"Coverage",Data_Summary!$AA$2:$AA$20001,AJ331))</f>
        <v/>
      </c>
    </row>
    <row r="332" customFormat="false" ht="12.75" hidden="false" customHeight="true" outlineLevel="0" collapsed="false">
      <c r="AJ332" s="17" t="str">
        <f aca="false">IF(Data_Summary!Y333&lt;&gt;"Coverage","",IF(Data_Summary!AA333="","",IF(COUNTIFS(Data_Summary!$Y$2:$Y333,"Coverage",Data_Summary!$AA$2:$AA333,Data_Summary!AA333)=1,Data_Summary!AA333,"")))</f>
        <v/>
      </c>
      <c r="AK332" s="17" t="str">
        <f aca="false">IF(AJ332="","",COUNTIFS(Data_Summary!$Y$2:$Y$20001,"Coverage",Data_Summary!$AA$2:$AA$20001,AJ332))</f>
        <v/>
      </c>
    </row>
    <row r="333" customFormat="false" ht="12.75" hidden="false" customHeight="true" outlineLevel="0" collapsed="false">
      <c r="AJ333" s="17" t="str">
        <f aca="false">IF(Data_Summary!Y334&lt;&gt;"Coverage","",IF(Data_Summary!AA334="","",IF(COUNTIFS(Data_Summary!$Y$2:$Y334,"Coverage",Data_Summary!$AA$2:$AA334,Data_Summary!AA334)=1,Data_Summary!AA334,"")))</f>
        <v/>
      </c>
      <c r="AK333" s="17" t="str">
        <f aca="false">IF(AJ333="","",COUNTIFS(Data_Summary!$Y$2:$Y$20001,"Coverage",Data_Summary!$AA$2:$AA$20001,AJ333))</f>
        <v/>
      </c>
    </row>
    <row r="334" customFormat="false" ht="12.75" hidden="false" customHeight="true" outlineLevel="0" collapsed="false">
      <c r="AJ334" s="17" t="str">
        <f aca="false">IF(Data_Summary!Y335&lt;&gt;"Coverage","",IF(Data_Summary!AA335="","",IF(COUNTIFS(Data_Summary!$Y$2:$Y335,"Coverage",Data_Summary!$AA$2:$AA335,Data_Summary!AA335)=1,Data_Summary!AA335,"")))</f>
        <v/>
      </c>
      <c r="AK334" s="17" t="str">
        <f aca="false">IF(AJ334="","",COUNTIFS(Data_Summary!$Y$2:$Y$20001,"Coverage",Data_Summary!$AA$2:$AA$20001,AJ334))</f>
        <v/>
      </c>
    </row>
    <row r="335" customFormat="false" ht="12.75" hidden="false" customHeight="true" outlineLevel="0" collapsed="false">
      <c r="AJ335" s="17" t="str">
        <f aca="false">IF(Data_Summary!Y336&lt;&gt;"Coverage","",IF(Data_Summary!AA336="","",IF(COUNTIFS(Data_Summary!$Y$2:$Y336,"Coverage",Data_Summary!$AA$2:$AA336,Data_Summary!AA336)=1,Data_Summary!AA336,"")))</f>
        <v/>
      </c>
      <c r="AK335" s="17" t="str">
        <f aca="false">IF(AJ335="","",COUNTIFS(Data_Summary!$Y$2:$Y$20001,"Coverage",Data_Summary!$AA$2:$AA$20001,AJ335))</f>
        <v/>
      </c>
    </row>
    <row r="336" customFormat="false" ht="12.75" hidden="false" customHeight="true" outlineLevel="0" collapsed="false">
      <c r="AJ336" s="17" t="str">
        <f aca="false">IF(Data_Summary!Y337&lt;&gt;"Coverage","",IF(Data_Summary!AA337="","",IF(COUNTIFS(Data_Summary!$Y$2:$Y337,"Coverage",Data_Summary!$AA$2:$AA337,Data_Summary!AA337)=1,Data_Summary!AA337,"")))</f>
        <v/>
      </c>
      <c r="AK336" s="17" t="str">
        <f aca="false">IF(AJ336="","",COUNTIFS(Data_Summary!$Y$2:$Y$20001,"Coverage",Data_Summary!$AA$2:$AA$20001,AJ336))</f>
        <v/>
      </c>
    </row>
    <row r="337" customFormat="false" ht="12.75" hidden="false" customHeight="true" outlineLevel="0" collapsed="false">
      <c r="AJ337" s="17" t="str">
        <f aca="false">IF(Data_Summary!Y338&lt;&gt;"Coverage","",IF(Data_Summary!AA338="","",IF(COUNTIFS(Data_Summary!$Y$2:$Y338,"Coverage",Data_Summary!$AA$2:$AA338,Data_Summary!AA338)=1,Data_Summary!AA338,"")))</f>
        <v/>
      </c>
      <c r="AK337" s="17" t="str">
        <f aca="false">IF(AJ337="","",COUNTIFS(Data_Summary!$Y$2:$Y$20001,"Coverage",Data_Summary!$AA$2:$AA$20001,AJ337))</f>
        <v/>
      </c>
    </row>
    <row r="338" customFormat="false" ht="12.75" hidden="false" customHeight="true" outlineLevel="0" collapsed="false">
      <c r="AJ338" s="17" t="str">
        <f aca="false">IF(Data_Summary!Y339&lt;&gt;"Coverage","",IF(Data_Summary!AA339="","",IF(COUNTIFS(Data_Summary!$Y$2:$Y339,"Coverage",Data_Summary!$AA$2:$AA339,Data_Summary!AA339)=1,Data_Summary!AA339,"")))</f>
        <v/>
      </c>
      <c r="AK338" s="17" t="str">
        <f aca="false">IF(AJ338="","",COUNTIFS(Data_Summary!$Y$2:$Y$20001,"Coverage",Data_Summary!$AA$2:$AA$20001,AJ338))</f>
        <v/>
      </c>
    </row>
    <row r="339" customFormat="false" ht="12.75" hidden="false" customHeight="true" outlineLevel="0" collapsed="false">
      <c r="AJ339" s="17" t="str">
        <f aca="false">IF(Data_Summary!Y340&lt;&gt;"Coverage","",IF(Data_Summary!AA340="","",IF(COUNTIFS(Data_Summary!$Y$2:$Y340,"Coverage",Data_Summary!$AA$2:$AA340,Data_Summary!AA340)=1,Data_Summary!AA340,"")))</f>
        <v/>
      </c>
      <c r="AK339" s="17" t="str">
        <f aca="false">IF(AJ339="","",COUNTIFS(Data_Summary!$Y$2:$Y$20001,"Coverage",Data_Summary!$AA$2:$AA$20001,AJ339))</f>
        <v/>
      </c>
    </row>
    <row r="340" customFormat="false" ht="12.75" hidden="false" customHeight="true" outlineLevel="0" collapsed="false">
      <c r="AJ340" s="17" t="str">
        <f aca="false">IF(Data_Summary!Y341&lt;&gt;"Coverage","",IF(Data_Summary!AA341="","",IF(COUNTIFS(Data_Summary!$Y$2:$Y341,"Coverage",Data_Summary!$AA$2:$AA341,Data_Summary!AA341)=1,Data_Summary!AA341,"")))</f>
        <v/>
      </c>
      <c r="AK340" s="17" t="str">
        <f aca="false">IF(AJ340="","",COUNTIFS(Data_Summary!$Y$2:$Y$20001,"Coverage",Data_Summary!$AA$2:$AA$20001,AJ340))</f>
        <v/>
      </c>
    </row>
    <row r="341" customFormat="false" ht="12.75" hidden="false" customHeight="true" outlineLevel="0" collapsed="false">
      <c r="AJ341" s="17" t="str">
        <f aca="false">IF(Data_Summary!Y342&lt;&gt;"Coverage","",IF(Data_Summary!AA342="","",IF(COUNTIFS(Data_Summary!$Y$2:$Y342,"Coverage",Data_Summary!$AA$2:$AA342,Data_Summary!AA342)=1,Data_Summary!AA342,"")))</f>
        <v/>
      </c>
      <c r="AK341" s="17" t="str">
        <f aca="false">IF(AJ341="","",COUNTIFS(Data_Summary!$Y$2:$Y$20001,"Coverage",Data_Summary!$AA$2:$AA$20001,AJ341))</f>
        <v/>
      </c>
    </row>
    <row r="342" customFormat="false" ht="12.75" hidden="false" customHeight="true" outlineLevel="0" collapsed="false">
      <c r="AJ342" s="17" t="str">
        <f aca="false">IF(Data_Summary!Y343&lt;&gt;"Coverage","",IF(Data_Summary!AA343="","",IF(COUNTIFS(Data_Summary!$Y$2:$Y343,"Coverage",Data_Summary!$AA$2:$AA343,Data_Summary!AA343)=1,Data_Summary!AA343,"")))</f>
        <v>Tool &amp; System Access</v>
      </c>
      <c r="AK342" s="17" t="n">
        <f aca="false">IF(AJ342="","",COUNTIFS(Data_Summary!$Y$2:$Y$20001,"Coverage",Data_Summary!$AA$2:$AA$20001,AJ342))</f>
        <v>7</v>
      </c>
    </row>
    <row r="343" customFormat="false" ht="12.75" hidden="false" customHeight="true" outlineLevel="0" collapsed="false">
      <c r="AJ343" s="17" t="str">
        <f aca="false">IF(Data_Summary!Y344&lt;&gt;"Coverage","",IF(Data_Summary!AA344="","",IF(COUNTIFS(Data_Summary!$Y$2:$Y344,"Coverage",Data_Summary!$AA$2:$AA344,Data_Summary!AA344)=1,Data_Summary!AA344,"")))</f>
        <v>Initial Organization Understanding</v>
      </c>
      <c r="AK343" s="17" t="n">
        <f aca="false">IF(AJ343="","",COUNTIFS(Data_Summary!$Y$2:$Y$20001,"Coverage",Data_Summary!$AA$2:$AA$20001,AJ343))</f>
        <v>5</v>
      </c>
    </row>
    <row r="344" customFormat="false" ht="12.75" hidden="false" customHeight="true" outlineLevel="0" collapsed="false">
      <c r="AJ344" s="17" t="str">
        <f aca="false">IF(Data_Summary!Y345&lt;&gt;"Coverage","",IF(Data_Summary!AA345="","",IF(COUNTIFS(Data_Summary!$Y$2:$Y345,"Coverage",Data_Summary!$AA$2:$AA345,Data_Summary!AA345)=1,Data_Summary!AA345,"")))</f>
        <v/>
      </c>
      <c r="AK344" s="17" t="str">
        <f aca="false">IF(AJ344="","",COUNTIFS(Data_Summary!$Y$2:$Y$20001,"Coverage",Data_Summary!$AA$2:$AA$20001,AJ344))</f>
        <v/>
      </c>
    </row>
    <row r="345" customFormat="false" ht="12.75" hidden="false" customHeight="true" outlineLevel="0" collapsed="false">
      <c r="AJ345" s="17" t="str">
        <f aca="false">IF(Data_Summary!Y346&lt;&gt;"Coverage","",IF(Data_Summary!AA346="","",IF(COUNTIFS(Data_Summary!$Y$2:$Y346,"Coverage",Data_Summary!$AA$2:$AA346,Data_Summary!AA346)=1,Data_Summary!AA346,"")))</f>
        <v/>
      </c>
      <c r="AK345" s="17" t="str">
        <f aca="false">IF(AJ345="","",COUNTIFS(Data_Summary!$Y$2:$Y$20001,"Coverage",Data_Summary!$AA$2:$AA$20001,AJ345))</f>
        <v/>
      </c>
    </row>
    <row r="346" customFormat="false" ht="12.75" hidden="false" customHeight="true" outlineLevel="0" collapsed="false">
      <c r="AJ346" s="17" t="str">
        <f aca="false">IF(Data_Summary!Y347&lt;&gt;"Coverage","",IF(Data_Summary!AA347="","",IF(COUNTIFS(Data_Summary!$Y$2:$Y347,"Coverage",Data_Summary!$AA$2:$AA347,Data_Summary!AA347)=1,Data_Summary!AA347,"")))</f>
        <v/>
      </c>
      <c r="AK346" s="17" t="str">
        <f aca="false">IF(AJ346="","",COUNTIFS(Data_Summary!$Y$2:$Y$20001,"Coverage",Data_Summary!$AA$2:$AA$20001,AJ346))</f>
        <v/>
      </c>
    </row>
    <row r="347" customFormat="false" ht="12.75" hidden="false" customHeight="true" outlineLevel="0" collapsed="false">
      <c r="AJ347" s="17" t="str">
        <f aca="false">IF(Data_Summary!Y348&lt;&gt;"Coverage","",IF(Data_Summary!AA348="","",IF(COUNTIFS(Data_Summary!$Y$2:$Y348,"Coverage",Data_Summary!$AA$2:$AA348,Data_Summary!AA348)=1,Data_Summary!AA348,"")))</f>
        <v/>
      </c>
      <c r="AK347" s="17" t="str">
        <f aca="false">IF(AJ347="","",COUNTIFS(Data_Summary!$Y$2:$Y$20001,"Coverage",Data_Summary!$AA$2:$AA$20001,AJ347))</f>
        <v/>
      </c>
    </row>
    <row r="348" customFormat="false" ht="12.75" hidden="false" customHeight="true" outlineLevel="0" collapsed="false">
      <c r="AJ348" s="17" t="str">
        <f aca="false">IF(Data_Summary!Y349&lt;&gt;"Coverage","",IF(Data_Summary!AA349="","",IF(COUNTIFS(Data_Summary!$Y$2:$Y349,"Coverage",Data_Summary!$AA$2:$AA349,Data_Summary!AA349)=1,Data_Summary!AA349,"")))</f>
        <v>Learning Curve Support</v>
      </c>
      <c r="AK348" s="17" t="n">
        <f aca="false">IF(AJ348="","",COUNTIFS(Data_Summary!$Y$2:$Y$20001,"Coverage",Data_Summary!$AA$2:$AA$20001,AJ348))</f>
        <v>6</v>
      </c>
    </row>
    <row r="349" customFormat="false" ht="12.75" hidden="false" customHeight="true" outlineLevel="0" collapsed="false">
      <c r="AJ349" s="17" t="str">
        <f aca="false">IF(Data_Summary!Y350&lt;&gt;"Coverage","",IF(Data_Summary!AA350="","",IF(COUNTIFS(Data_Summary!$Y$2:$Y350,"Coverage",Data_Summary!$AA$2:$AA350,Data_Summary!AA350)=1,Data_Summary!AA350,"")))</f>
        <v/>
      </c>
      <c r="AK349" s="17" t="str">
        <f aca="false">IF(AJ349="","",COUNTIFS(Data_Summary!$Y$2:$Y$20001,"Coverage",Data_Summary!$AA$2:$AA$20001,AJ349))</f>
        <v/>
      </c>
    </row>
    <row r="350" customFormat="false" ht="12.75" hidden="false" customHeight="true" outlineLevel="0" collapsed="false">
      <c r="AJ350" s="17" t="str">
        <f aca="false">IF(Data_Summary!Y351&lt;&gt;"Coverage","",IF(Data_Summary!AA351="","",IF(COUNTIFS(Data_Summary!$Y$2:$Y351,"Coverage",Data_Summary!$AA$2:$AA351,Data_Summary!AA351)=1,Data_Summary!AA351,"")))</f>
        <v/>
      </c>
      <c r="AK350" s="17" t="str">
        <f aca="false">IF(AJ350="","",COUNTIFS(Data_Summary!$Y$2:$Y$20001,"Coverage",Data_Summary!$AA$2:$AA$20001,AJ350))</f>
        <v/>
      </c>
    </row>
    <row r="351" customFormat="false" ht="12.75" hidden="false" customHeight="true" outlineLevel="0" collapsed="false">
      <c r="AJ351" s="17" t="str">
        <f aca="false">IF(Data_Summary!Y352&lt;&gt;"Coverage","",IF(Data_Summary!AA352="","",IF(COUNTIFS(Data_Summary!$Y$2:$Y352,"Coverage",Data_Summary!$AA$2:$AA352,Data_Summary!AA352)=1,Data_Summary!AA352,"")))</f>
        <v/>
      </c>
      <c r="AK351" s="17" t="str">
        <f aca="false">IF(AJ351="","",COUNTIFS(Data_Summary!$Y$2:$Y$20001,"Coverage",Data_Summary!$AA$2:$AA$20001,AJ351))</f>
        <v/>
      </c>
    </row>
    <row r="352" customFormat="false" ht="12.75" hidden="false" customHeight="true" outlineLevel="0" collapsed="false">
      <c r="AJ352" s="17" t="str">
        <f aca="false">IF(Data_Summary!Y353&lt;&gt;"Coverage","",IF(Data_Summary!AA353="","",IF(COUNTIFS(Data_Summary!$Y$2:$Y353,"Coverage",Data_Summary!$AA$2:$AA353,Data_Summary!AA353)=1,Data_Summary!AA353,"")))</f>
        <v/>
      </c>
      <c r="AK352" s="17" t="str">
        <f aca="false">IF(AJ352="","",COUNTIFS(Data_Summary!$Y$2:$Y$20001,"Coverage",Data_Summary!$AA$2:$AA$20001,AJ352))</f>
        <v/>
      </c>
    </row>
    <row r="353" customFormat="false" ht="12.75" hidden="false" customHeight="true" outlineLevel="0" collapsed="false">
      <c r="AJ353" s="17" t="str">
        <f aca="false">IF(Data_Summary!Y354&lt;&gt;"Coverage","",IF(Data_Summary!AA354="","",IF(COUNTIFS(Data_Summary!$Y$2:$Y354,"Coverage",Data_Summary!$AA$2:$AA354,Data_Summary!AA354)=1,Data_Summary!AA354,"")))</f>
        <v/>
      </c>
      <c r="AK353" s="17" t="str">
        <f aca="false">IF(AJ353="","",COUNTIFS(Data_Summary!$Y$2:$Y$20001,"Coverage",Data_Summary!$AA$2:$AA$20001,AJ353))</f>
        <v/>
      </c>
    </row>
    <row r="354" customFormat="false" ht="12.75" hidden="false" customHeight="true" outlineLevel="0" collapsed="false">
      <c r="AJ354" s="17" t="str">
        <f aca="false">IF(Data_Summary!Y355&lt;&gt;"Coverage","",IF(Data_Summary!AA355="","",IF(COUNTIFS(Data_Summary!$Y$2:$Y355,"Coverage",Data_Summary!$AA$2:$AA355,Data_Summary!AA355)=1,Data_Summary!AA355,"")))</f>
        <v/>
      </c>
      <c r="AK354" s="17" t="str">
        <f aca="false">IF(AJ354="","",COUNTIFS(Data_Summary!$Y$2:$Y$20001,"Coverage",Data_Summary!$AA$2:$AA$20001,AJ354))</f>
        <v/>
      </c>
    </row>
    <row r="355" customFormat="false" ht="12.75" hidden="false" customHeight="true" outlineLevel="0" collapsed="false">
      <c r="AJ355" s="17" t="str">
        <f aca="false">IF(Data_Summary!Y356&lt;&gt;"Coverage","",IF(Data_Summary!AA356="","",IF(COUNTIFS(Data_Summary!$Y$2:$Y356,"Coverage",Data_Summary!$AA$2:$AA356,Data_Summary!AA356)=1,Data_Summary!AA356,"")))</f>
        <v/>
      </c>
      <c r="AK355" s="17" t="str">
        <f aca="false">IF(AJ355="","",COUNTIFS(Data_Summary!$Y$2:$Y$20001,"Coverage",Data_Summary!$AA$2:$AA$20001,AJ355))</f>
        <v/>
      </c>
    </row>
    <row r="356" customFormat="false" ht="12.75" hidden="false" customHeight="true" outlineLevel="0" collapsed="false">
      <c r="AJ356" s="17" t="str">
        <f aca="false">IF(Data_Summary!Y357&lt;&gt;"Coverage","",IF(Data_Summary!AA357="","",IF(COUNTIFS(Data_Summary!$Y$2:$Y357,"Coverage",Data_Summary!$AA$2:$AA357,Data_Summary!AA357)=1,Data_Summary!AA357,"")))</f>
        <v/>
      </c>
      <c r="AK356" s="17" t="str">
        <f aca="false">IF(AJ356="","",COUNTIFS(Data_Summary!$Y$2:$Y$20001,"Coverage",Data_Summary!$AA$2:$AA$20001,AJ356))</f>
        <v/>
      </c>
    </row>
    <row r="357" customFormat="false" ht="12.75" hidden="false" customHeight="true" outlineLevel="0" collapsed="false">
      <c r="AJ357" s="17" t="str">
        <f aca="false">IF(Data_Summary!Y358&lt;&gt;"Coverage","",IF(Data_Summary!AA358="","",IF(COUNTIFS(Data_Summary!$Y$2:$Y358,"Coverage",Data_Summary!$AA$2:$AA358,Data_Summary!AA358)=1,Data_Summary!AA358,"")))</f>
        <v>Long-Term Role Alignment</v>
      </c>
      <c r="AK357" s="17" t="n">
        <f aca="false">IF(AJ357="","",COUNTIFS(Data_Summary!$Y$2:$Y$20001,"Coverage",Data_Summary!$AA$2:$AA$20001,AJ357))</f>
        <v>6</v>
      </c>
    </row>
    <row r="358" customFormat="false" ht="12.75" hidden="false" customHeight="true" outlineLevel="0" collapsed="false">
      <c r="AJ358" s="17" t="str">
        <f aca="false">IF(Data_Summary!Y359&lt;&gt;"Coverage","",IF(Data_Summary!AA359="","",IF(COUNTIFS(Data_Summary!$Y$2:$Y359,"Coverage",Data_Summary!$AA$2:$AA359,Data_Summary!AA359)=1,Data_Summary!AA359,"")))</f>
        <v/>
      </c>
      <c r="AK358" s="17" t="str">
        <f aca="false">IF(AJ358="","",COUNTIFS(Data_Summary!$Y$2:$Y$20001,"Coverage",Data_Summary!$AA$2:$AA$20001,AJ358))</f>
        <v/>
      </c>
    </row>
    <row r="359" customFormat="false" ht="12.75" hidden="false" customHeight="true" outlineLevel="0" collapsed="false">
      <c r="AJ359" s="17" t="str">
        <f aca="false">IF(Data_Summary!Y360&lt;&gt;"Coverage","",IF(Data_Summary!AA360="","",IF(COUNTIFS(Data_Summary!$Y$2:$Y360,"Coverage",Data_Summary!$AA$2:$AA360,Data_Summary!AA360)=1,Data_Summary!AA360,"")))</f>
        <v/>
      </c>
      <c r="AK359" s="17" t="str">
        <f aca="false">IF(AJ359="","",COUNTIFS(Data_Summary!$Y$2:$Y$20001,"Coverage",Data_Summary!$AA$2:$AA$20001,AJ359))</f>
        <v/>
      </c>
    </row>
    <row r="360" customFormat="false" ht="12.75" hidden="false" customHeight="true" outlineLevel="0" collapsed="false">
      <c r="AJ360" s="17" t="str">
        <f aca="false">IF(Data_Summary!Y361&lt;&gt;"Coverage","",IF(Data_Summary!AA361="","",IF(COUNTIFS(Data_Summary!$Y$2:$Y361,"Coverage",Data_Summary!$AA$2:$AA361,Data_Summary!AA361)=1,Data_Summary!AA361,"")))</f>
        <v/>
      </c>
      <c r="AK360" s="17" t="str">
        <f aca="false">IF(AJ360="","",COUNTIFS(Data_Summary!$Y$2:$Y$20001,"Coverage",Data_Summary!$AA$2:$AA$20001,AJ360))</f>
        <v/>
      </c>
    </row>
    <row r="361" customFormat="false" ht="12.75" hidden="false" customHeight="true" outlineLevel="0" collapsed="false">
      <c r="AJ361" s="17" t="str">
        <f aca="false">IF(Data_Summary!Y362&lt;&gt;"Coverage","",IF(Data_Summary!AA362="","",IF(COUNTIFS(Data_Summary!$Y$2:$Y362,"Coverage",Data_Summary!$AA$2:$AA362,Data_Summary!AA362)=1,Data_Summary!AA362,"")))</f>
        <v/>
      </c>
      <c r="AK361" s="17" t="str">
        <f aca="false">IF(AJ361="","",COUNTIFS(Data_Summary!$Y$2:$Y$20001,"Coverage",Data_Summary!$AA$2:$AA$20001,AJ361))</f>
        <v/>
      </c>
    </row>
    <row r="362" customFormat="false" ht="12.75" hidden="false" customHeight="true" outlineLevel="0" collapsed="false">
      <c r="AJ362" s="17" t="str">
        <f aca="false">IF(Data_Summary!Y363&lt;&gt;"Coverage","",IF(Data_Summary!AA363="","",IF(COUNTIFS(Data_Summary!$Y$2:$Y363,"Coverage",Data_Summary!$AA$2:$AA363,Data_Summary!AA363)=1,Data_Summary!AA363,"")))</f>
        <v/>
      </c>
      <c r="AK362" s="17" t="str">
        <f aca="false">IF(AJ362="","",COUNTIFS(Data_Summary!$Y$2:$Y$20001,"Coverage",Data_Summary!$AA$2:$AA$20001,AJ362))</f>
        <v/>
      </c>
    </row>
    <row r="363" customFormat="false" ht="12.75" hidden="false" customHeight="true" outlineLevel="0" collapsed="false">
      <c r="AJ363" s="17" t="str">
        <f aca="false">IF(Data_Summary!Y364&lt;&gt;"Coverage","",IF(Data_Summary!AA364="","",IF(COUNTIFS(Data_Summary!$Y$2:$Y364,"Coverage",Data_Summary!$AA$2:$AA364,Data_Summary!AA364)=1,Data_Summary!AA364,"")))</f>
        <v/>
      </c>
      <c r="AK363" s="17" t="str">
        <f aca="false">IF(AJ363="","",COUNTIFS(Data_Summary!$Y$2:$Y$20001,"Coverage",Data_Summary!$AA$2:$AA$20001,AJ363))</f>
        <v/>
      </c>
    </row>
    <row r="364" customFormat="false" ht="12.75" hidden="false" customHeight="true" outlineLevel="0" collapsed="false">
      <c r="AJ364" s="17" t="str">
        <f aca="false">IF(Data_Summary!Y365&lt;&gt;"Coverage","",IF(Data_Summary!AA365="","",IF(COUNTIFS(Data_Summary!$Y$2:$Y365,"Coverage",Data_Summary!$AA$2:$AA365,Data_Summary!AA365)=1,Data_Summary!AA365,"")))</f>
        <v/>
      </c>
      <c r="AK364" s="17" t="str">
        <f aca="false">IF(AJ364="","",COUNTIFS(Data_Summary!$Y$2:$Y$20001,"Coverage",Data_Summary!$AA$2:$AA$20001,AJ364))</f>
        <v/>
      </c>
    </row>
    <row r="365" customFormat="false" ht="12.75" hidden="false" customHeight="true" outlineLevel="0" collapsed="false">
      <c r="AJ365" s="17" t="str">
        <f aca="false">IF(Data_Summary!Y366&lt;&gt;"Coverage","",IF(Data_Summary!AA366="","",IF(COUNTIFS(Data_Summary!$Y$2:$Y366,"Coverage",Data_Summary!$AA$2:$AA366,Data_Summary!AA366)=1,Data_Summary!AA366,"")))</f>
        <v/>
      </c>
      <c r="AK365" s="17" t="str">
        <f aca="false">IF(AJ365="","",COUNTIFS(Data_Summary!$Y$2:$Y$20001,"Coverage",Data_Summary!$AA$2:$AA$20001,AJ365))</f>
        <v/>
      </c>
    </row>
    <row r="366" customFormat="false" ht="12.75" hidden="false" customHeight="true" outlineLevel="0" collapsed="false">
      <c r="AJ366" s="17" t="str">
        <f aca="false">IF(Data_Summary!Y367&lt;&gt;"Coverage","",IF(Data_Summary!AA367="","",IF(COUNTIFS(Data_Summary!$Y$2:$Y367,"Coverage",Data_Summary!$AA$2:$AA367,Data_Summary!AA367)=1,Data_Summary!AA367,"")))</f>
        <v/>
      </c>
      <c r="AK366" s="17" t="str">
        <f aca="false">IF(AJ366="","",COUNTIFS(Data_Summary!$Y$2:$Y$20001,"Coverage",Data_Summary!$AA$2:$AA$20001,AJ366))</f>
        <v/>
      </c>
    </row>
    <row r="367" customFormat="false" ht="12.75" hidden="false" customHeight="true" outlineLevel="0" collapsed="false">
      <c r="AJ367" s="17" t="str">
        <f aca="false">IF(Data_Summary!Y368&lt;&gt;"Coverage","",IF(Data_Summary!AA368="","",IF(COUNTIFS(Data_Summary!$Y$2:$Y368,"Coverage",Data_Summary!$AA$2:$AA368,Data_Summary!AA368)=1,Data_Summary!AA368,"")))</f>
        <v/>
      </c>
      <c r="AK367" s="17" t="str">
        <f aca="false">IF(AJ367="","",COUNTIFS(Data_Summary!$Y$2:$Y$20001,"Coverage",Data_Summary!$AA$2:$AA$20001,AJ367))</f>
        <v/>
      </c>
    </row>
    <row r="368" customFormat="false" ht="12.75" hidden="false" customHeight="true" outlineLevel="0" collapsed="false">
      <c r="AJ368" s="17" t="str">
        <f aca="false">IF(Data_Summary!Y369&lt;&gt;"Coverage","",IF(Data_Summary!AA369="","",IF(COUNTIFS(Data_Summary!$Y$2:$Y369,"Coverage",Data_Summary!$AA$2:$AA369,Data_Summary!AA369)=1,Data_Summary!AA369,"")))</f>
        <v/>
      </c>
      <c r="AK368" s="17" t="str">
        <f aca="false">IF(AJ368="","",COUNTIFS(Data_Summary!$Y$2:$Y$20001,"Coverage",Data_Summary!$AA$2:$AA$20001,AJ368))</f>
        <v/>
      </c>
    </row>
    <row r="369" customFormat="false" ht="12.75" hidden="false" customHeight="true" outlineLevel="0" collapsed="false">
      <c r="AJ369" s="17" t="str">
        <f aca="false">IF(Data_Summary!Y370&lt;&gt;"Coverage","",IF(Data_Summary!AA370="","",IF(COUNTIFS(Data_Summary!$Y$2:$Y370,"Coverage",Data_Summary!$AA$2:$AA370,Data_Summary!AA370)=1,Data_Summary!AA370,"")))</f>
        <v/>
      </c>
      <c r="AK369" s="17" t="str">
        <f aca="false">IF(AJ369="","",COUNTIFS(Data_Summary!$Y$2:$Y$20001,"Coverage",Data_Summary!$AA$2:$AA$20001,AJ369))</f>
        <v/>
      </c>
    </row>
    <row r="370" customFormat="false" ht="12.75" hidden="false" customHeight="true" outlineLevel="0" collapsed="false">
      <c r="AJ370" s="17" t="str">
        <f aca="false">IF(Data_Summary!Y371&lt;&gt;"Coverage","",IF(Data_Summary!AA371="","",IF(COUNTIFS(Data_Summary!$Y$2:$Y371,"Coverage",Data_Summary!$AA$2:$AA371,Data_Summary!AA371)=1,Data_Summary!AA371,"")))</f>
        <v/>
      </c>
      <c r="AK370" s="17" t="str">
        <f aca="false">IF(AJ370="","",COUNTIFS(Data_Summary!$Y$2:$Y$20001,"Coverage",Data_Summary!$AA$2:$AA$20001,AJ370))</f>
        <v/>
      </c>
    </row>
    <row r="371" customFormat="false" ht="12.75" hidden="false" customHeight="true" outlineLevel="0" collapsed="false">
      <c r="AJ371" s="17" t="str">
        <f aca="false">IF(Data_Summary!Y372&lt;&gt;"Coverage","",IF(Data_Summary!AA372="","",IF(COUNTIFS(Data_Summary!$Y$2:$Y372,"Coverage",Data_Summary!$AA$2:$AA372,Data_Summary!AA372)=1,Data_Summary!AA372,"")))</f>
        <v/>
      </c>
      <c r="AK371" s="17" t="str">
        <f aca="false">IF(AJ371="","",COUNTIFS(Data_Summary!$Y$2:$Y$20001,"Coverage",Data_Summary!$AA$2:$AA$20001,AJ371))</f>
        <v/>
      </c>
    </row>
    <row r="372" customFormat="false" ht="12.75" hidden="false" customHeight="true" outlineLevel="0" collapsed="false">
      <c r="AJ372" s="17" t="str">
        <f aca="false">IF(Data_Summary!Y373&lt;&gt;"Coverage","",IF(Data_Summary!AA373="","",IF(COUNTIFS(Data_Summary!$Y$2:$Y373,"Coverage",Data_Summary!$AA$2:$AA373,Data_Summary!AA373)=1,Data_Summary!AA373,"")))</f>
        <v/>
      </c>
      <c r="AK372" s="17" t="str">
        <f aca="false">IF(AJ372="","",COUNTIFS(Data_Summary!$Y$2:$Y$20001,"Coverage",Data_Summary!$AA$2:$AA$20001,AJ372))</f>
        <v/>
      </c>
    </row>
    <row r="373" customFormat="false" ht="12.75" hidden="false" customHeight="true" outlineLevel="0" collapsed="false">
      <c r="AJ373" s="17" t="str">
        <f aca="false">IF(Data_Summary!Y374&lt;&gt;"Coverage","",IF(Data_Summary!AA374="","",IF(COUNTIFS(Data_Summary!$Y$2:$Y374,"Coverage",Data_Summary!$AA$2:$AA374,Data_Summary!AA374)=1,Data_Summary!AA374,"")))</f>
        <v>Infrastructure / Workplace Enablement</v>
      </c>
      <c r="AK373" s="17" t="n">
        <f aca="false">IF(AJ373="","",COUNTIFS(Data_Summary!$Y$2:$Y$20001,"Coverage",Data_Summary!$AA$2:$AA$20001,AJ373))</f>
        <v>6</v>
      </c>
    </row>
    <row r="374" customFormat="false" ht="12.75" hidden="false" customHeight="true" outlineLevel="0" collapsed="false">
      <c r="AJ374" s="17" t="str">
        <f aca="false">IF(Data_Summary!Y375&lt;&gt;"Coverage","",IF(Data_Summary!AA375="","",IF(COUNTIFS(Data_Summary!$Y$2:$Y375,"Coverage",Data_Summary!$AA$2:$AA375,Data_Summary!AA375)=1,Data_Summary!AA375,"")))</f>
        <v/>
      </c>
      <c r="AK374" s="17" t="str">
        <f aca="false">IF(AJ374="","",COUNTIFS(Data_Summary!$Y$2:$Y$20001,"Coverage",Data_Summary!$AA$2:$AA$20001,AJ374))</f>
        <v/>
      </c>
    </row>
    <row r="375" customFormat="false" ht="12.75" hidden="false" customHeight="true" outlineLevel="0" collapsed="false">
      <c r="AJ375" s="17" t="str">
        <f aca="false">IF(Data_Summary!Y376&lt;&gt;"Coverage","",IF(Data_Summary!AA376="","",IF(COUNTIFS(Data_Summary!$Y$2:$Y376,"Coverage",Data_Summary!$AA$2:$AA376,Data_Summary!AA376)=1,Data_Summary!AA376,"")))</f>
        <v/>
      </c>
      <c r="AK375" s="17" t="str">
        <f aca="false">IF(AJ375="","",COUNTIFS(Data_Summary!$Y$2:$Y$20001,"Coverage",Data_Summary!$AA$2:$AA$20001,AJ375))</f>
        <v/>
      </c>
    </row>
    <row r="376" customFormat="false" ht="12.75" hidden="false" customHeight="true" outlineLevel="0" collapsed="false">
      <c r="AJ376" s="17" t="str">
        <f aca="false">IF(Data_Summary!Y377&lt;&gt;"Coverage","",IF(Data_Summary!AA377="","",IF(COUNTIFS(Data_Summary!$Y$2:$Y377,"Coverage",Data_Summary!$AA$2:$AA377,Data_Summary!AA377)=1,Data_Summary!AA377,"")))</f>
        <v/>
      </c>
      <c r="AK376" s="17" t="str">
        <f aca="false">IF(AJ376="","",COUNTIFS(Data_Summary!$Y$2:$Y$20001,"Coverage",Data_Summary!$AA$2:$AA$20001,AJ376))</f>
        <v/>
      </c>
    </row>
    <row r="377" customFormat="false" ht="12.75" hidden="false" customHeight="true" outlineLevel="0" collapsed="false">
      <c r="AJ377" s="17" t="str">
        <f aca="false">IF(Data_Summary!Y378&lt;&gt;"Coverage","",IF(Data_Summary!AA378="","",IF(COUNTIFS(Data_Summary!$Y$2:$Y378,"Coverage",Data_Summary!$AA$2:$AA378,Data_Summary!AA378)=1,Data_Summary!AA378,"")))</f>
        <v/>
      </c>
      <c r="AK377" s="17" t="str">
        <f aca="false">IF(AJ377="","",COUNTIFS(Data_Summary!$Y$2:$Y$20001,"Coverage",Data_Summary!$AA$2:$AA$20001,AJ377))</f>
        <v/>
      </c>
    </row>
    <row r="378" customFormat="false" ht="12.75" hidden="false" customHeight="true" outlineLevel="0" collapsed="false">
      <c r="AJ378" s="17" t="str">
        <f aca="false">IF(Data_Summary!Y379&lt;&gt;"Coverage","",IF(Data_Summary!AA379="","",IF(COUNTIFS(Data_Summary!$Y$2:$Y379,"Coverage",Data_Summary!$AA$2:$AA379,Data_Summary!AA379)=1,Data_Summary!AA379,"")))</f>
        <v>Monthly Cadence IBU Head coverage on HC, Attrition, eltp and Bench</v>
      </c>
      <c r="AK378" s="17" t="n">
        <f aca="false">IF(AJ378="","",COUNTIFS(Data_Summary!$Y$2:$Y$20001,"Coverage",Data_Summary!$AA$2:$AA$20001,AJ378))</f>
        <v>2</v>
      </c>
    </row>
    <row r="379" customFormat="false" ht="12.75" hidden="false" customHeight="true" outlineLevel="0" collapsed="false">
      <c r="AJ379" s="17" t="str">
        <f aca="false">IF(Data_Summary!Y380&lt;&gt;"Coverage","",IF(Data_Summary!AA380="","",IF(COUNTIFS(Data_Summary!$Y$2:$Y380,"Coverage",Data_Summary!$AA$2:$AA380,Data_Summary!AA380)=1,Data_Summary!AA380,"")))</f>
        <v/>
      </c>
      <c r="AK379" s="17" t="str">
        <f aca="false">IF(AJ379="","",COUNTIFS(Data_Summary!$Y$2:$Y$20001,"Coverage",Data_Summary!$AA$2:$AA$20001,AJ379))</f>
        <v/>
      </c>
    </row>
    <row r="380" customFormat="false" ht="12.75" hidden="false" customHeight="true" outlineLevel="0" collapsed="false">
      <c r="AJ380" s="17" t="str">
        <f aca="false">IF(Data_Summary!Y381&lt;&gt;"Coverage","",IF(Data_Summary!AA381="","",IF(COUNTIFS(Data_Summary!$Y$2:$Y381,"Coverage",Data_Summary!$AA$2:$AA381,Data_Summary!AA381)=1,Data_Summary!AA381,"")))</f>
        <v/>
      </c>
      <c r="AK380" s="17" t="str">
        <f aca="false">IF(AJ380="","",COUNTIFS(Data_Summary!$Y$2:$Y$20001,"Coverage",Data_Summary!$AA$2:$AA$20001,AJ380))</f>
        <v/>
      </c>
    </row>
    <row r="381" customFormat="false" ht="12.75" hidden="false" customHeight="true" outlineLevel="0" collapsed="false">
      <c r="AJ381" s="17" t="str">
        <f aca="false">IF(Data_Summary!Y382&lt;&gt;"Coverage","",IF(Data_Summary!AA382="","",IF(COUNTIFS(Data_Summary!$Y$2:$Y382,"Coverage",Data_Summary!$AA$2:$AA382,Data_Summary!AA382)=1,Data_Summary!AA382,"")))</f>
        <v/>
      </c>
      <c r="AK381" s="17" t="str">
        <f aca="false">IF(AJ381="","",COUNTIFS(Data_Summary!$Y$2:$Y$20001,"Coverage",Data_Summary!$AA$2:$AA$20001,AJ381))</f>
        <v/>
      </c>
    </row>
    <row r="382" customFormat="false" ht="12.75" hidden="false" customHeight="true" outlineLevel="0" collapsed="false">
      <c r="AJ382" s="17" t="str">
        <f aca="false">IF(Data_Summary!Y383&lt;&gt;"Coverage","",IF(Data_Summary!AA383="","",IF(COUNTIFS(Data_Summary!$Y$2:$Y383,"Coverage",Data_Summary!$AA$2:$AA383,Data_Summary!AA383)=1,Data_Summary!AA383,"")))</f>
        <v/>
      </c>
      <c r="AK382" s="17" t="str">
        <f aca="false">IF(AJ382="","",COUNTIFS(Data_Summary!$Y$2:$Y$20001,"Coverage",Data_Summary!$AA$2:$AA$20001,AJ382))</f>
        <v/>
      </c>
    </row>
    <row r="383" customFormat="false" ht="12.75" hidden="false" customHeight="true" outlineLevel="0" collapsed="false">
      <c r="AJ383" s="17" t="str">
        <f aca="false">IF(Data_Summary!Y384&lt;&gt;"Coverage","",IF(Data_Summary!AA384="","",IF(COUNTIFS(Data_Summary!$Y$2:$Y384,"Coverage",Data_Summary!$AA$2:$AA384,Data_Summary!AA384)=1,Data_Summary!AA384,"")))</f>
        <v/>
      </c>
      <c r="AK383" s="17" t="str">
        <f aca="false">IF(AJ383="","",COUNTIFS(Data_Summary!$Y$2:$Y$20001,"Coverage",Data_Summary!$AA$2:$AA$20001,AJ383))</f>
        <v/>
      </c>
    </row>
    <row r="384" customFormat="false" ht="12.75" hidden="false" customHeight="true" outlineLevel="0" collapsed="false">
      <c r="AJ384" s="17" t="str">
        <f aca="false">IF(Data_Summary!Y385&lt;&gt;"Coverage","",IF(Data_Summary!AA385="","",IF(COUNTIFS(Data_Summary!$Y$2:$Y385,"Coverage",Data_Summary!$AA$2:$AA385,Data_Summary!AA385)=1,Data_Summary!AA385,"")))</f>
        <v/>
      </c>
      <c r="AK384" s="17" t="str">
        <f aca="false">IF(AJ384="","",COUNTIFS(Data_Summary!$Y$2:$Y$20001,"Coverage",Data_Summary!$AA$2:$AA$20001,AJ384))</f>
        <v/>
      </c>
    </row>
    <row r="385" customFormat="false" ht="12.75" hidden="false" customHeight="true" outlineLevel="0" collapsed="false">
      <c r="AJ385" s="17" t="str">
        <f aca="false">IF(Data_Summary!Y386&lt;&gt;"Coverage","",IF(Data_Summary!AA386="","",IF(COUNTIFS(Data_Summary!$Y$2:$Y386,"Coverage",Data_Summary!$AA$2:$AA386,Data_Summary!AA386)=1,Data_Summary!AA386,"")))</f>
        <v/>
      </c>
      <c r="AK385" s="17" t="str">
        <f aca="false">IF(AJ385="","",COUNTIFS(Data_Summary!$Y$2:$Y$20001,"Coverage",Data_Summary!$AA$2:$AA$20001,AJ385))</f>
        <v/>
      </c>
    </row>
    <row r="386" customFormat="false" ht="12.75" hidden="false" customHeight="true" outlineLevel="0" collapsed="false">
      <c r="AJ386" s="17" t="str">
        <f aca="false">IF(Data_Summary!Y387&lt;&gt;"Coverage","",IF(Data_Summary!AA387="","",IF(COUNTIFS(Data_Summary!$Y$2:$Y387,"Coverage",Data_Summary!$AA$2:$AA387,Data_Summary!AA387)=1,Data_Summary!AA387,"")))</f>
        <v/>
      </c>
      <c r="AK386" s="17" t="str">
        <f aca="false">IF(AJ386="","",COUNTIFS(Data_Summary!$Y$2:$Y$20001,"Coverage",Data_Summary!$AA$2:$AA$20001,AJ386))</f>
        <v/>
      </c>
    </row>
    <row r="387" customFormat="false" ht="12.75" hidden="false" customHeight="true" outlineLevel="0" collapsed="false">
      <c r="AJ387" s="17" t="str">
        <f aca="false">IF(Data_Summary!Y388&lt;&gt;"Coverage","",IF(Data_Summary!AA388="","",IF(COUNTIFS(Data_Summary!$Y$2:$Y388,"Coverage",Data_Summary!$AA$2:$AA388,Data_Summary!AA388)=1,Data_Summary!AA388,"")))</f>
        <v/>
      </c>
      <c r="AK387" s="17" t="str">
        <f aca="false">IF(AJ387="","",COUNTIFS(Data_Summary!$Y$2:$Y$20001,"Coverage",Data_Summary!$AA$2:$AA$20001,AJ387))</f>
        <v/>
      </c>
    </row>
    <row r="388" customFormat="false" ht="12.75" hidden="false" customHeight="true" outlineLevel="0" collapsed="false">
      <c r="AJ388" s="17" t="str">
        <f aca="false">IF(Data_Summary!Y389&lt;&gt;"Coverage","",IF(Data_Summary!AA389="","",IF(COUNTIFS(Data_Summary!$Y$2:$Y389,"Coverage",Data_Summary!$AA$2:$AA389,Data_Summary!AA389)=1,Data_Summary!AA389,"")))</f>
        <v/>
      </c>
      <c r="AK388" s="17" t="str">
        <f aca="false">IF(AJ388="","",COUNTIFS(Data_Summary!$Y$2:$Y$20001,"Coverage",Data_Summary!$AA$2:$AA$20001,AJ388))</f>
        <v/>
      </c>
    </row>
    <row r="389" customFormat="false" ht="12.75" hidden="false" customHeight="true" outlineLevel="0" collapsed="false">
      <c r="AJ389" s="17" t="str">
        <f aca="false">IF(Data_Summary!Y390&lt;&gt;"Coverage","",IF(Data_Summary!AA390="","",IF(COUNTIFS(Data_Summary!$Y$2:$Y390,"Coverage",Data_Summary!$AA$2:$AA390,Data_Summary!AA390)=1,Data_Summary!AA390,"")))</f>
        <v/>
      </c>
      <c r="AK389" s="17" t="str">
        <f aca="false">IF(AJ389="","",COUNTIFS(Data_Summary!$Y$2:$Y$20001,"Coverage",Data_Summary!$AA$2:$AA$20001,AJ389))</f>
        <v/>
      </c>
    </row>
    <row r="390" customFormat="false" ht="12.75" hidden="false" customHeight="true" outlineLevel="0" collapsed="false">
      <c r="AJ390" s="17" t="str">
        <f aca="false">IF(Data_Summary!Y391&lt;&gt;"Coverage","",IF(Data_Summary!AA391="","",IF(COUNTIFS(Data_Summary!$Y$2:$Y391,"Coverage",Data_Summary!$AA$2:$AA391,Data_Summary!AA391)=1,Data_Summary!AA391,"")))</f>
        <v/>
      </c>
      <c r="AK390" s="17" t="str">
        <f aca="false">IF(AJ390="","",COUNTIFS(Data_Summary!$Y$2:$Y$20001,"Coverage",Data_Summary!$AA$2:$AA$20001,AJ390))</f>
        <v/>
      </c>
    </row>
    <row r="391" customFormat="false" ht="12.75" hidden="false" customHeight="true" outlineLevel="0" collapsed="false">
      <c r="AJ391" s="17" t="str">
        <f aca="false">IF(Data_Summary!Y392&lt;&gt;"Coverage","",IF(Data_Summary!AA392="","",IF(COUNTIFS(Data_Summary!$Y$2:$Y392,"Coverage",Data_Summary!$AA$2:$AA392,Data_Summary!AA392)=1,Data_Summary!AA392,"")))</f>
        <v>Guidance On Leave, Travel, And Exception Approvals</v>
      </c>
      <c r="AK391" s="17" t="n">
        <f aca="false">IF(AJ391="","",COUNTIFS(Data_Summary!$Y$2:$Y$20001,"Coverage",Data_Summary!$AA$2:$AA$20001,AJ391))</f>
        <v>2</v>
      </c>
    </row>
    <row r="392" customFormat="false" ht="12.75" hidden="false" customHeight="true" outlineLevel="0" collapsed="false">
      <c r="AJ392" s="17" t="str">
        <f aca="false">IF(Data_Summary!Y393&lt;&gt;"Coverage","",IF(Data_Summary!AA393="","",IF(COUNTIFS(Data_Summary!$Y$2:$Y393,"Coverage",Data_Summary!$AA$2:$AA393,Data_Summary!AA393)=1,Data_Summary!AA393,"")))</f>
        <v/>
      </c>
      <c r="AK392" s="17" t="str">
        <f aca="false">IF(AJ392="","",COUNTIFS(Data_Summary!$Y$2:$Y$20001,"Coverage",Data_Summary!$AA$2:$AA$20001,AJ392))</f>
        <v/>
      </c>
    </row>
    <row r="393" customFormat="false" ht="12.75" hidden="false" customHeight="true" outlineLevel="0" collapsed="false">
      <c r="AJ393" s="17" t="str">
        <f aca="false">IF(Data_Summary!Y394&lt;&gt;"Coverage","",IF(Data_Summary!AA394="","",IF(COUNTIFS(Data_Summary!$Y$2:$Y394,"Coverage",Data_Summary!$AA$2:$AA394,Data_Summary!AA394)=1,Data_Summary!AA394,"")))</f>
        <v/>
      </c>
      <c r="AK393" s="17" t="str">
        <f aca="false">IF(AJ393="","",COUNTIFS(Data_Summary!$Y$2:$Y$20001,"Coverage",Data_Summary!$AA$2:$AA$20001,AJ393))</f>
        <v/>
      </c>
    </row>
    <row r="394" customFormat="false" ht="12.75" hidden="false" customHeight="true" outlineLevel="0" collapsed="false">
      <c r="AJ394" s="17" t="str">
        <f aca="false">IF(Data_Summary!Y395&lt;&gt;"Coverage","",IF(Data_Summary!AA395="","",IF(COUNTIFS(Data_Summary!$Y$2:$Y395,"Coverage",Data_Summary!$AA$2:$AA395,Data_Summary!AA395)=1,Data_Summary!AA395,"")))</f>
        <v/>
      </c>
      <c r="AK394" s="17" t="str">
        <f aca="false">IF(AJ394="","",COUNTIFS(Data_Summary!$Y$2:$Y$20001,"Coverage",Data_Summary!$AA$2:$AA$20001,AJ394))</f>
        <v/>
      </c>
    </row>
    <row r="395" customFormat="false" ht="12.75" hidden="false" customHeight="true" outlineLevel="0" collapsed="false">
      <c r="AJ395" s="17" t="str">
        <f aca="false">IF(Data_Summary!Y396&lt;&gt;"Coverage","",IF(Data_Summary!AA396="","",IF(COUNTIFS(Data_Summary!$Y$2:$Y396,"Coverage",Data_Summary!$AA$2:$AA396,Data_Summary!AA396)=1,Data_Summary!AA396,"")))</f>
        <v/>
      </c>
      <c r="AK395" s="17" t="str">
        <f aca="false">IF(AJ395="","",COUNTIFS(Data_Summary!$Y$2:$Y$20001,"Coverage",Data_Summary!$AA$2:$AA$20001,AJ395))</f>
        <v/>
      </c>
    </row>
    <row r="396" customFormat="false" ht="12.75" hidden="false" customHeight="true" outlineLevel="0" collapsed="false">
      <c r="AJ396" s="17" t="str">
        <f aca="false">IF(Data_Summary!Y397&lt;&gt;"Coverage","",IF(Data_Summary!AA397="","",IF(COUNTIFS(Data_Summary!$Y$2:$Y397,"Coverage",Data_Summary!$AA$2:$AA397,Data_Summary!AA397)=1,Data_Summary!AA397,"")))</f>
        <v/>
      </c>
      <c r="AK396" s="17" t="str">
        <f aca="false">IF(AJ396="","",COUNTIFS(Data_Summary!$Y$2:$Y$20001,"Coverage",Data_Summary!$AA$2:$AA$20001,AJ396))</f>
        <v/>
      </c>
    </row>
    <row r="397" customFormat="false" ht="12.75" hidden="false" customHeight="true" outlineLevel="0" collapsed="false">
      <c r="AJ397" s="17" t="str">
        <f aca="false">IF(Data_Summary!Y398&lt;&gt;"Coverage","",IF(Data_Summary!AA398="","",IF(COUNTIFS(Data_Summary!$Y$2:$Y398,"Coverage",Data_Summary!$AA$2:$AA398,Data_Summary!AA398)=1,Data_Summary!AA398,"")))</f>
        <v/>
      </c>
      <c r="AK397" s="17" t="str">
        <f aca="false">IF(AJ397="","",COUNTIFS(Data_Summary!$Y$2:$Y$20001,"Coverage",Data_Summary!$AA$2:$AA$20001,AJ397))</f>
        <v/>
      </c>
    </row>
    <row r="398" customFormat="false" ht="12.75" hidden="false" customHeight="true" outlineLevel="0" collapsed="false">
      <c r="AJ398" s="17" t="str">
        <f aca="false">IF(Data_Summary!Y399&lt;&gt;"Coverage","",IF(Data_Summary!AA399="","",IF(COUNTIFS(Data_Summary!$Y$2:$Y399,"Coverage",Data_Summary!$AA$2:$AA399,Data_Summary!AA399)=1,Data_Summary!AA399,"")))</f>
        <v/>
      </c>
      <c r="AK398" s="17" t="str">
        <f aca="false">IF(AJ398="","",COUNTIFS(Data_Summary!$Y$2:$Y$20001,"Coverage",Data_Summary!$AA$2:$AA$20001,AJ398))</f>
        <v/>
      </c>
    </row>
    <row r="399" customFormat="false" ht="12.75" hidden="false" customHeight="true" outlineLevel="0" collapsed="false">
      <c r="AJ399" s="17" t="str">
        <f aca="false">IF(Data_Summary!Y400&lt;&gt;"Coverage","",IF(Data_Summary!AA400="","",IF(COUNTIFS(Data_Summary!$Y$2:$Y400,"Coverage",Data_Summary!$AA$2:$AA400,Data_Summary!AA400)=1,Data_Summary!AA400,"")))</f>
        <v/>
      </c>
      <c r="AK399" s="17" t="str">
        <f aca="false">IF(AJ399="","",COUNTIFS(Data_Summary!$Y$2:$Y$20001,"Coverage",Data_Summary!$AA$2:$AA$20001,AJ399))</f>
        <v/>
      </c>
    </row>
    <row r="400" customFormat="false" ht="12.75" hidden="false" customHeight="true" outlineLevel="0" collapsed="false">
      <c r="AJ400" s="17" t="str">
        <f aca="false">IF(Data_Summary!Y401&lt;&gt;"Coverage","",IF(Data_Summary!AA401="","",IF(COUNTIFS(Data_Summary!$Y$2:$Y401,"Coverage",Data_Summary!$AA$2:$AA401,Data_Summary!AA401)=1,Data_Summary!AA401,"")))</f>
        <v/>
      </c>
      <c r="AK400" s="17" t="str">
        <f aca="false">IF(AJ400="","",COUNTIFS(Data_Summary!$Y$2:$Y$20001,"Coverage",Data_Summary!$AA$2:$AA$20001,AJ400))</f>
        <v/>
      </c>
    </row>
    <row r="401" customFormat="false" ht="12.75" hidden="false" customHeight="true" outlineLevel="0" collapsed="false">
      <c r="AJ401" s="17" t="str">
        <f aca="false">IF(Data_Summary!Y402&lt;&gt;"Coverage","",IF(Data_Summary!AA402="","",IF(COUNTIFS(Data_Summary!$Y$2:$Y402,"Coverage",Data_Summary!$AA$2:$AA402,Data_Summary!AA402)=1,Data_Summary!AA402,"")))</f>
        <v/>
      </c>
      <c r="AK401" s="17" t="str">
        <f aca="false">IF(AJ401="","",COUNTIFS(Data_Summary!$Y$2:$Y$20001,"Coverage",Data_Summary!$AA$2:$AA$20001,AJ401))</f>
        <v/>
      </c>
    </row>
    <row r="402" customFormat="false" ht="12.75" hidden="false" customHeight="true" outlineLevel="0" collapsed="false">
      <c r="AJ402" s="17" t="str">
        <f aca="false">IF(Data_Summary!Y403&lt;&gt;"Coverage","",IF(Data_Summary!AA403="","",IF(COUNTIFS(Data_Summary!$Y$2:$Y403,"Coverage",Data_Summary!$AA$2:$AA403,Data_Summary!AA403)=1,Data_Summary!AA403,"")))</f>
        <v/>
      </c>
      <c r="AK402" s="17" t="str">
        <f aca="false">IF(AJ402="","",COUNTIFS(Data_Summary!$Y$2:$Y$20001,"Coverage",Data_Summary!$AA$2:$AA$20001,AJ402))</f>
        <v/>
      </c>
    </row>
    <row r="403" customFormat="false" ht="12.75" hidden="false" customHeight="true" outlineLevel="0" collapsed="false">
      <c r="AJ403" s="17" t="str">
        <f aca="false">IF(Data_Summary!Y404&lt;&gt;"Coverage","",IF(Data_Summary!AA404="","",IF(COUNTIFS(Data_Summary!$Y$2:$Y404,"Coverage",Data_Summary!$AA$2:$AA404,Data_Summary!AA404)=1,Data_Summary!AA404,"")))</f>
        <v/>
      </c>
      <c r="AK403" s="17" t="str">
        <f aca="false">IF(AJ403="","",COUNTIFS(Data_Summary!$Y$2:$Y$20001,"Coverage",Data_Summary!$AA$2:$AA$20001,AJ403))</f>
        <v/>
      </c>
    </row>
    <row r="404" customFormat="false" ht="12.75" hidden="false" customHeight="true" outlineLevel="0" collapsed="false">
      <c r="AJ404" s="17" t="str">
        <f aca="false">IF(Data_Summary!Y405&lt;&gt;"Coverage","",IF(Data_Summary!AA405="","",IF(COUNTIFS(Data_Summary!$Y$2:$Y405,"Coverage",Data_Summary!$AA$2:$AA405,Data_Summary!AA405)=1,Data_Summary!AA405,"")))</f>
        <v/>
      </c>
      <c r="AK404" s="17" t="str">
        <f aca="false">IF(AJ404="","",COUNTIFS(Data_Summary!$Y$2:$Y$20001,"Coverage",Data_Summary!$AA$2:$AA$20001,AJ404))</f>
        <v/>
      </c>
    </row>
    <row r="405" customFormat="false" ht="12.75" hidden="false" customHeight="true" outlineLevel="0" collapsed="false">
      <c r="AJ405" s="17" t="str">
        <f aca="false">IF(Data_Summary!Y406&lt;&gt;"Coverage","",IF(Data_Summary!AA406="","",IF(COUNTIFS(Data_Summary!$Y$2:$Y406,"Coverage",Data_Summary!$AA$2:$AA406,Data_Summary!AA406)=1,Data_Summary!AA406,"")))</f>
        <v/>
      </c>
      <c r="AK405" s="17" t="str">
        <f aca="false">IF(AJ405="","",COUNTIFS(Data_Summary!$Y$2:$Y$20001,"Coverage",Data_Summary!$AA$2:$AA$20001,AJ405))</f>
        <v/>
      </c>
    </row>
    <row r="406" customFormat="false" ht="12.75" hidden="false" customHeight="true" outlineLevel="0" collapsed="false">
      <c r="AJ406" s="17" t="str">
        <f aca="false">IF(Data_Summary!Y407&lt;&gt;"Coverage","",IF(Data_Summary!AA407="","",IF(COUNTIFS(Data_Summary!$Y$2:$Y407,"Coverage",Data_Summary!$AA$2:$AA407,Data_Summary!AA407)=1,Data_Summary!AA407,"")))</f>
        <v>Engagement &amp; Belonging</v>
      </c>
      <c r="AK406" s="17" t="n">
        <f aca="false">IF(AJ406="","",COUNTIFS(Data_Summary!$Y$2:$Y$20001,"Coverage",Data_Summary!$AA$2:$AA$20001,AJ406))</f>
        <v>9</v>
      </c>
    </row>
    <row r="407" customFormat="false" ht="12.75" hidden="false" customHeight="true" outlineLevel="0" collapsed="false">
      <c r="AJ407" s="17" t="str">
        <f aca="false">IF(Data_Summary!Y408&lt;&gt;"Coverage","",IF(Data_Summary!AA408="","",IF(COUNTIFS(Data_Summary!$Y$2:$Y408,"Coverage",Data_Summary!$AA$2:$AA408,Data_Summary!AA408)=1,Data_Summary!AA408,"")))</f>
        <v/>
      </c>
      <c r="AK407" s="17" t="str">
        <f aca="false">IF(AJ407="","",COUNTIFS(Data_Summary!$Y$2:$Y$20001,"Coverage",Data_Summary!$AA$2:$AA$20001,AJ407))</f>
        <v/>
      </c>
    </row>
    <row r="408" customFormat="false" ht="12.75" hidden="false" customHeight="true" outlineLevel="0" collapsed="false">
      <c r="AJ408" s="17" t="str">
        <f aca="false">IF(Data_Summary!Y409&lt;&gt;"Coverage","",IF(Data_Summary!AA409="","",IF(COUNTIFS(Data_Summary!$Y$2:$Y409,"Coverage",Data_Summary!$AA$2:$AA409,Data_Summary!AA409)=1,Data_Summary!AA409,"")))</f>
        <v/>
      </c>
      <c r="AK408" s="17" t="str">
        <f aca="false">IF(AJ408="","",COUNTIFS(Data_Summary!$Y$2:$Y$20001,"Coverage",Data_Summary!$AA$2:$AA$20001,AJ408))</f>
        <v/>
      </c>
    </row>
    <row r="409" customFormat="false" ht="12.75" hidden="false" customHeight="true" outlineLevel="0" collapsed="false">
      <c r="AJ409" s="17" t="str">
        <f aca="false">IF(Data_Summary!Y410&lt;&gt;"Coverage","",IF(Data_Summary!AA410="","",IF(COUNTIFS(Data_Summary!$Y$2:$Y410,"Coverage",Data_Summary!$AA$2:$AA410,Data_Summary!AA410)=1,Data_Summary!AA410,"")))</f>
        <v/>
      </c>
      <c r="AK409" s="17" t="str">
        <f aca="false">IF(AJ409="","",COUNTIFS(Data_Summary!$Y$2:$Y$20001,"Coverage",Data_Summary!$AA$2:$AA$20001,AJ409))</f>
        <v/>
      </c>
    </row>
    <row r="410" customFormat="false" ht="12.75" hidden="false" customHeight="true" outlineLevel="0" collapsed="false">
      <c r="AJ410" s="17" t="str">
        <f aca="false">IF(Data_Summary!Y411&lt;&gt;"Coverage","",IF(Data_Summary!AA411="","",IF(COUNTIFS(Data_Summary!$Y$2:$Y411,"Coverage",Data_Summary!$AA$2:$AA411,Data_Summary!AA411)=1,Data_Summary!AA411,"")))</f>
        <v/>
      </c>
      <c r="AK410" s="17" t="str">
        <f aca="false">IF(AJ410="","",COUNTIFS(Data_Summary!$Y$2:$Y$20001,"Coverage",Data_Summary!$AA$2:$AA$20001,AJ410))</f>
        <v/>
      </c>
    </row>
    <row r="411" customFormat="false" ht="12.75" hidden="false" customHeight="true" outlineLevel="0" collapsed="false">
      <c r="AJ411" s="17" t="str">
        <f aca="false">IF(Data_Summary!Y412&lt;&gt;"Coverage","",IF(Data_Summary!AA412="","",IF(COUNTIFS(Data_Summary!$Y$2:$Y412,"Coverage",Data_Summary!$AA$2:$AA412,Data_Summary!AA412)=1,Data_Summary!AA412,"")))</f>
        <v/>
      </c>
      <c r="AK411" s="17" t="str">
        <f aca="false">IF(AJ411="","",COUNTIFS(Data_Summary!$Y$2:$Y$20001,"Coverage",Data_Summary!$AA$2:$AA$20001,AJ411))</f>
        <v/>
      </c>
    </row>
    <row r="412" customFormat="false" ht="12.75" hidden="false" customHeight="true" outlineLevel="0" collapsed="false">
      <c r="AJ412" s="17" t="str">
        <f aca="false">IF(Data_Summary!Y413&lt;&gt;"Coverage","",IF(Data_Summary!AA413="","",IF(COUNTIFS(Data_Summary!$Y$2:$Y413,"Coverage",Data_Summary!$AA$2:$AA413,Data_Summary!AA413)=1,Data_Summary!AA413,"")))</f>
        <v>Induction Effectiveness</v>
      </c>
      <c r="AK412" s="17" t="n">
        <f aca="false">IF(AJ412="","",COUNTIFS(Data_Summary!$Y$2:$Y$20001,"Coverage",Data_Summary!$AA$2:$AA$20001,AJ412))</f>
        <v>8</v>
      </c>
    </row>
    <row r="413" customFormat="false" ht="12.75" hidden="false" customHeight="true" outlineLevel="0" collapsed="false">
      <c r="AJ413" s="17" t="str">
        <f aca="false">IF(Data_Summary!Y414&lt;&gt;"Coverage","",IF(Data_Summary!AA414="","",IF(COUNTIFS(Data_Summary!$Y$2:$Y414,"Coverage",Data_Summary!$AA$2:$AA414,Data_Summary!AA414)=1,Data_Summary!AA414,"")))</f>
        <v>Buddy / Support System</v>
      </c>
      <c r="AK413" s="17" t="n">
        <f aca="false">IF(AJ413="","",COUNTIFS(Data_Summary!$Y$2:$Y$20001,"Coverage",Data_Summary!$AA$2:$AA$20001,AJ413))</f>
        <v>6</v>
      </c>
    </row>
    <row r="414" customFormat="false" ht="12.75" hidden="false" customHeight="true" outlineLevel="0" collapsed="false">
      <c r="AJ414" s="17" t="str">
        <f aca="false">IF(Data_Summary!Y415&lt;&gt;"Coverage","",IF(Data_Summary!AA415="","",IF(COUNTIFS(Data_Summary!$Y$2:$Y415,"Coverage",Data_Summary!$AA$2:$AA415,Data_Summary!AA415)=1,Data_Summary!AA415,"")))</f>
        <v/>
      </c>
      <c r="AK414" s="17" t="str">
        <f aca="false">IF(AJ414="","",COUNTIFS(Data_Summary!$Y$2:$Y$20001,"Coverage",Data_Summary!$AA$2:$AA$20001,AJ414))</f>
        <v/>
      </c>
    </row>
    <row r="415" customFormat="false" ht="12.75" hidden="false" customHeight="true" outlineLevel="0" collapsed="false">
      <c r="AJ415" s="17" t="str">
        <f aca="false">IF(Data_Summary!Y416&lt;&gt;"Coverage","",IF(Data_Summary!AA416="","",IF(COUNTIFS(Data_Summary!$Y$2:$Y416,"Coverage",Data_Summary!$AA$2:$AA416,Data_Summary!AA416)=1,Data_Summary!AA416,"")))</f>
        <v/>
      </c>
      <c r="AK415" s="17" t="str">
        <f aca="false">IF(AJ415="","",COUNTIFS(Data_Summary!$Y$2:$Y$20001,"Coverage",Data_Summary!$AA$2:$AA$20001,AJ415))</f>
        <v/>
      </c>
    </row>
    <row r="416" customFormat="false" ht="12.75" hidden="false" customHeight="true" outlineLevel="0" collapsed="false">
      <c r="AJ416" s="17" t="str">
        <f aca="false">IF(Data_Summary!Y417&lt;&gt;"Coverage","",IF(Data_Summary!AA417="","",IF(COUNTIFS(Data_Summary!$Y$2:$Y417,"Coverage",Data_Summary!$AA$2:$AA417,Data_Summary!AA417)=1,Data_Summary!AA417,"")))</f>
        <v/>
      </c>
      <c r="AK416" s="17" t="str">
        <f aca="false">IF(AJ416="","",COUNTIFS(Data_Summary!$Y$2:$Y$20001,"Coverage",Data_Summary!$AA$2:$AA$20001,AJ416))</f>
        <v/>
      </c>
    </row>
    <row r="417" customFormat="false" ht="12.75" hidden="false" customHeight="true" outlineLevel="0" collapsed="false">
      <c r="AJ417" s="17" t="str">
        <f aca="false">IF(Data_Summary!Y418&lt;&gt;"Coverage","",IF(Data_Summary!AA418="","",IF(COUNTIFS(Data_Summary!$Y$2:$Y418,"Coverage",Data_Summary!$AA$2:$AA418,Data_Summary!AA418)=1,Data_Summary!AA418,"")))</f>
        <v/>
      </c>
      <c r="AK417" s="17" t="str">
        <f aca="false">IF(AJ417="","",COUNTIFS(Data_Summary!$Y$2:$Y$20001,"Coverage",Data_Summary!$AA$2:$AA$20001,AJ417))</f>
        <v/>
      </c>
    </row>
    <row r="418" customFormat="false" ht="12.75" hidden="false" customHeight="true" outlineLevel="0" collapsed="false">
      <c r="AJ418" s="17" t="str">
        <f aca="false">IF(Data_Summary!Y419&lt;&gt;"Coverage","",IF(Data_Summary!AA419="","",IF(COUNTIFS(Data_Summary!$Y$2:$Y419,"Coverage",Data_Summary!$AA$2:$AA419,Data_Summary!AA419)=1,Data_Summary!AA419,"")))</f>
        <v/>
      </c>
      <c r="AK418" s="17" t="str">
        <f aca="false">IF(AJ418="","",COUNTIFS(Data_Summary!$Y$2:$Y$20001,"Coverage",Data_Summary!$AA$2:$AA$20001,AJ418))</f>
        <v/>
      </c>
    </row>
    <row r="419" customFormat="false" ht="12.75" hidden="false" customHeight="true" outlineLevel="0" collapsed="false">
      <c r="AJ419" s="17" t="str">
        <f aca="false">IF(Data_Summary!Y420&lt;&gt;"Coverage","",IF(Data_Summary!AA420="","",IF(COUNTIFS(Data_Summary!$Y$2:$Y420,"Coverage",Data_Summary!$AA$2:$AA420,Data_Summary!AA420)=1,Data_Summary!AA420,"")))</f>
        <v/>
      </c>
      <c r="AK419" s="17" t="str">
        <f aca="false">IF(AJ419="","",COUNTIFS(Data_Summary!$Y$2:$Y$20001,"Coverage",Data_Summary!$AA$2:$AA$20001,AJ419))</f>
        <v/>
      </c>
    </row>
    <row r="420" customFormat="false" ht="12.75" hidden="false" customHeight="true" outlineLevel="0" collapsed="false">
      <c r="AJ420" s="17" t="str">
        <f aca="false">IF(Data_Summary!Y421&lt;&gt;"Coverage","",IF(Data_Summary!AA421="","",IF(COUNTIFS(Data_Summary!$Y$2:$Y421,"Coverage",Data_Summary!$AA$2:$AA421,Data_Summary!AA421)=1,Data_Summary!AA421,"")))</f>
        <v/>
      </c>
      <c r="AK420" s="17" t="str">
        <f aca="false">IF(AJ420="","",COUNTIFS(Data_Summary!$Y$2:$Y$20001,"Coverage",Data_Summary!$AA$2:$AA$20001,AJ420))</f>
        <v/>
      </c>
    </row>
    <row r="421" customFormat="false" ht="12.75" hidden="false" customHeight="true" outlineLevel="0" collapsed="false">
      <c r="AJ421" s="17" t="str">
        <f aca="false">IF(Data_Summary!Y422&lt;&gt;"Coverage","",IF(Data_Summary!AA422="","",IF(COUNTIFS(Data_Summary!$Y$2:$Y422,"Coverage",Data_Summary!$AA$2:$AA422,Data_Summary!AA422)=1,Data_Summary!AA422,"")))</f>
        <v/>
      </c>
      <c r="AK421" s="17" t="str">
        <f aca="false">IF(AJ421="","",COUNTIFS(Data_Summary!$Y$2:$Y$20001,"Coverage",Data_Summary!$AA$2:$AA$20001,AJ421))</f>
        <v/>
      </c>
    </row>
    <row r="422" customFormat="false" ht="12.75" hidden="false" customHeight="true" outlineLevel="0" collapsed="false">
      <c r="AJ422" s="17" t="str">
        <f aca="false">IF(Data_Summary!Y423&lt;&gt;"Coverage","",IF(Data_Summary!AA423="","",IF(COUNTIFS(Data_Summary!$Y$2:$Y423,"Coverage",Data_Summary!$AA$2:$AA423,Data_Summary!AA423)=1,Data_Summary!AA423,"")))</f>
        <v/>
      </c>
      <c r="AK422" s="17" t="str">
        <f aca="false">IF(AJ422="","",COUNTIFS(Data_Summary!$Y$2:$Y$20001,"Coverage",Data_Summary!$AA$2:$AA$20001,AJ422))</f>
        <v/>
      </c>
    </row>
    <row r="423" customFormat="false" ht="12.75" hidden="false" customHeight="true" outlineLevel="0" collapsed="false">
      <c r="AJ423" s="17" t="str">
        <f aca="false">IF(Data_Summary!Y424&lt;&gt;"Coverage","",IF(Data_Summary!AA424="","",IF(COUNTIFS(Data_Summary!$Y$2:$Y424,"Coverage",Data_Summary!$AA$2:$AA424,Data_Summary!AA424)=1,Data_Summary!AA424,"")))</f>
        <v/>
      </c>
      <c r="AK423" s="17" t="str">
        <f aca="false">IF(AJ423="","",COUNTIFS(Data_Summary!$Y$2:$Y$20001,"Coverage",Data_Summary!$AA$2:$AA$20001,AJ423))</f>
        <v/>
      </c>
    </row>
    <row r="424" customFormat="false" ht="12.75" hidden="false" customHeight="true" outlineLevel="0" collapsed="false">
      <c r="AJ424" s="17" t="str">
        <f aca="false">IF(Data_Summary!Y425&lt;&gt;"Coverage","",IF(Data_Summary!AA425="","",IF(COUNTIFS(Data_Summary!$Y$2:$Y425,"Coverage",Data_Summary!$AA$2:$AA425,Data_Summary!AA425)=1,Data_Summary!AA425,"")))</f>
        <v/>
      </c>
      <c r="AK424" s="17" t="str">
        <f aca="false">IF(AJ424="","",COUNTIFS(Data_Summary!$Y$2:$Y$20001,"Coverage",Data_Summary!$AA$2:$AA$20001,AJ424))</f>
        <v/>
      </c>
    </row>
    <row r="425" customFormat="false" ht="12.75" hidden="false" customHeight="true" outlineLevel="0" collapsed="false">
      <c r="AJ425" s="17" t="str">
        <f aca="false">IF(Data_Summary!Y426&lt;&gt;"Coverage","",IF(Data_Summary!AA426="","",IF(COUNTIFS(Data_Summary!$Y$2:$Y426,"Coverage",Data_Summary!$AA$2:$AA426,Data_Summary!AA426)=1,Data_Summary!AA426,"")))</f>
        <v/>
      </c>
      <c r="AK425" s="17" t="str">
        <f aca="false">IF(AJ425="","",COUNTIFS(Data_Summary!$Y$2:$Y$20001,"Coverage",Data_Summary!$AA$2:$AA$20001,AJ425))</f>
        <v/>
      </c>
    </row>
    <row r="426" customFormat="false" ht="12.75" hidden="false" customHeight="true" outlineLevel="0" collapsed="false">
      <c r="AJ426" s="17" t="str">
        <f aca="false">IF(Data_Summary!Y427&lt;&gt;"Coverage","",IF(Data_Summary!AA427="","",IF(COUNTIFS(Data_Summary!$Y$2:$Y427,"Coverage",Data_Summary!$AA$2:$AA427,Data_Summary!AA427)=1,Data_Summary!AA427,"")))</f>
        <v>HR Process Clarity</v>
      </c>
      <c r="AK426" s="17" t="n">
        <f aca="false">IF(AJ426="","",COUNTIFS(Data_Summary!$Y$2:$Y$20001,"Coverage",Data_Summary!$AA$2:$AA$20001,AJ426))</f>
        <v>5</v>
      </c>
    </row>
    <row r="427" customFormat="false" ht="12.75" hidden="false" customHeight="true" outlineLevel="0" collapsed="false">
      <c r="AJ427" s="17" t="str">
        <f aca="false">IF(Data_Summary!Y428&lt;&gt;"Coverage","",IF(Data_Summary!AA428="","",IF(COUNTIFS(Data_Summary!$Y$2:$Y428,"Coverage",Data_Summary!$AA$2:$AA428,Data_Summary!AA428)=1,Data_Summary!AA428,"")))</f>
        <v/>
      </c>
      <c r="AK427" s="17" t="str">
        <f aca="false">IF(AJ427="","",COUNTIFS(Data_Summary!$Y$2:$Y$20001,"Coverage",Data_Summary!$AA$2:$AA$20001,AJ427))</f>
        <v/>
      </c>
    </row>
    <row r="428" customFormat="false" ht="12.75" hidden="false" customHeight="true" outlineLevel="0" collapsed="false">
      <c r="AJ428" s="17" t="str">
        <f aca="false">IF(Data_Summary!Y429&lt;&gt;"Coverage","",IF(Data_Summary!AA429="","",IF(COUNTIFS(Data_Summary!$Y$2:$Y429,"Coverage",Data_Summary!$AA$2:$AA429,Data_Summary!AA429)=1,Data_Summary!AA429,"")))</f>
        <v/>
      </c>
      <c r="AK428" s="17" t="str">
        <f aca="false">IF(AJ428="","",COUNTIFS(Data_Summary!$Y$2:$Y$20001,"Coverage",Data_Summary!$AA$2:$AA$20001,AJ428))</f>
        <v/>
      </c>
    </row>
    <row r="429" customFormat="false" ht="12.75" hidden="false" customHeight="true" outlineLevel="0" collapsed="false">
      <c r="AJ429" s="17" t="str">
        <f aca="false">IF(Data_Summary!Y430&lt;&gt;"Coverage","",IF(Data_Summary!AA430="","",IF(COUNTIFS(Data_Summary!$Y$2:$Y430,"Coverage",Data_Summary!$AA$2:$AA430,Data_Summary!AA430)=1,Data_Summary!AA430,"")))</f>
        <v/>
      </c>
      <c r="AK429" s="17" t="str">
        <f aca="false">IF(AJ429="","",COUNTIFS(Data_Summary!$Y$2:$Y$20001,"Coverage",Data_Summary!$AA$2:$AA$20001,AJ429))</f>
        <v/>
      </c>
    </row>
    <row r="430" customFormat="false" ht="12.75" hidden="false" customHeight="true" outlineLevel="0" collapsed="false">
      <c r="AJ430" s="17" t="str">
        <f aca="false">IF(Data_Summary!Y431&lt;&gt;"Coverage","",IF(Data_Summary!AA431="","",IF(COUNTIFS(Data_Summary!$Y$2:$Y431,"Coverage",Data_Summary!$AA$2:$AA431,Data_Summary!AA431)=1,Data_Summary!AA431,"")))</f>
        <v/>
      </c>
      <c r="AK430" s="17" t="str">
        <f aca="false">IF(AJ430="","",COUNTIFS(Data_Summary!$Y$2:$Y$20001,"Coverage",Data_Summary!$AA$2:$AA$20001,AJ430))</f>
        <v/>
      </c>
    </row>
    <row r="431" customFormat="false" ht="12.75" hidden="false" customHeight="true" outlineLevel="0" collapsed="false">
      <c r="AJ431" s="17" t="str">
        <f aca="false">IF(Data_Summary!Y432&lt;&gt;"Coverage","",IF(Data_Summary!AA432="","",IF(COUNTIFS(Data_Summary!$Y$2:$Y432,"Coverage",Data_Summary!$AA$2:$AA432,Data_Summary!AA432)=1,Data_Summary!AA432,"")))</f>
        <v/>
      </c>
      <c r="AK431" s="17" t="str">
        <f aca="false">IF(AJ431="","",COUNTIFS(Data_Summary!$Y$2:$Y$20001,"Coverage",Data_Summary!$AA$2:$AA$20001,AJ431))</f>
        <v/>
      </c>
    </row>
    <row r="432" customFormat="false" ht="12.75" hidden="false" customHeight="true" outlineLevel="0" collapsed="false">
      <c r="AJ432" s="17" t="str">
        <f aca="false">IF(Data_Summary!Y433&lt;&gt;"Coverage","",IF(Data_Summary!AA433="","",IF(COUNTIFS(Data_Summary!$Y$2:$Y433,"Coverage",Data_Summary!$AA$2:$AA433,Data_Summary!AA433)=1,Data_Summary!AA433,"")))</f>
        <v/>
      </c>
      <c r="AK432" s="17" t="str">
        <f aca="false">IF(AJ432="","",COUNTIFS(Data_Summary!$Y$2:$Y$20001,"Coverage",Data_Summary!$AA$2:$AA$20001,AJ432))</f>
        <v/>
      </c>
    </row>
    <row r="433" customFormat="false" ht="12.75" hidden="false" customHeight="true" outlineLevel="0" collapsed="false">
      <c r="AJ433" s="17" t="str">
        <f aca="false">IF(Data_Summary!Y434&lt;&gt;"Coverage","",IF(Data_Summary!AA434="","",IF(COUNTIFS(Data_Summary!$Y$2:$Y434,"Coverage",Data_Summary!$AA$2:$AA434,Data_Summary!AA434)=1,Data_Summary!AA434,"")))</f>
        <v/>
      </c>
      <c r="AK433" s="17" t="str">
        <f aca="false">IF(AJ433="","",COUNTIFS(Data_Summary!$Y$2:$Y$20001,"Coverage",Data_Summary!$AA$2:$AA$20001,AJ433))</f>
        <v/>
      </c>
    </row>
    <row r="434" customFormat="false" ht="12.75" hidden="false" customHeight="true" outlineLevel="0" collapsed="false">
      <c r="AJ434" s="17" t="str">
        <f aca="false">IF(Data_Summary!Y435&lt;&gt;"Coverage","",IF(Data_Summary!AA435="","",IF(COUNTIFS(Data_Summary!$Y$2:$Y435,"Coverage",Data_Summary!$AA$2:$AA435,Data_Summary!AA435)=1,Data_Summary!AA435,"")))</f>
        <v/>
      </c>
      <c r="AK434" s="17" t="str">
        <f aca="false">IF(AJ434="","",COUNTIFS(Data_Summary!$Y$2:$Y$20001,"Coverage",Data_Summary!$AA$2:$AA$20001,AJ434))</f>
        <v/>
      </c>
    </row>
    <row r="435" customFormat="false" ht="12.75" hidden="false" customHeight="true" outlineLevel="0" collapsed="false">
      <c r="AJ435" s="17" t="str">
        <f aca="false">IF(Data_Summary!Y436&lt;&gt;"Coverage","",IF(Data_Summary!AA436="","",IF(COUNTIFS(Data_Summary!$Y$2:$Y436,"Coverage",Data_Summary!$AA$2:$AA436,Data_Summary!AA436)=1,Data_Summary!AA436,"")))</f>
        <v/>
      </c>
      <c r="AK435" s="17" t="str">
        <f aca="false">IF(AJ435="","",COUNTIFS(Data_Summary!$Y$2:$Y$20001,"Coverage",Data_Summary!$AA$2:$AA$20001,AJ435))</f>
        <v/>
      </c>
    </row>
    <row r="436" customFormat="false" ht="12.75" hidden="false" customHeight="true" outlineLevel="0" collapsed="false">
      <c r="AJ436" s="17" t="str">
        <f aca="false">IF(Data_Summary!Y437&lt;&gt;"Coverage","",IF(Data_Summary!AA437="","",IF(COUNTIFS(Data_Summary!$Y$2:$Y437,"Coverage",Data_Summary!$AA$2:$AA437,Data_Summary!AA437)=1,Data_Summary!AA437,"")))</f>
        <v/>
      </c>
      <c r="AK436" s="17" t="str">
        <f aca="false">IF(AJ436="","",COUNTIFS(Data_Summary!$Y$2:$Y$20001,"Coverage",Data_Summary!$AA$2:$AA$20001,AJ436))</f>
        <v/>
      </c>
    </row>
    <row r="437" customFormat="false" ht="12.75" hidden="false" customHeight="true" outlineLevel="0" collapsed="false">
      <c r="AJ437" s="17" t="str">
        <f aca="false">IF(Data_Summary!Y438&lt;&gt;"Coverage","",IF(Data_Summary!AA438="","",IF(COUNTIFS(Data_Summary!$Y$2:$Y438,"Coverage",Data_Summary!$AA$2:$AA438,Data_Summary!AA438)=1,Data_Summary!AA438,"")))</f>
        <v/>
      </c>
      <c r="AK437" s="17" t="str">
        <f aca="false">IF(AJ437="","",COUNTIFS(Data_Summary!$Y$2:$Y$20001,"Coverage",Data_Summary!$AA$2:$AA$20001,AJ437))</f>
        <v/>
      </c>
    </row>
    <row r="438" customFormat="false" ht="12.75" hidden="false" customHeight="true" outlineLevel="0" collapsed="false">
      <c r="AJ438" s="17" t="str">
        <f aca="false">IF(Data_Summary!Y439&lt;&gt;"Coverage","",IF(Data_Summary!AA439="","",IF(COUNTIFS(Data_Summary!$Y$2:$Y439,"Coverage",Data_Summary!$AA$2:$AA439,Data_Summary!AA439)=1,Data_Summary!AA439,"")))</f>
        <v/>
      </c>
      <c r="AK438" s="17" t="str">
        <f aca="false">IF(AJ438="","",COUNTIFS(Data_Summary!$Y$2:$Y$20001,"Coverage",Data_Summary!$AA$2:$AA$20001,AJ438))</f>
        <v/>
      </c>
    </row>
    <row r="439" customFormat="false" ht="12.75" hidden="false" customHeight="true" outlineLevel="0" collapsed="false">
      <c r="AJ439" s="17" t="str">
        <f aca="false">IF(Data_Summary!Y440&lt;&gt;"Coverage","",IF(Data_Summary!AA440="","",IF(COUNTIFS(Data_Summary!$Y$2:$Y440,"Coverage",Data_Summary!$AA$2:$AA440,Data_Summary!AA440)=1,Data_Summary!AA440,"")))</f>
        <v/>
      </c>
      <c r="AK439" s="17" t="str">
        <f aca="false">IF(AJ439="","",COUNTIFS(Data_Summary!$Y$2:$Y$20001,"Coverage",Data_Summary!$AA$2:$AA$20001,AJ439))</f>
        <v/>
      </c>
    </row>
    <row r="440" customFormat="false" ht="12.75" hidden="false" customHeight="true" outlineLevel="0" collapsed="false">
      <c r="AJ440" s="17" t="str">
        <f aca="false">IF(Data_Summary!Y441&lt;&gt;"Coverage","",IF(Data_Summary!AA441="","",IF(COUNTIFS(Data_Summary!$Y$2:$Y441,"Coverage",Data_Summary!$AA$2:$AA441,Data_Summary!AA441)=1,Data_Summary!AA441,"")))</f>
        <v/>
      </c>
      <c r="AK440" s="17" t="str">
        <f aca="false">IF(AJ440="","",COUNTIFS(Data_Summary!$Y$2:$Y$20001,"Coverage",Data_Summary!$AA$2:$AA$20001,AJ440))</f>
        <v/>
      </c>
    </row>
    <row r="441" customFormat="false" ht="12.75" hidden="false" customHeight="true" outlineLevel="0" collapsed="false">
      <c r="AJ441" s="17" t="str">
        <f aca="false">IF(Data_Summary!Y442&lt;&gt;"Coverage","",IF(Data_Summary!AA442="","",IF(COUNTIFS(Data_Summary!$Y$2:$Y442,"Coverage",Data_Summary!$AA$2:$AA442,Data_Summary!AA442)=1,Data_Summary!AA442,"")))</f>
        <v/>
      </c>
      <c r="AK441" s="17" t="str">
        <f aca="false">IF(AJ441="","",COUNTIFS(Data_Summary!$Y$2:$Y$20001,"Coverage",Data_Summary!$AA$2:$AA$20001,AJ441))</f>
        <v/>
      </c>
    </row>
    <row r="442" customFormat="false" ht="12.75" hidden="false" customHeight="true" outlineLevel="0" collapsed="false">
      <c r="AJ442" s="17" t="str">
        <f aca="false">IF(Data_Summary!Y443&lt;&gt;"Coverage","",IF(Data_Summary!AA443="","",IF(COUNTIFS(Data_Summary!$Y$2:$Y443,"Coverage",Data_Summary!$AA$2:$AA443,Data_Summary!AA443)=1,Data_Summary!AA443,"")))</f>
        <v/>
      </c>
      <c r="AK442" s="17" t="str">
        <f aca="false">IF(AJ442="","",COUNTIFS(Data_Summary!$Y$2:$Y$20001,"Coverage",Data_Summary!$AA$2:$AA$20001,AJ442))</f>
        <v/>
      </c>
    </row>
    <row r="443" customFormat="false" ht="12.75" hidden="false" customHeight="true" outlineLevel="0" collapsed="false">
      <c r="AJ443" s="17" t="str">
        <f aca="false">IF(Data_Summary!Y444&lt;&gt;"Coverage","",IF(Data_Summary!AA444="","",IF(COUNTIFS(Data_Summary!$Y$2:$Y444,"Coverage",Data_Summary!$AA$2:$AA444,Data_Summary!AA444)=1,Data_Summary!AA444,"")))</f>
        <v/>
      </c>
      <c r="AK443" s="17" t="str">
        <f aca="false">IF(AJ443="","",COUNTIFS(Data_Summary!$Y$2:$Y$20001,"Coverage",Data_Summary!$AA$2:$AA$20001,AJ443))</f>
        <v/>
      </c>
    </row>
    <row r="444" customFormat="false" ht="12.75" hidden="false" customHeight="true" outlineLevel="0" collapsed="false">
      <c r="AJ444" s="17" t="str">
        <f aca="false">IF(Data_Summary!Y445&lt;&gt;"Coverage","",IF(Data_Summary!AA445="","",IF(COUNTIFS(Data_Summary!$Y$2:$Y445,"Coverage",Data_Summary!$AA$2:$AA445,Data_Summary!AA445)=1,Data_Summary!AA445,"")))</f>
        <v/>
      </c>
      <c r="AK444" s="17" t="str">
        <f aca="false">IF(AJ444="","",COUNTIFS(Data_Summary!$Y$2:$Y$20001,"Coverage",Data_Summary!$AA$2:$AA$20001,AJ444))</f>
        <v/>
      </c>
    </row>
    <row r="445" customFormat="false" ht="12.75" hidden="false" customHeight="true" outlineLevel="0" collapsed="false">
      <c r="AJ445" s="17" t="str">
        <f aca="false">IF(Data_Summary!Y446&lt;&gt;"Coverage","",IF(Data_Summary!AA446="","",IF(COUNTIFS(Data_Summary!$Y$2:$Y446,"Coverage",Data_Summary!$AA$2:$AA446,Data_Summary!AA446)=1,Data_Summary!AA446,"")))</f>
        <v/>
      </c>
      <c r="AK445" s="17" t="str">
        <f aca="false">IF(AJ445="","",COUNTIFS(Data_Summary!$Y$2:$Y$20001,"Coverage",Data_Summary!$AA$2:$AA$20001,AJ445))</f>
        <v/>
      </c>
    </row>
    <row r="446" customFormat="false" ht="12.75" hidden="false" customHeight="true" outlineLevel="0" collapsed="false">
      <c r="AJ446" s="17" t="str">
        <f aca="false">IF(Data_Summary!Y447&lt;&gt;"Coverage","",IF(Data_Summary!AA447="","",IF(COUNTIFS(Data_Summary!$Y$2:$Y447,"Coverage",Data_Summary!$AA$2:$AA447,Data_Summary!AA447)=1,Data_Summary!AA447,"")))</f>
        <v/>
      </c>
      <c r="AK446" s="17" t="str">
        <f aca="false">IF(AJ446="","",COUNTIFS(Data_Summary!$Y$2:$Y$20001,"Coverage",Data_Summary!$AA$2:$AA$20001,AJ446))</f>
        <v/>
      </c>
    </row>
    <row r="447" customFormat="false" ht="12.75" hidden="false" customHeight="true" outlineLevel="0" collapsed="false">
      <c r="AJ447" s="17" t="str">
        <f aca="false">IF(Data_Summary!Y448&lt;&gt;"Coverage","",IF(Data_Summary!AA448="","",IF(COUNTIFS(Data_Summary!$Y$2:$Y448,"Coverage",Data_Summary!$AA$2:$AA448,Data_Summary!AA448)=1,Data_Summary!AA448,"")))</f>
        <v>NA</v>
      </c>
      <c r="AK447" s="17" t="n">
        <f aca="false">IF(AJ447="","",COUNTIFS(Data_Summary!$Y$2:$Y$20001,"Coverage",Data_Summary!$AA$2:$AA$20001,AJ447))</f>
        <v>1</v>
      </c>
    </row>
    <row r="448" customFormat="false" ht="12.75" hidden="false" customHeight="true" outlineLevel="0" collapsed="false">
      <c r="AJ448" s="17" t="str">
        <f aca="false">IF(Data_Summary!Y449&lt;&gt;"Coverage","",IF(Data_Summary!AA449="","",IF(COUNTIFS(Data_Summary!$Y$2:$Y449,"Coverage",Data_Summary!$AA$2:$AA449,Data_Summary!AA449)=1,Data_Summary!AA449,"")))</f>
        <v>Action Closure Discipline</v>
      </c>
      <c r="AK448" s="17" t="n">
        <f aca="false">IF(AJ448="","",COUNTIFS(Data_Summary!$Y$2:$Y$20001,"Coverage",Data_Summary!$AA$2:$AA$20001,AJ448))</f>
        <v>3</v>
      </c>
    </row>
    <row r="449" customFormat="false" ht="12.75" hidden="false" customHeight="true" outlineLevel="0" collapsed="false">
      <c r="AJ449" s="17" t="str">
        <f aca="false">IF(Data_Summary!Y450&lt;&gt;"Coverage","",IF(Data_Summary!AA450="","",IF(COUNTIFS(Data_Summary!$Y$2:$Y450,"Coverage",Data_Summary!$AA$2:$AA450,Data_Summary!AA450)=1,Data_Summary!AA450,"")))</f>
        <v/>
      </c>
      <c r="AK449" s="17" t="str">
        <f aca="false">IF(AJ449="","",COUNTIFS(Data_Summary!$Y$2:$Y$20001,"Coverage",Data_Summary!$AA$2:$AA$20001,AJ449))</f>
        <v/>
      </c>
    </row>
    <row r="450" customFormat="false" ht="12.75" hidden="false" customHeight="true" outlineLevel="0" collapsed="false">
      <c r="AJ450" s="17" t="str">
        <f aca="false">IF(Data_Summary!Y451&lt;&gt;"Coverage","",IF(Data_Summary!AA451="","",IF(COUNTIFS(Data_Summary!$Y$2:$Y451,"Coverage",Data_Summary!$AA$2:$AA451,Data_Summary!AA451)=1,Data_Summary!AA451,"")))</f>
        <v/>
      </c>
      <c r="AK450" s="17" t="str">
        <f aca="false">IF(AJ450="","",COUNTIFS(Data_Summary!$Y$2:$Y$20001,"Coverage",Data_Summary!$AA$2:$AA$20001,AJ450))</f>
        <v/>
      </c>
    </row>
    <row r="451" customFormat="false" ht="12.75" hidden="false" customHeight="true" outlineLevel="0" collapsed="false">
      <c r="AJ451" s="17" t="str">
        <f aca="false">IF(Data_Summary!Y452&lt;&gt;"Coverage","",IF(Data_Summary!AA452="","",IF(COUNTIFS(Data_Summary!$Y$2:$Y452,"Coverage",Data_Summary!$AA$2:$AA452,Data_Summary!AA452)=1,Data_Summary!AA452,"")))</f>
        <v/>
      </c>
      <c r="AK451" s="17" t="str">
        <f aca="false">IF(AJ451="","",COUNTIFS(Data_Summary!$Y$2:$Y$20001,"Coverage",Data_Summary!$AA$2:$AA$20001,AJ451))</f>
        <v/>
      </c>
    </row>
    <row r="452" customFormat="false" ht="12.75" hidden="false" customHeight="true" outlineLevel="0" collapsed="false">
      <c r="AJ452" s="17" t="str">
        <f aca="false">IF(Data_Summary!Y453&lt;&gt;"Coverage","",IF(Data_Summary!AA453="","",IF(COUNTIFS(Data_Summary!$Y$2:$Y453,"Coverage",Data_Summary!$AA$2:$AA453,Data_Summary!AA453)=1,Data_Summary!AA453,"")))</f>
        <v/>
      </c>
      <c r="AK452" s="17" t="str">
        <f aca="false">IF(AJ452="","",COUNTIFS(Data_Summary!$Y$2:$Y$20001,"Coverage",Data_Summary!$AA$2:$AA$20001,AJ452))</f>
        <v/>
      </c>
    </row>
    <row r="453" customFormat="false" ht="12.75" hidden="false" customHeight="true" outlineLevel="0" collapsed="false">
      <c r="AJ453" s="17" t="str">
        <f aca="false">IF(Data_Summary!Y454&lt;&gt;"Coverage","",IF(Data_Summary!AA454="","",IF(COUNTIFS(Data_Summary!$Y$2:$Y454,"Coverage",Data_Summary!$AA$2:$AA454,Data_Summary!AA454)=1,Data_Summary!AA454,"")))</f>
        <v/>
      </c>
      <c r="AK453" s="17" t="str">
        <f aca="false">IF(AJ453="","",COUNTIFS(Data_Summary!$Y$2:$Y$20001,"Coverage",Data_Summary!$AA$2:$AA$20001,AJ453))</f>
        <v/>
      </c>
    </row>
    <row r="454" customFormat="false" ht="12.75" hidden="false" customHeight="true" outlineLevel="0" collapsed="false">
      <c r="AJ454" s="17" t="str">
        <f aca="false">IF(Data_Summary!Y455&lt;&gt;"Coverage","",IF(Data_Summary!AA455="","",IF(COUNTIFS(Data_Summary!$Y$2:$Y455,"Coverage",Data_Summary!$AA$2:$AA455,Data_Summary!AA455)=1,Data_Summary!AA455,"")))</f>
        <v/>
      </c>
      <c r="AK454" s="17" t="str">
        <f aca="false">IF(AJ454="","",COUNTIFS(Data_Summary!$Y$2:$Y$20001,"Coverage",Data_Summary!$AA$2:$AA$20001,AJ454))</f>
        <v/>
      </c>
    </row>
    <row r="455" customFormat="false" ht="12.75" hidden="false" customHeight="true" outlineLevel="0" collapsed="false">
      <c r="AJ455" s="17" t="str">
        <f aca="false">IF(Data_Summary!Y456&lt;&gt;"Coverage","",IF(Data_Summary!AA456="","",IF(COUNTIFS(Data_Summary!$Y$2:$Y456,"Coverage",Data_Summary!$AA$2:$AA456,Data_Summary!AA456)=1,Data_Summary!AA456,"")))</f>
        <v/>
      </c>
      <c r="AK455" s="17" t="str">
        <f aca="false">IF(AJ455="","",COUNTIFS(Data_Summary!$Y$2:$Y$20001,"Coverage",Data_Summary!$AA$2:$AA$20001,AJ455))</f>
        <v/>
      </c>
    </row>
    <row r="456" customFormat="false" ht="12.75" hidden="false" customHeight="true" outlineLevel="0" collapsed="false">
      <c r="AJ456" s="17" t="str">
        <f aca="false">IF(Data_Summary!Y457&lt;&gt;"Coverage","",IF(Data_Summary!AA457="","",IF(COUNTIFS(Data_Summary!$Y$2:$Y457,"Coverage",Data_Summary!$AA$2:$AA457,Data_Summary!AA457)=1,Data_Summary!AA457,"")))</f>
        <v/>
      </c>
      <c r="AK456" s="17" t="str">
        <f aca="false">IF(AJ456="","",COUNTIFS(Data_Summary!$Y$2:$Y$20001,"Coverage",Data_Summary!$AA$2:$AA$20001,AJ456))</f>
        <v/>
      </c>
    </row>
    <row r="457" customFormat="false" ht="12.75" hidden="false" customHeight="true" outlineLevel="0" collapsed="false">
      <c r="AJ457" s="17" t="str">
        <f aca="false">IF(Data_Summary!Y458&lt;&gt;"Coverage","",IF(Data_Summary!AA458="","",IF(COUNTIFS(Data_Summary!$Y$2:$Y458,"Coverage",Data_Summary!$AA$2:$AA458,Data_Summary!AA458)=1,Data_Summary!AA458,"")))</f>
        <v/>
      </c>
      <c r="AK457" s="17" t="str">
        <f aca="false">IF(AJ457="","",COUNTIFS(Data_Summary!$Y$2:$Y$20001,"Coverage",Data_Summary!$AA$2:$AA$20001,AJ457))</f>
        <v/>
      </c>
    </row>
    <row r="458" customFormat="false" ht="12.75" hidden="false" customHeight="true" outlineLevel="0" collapsed="false">
      <c r="AJ458" s="17" t="str">
        <f aca="false">IF(Data_Summary!Y459&lt;&gt;"Coverage","",IF(Data_Summary!AA459="","",IF(COUNTIFS(Data_Summary!$Y$2:$Y459,"Coverage",Data_Summary!$AA$2:$AA459,Data_Summary!AA459)=1,Data_Summary!AA459,"")))</f>
        <v/>
      </c>
      <c r="AK458" s="17" t="str">
        <f aca="false">IF(AJ458="","",COUNTIFS(Data_Summary!$Y$2:$Y$20001,"Coverage",Data_Summary!$AA$2:$AA$20001,AJ458))</f>
        <v/>
      </c>
    </row>
    <row r="459" customFormat="false" ht="12.75" hidden="false" customHeight="true" outlineLevel="0" collapsed="false">
      <c r="AJ459" s="17" t="str">
        <f aca="false">IF(Data_Summary!Y460&lt;&gt;"Coverage","",IF(Data_Summary!AA460="","",IF(COUNTIFS(Data_Summary!$Y$2:$Y460,"Coverage",Data_Summary!$AA$2:$AA460,Data_Summary!AA460)=1,Data_Summary!AA460,"")))</f>
        <v/>
      </c>
      <c r="AK459" s="17" t="str">
        <f aca="false">IF(AJ459="","",COUNTIFS(Data_Summary!$Y$2:$Y$20001,"Coverage",Data_Summary!$AA$2:$AA$20001,AJ459))</f>
        <v/>
      </c>
    </row>
    <row r="460" customFormat="false" ht="12.75" hidden="false" customHeight="true" outlineLevel="0" collapsed="false">
      <c r="AJ460" s="17" t="str">
        <f aca="false">IF(Data_Summary!Y461&lt;&gt;"Coverage","",IF(Data_Summary!AA461="","",IF(COUNTIFS(Data_Summary!$Y$2:$Y461,"Coverage",Data_Summary!$AA$2:$AA461,Data_Summary!AA461)=1,Data_Summary!AA461,"")))</f>
        <v/>
      </c>
      <c r="AK460" s="17" t="str">
        <f aca="false">IF(AJ460="","",COUNTIFS(Data_Summary!$Y$2:$Y$20001,"Coverage",Data_Summary!$AA$2:$AA$20001,AJ460))</f>
        <v/>
      </c>
    </row>
    <row r="461" customFormat="false" ht="12.75" hidden="false" customHeight="true" outlineLevel="0" collapsed="false">
      <c r="AJ461" s="17" t="str">
        <f aca="false">IF(Data_Summary!Y462&lt;&gt;"Coverage","",IF(Data_Summary!AA462="","",IF(COUNTIFS(Data_Summary!$Y$2:$Y462,"Coverage",Data_Summary!$AA$2:$AA462,Data_Summary!AA462)=1,Data_Summary!AA462,"")))</f>
        <v/>
      </c>
      <c r="AK461" s="17" t="str">
        <f aca="false">IF(AJ461="","",COUNTIFS(Data_Summary!$Y$2:$Y$20001,"Coverage",Data_Summary!$AA$2:$AA$20001,AJ461))</f>
        <v/>
      </c>
    </row>
    <row r="462" customFormat="false" ht="12.75" hidden="false" customHeight="true" outlineLevel="0" collapsed="false">
      <c r="AJ462" s="17" t="str">
        <f aca="false">IF(Data_Summary!Y463&lt;&gt;"Coverage","",IF(Data_Summary!AA463="","",IF(COUNTIFS(Data_Summary!$Y$2:$Y463,"Coverage",Data_Summary!$AA$2:$AA463,Data_Summary!AA463)=1,Data_Summary!AA463,"")))</f>
        <v/>
      </c>
      <c r="AK462" s="17" t="str">
        <f aca="false">IF(AJ462="","",COUNTIFS(Data_Summary!$Y$2:$Y$20001,"Coverage",Data_Summary!$AA$2:$AA$20001,AJ462))</f>
        <v/>
      </c>
    </row>
    <row r="463" customFormat="false" ht="12.75" hidden="false" customHeight="true" outlineLevel="0" collapsed="false">
      <c r="AJ463" s="17" t="str">
        <f aca="false">IF(Data_Summary!Y464&lt;&gt;"Coverage","",IF(Data_Summary!AA464="","",IF(COUNTIFS(Data_Summary!$Y$2:$Y464,"Coverage",Data_Summary!$AA$2:$AA464,Data_Summary!AA464)=1,Data_Summary!AA464,"")))</f>
        <v/>
      </c>
      <c r="AK463" s="17" t="str">
        <f aca="false">IF(AJ463="","",COUNTIFS(Data_Summary!$Y$2:$Y$20001,"Coverage",Data_Summary!$AA$2:$AA$20001,AJ463))</f>
        <v/>
      </c>
    </row>
    <row r="464" customFormat="false" ht="12.75" hidden="false" customHeight="true" outlineLevel="0" collapsed="false">
      <c r="AJ464" s="17" t="str">
        <f aca="false">IF(Data_Summary!Y465&lt;&gt;"Coverage","",IF(Data_Summary!AA465="","",IF(COUNTIFS(Data_Summary!$Y$2:$Y465,"Coverage",Data_Summary!$AA$2:$AA465,Data_Summary!AA465)=1,Data_Summary!AA465,"")))</f>
        <v/>
      </c>
      <c r="AK464" s="17" t="str">
        <f aca="false">IF(AJ464="","",COUNTIFS(Data_Summary!$Y$2:$Y$20001,"Coverage",Data_Summary!$AA$2:$AA$20001,AJ464))</f>
        <v/>
      </c>
    </row>
    <row r="465" customFormat="false" ht="12.75" hidden="false" customHeight="true" outlineLevel="0" collapsed="false">
      <c r="AJ465" s="17" t="str">
        <f aca="false">IF(Data_Summary!Y466&lt;&gt;"Coverage","",IF(Data_Summary!AA466="","",IF(COUNTIFS(Data_Summary!$Y$2:$Y466,"Coverage",Data_Summary!$AA$2:$AA466,Data_Summary!AA466)=1,Data_Summary!AA466,"")))</f>
        <v/>
      </c>
      <c r="AK465" s="17" t="str">
        <f aca="false">IF(AJ465="","",COUNTIFS(Data_Summary!$Y$2:$Y$20001,"Coverage",Data_Summary!$AA$2:$AA$20001,AJ465))</f>
        <v/>
      </c>
    </row>
    <row r="466" customFormat="false" ht="12.75" hidden="false" customHeight="true" outlineLevel="0" collapsed="false">
      <c r="AJ466" s="17" t="str">
        <f aca="false">IF(Data_Summary!Y467&lt;&gt;"Coverage","",IF(Data_Summary!AA467="","",IF(COUNTIFS(Data_Summary!$Y$2:$Y467,"Coverage",Data_Summary!$AA$2:$AA467,Data_Summary!AA467)=1,Data_Summary!AA467,"")))</f>
        <v/>
      </c>
      <c r="AK466" s="17" t="str">
        <f aca="false">IF(AJ466="","",COUNTIFS(Data_Summary!$Y$2:$Y$20001,"Coverage",Data_Summary!$AA$2:$AA$20001,AJ466))</f>
        <v/>
      </c>
    </row>
    <row r="467" customFormat="false" ht="12.75" hidden="false" customHeight="true" outlineLevel="0" collapsed="false">
      <c r="AJ467" s="17" t="str">
        <f aca="false">IF(Data_Summary!Y468&lt;&gt;"Coverage","",IF(Data_Summary!AA468="","",IF(COUNTIFS(Data_Summary!$Y$2:$Y468,"Coverage",Data_Summary!$AA$2:$AA468,Data_Summary!AA468)=1,Data_Summary!AA468,"")))</f>
        <v/>
      </c>
      <c r="AK467" s="17" t="str">
        <f aca="false">IF(AJ467="","",COUNTIFS(Data_Summary!$Y$2:$Y$20001,"Coverage",Data_Summary!$AA$2:$AA$20001,AJ467))</f>
        <v/>
      </c>
    </row>
    <row r="468" customFormat="false" ht="12.75" hidden="false" customHeight="true" outlineLevel="0" collapsed="false">
      <c r="AJ468" s="17" t="str">
        <f aca="false">IF(Data_Summary!Y469&lt;&gt;"Coverage","",IF(Data_Summary!AA469="","",IF(COUNTIFS(Data_Summary!$Y$2:$Y469,"Coverage",Data_Summary!$AA$2:$AA469,Data_Summary!AA469)=1,Data_Summary!AA469,"")))</f>
        <v/>
      </c>
      <c r="AK468" s="17" t="str">
        <f aca="false">IF(AJ468="","",COUNTIFS(Data_Summary!$Y$2:$Y$20001,"Coverage",Data_Summary!$AA$2:$AA$20001,AJ468))</f>
        <v/>
      </c>
    </row>
    <row r="469" customFormat="false" ht="12.75" hidden="false" customHeight="true" outlineLevel="0" collapsed="false">
      <c r="AJ469" s="17" t="str">
        <f aca="false">IF(Data_Summary!Y470&lt;&gt;"Coverage","",IF(Data_Summary!AA470="","",IF(COUNTIFS(Data_Summary!$Y$2:$Y470,"Coverage",Data_Summary!$AA$2:$AA470,Data_Summary!AA470)=1,Data_Summary!AA470,"")))</f>
        <v/>
      </c>
      <c r="AK469" s="17" t="str">
        <f aca="false">IF(AJ469="","",COUNTIFS(Data_Summary!$Y$2:$Y$20001,"Coverage",Data_Summary!$AA$2:$AA$20001,AJ469))</f>
        <v/>
      </c>
    </row>
    <row r="470" customFormat="false" ht="12.75" hidden="false" customHeight="true" outlineLevel="0" collapsed="false">
      <c r="AJ470" s="17" t="str">
        <f aca="false">IF(Data_Summary!Y471&lt;&gt;"Coverage","",IF(Data_Summary!AA471="","",IF(COUNTIFS(Data_Summary!$Y$2:$Y471,"Coverage",Data_Summary!$AA$2:$AA471,Data_Summary!AA471)=1,Data_Summary!AA471,"")))</f>
        <v/>
      </c>
      <c r="AK470" s="17" t="str">
        <f aca="false">IF(AJ470="","",COUNTIFS(Data_Summary!$Y$2:$Y$20001,"Coverage",Data_Summary!$AA$2:$AA$20001,AJ470))</f>
        <v/>
      </c>
    </row>
    <row r="471" customFormat="false" ht="12.75" hidden="false" customHeight="true" outlineLevel="0" collapsed="false">
      <c r="AJ471" s="17" t="str">
        <f aca="false">IF(Data_Summary!Y472&lt;&gt;"Coverage","",IF(Data_Summary!AA472="","",IF(COUNTIFS(Data_Summary!$Y$2:$Y472,"Coverage",Data_Summary!$AA$2:$AA472,Data_Summary!AA472)=1,Data_Summary!AA472,"")))</f>
        <v/>
      </c>
      <c r="AK471" s="17" t="str">
        <f aca="false">IF(AJ471="","",COUNTIFS(Data_Summary!$Y$2:$Y$20001,"Coverage",Data_Summary!$AA$2:$AA$20001,AJ471))</f>
        <v/>
      </c>
    </row>
    <row r="472" customFormat="false" ht="12.75" hidden="false" customHeight="true" outlineLevel="0" collapsed="false">
      <c r="AJ472" s="17" t="str">
        <f aca="false">IF(Data_Summary!Y473&lt;&gt;"Coverage","",IF(Data_Summary!AA473="","",IF(COUNTIFS(Data_Summary!$Y$2:$Y473,"Coverage",Data_Summary!$AA$2:$AA473,Data_Summary!AA473)=1,Data_Summary!AA473,"")))</f>
        <v/>
      </c>
      <c r="AK472" s="17" t="str">
        <f aca="false">IF(AJ472="","",COUNTIFS(Data_Summary!$Y$2:$Y$20001,"Coverage",Data_Summary!$AA$2:$AA$20001,AJ472))</f>
        <v/>
      </c>
    </row>
    <row r="473" customFormat="false" ht="12.75" hidden="false" customHeight="true" outlineLevel="0" collapsed="false">
      <c r="AJ473" s="17" t="str">
        <f aca="false">IF(Data_Summary!Y474&lt;&gt;"Coverage","",IF(Data_Summary!AA474="","",IF(COUNTIFS(Data_Summary!$Y$2:$Y474,"Coverage",Data_Summary!$AA$2:$AA474,Data_Summary!AA474)=1,Data_Summary!AA474,"")))</f>
        <v/>
      </c>
      <c r="AK473" s="17" t="str">
        <f aca="false">IF(AJ473="","",COUNTIFS(Data_Summary!$Y$2:$Y$20001,"Coverage",Data_Summary!$AA$2:$AA$20001,AJ473))</f>
        <v/>
      </c>
    </row>
    <row r="474" customFormat="false" ht="12.75" hidden="false" customHeight="true" outlineLevel="0" collapsed="false">
      <c r="AJ474" s="17" t="str">
        <f aca="false">IF(Data_Summary!Y475&lt;&gt;"Coverage","",IF(Data_Summary!AA475="","",IF(COUNTIFS(Data_Summary!$Y$2:$Y475,"Coverage",Data_Summary!$AA$2:$AA475,Data_Summary!AA475)=1,Data_Summary!AA475,"")))</f>
        <v/>
      </c>
      <c r="AK474" s="17" t="str">
        <f aca="false">IF(AJ474="","",COUNTIFS(Data_Summary!$Y$2:$Y$20001,"Coverage",Data_Summary!$AA$2:$AA$20001,AJ474))</f>
        <v/>
      </c>
    </row>
    <row r="475" customFormat="false" ht="12.75" hidden="false" customHeight="true" outlineLevel="0" collapsed="false">
      <c r="AJ475" s="17" t="str">
        <f aca="false">IF(Data_Summary!Y476&lt;&gt;"Coverage","",IF(Data_Summary!AA476="","",IF(COUNTIFS(Data_Summary!$Y$2:$Y476,"Coverage",Data_Summary!$AA$2:$AA476,Data_Summary!AA476)=1,Data_Summary!AA476,"")))</f>
        <v/>
      </c>
      <c r="AK475" s="17" t="str">
        <f aca="false">IF(AJ475="","",COUNTIFS(Data_Summary!$Y$2:$Y$20001,"Coverage",Data_Summary!$AA$2:$AA$20001,AJ475))</f>
        <v/>
      </c>
    </row>
    <row r="476" customFormat="false" ht="12.75" hidden="false" customHeight="true" outlineLevel="0" collapsed="false">
      <c r="AJ476" s="17" t="str">
        <f aca="false">IF(Data_Summary!Y477&lt;&gt;"Coverage","",IF(Data_Summary!AA477="","",IF(COUNTIFS(Data_Summary!$Y$2:$Y477,"Coverage",Data_Summary!$AA$2:$AA477,Data_Summary!AA477)=1,Data_Summary!AA477,"")))</f>
        <v/>
      </c>
      <c r="AK476" s="17" t="str">
        <f aca="false">IF(AJ476="","",COUNTIFS(Data_Summary!$Y$2:$Y$20001,"Coverage",Data_Summary!$AA$2:$AA$20001,AJ476))</f>
        <v/>
      </c>
    </row>
    <row r="477" customFormat="false" ht="12.75" hidden="false" customHeight="true" outlineLevel="0" collapsed="false">
      <c r="AJ477" s="17" t="str">
        <f aca="false">IF(Data_Summary!Y478&lt;&gt;"Coverage","",IF(Data_Summary!AA478="","",IF(COUNTIFS(Data_Summary!$Y$2:$Y478,"Coverage",Data_Summary!$AA$2:$AA478,Data_Summary!AA478)=1,Data_Summary!AA478,"")))</f>
        <v/>
      </c>
      <c r="AK477" s="17" t="str">
        <f aca="false">IF(AJ477="","",COUNTIFS(Data_Summary!$Y$2:$Y$20001,"Coverage",Data_Summary!$AA$2:$AA$20001,AJ477))</f>
        <v/>
      </c>
    </row>
    <row r="478" customFormat="false" ht="12.75" hidden="false" customHeight="true" outlineLevel="0" collapsed="false">
      <c r="AJ478" s="17" t="str">
        <f aca="false">IF(Data_Summary!Y479&lt;&gt;"Coverage","",IF(Data_Summary!AA479="","",IF(COUNTIFS(Data_Summary!$Y$2:$Y479,"Coverage",Data_Summary!$AA$2:$AA479,Data_Summary!AA479)=1,Data_Summary!AA479,"")))</f>
        <v/>
      </c>
      <c r="AK478" s="17" t="str">
        <f aca="false">IF(AJ478="","",COUNTIFS(Data_Summary!$Y$2:$Y$20001,"Coverage",Data_Summary!$AA$2:$AA$20001,AJ478))</f>
        <v/>
      </c>
    </row>
    <row r="479" customFormat="false" ht="12.75" hidden="false" customHeight="true" outlineLevel="0" collapsed="false">
      <c r="AJ479" s="17" t="str">
        <f aca="false">IF(Data_Summary!Y480&lt;&gt;"Coverage","",IF(Data_Summary!AA480="","",IF(COUNTIFS(Data_Summary!$Y$2:$Y480,"Coverage",Data_Summary!$AA$2:$AA480,Data_Summary!AA480)=1,Data_Summary!AA480,"")))</f>
        <v/>
      </c>
      <c r="AK479" s="17" t="str">
        <f aca="false">IF(AJ479="","",COUNTIFS(Data_Summary!$Y$2:$Y$20001,"Coverage",Data_Summary!$AA$2:$AA$20001,AJ479))</f>
        <v/>
      </c>
    </row>
    <row r="480" customFormat="false" ht="12.75" hidden="false" customHeight="true" outlineLevel="0" collapsed="false">
      <c r="AJ480" s="17" t="str">
        <f aca="false">IF(Data_Summary!Y481&lt;&gt;"Coverage","",IF(Data_Summary!AA481="","",IF(COUNTIFS(Data_Summary!$Y$2:$Y481,"Coverage",Data_Summary!$AA$2:$AA481,Data_Summary!AA481)=1,Data_Summary!AA481,"")))</f>
        <v/>
      </c>
      <c r="AK480" s="17" t="str">
        <f aca="false">IF(AJ480="","",COUNTIFS(Data_Summary!$Y$2:$Y$20001,"Coverage",Data_Summary!$AA$2:$AA$20001,AJ480))</f>
        <v/>
      </c>
    </row>
    <row r="481" customFormat="false" ht="12.75" hidden="false" customHeight="true" outlineLevel="0" collapsed="false">
      <c r="AJ481" s="17" t="str">
        <f aca="false">IF(Data_Summary!Y482&lt;&gt;"Coverage","",IF(Data_Summary!AA482="","",IF(COUNTIFS(Data_Summary!$Y$2:$Y482,"Coverage",Data_Summary!$AA$2:$AA482,Data_Summary!AA482)=1,Data_Summary!AA482,"")))</f>
        <v/>
      </c>
      <c r="AK481" s="17" t="str">
        <f aca="false">IF(AJ481="","",COUNTIFS(Data_Summary!$Y$2:$Y$20001,"Coverage",Data_Summary!$AA$2:$AA$20001,AJ481))</f>
        <v/>
      </c>
    </row>
    <row r="482" customFormat="false" ht="12.75" hidden="false" customHeight="true" outlineLevel="0" collapsed="false">
      <c r="AJ482" s="17" t="str">
        <f aca="false">IF(Data_Summary!Y483&lt;&gt;"Coverage","",IF(Data_Summary!AA483="","",IF(COUNTIFS(Data_Summary!$Y$2:$Y483,"Coverage",Data_Summary!$AA$2:$AA483,Data_Summary!AA483)=1,Data_Summary!AA483,"")))</f>
        <v/>
      </c>
      <c r="AK482" s="17" t="str">
        <f aca="false">IF(AJ482="","",COUNTIFS(Data_Summary!$Y$2:$Y$20001,"Coverage",Data_Summary!$AA$2:$AA$20001,AJ482))</f>
        <v/>
      </c>
    </row>
    <row r="483" customFormat="false" ht="12.75" hidden="false" customHeight="true" outlineLevel="0" collapsed="false">
      <c r="AJ483" s="17" t="str">
        <f aca="false">IF(Data_Summary!Y484&lt;&gt;"Coverage","",IF(Data_Summary!AA484="","",IF(COUNTIFS(Data_Summary!$Y$2:$Y484,"Coverage",Data_Summary!$AA$2:$AA484,Data_Summary!AA484)=1,Data_Summary!AA484,"")))</f>
        <v/>
      </c>
      <c r="AK483" s="17" t="str">
        <f aca="false">IF(AJ483="","",COUNTIFS(Data_Summary!$Y$2:$Y$20001,"Coverage",Data_Summary!$AA$2:$AA$20001,AJ483))</f>
        <v/>
      </c>
    </row>
    <row r="484" customFormat="false" ht="12.75" hidden="false" customHeight="true" outlineLevel="0" collapsed="false">
      <c r="AJ484" s="17" t="str">
        <f aca="false">IF(Data_Summary!Y485&lt;&gt;"Coverage","",IF(Data_Summary!AA485="","",IF(COUNTIFS(Data_Summary!$Y$2:$Y485,"Coverage",Data_Summary!$AA$2:$AA485,Data_Summary!AA485)=1,Data_Summary!AA485,"")))</f>
        <v/>
      </c>
      <c r="AK484" s="17" t="str">
        <f aca="false">IF(AJ484="","",COUNTIFS(Data_Summary!$Y$2:$Y$20001,"Coverage",Data_Summary!$AA$2:$AA$20001,AJ484))</f>
        <v/>
      </c>
    </row>
    <row r="485" customFormat="false" ht="12.75" hidden="false" customHeight="true" outlineLevel="0" collapsed="false">
      <c r="AJ485" s="17" t="str">
        <f aca="false">IF(Data_Summary!Y486&lt;&gt;"Coverage","",IF(Data_Summary!AA486="","",IF(COUNTIFS(Data_Summary!$Y$2:$Y486,"Coverage",Data_Summary!$AA$2:$AA486,Data_Summary!AA486)=1,Data_Summary!AA486,"")))</f>
        <v/>
      </c>
      <c r="AK485" s="17" t="str">
        <f aca="false">IF(AJ485="","",COUNTIFS(Data_Summary!$Y$2:$Y$20001,"Coverage",Data_Summary!$AA$2:$AA$20001,AJ485))</f>
        <v/>
      </c>
    </row>
    <row r="486" customFormat="false" ht="12.75" hidden="false" customHeight="true" outlineLevel="0" collapsed="false">
      <c r="AJ486" s="17" t="str">
        <f aca="false">IF(Data_Summary!Y487&lt;&gt;"Coverage","",IF(Data_Summary!AA487="","",IF(COUNTIFS(Data_Summary!$Y$2:$Y487,"Coverage",Data_Summary!$AA$2:$AA487,Data_Summary!AA487)=1,Data_Summary!AA487,"")))</f>
        <v/>
      </c>
      <c r="AK486" s="17" t="str">
        <f aca="false">IF(AJ486="","",COUNTIFS(Data_Summary!$Y$2:$Y$20001,"Coverage",Data_Summary!$AA$2:$AA$20001,AJ486))</f>
        <v/>
      </c>
    </row>
    <row r="487" customFormat="false" ht="12.75" hidden="false" customHeight="true" outlineLevel="0" collapsed="false">
      <c r="AJ487" s="17" t="str">
        <f aca="false">IF(Data_Summary!Y488&lt;&gt;"Coverage","",IF(Data_Summary!AA488="","",IF(COUNTIFS(Data_Summary!$Y$2:$Y488,"Coverage",Data_Summary!$AA$2:$AA488,Data_Summary!AA488)=1,Data_Summary!AA488,"")))</f>
        <v/>
      </c>
      <c r="AK487" s="17" t="str">
        <f aca="false">IF(AJ487="","",COUNTIFS(Data_Summary!$Y$2:$Y$20001,"Coverage",Data_Summary!$AA$2:$AA$20001,AJ487))</f>
        <v/>
      </c>
    </row>
    <row r="488" customFormat="false" ht="12.75" hidden="false" customHeight="true" outlineLevel="0" collapsed="false">
      <c r="AJ488" s="17" t="str">
        <f aca="false">IF(Data_Summary!Y489&lt;&gt;"Coverage","",IF(Data_Summary!AA489="","",IF(COUNTIFS(Data_Summary!$Y$2:$Y489,"Coverage",Data_Summary!$AA$2:$AA489,Data_Summary!AA489)=1,Data_Summary!AA489,"")))</f>
        <v/>
      </c>
      <c r="AK488" s="17" t="str">
        <f aca="false">IF(AJ488="","",COUNTIFS(Data_Summary!$Y$2:$Y$20001,"Coverage",Data_Summary!$AA$2:$AA$20001,AJ488))</f>
        <v/>
      </c>
    </row>
    <row r="489" customFormat="false" ht="12.75" hidden="false" customHeight="true" outlineLevel="0" collapsed="false">
      <c r="AJ489" s="17" t="str">
        <f aca="false">IF(Data_Summary!Y490&lt;&gt;"Coverage","",IF(Data_Summary!AA490="","",IF(COUNTIFS(Data_Summary!$Y$2:$Y490,"Coverage",Data_Summary!$AA$2:$AA490,Data_Summary!AA490)=1,Data_Summary!AA490,"")))</f>
        <v/>
      </c>
      <c r="AK489" s="17" t="str">
        <f aca="false">IF(AJ489="","",COUNTIFS(Data_Summary!$Y$2:$Y$20001,"Coverage",Data_Summary!$AA$2:$AA$20001,AJ489))</f>
        <v/>
      </c>
    </row>
    <row r="490" customFormat="false" ht="12.75" hidden="false" customHeight="true" outlineLevel="0" collapsed="false">
      <c r="AJ490" s="17" t="str">
        <f aca="false">IF(Data_Summary!Y491&lt;&gt;"Coverage","",IF(Data_Summary!AA491="","",IF(COUNTIFS(Data_Summary!$Y$2:$Y491,"Coverage",Data_Summary!$AA$2:$AA491,Data_Summary!AA491)=1,Data_Summary!AA491,"")))</f>
        <v/>
      </c>
      <c r="AK490" s="17" t="str">
        <f aca="false">IF(AJ490="","",COUNTIFS(Data_Summary!$Y$2:$Y$20001,"Coverage",Data_Summary!$AA$2:$AA$20001,AJ490))</f>
        <v/>
      </c>
    </row>
    <row r="491" customFormat="false" ht="12.75" hidden="false" customHeight="true" outlineLevel="0" collapsed="false">
      <c r="AJ491" s="17" t="str">
        <f aca="false">IF(Data_Summary!Y492&lt;&gt;"Coverage","",IF(Data_Summary!AA492="","",IF(COUNTIFS(Data_Summary!$Y$2:$Y492,"Coverage",Data_Summary!$AA$2:$AA492,Data_Summary!AA492)=1,Data_Summary!AA492,"")))</f>
        <v/>
      </c>
      <c r="AK491" s="17" t="str">
        <f aca="false">IF(AJ491="","",COUNTIFS(Data_Summary!$Y$2:$Y$20001,"Coverage",Data_Summary!$AA$2:$AA$20001,AJ491))</f>
        <v/>
      </c>
    </row>
    <row r="492" customFormat="false" ht="12.75" hidden="false" customHeight="true" outlineLevel="0" collapsed="false">
      <c r="AJ492" s="17" t="str">
        <f aca="false">IF(Data_Summary!Y493&lt;&gt;"Coverage","",IF(Data_Summary!AA493="","",IF(COUNTIFS(Data_Summary!$Y$2:$Y493,"Coverage",Data_Summary!$AA$2:$AA493,Data_Summary!AA493)=1,Data_Summary!AA493,"")))</f>
        <v/>
      </c>
      <c r="AK492" s="17" t="str">
        <f aca="false">IF(AJ492="","",COUNTIFS(Data_Summary!$Y$2:$Y$20001,"Coverage",Data_Summary!$AA$2:$AA$20001,AJ492))</f>
        <v/>
      </c>
    </row>
    <row r="493" customFormat="false" ht="12.75" hidden="false" customHeight="true" outlineLevel="0" collapsed="false">
      <c r="AJ493" s="17" t="str">
        <f aca="false">IF(Data_Summary!Y494&lt;&gt;"Coverage","",IF(Data_Summary!AA494="","",IF(COUNTIFS(Data_Summary!$Y$2:$Y494,"Coverage",Data_Summary!$AA$2:$AA494,Data_Summary!AA494)=1,Data_Summary!AA494,"")))</f>
        <v/>
      </c>
      <c r="AK493" s="17" t="str">
        <f aca="false">IF(AJ493="","",COUNTIFS(Data_Summary!$Y$2:$Y$20001,"Coverage",Data_Summary!$AA$2:$AA$20001,AJ493))</f>
        <v/>
      </c>
    </row>
    <row r="494" customFormat="false" ht="12.75" hidden="false" customHeight="true" outlineLevel="0" collapsed="false">
      <c r="AJ494" s="17" t="str">
        <f aca="false">IF(Data_Summary!Y495&lt;&gt;"Coverage","",IF(Data_Summary!AA495="","",IF(COUNTIFS(Data_Summary!$Y$2:$Y495,"Coverage",Data_Summary!$AA$2:$AA495,Data_Summary!AA495)=1,Data_Summary!AA495,"")))</f>
        <v/>
      </c>
      <c r="AK494" s="17" t="str">
        <f aca="false">IF(AJ494="","",COUNTIFS(Data_Summary!$Y$2:$Y$20001,"Coverage",Data_Summary!$AA$2:$AA$20001,AJ494))</f>
        <v/>
      </c>
    </row>
    <row r="495" customFormat="false" ht="12.75" hidden="false" customHeight="true" outlineLevel="0" collapsed="false">
      <c r="AJ495" s="17" t="str">
        <f aca="false">IF(Data_Summary!Y496&lt;&gt;"Coverage","",IF(Data_Summary!AA496="","",IF(COUNTIFS(Data_Summary!$Y$2:$Y496,"Coverage",Data_Summary!$AA$2:$AA496,Data_Summary!AA496)=1,Data_Summary!AA496,"")))</f>
        <v/>
      </c>
      <c r="AK495" s="17" t="str">
        <f aca="false">IF(AJ495="","",COUNTIFS(Data_Summary!$Y$2:$Y$20001,"Coverage",Data_Summary!$AA$2:$AA$20001,AJ495))</f>
        <v/>
      </c>
    </row>
    <row r="496" customFormat="false" ht="12.75" hidden="false" customHeight="true" outlineLevel="0" collapsed="false">
      <c r="AJ496" s="17" t="str">
        <f aca="false">IF(Data_Summary!Y497&lt;&gt;"Coverage","",IF(Data_Summary!AA497="","",IF(COUNTIFS(Data_Summary!$Y$2:$Y497,"Coverage",Data_Summary!$AA$2:$AA497,Data_Summary!AA497)=1,Data_Summary!AA497,"")))</f>
        <v/>
      </c>
      <c r="AK496" s="17" t="str">
        <f aca="false">IF(AJ496="","",COUNTIFS(Data_Summary!$Y$2:$Y$20001,"Coverage",Data_Summary!$AA$2:$AA$20001,AJ496))</f>
        <v/>
      </c>
    </row>
    <row r="497" customFormat="false" ht="12.75" hidden="false" customHeight="true" outlineLevel="0" collapsed="false">
      <c r="AJ497" s="17" t="str">
        <f aca="false">IF(Data_Summary!Y498&lt;&gt;"Coverage","",IF(Data_Summary!AA498="","",IF(COUNTIFS(Data_Summary!$Y$2:$Y498,"Coverage",Data_Summary!$AA$2:$AA498,Data_Summary!AA498)=1,Data_Summary!AA498,"")))</f>
        <v>Rating Calibration Call</v>
      </c>
      <c r="AK497" s="17" t="n">
        <f aca="false">IF(AJ497="","",COUNTIFS(Data_Summary!$Y$2:$Y$20001,"Coverage",Data_Summary!$AA$2:$AA$20001,AJ497))</f>
        <v>2</v>
      </c>
    </row>
    <row r="498" customFormat="false" ht="12.75" hidden="false" customHeight="true" outlineLevel="0" collapsed="false">
      <c r="AJ498" s="17" t="str">
        <f aca="false">IF(Data_Summary!Y499&lt;&gt;"Coverage","",IF(Data_Summary!AA499="","",IF(COUNTIFS(Data_Summary!$Y$2:$Y499,"Coverage",Data_Summary!$AA$2:$AA499,Data_Summary!AA499)=1,Data_Summary!AA499,"")))</f>
        <v>AI Workshop By Natesh</v>
      </c>
      <c r="AK498" s="17" t="n">
        <f aca="false">IF(AJ498="","",COUNTIFS(Data_Summary!$Y$2:$Y$20001,"Coverage",Data_Summary!$AA$2:$AA$20001,AJ498))</f>
        <v>4</v>
      </c>
    </row>
    <row r="499" customFormat="false" ht="12.75" hidden="false" customHeight="true" outlineLevel="0" collapsed="false">
      <c r="AJ499" s="17" t="str">
        <f aca="false">IF(Data_Summary!Y500&lt;&gt;"Coverage","",IF(Data_Summary!AA500="","",IF(COUNTIFS(Data_Summary!$Y$2:$Y500,"Coverage",Data_Summary!$AA$2:$AA500,Data_Summary!AA500)=1,Data_Summary!AA500,"")))</f>
        <v/>
      </c>
      <c r="AK499" s="17" t="str">
        <f aca="false">IF(AJ499="","",COUNTIFS(Data_Summary!$Y$2:$Y$20001,"Coverage",Data_Summary!$AA$2:$AA$20001,AJ499))</f>
        <v/>
      </c>
    </row>
    <row r="500" customFormat="false" ht="12.75" hidden="false" customHeight="true" outlineLevel="0" collapsed="false">
      <c r="AJ500" s="17" t="str">
        <f aca="false">IF(Data_Summary!Y501&lt;&gt;"Coverage","",IF(Data_Summary!AA501="","",IF(COUNTIFS(Data_Summary!$Y$2:$Y501,"Coverage",Data_Summary!$AA$2:$AA501,Data_Summary!AA501)=1,Data_Summary!AA501,"")))</f>
        <v/>
      </c>
      <c r="AK500" s="17" t="str">
        <f aca="false">IF(AJ500="","",COUNTIFS(Data_Summary!$Y$2:$Y$20001,"Coverage",Data_Summary!$AA$2:$AA$20001,AJ500))</f>
        <v/>
      </c>
    </row>
    <row r="501" customFormat="false" ht="12.75" hidden="false" customHeight="true" outlineLevel="0" collapsed="false">
      <c r="AJ501" s="17" t="str">
        <f aca="false">IF(Data_Summary!Y502&lt;&gt;"Coverage","",IF(Data_Summary!AA502="","",IF(COUNTIFS(Data_Summary!$Y$2:$Y502,"Coverage",Data_Summary!$AA$2:$AA502,Data_Summary!AA502)=1,Data_Summary!AA502,"")))</f>
        <v/>
      </c>
      <c r="AK501" s="17" t="str">
        <f aca="false">IF(AJ501="","",COUNTIFS(Data_Summary!$Y$2:$Y$20001,"Coverage",Data_Summary!$AA$2:$AA$20001,AJ501))</f>
        <v/>
      </c>
    </row>
    <row r="502" customFormat="false" ht="12.75" hidden="false" customHeight="true" outlineLevel="0" collapsed="false">
      <c r="AJ502" s="17" t="str">
        <f aca="false">IF(Data_Summary!Y503&lt;&gt;"Coverage","",IF(Data_Summary!AA503="","",IF(COUNTIFS(Data_Summary!$Y$2:$Y503,"Coverage",Data_Summary!$AA$2:$AA503,Data_Summary!AA503)=1,Data_Summary!AA503,"")))</f>
        <v/>
      </c>
      <c r="AK502" s="17" t="str">
        <f aca="false">IF(AJ502="","",COUNTIFS(Data_Summary!$Y$2:$Y$20001,"Coverage",Data_Summary!$AA$2:$AA$20001,AJ502))</f>
        <v/>
      </c>
    </row>
    <row r="503" customFormat="false" ht="12.75" hidden="false" customHeight="true" outlineLevel="0" collapsed="false">
      <c r="AJ503" s="17" t="str">
        <f aca="false">IF(Data_Summary!Y504&lt;&gt;"Coverage","",IF(Data_Summary!AA504="","",IF(COUNTIFS(Data_Summary!$Y$2:$Y504,"Coverage",Data_Summary!$AA$2:$AA504,Data_Summary!AA504)=1,Data_Summary!AA504,"")))</f>
        <v/>
      </c>
      <c r="AK503" s="17" t="str">
        <f aca="false">IF(AJ503="","",COUNTIFS(Data_Summary!$Y$2:$Y$20001,"Coverage",Data_Summary!$AA$2:$AA$20001,AJ503))</f>
        <v/>
      </c>
    </row>
    <row r="504" customFormat="false" ht="12.75" hidden="false" customHeight="true" outlineLevel="0" collapsed="false">
      <c r="AJ504" s="17" t="str">
        <f aca="false">IF(Data_Summary!Y505&lt;&gt;"Coverage","",IF(Data_Summary!AA505="","",IF(COUNTIFS(Data_Summary!$Y$2:$Y505,"Coverage",Data_Summary!$AA$2:$AA505,Data_Summary!AA505)=1,Data_Summary!AA505,"")))</f>
        <v/>
      </c>
      <c r="AK504" s="17" t="str">
        <f aca="false">IF(AJ504="","",COUNTIFS(Data_Summary!$Y$2:$Y$20001,"Coverage",Data_Summary!$AA$2:$AA$20001,AJ504))</f>
        <v/>
      </c>
    </row>
    <row r="505" customFormat="false" ht="12.75" hidden="false" customHeight="true" outlineLevel="0" collapsed="false">
      <c r="AJ505" s="17" t="str">
        <f aca="false">IF(Data_Summary!Y506&lt;&gt;"Coverage","",IF(Data_Summary!AA506="","",IF(COUNTIFS(Data_Summary!$Y$2:$Y506,"Coverage",Data_Summary!$AA$2:$AA506,Data_Summary!AA506)=1,Data_Summary!AA506,"")))</f>
        <v/>
      </c>
      <c r="AK505" s="17" t="str">
        <f aca="false">IF(AJ505="","",COUNTIFS(Data_Summary!$Y$2:$Y$20001,"Coverage",Data_Summary!$AA$2:$AA$20001,AJ505))</f>
        <v/>
      </c>
    </row>
    <row r="506" customFormat="false" ht="12.75" hidden="false" customHeight="true" outlineLevel="0" collapsed="false">
      <c r="AJ506" s="17" t="str">
        <f aca="false">IF(Data_Summary!Y507&lt;&gt;"Coverage","",IF(Data_Summary!AA507="","",IF(COUNTIFS(Data_Summary!$Y$2:$Y507,"Coverage",Data_Summary!$AA$2:$AA507,Data_Summary!AA507)=1,Data_Summary!AA507,"")))</f>
        <v/>
      </c>
      <c r="AK506" s="17" t="str">
        <f aca="false">IF(AJ506="","",COUNTIFS(Data_Summary!$Y$2:$Y$20001,"Coverage",Data_Summary!$AA$2:$AA$20001,AJ506))</f>
        <v/>
      </c>
    </row>
    <row r="507" customFormat="false" ht="12.75" hidden="false" customHeight="true" outlineLevel="0" collapsed="false">
      <c r="AJ507" s="17" t="str">
        <f aca="false">IF(Data_Summary!Y508&lt;&gt;"Coverage","",IF(Data_Summary!AA508="","",IF(COUNTIFS(Data_Summary!$Y$2:$Y508,"Coverage",Data_Summary!$AA$2:$AA508,Data_Summary!AA508)=1,Data_Summary!AA508,"")))</f>
        <v/>
      </c>
      <c r="AK507" s="17" t="str">
        <f aca="false">IF(AJ507="","",COUNTIFS(Data_Summary!$Y$2:$Y$20001,"Coverage",Data_Summary!$AA$2:$AA$20001,AJ507))</f>
        <v/>
      </c>
    </row>
    <row r="508" customFormat="false" ht="12.75" hidden="false" customHeight="true" outlineLevel="0" collapsed="false">
      <c r="AJ508" s="17" t="str">
        <f aca="false">IF(Data_Summary!Y509&lt;&gt;"Coverage","",IF(Data_Summary!AA509="","",IF(COUNTIFS(Data_Summary!$Y$2:$Y509,"Coverage",Data_Summary!$AA$2:$AA509,Data_Summary!AA509)=1,Data_Summary!AA509,"")))</f>
        <v/>
      </c>
      <c r="AK508" s="17" t="str">
        <f aca="false">IF(AJ508="","",COUNTIFS(Data_Summary!$Y$2:$Y$20001,"Coverage",Data_Summary!$AA$2:$AA$20001,AJ508))</f>
        <v/>
      </c>
    </row>
    <row r="509" customFormat="false" ht="12.75" hidden="false" customHeight="true" outlineLevel="0" collapsed="false">
      <c r="AJ509" s="17" t="str">
        <f aca="false">IF(Data_Summary!Y510&lt;&gt;"Coverage","",IF(Data_Summary!AA510="","",IF(COUNTIFS(Data_Summary!$Y$2:$Y510,"Coverage",Data_Summary!$AA$2:$AA510,Data_Summary!AA510)=1,Data_Summary!AA510,"")))</f>
        <v/>
      </c>
      <c r="AK509" s="17" t="str">
        <f aca="false">IF(AJ509="","",COUNTIFS(Data_Summary!$Y$2:$Y$20001,"Coverage",Data_Summary!$AA$2:$AA$20001,AJ509))</f>
        <v/>
      </c>
    </row>
    <row r="510" customFormat="false" ht="12.75" hidden="false" customHeight="true" outlineLevel="0" collapsed="false">
      <c r="AJ510" s="17" t="str">
        <f aca="false">IF(Data_Summary!Y511&lt;&gt;"Coverage","",IF(Data_Summary!AA511="","",IF(COUNTIFS(Data_Summary!$Y$2:$Y511,"Coverage",Data_Summary!$AA$2:$AA511,Data_Summary!AA511)=1,Data_Summary!AA511,"")))</f>
        <v/>
      </c>
      <c r="AK510" s="17" t="str">
        <f aca="false">IF(AJ510="","",COUNTIFS(Data_Summary!$Y$2:$Y$20001,"Coverage",Data_Summary!$AA$2:$AA$20001,AJ510))</f>
        <v/>
      </c>
    </row>
    <row r="511" customFormat="false" ht="12.75" hidden="false" customHeight="true" outlineLevel="0" collapsed="false">
      <c r="AJ511" s="17" t="str">
        <f aca="false">IF(Data_Summary!Y512&lt;&gt;"Coverage","",IF(Data_Summary!AA512="","",IF(COUNTIFS(Data_Summary!$Y$2:$Y512,"Coverage",Data_Summary!$AA$2:$AA512,Data_Summary!AA512)=1,Data_Summary!AA512,"")))</f>
        <v/>
      </c>
      <c r="AK511" s="17" t="str">
        <f aca="false">IF(AJ511="","",COUNTIFS(Data_Summary!$Y$2:$Y$20001,"Coverage",Data_Summary!$AA$2:$AA$20001,AJ511))</f>
        <v/>
      </c>
    </row>
    <row r="512" customFormat="false" ht="12.75" hidden="false" customHeight="true" outlineLevel="0" collapsed="false">
      <c r="AJ512" s="17" t="str">
        <f aca="false">IF(Data_Summary!Y513&lt;&gt;"Coverage","",IF(Data_Summary!AA513="","",IF(COUNTIFS(Data_Summary!$Y$2:$Y513,"Coverage",Data_Summary!$AA$2:$AA513,Data_Summary!AA513)=1,Data_Summary!AA513,"")))</f>
        <v/>
      </c>
      <c r="AK512" s="17" t="str">
        <f aca="false">IF(AJ512="","",COUNTIFS(Data_Summary!$Y$2:$Y$20001,"Coverage",Data_Summary!$AA$2:$AA$20001,AJ512))</f>
        <v/>
      </c>
    </row>
    <row r="513" customFormat="false" ht="12.75" hidden="false" customHeight="true" outlineLevel="0" collapsed="false">
      <c r="AJ513" s="17" t="str">
        <f aca="false">IF(Data_Summary!Y514&lt;&gt;"Coverage","",IF(Data_Summary!AA514="","",IF(COUNTIFS(Data_Summary!$Y$2:$Y514,"Coverage",Data_Summary!$AA$2:$AA514,Data_Summary!AA514)=1,Data_Summary!AA514,"")))</f>
        <v/>
      </c>
      <c r="AK513" s="17" t="str">
        <f aca="false">IF(AJ513="","",COUNTIFS(Data_Summary!$Y$2:$Y$20001,"Coverage",Data_Summary!$AA$2:$AA$20001,AJ513))</f>
        <v/>
      </c>
    </row>
    <row r="514" customFormat="false" ht="12.75" hidden="false" customHeight="true" outlineLevel="0" collapsed="false">
      <c r="AJ514" s="17" t="str">
        <f aca="false">IF(Data_Summary!Y515&lt;&gt;"Coverage","",IF(Data_Summary!AA515="","",IF(COUNTIFS(Data_Summary!$Y$2:$Y515,"Coverage",Data_Summary!$AA$2:$AA515,Data_Summary!AA515)=1,Data_Summary!AA515,"")))</f>
        <v/>
      </c>
      <c r="AK514" s="17" t="str">
        <f aca="false">IF(AJ514="","",COUNTIFS(Data_Summary!$Y$2:$Y$20001,"Coverage",Data_Summary!$AA$2:$AA$20001,AJ514))</f>
        <v/>
      </c>
    </row>
    <row r="515" customFormat="false" ht="12.75" hidden="false" customHeight="true" outlineLevel="0" collapsed="false">
      <c r="AJ515" s="17" t="str">
        <f aca="false">IF(Data_Summary!Y516&lt;&gt;"Coverage","",IF(Data_Summary!AA516="","",IF(COUNTIFS(Data_Summary!$Y$2:$Y516,"Coverage",Data_Summary!$AA$2:$AA516,Data_Summary!AA516)=1,Data_Summary!AA516,"")))</f>
        <v/>
      </c>
      <c r="AK515" s="17" t="str">
        <f aca="false">IF(AJ515="","",COUNTIFS(Data_Summary!$Y$2:$Y$20001,"Coverage",Data_Summary!$AA$2:$AA$20001,AJ515))</f>
        <v/>
      </c>
    </row>
    <row r="516" customFormat="false" ht="12.75" hidden="false" customHeight="true" outlineLevel="0" collapsed="false">
      <c r="AJ516" s="17" t="str">
        <f aca="false">IF(Data_Summary!Y517&lt;&gt;"Coverage","",IF(Data_Summary!AA517="","",IF(COUNTIFS(Data_Summary!$Y$2:$Y517,"Coverage",Data_Summary!$AA$2:$AA517,Data_Summary!AA517)=1,Data_Summary!AA517,"")))</f>
        <v/>
      </c>
      <c r="AK516" s="17" t="str">
        <f aca="false">IF(AJ516="","",COUNTIFS(Data_Summary!$Y$2:$Y$20001,"Coverage",Data_Summary!$AA$2:$AA$20001,AJ516))</f>
        <v/>
      </c>
    </row>
    <row r="517" customFormat="false" ht="12.75" hidden="false" customHeight="true" outlineLevel="0" collapsed="false">
      <c r="AJ517" s="17" t="str">
        <f aca="false">IF(Data_Summary!Y518&lt;&gt;"Coverage","",IF(Data_Summary!AA518="","",IF(COUNTIFS(Data_Summary!$Y$2:$Y518,"Coverage",Data_Summary!$AA$2:$AA518,Data_Summary!AA518)=1,Data_Summary!AA518,"")))</f>
        <v/>
      </c>
      <c r="AK517" s="17" t="str">
        <f aca="false">IF(AJ517="","",COUNTIFS(Data_Summary!$Y$2:$Y$20001,"Coverage",Data_Summary!$AA$2:$AA$20001,AJ517))</f>
        <v/>
      </c>
    </row>
    <row r="518" customFormat="false" ht="12.75" hidden="false" customHeight="true" outlineLevel="0" collapsed="false">
      <c r="AJ518" s="17" t="str">
        <f aca="false">IF(Data_Summary!Y519&lt;&gt;"Coverage","",IF(Data_Summary!AA519="","",IF(COUNTIFS(Data_Summary!$Y$2:$Y519,"Coverage",Data_Summary!$AA$2:$AA519,Data_Summary!AA519)=1,Data_Summary!AA519,"")))</f>
        <v/>
      </c>
      <c r="AK518" s="17" t="str">
        <f aca="false">IF(AJ518="","",COUNTIFS(Data_Summary!$Y$2:$Y$20001,"Coverage",Data_Summary!$AA$2:$AA$20001,AJ518))</f>
        <v/>
      </c>
    </row>
    <row r="519" customFormat="false" ht="12.75" hidden="false" customHeight="true" outlineLevel="0" collapsed="false">
      <c r="AJ519" s="17" t="str">
        <f aca="false">IF(Data_Summary!Y520&lt;&gt;"Coverage","",IF(Data_Summary!AA520="","",IF(COUNTIFS(Data_Summary!$Y$2:$Y520,"Coverage",Data_Summary!$AA$2:$AA520,Data_Summary!AA520)=1,Data_Summary!AA520,"")))</f>
        <v/>
      </c>
      <c r="AK519" s="17" t="str">
        <f aca="false">IF(AJ519="","",COUNTIFS(Data_Summary!$Y$2:$Y$20001,"Coverage",Data_Summary!$AA$2:$AA$20001,AJ519))</f>
        <v/>
      </c>
    </row>
    <row r="520" customFormat="false" ht="12.75" hidden="false" customHeight="true" outlineLevel="0" collapsed="false">
      <c r="AJ520" s="17" t="str">
        <f aca="false">IF(Data_Summary!Y521&lt;&gt;"Coverage","",IF(Data_Summary!AA521="","",IF(COUNTIFS(Data_Summary!$Y$2:$Y521,"Coverage",Data_Summary!$AA$2:$AA521,Data_Summary!AA521)=1,Data_Summary!AA521,"")))</f>
        <v/>
      </c>
      <c r="AK520" s="17" t="str">
        <f aca="false">IF(AJ520="","",COUNTIFS(Data_Summary!$Y$2:$Y$20001,"Coverage",Data_Summary!$AA$2:$AA$20001,AJ520))</f>
        <v/>
      </c>
    </row>
    <row r="521" customFormat="false" ht="12.75" hidden="false" customHeight="true" outlineLevel="0" collapsed="false">
      <c r="AJ521" s="17" t="str">
        <f aca="false">IF(Data_Summary!Y522&lt;&gt;"Coverage","",IF(Data_Summary!AA522="","",IF(COUNTIFS(Data_Summary!$Y$2:$Y522,"Coverage",Data_Summary!$AA$2:$AA522,Data_Summary!AA522)=1,Data_Summary!AA522,"")))</f>
        <v/>
      </c>
      <c r="AK521" s="17" t="str">
        <f aca="false">IF(AJ521="","",COUNTIFS(Data_Summary!$Y$2:$Y$20001,"Coverage",Data_Summary!$AA$2:$AA$20001,AJ521))</f>
        <v/>
      </c>
    </row>
    <row r="522" customFormat="false" ht="12.75" hidden="false" customHeight="true" outlineLevel="0" collapsed="false">
      <c r="AJ522" s="17" t="str">
        <f aca="false">IF(Data_Summary!Y523&lt;&gt;"Coverage","",IF(Data_Summary!AA523="","",IF(COUNTIFS(Data_Summary!$Y$2:$Y523,"Coverage",Data_Summary!$AA$2:$AA523,Data_Summary!AA523)=1,Data_Summary!AA523,"")))</f>
        <v/>
      </c>
      <c r="AK522" s="17" t="str">
        <f aca="false">IF(AJ522="","",COUNTIFS(Data_Summary!$Y$2:$Y$20001,"Coverage",Data_Summary!$AA$2:$AA$20001,AJ522))</f>
        <v/>
      </c>
    </row>
    <row r="523" customFormat="false" ht="12.75" hidden="false" customHeight="true" outlineLevel="0" collapsed="false">
      <c r="AJ523" s="17" t="str">
        <f aca="false">IF(Data_Summary!Y524&lt;&gt;"Coverage","",IF(Data_Summary!AA524="","",IF(COUNTIFS(Data_Summary!$Y$2:$Y524,"Coverage",Data_Summary!$AA$2:$AA524,Data_Summary!AA524)=1,Data_Summary!AA524,"")))</f>
        <v/>
      </c>
      <c r="AK523" s="17" t="str">
        <f aca="false">IF(AJ523="","",COUNTIFS(Data_Summary!$Y$2:$Y$20001,"Coverage",Data_Summary!$AA$2:$AA$20001,AJ523))</f>
        <v/>
      </c>
    </row>
    <row r="524" customFormat="false" ht="12.75" hidden="false" customHeight="true" outlineLevel="0" collapsed="false">
      <c r="AJ524" s="17" t="str">
        <f aca="false">IF(Data_Summary!Y525&lt;&gt;"Coverage","",IF(Data_Summary!AA525="","",IF(COUNTIFS(Data_Summary!$Y$2:$Y525,"Coverage",Data_Summary!$AA$2:$AA525,Data_Summary!AA525)=1,Data_Summary!AA525,"")))</f>
        <v/>
      </c>
      <c r="AK524" s="17" t="str">
        <f aca="false">IF(AJ524="","",COUNTIFS(Data_Summary!$Y$2:$Y$20001,"Coverage",Data_Summary!$AA$2:$AA$20001,AJ524))</f>
        <v/>
      </c>
    </row>
    <row r="525" customFormat="false" ht="12.75" hidden="false" customHeight="true" outlineLevel="0" collapsed="false">
      <c r="AJ525" s="17" t="str">
        <f aca="false">IF(Data_Summary!Y526&lt;&gt;"Coverage","",IF(Data_Summary!AA526="","",IF(COUNTIFS(Data_Summary!$Y$2:$Y526,"Coverage",Data_Summary!$AA$2:$AA526,Data_Summary!AA526)=1,Data_Summary!AA526,"")))</f>
        <v/>
      </c>
      <c r="AK525" s="17" t="str">
        <f aca="false">IF(AJ525="","",COUNTIFS(Data_Summary!$Y$2:$Y$20001,"Coverage",Data_Summary!$AA$2:$AA$20001,AJ525))</f>
        <v/>
      </c>
    </row>
    <row r="526" customFormat="false" ht="12.75" hidden="false" customHeight="true" outlineLevel="0" collapsed="false">
      <c r="AJ526" s="17" t="str">
        <f aca="false">IF(Data_Summary!Y527&lt;&gt;"Coverage","",IF(Data_Summary!AA527="","",IF(COUNTIFS(Data_Summary!$Y$2:$Y527,"Coverage",Data_Summary!$AA$2:$AA527,Data_Summary!AA527)=1,Data_Summary!AA527,"")))</f>
        <v/>
      </c>
      <c r="AK526" s="17" t="str">
        <f aca="false">IF(AJ526="","",COUNTIFS(Data_Summary!$Y$2:$Y$20001,"Coverage",Data_Summary!$AA$2:$AA$20001,AJ526))</f>
        <v/>
      </c>
    </row>
    <row r="527" customFormat="false" ht="12.75" hidden="false" customHeight="true" outlineLevel="0" collapsed="false">
      <c r="AJ527" s="17" t="str">
        <f aca="false">IF(Data_Summary!Y528&lt;&gt;"Coverage","",IF(Data_Summary!AA528="","",IF(COUNTIFS(Data_Summary!$Y$2:$Y528,"Coverage",Data_Summary!$AA$2:$AA528,Data_Summary!AA528)=1,Data_Summary!AA528,"")))</f>
        <v/>
      </c>
      <c r="AK527" s="17" t="str">
        <f aca="false">IF(AJ527="","",COUNTIFS(Data_Summary!$Y$2:$Y$20001,"Coverage",Data_Summary!$AA$2:$AA$20001,AJ527))</f>
        <v/>
      </c>
    </row>
    <row r="528" customFormat="false" ht="12.75" hidden="false" customHeight="true" outlineLevel="0" collapsed="false">
      <c r="AJ528" s="17" t="str">
        <f aca="false">IF(Data_Summary!Y529&lt;&gt;"Coverage","",IF(Data_Summary!AA529="","",IF(COUNTIFS(Data_Summary!$Y$2:$Y529,"Coverage",Data_Summary!$AA$2:$AA529,Data_Summary!AA529)=1,Data_Summary!AA529,"")))</f>
        <v/>
      </c>
      <c r="AK528" s="17" t="str">
        <f aca="false">IF(AJ528="","",COUNTIFS(Data_Summary!$Y$2:$Y$20001,"Coverage",Data_Summary!$AA$2:$AA$20001,AJ528))</f>
        <v/>
      </c>
    </row>
    <row r="529" customFormat="false" ht="12.75" hidden="false" customHeight="true" outlineLevel="0" collapsed="false">
      <c r="AJ529" s="17" t="str">
        <f aca="false">IF(Data_Summary!Y530&lt;&gt;"Coverage","",IF(Data_Summary!AA530="","",IF(COUNTIFS(Data_Summary!$Y$2:$Y530,"Coverage",Data_Summary!$AA$2:$AA530,Data_Summary!AA530)=1,Data_Summary!AA530,"")))</f>
        <v/>
      </c>
      <c r="AK529" s="17" t="str">
        <f aca="false">IF(AJ529="","",COUNTIFS(Data_Summary!$Y$2:$Y$20001,"Coverage",Data_Summary!$AA$2:$AA$20001,AJ529))</f>
        <v/>
      </c>
    </row>
    <row r="530" customFormat="false" ht="12.75" hidden="false" customHeight="true" outlineLevel="0" collapsed="false">
      <c r="AJ530" s="17" t="str">
        <f aca="false">IF(Data_Summary!Y531&lt;&gt;"Coverage","",IF(Data_Summary!AA531="","",IF(COUNTIFS(Data_Summary!$Y$2:$Y531,"Coverage",Data_Summary!$AA$2:$AA531,Data_Summary!AA531)=1,Data_Summary!AA531,"")))</f>
        <v/>
      </c>
      <c r="AK530" s="17" t="str">
        <f aca="false">IF(AJ530="","",COUNTIFS(Data_Summary!$Y$2:$Y$20001,"Coverage",Data_Summary!$AA$2:$AA$20001,AJ530))</f>
        <v/>
      </c>
    </row>
    <row r="531" customFormat="false" ht="12.75" hidden="false" customHeight="true" outlineLevel="0" collapsed="false">
      <c r="AJ531" s="17" t="str">
        <f aca="false">IF(Data_Summary!Y532&lt;&gt;"Coverage","",IF(Data_Summary!AA532="","",IF(COUNTIFS(Data_Summary!$Y$2:$Y532,"Coverage",Data_Summary!$AA$2:$AA532,Data_Summary!AA532)=1,Data_Summary!AA532,"")))</f>
        <v/>
      </c>
      <c r="AK531" s="17" t="str">
        <f aca="false">IF(AJ531="","",COUNTIFS(Data_Summary!$Y$2:$Y$20001,"Coverage",Data_Summary!$AA$2:$AA$20001,AJ531))</f>
        <v/>
      </c>
    </row>
    <row r="532" customFormat="false" ht="12.75" hidden="false" customHeight="true" outlineLevel="0" collapsed="false">
      <c r="AJ532" s="17" t="str">
        <f aca="false">IF(Data_Summary!Y533&lt;&gt;"Coverage","",IF(Data_Summary!AA533="","",IF(COUNTIFS(Data_Summary!$Y$2:$Y533,"Coverage",Data_Summary!$AA$2:$AA533,Data_Summary!AA533)=1,Data_Summary!AA533,"")))</f>
        <v>Learning &amp; Career Enablement</v>
      </c>
      <c r="AK532" s="17" t="n">
        <f aca="false">IF(AJ532="","",COUNTIFS(Data_Summary!$Y$2:$Y$20001,"Coverage",Data_Summary!$AA$2:$AA$20001,AJ532))</f>
        <v>1</v>
      </c>
    </row>
    <row r="533" customFormat="false" ht="12.75" hidden="false" customHeight="true" outlineLevel="0" collapsed="false">
      <c r="AJ533" s="17" t="str">
        <f aca="false">IF(Data_Summary!Y534&lt;&gt;"Coverage","",IF(Data_Summary!AA534="","",IF(COUNTIFS(Data_Summary!$Y$2:$Y534,"Coverage",Data_Summary!$AA$2:$AA534,Data_Summary!AA534)=1,Data_Summary!AA534,"")))</f>
        <v/>
      </c>
      <c r="AK533" s="17" t="str">
        <f aca="false">IF(AJ533="","",COUNTIFS(Data_Summary!$Y$2:$Y$20001,"Coverage",Data_Summary!$AA$2:$AA$20001,AJ533))</f>
        <v/>
      </c>
    </row>
    <row r="534" customFormat="false" ht="12.75" hidden="false" customHeight="true" outlineLevel="0" collapsed="false">
      <c r="AJ534" s="17" t="str">
        <f aca="false">IF(Data_Summary!Y535&lt;&gt;"Coverage","",IF(Data_Summary!AA535="","",IF(COUNTIFS(Data_Summary!$Y$2:$Y535,"Coverage",Data_Summary!$AA$2:$AA535,Data_Summary!AA535)=1,Data_Summary!AA535,"")))</f>
        <v/>
      </c>
      <c r="AK534" s="17" t="str">
        <f aca="false">IF(AJ534="","",COUNTIFS(Data_Summary!$Y$2:$Y$20001,"Coverage",Data_Summary!$AA$2:$AA$20001,AJ534))</f>
        <v/>
      </c>
    </row>
    <row r="535" customFormat="false" ht="12.75" hidden="false" customHeight="true" outlineLevel="0" collapsed="false">
      <c r="AJ535" s="17" t="str">
        <f aca="false">IF(Data_Summary!Y536&lt;&gt;"Coverage","",IF(Data_Summary!AA536="","",IF(COUNTIFS(Data_Summary!$Y$2:$Y536,"Coverage",Data_Summary!$AA$2:$AA536,Data_Summary!AA536)=1,Data_Summary!AA536,"")))</f>
        <v/>
      </c>
      <c r="AK535" s="17" t="str">
        <f aca="false">IF(AJ535="","",COUNTIFS(Data_Summary!$Y$2:$Y$20001,"Coverage",Data_Summary!$AA$2:$AA$20001,AJ535))</f>
        <v/>
      </c>
    </row>
    <row r="536" customFormat="false" ht="12.75" hidden="false" customHeight="true" outlineLevel="0" collapsed="false">
      <c r="AJ536" s="17" t="str">
        <f aca="false">IF(Data_Summary!Y537&lt;&gt;"Coverage","",IF(Data_Summary!AA537="","",IF(COUNTIFS(Data_Summary!$Y$2:$Y537,"Coverage",Data_Summary!$AA$2:$AA537,Data_Summary!AA537)=1,Data_Summary!AA537,"")))</f>
        <v/>
      </c>
      <c r="AK536" s="17" t="str">
        <f aca="false">IF(AJ536="","",COUNTIFS(Data_Summary!$Y$2:$Y$20001,"Coverage",Data_Summary!$AA$2:$AA$20001,AJ536))</f>
        <v/>
      </c>
    </row>
    <row r="537" customFormat="false" ht="12.75" hidden="false" customHeight="true" outlineLevel="0" collapsed="false">
      <c r="AJ537" s="17" t="str">
        <f aca="false">IF(Data_Summary!Y538&lt;&gt;"Coverage","",IF(Data_Summary!AA538="","",IF(COUNTIFS(Data_Summary!$Y$2:$Y538,"Coverage",Data_Summary!$AA$2:$AA538,Data_Summary!AA538)=1,Data_Summary!AA538,"")))</f>
        <v/>
      </c>
      <c r="AK537" s="17" t="str">
        <f aca="false">IF(AJ537="","",COUNTIFS(Data_Summary!$Y$2:$Y$20001,"Coverage",Data_Summary!$AA$2:$AA$20001,AJ537))</f>
        <v/>
      </c>
    </row>
    <row r="538" customFormat="false" ht="12.75" hidden="false" customHeight="true" outlineLevel="0" collapsed="false">
      <c r="AJ538" s="17" t="str">
        <f aca="false">IF(Data_Summary!Y539&lt;&gt;"Coverage","",IF(Data_Summary!AA539="","",IF(COUNTIFS(Data_Summary!$Y$2:$Y539,"Coverage",Data_Summary!$AA$2:$AA539,Data_Summary!AA539)=1,Data_Summary!AA539,"")))</f>
        <v/>
      </c>
      <c r="AK538" s="17" t="str">
        <f aca="false">IF(AJ538="","",COUNTIFS(Data_Summary!$Y$2:$Y$20001,"Coverage",Data_Summary!$AA$2:$AA$20001,AJ538))</f>
        <v/>
      </c>
    </row>
    <row r="539" customFormat="false" ht="12.75" hidden="false" customHeight="true" outlineLevel="0" collapsed="false">
      <c r="AJ539" s="17" t="str">
        <f aca="false">IF(Data_Summary!Y540&lt;&gt;"Coverage","",IF(Data_Summary!AA540="","",IF(COUNTIFS(Data_Summary!$Y$2:$Y540,"Coverage",Data_Summary!$AA$2:$AA540,Data_Summary!AA540)=1,Data_Summary!AA540,"")))</f>
        <v/>
      </c>
      <c r="AK539" s="17" t="str">
        <f aca="false">IF(AJ539="","",COUNTIFS(Data_Summary!$Y$2:$Y$20001,"Coverage",Data_Summary!$AA$2:$AA$20001,AJ539))</f>
        <v/>
      </c>
    </row>
    <row r="540" customFormat="false" ht="12.75" hidden="false" customHeight="true" outlineLevel="0" collapsed="false">
      <c r="AJ540" s="17" t="str">
        <f aca="false">IF(Data_Summary!Y541&lt;&gt;"Coverage","",IF(Data_Summary!AA541="","",IF(COUNTIFS(Data_Summary!$Y$2:$Y541,"Coverage",Data_Summary!$AA$2:$AA541,Data_Summary!AA541)=1,Data_Summary!AA541,"")))</f>
        <v/>
      </c>
      <c r="AK540" s="17" t="str">
        <f aca="false">IF(AJ540="","",COUNTIFS(Data_Summary!$Y$2:$Y$20001,"Coverage",Data_Summary!$AA$2:$AA$20001,AJ540))</f>
        <v/>
      </c>
    </row>
    <row r="541" customFormat="false" ht="12.75" hidden="false" customHeight="true" outlineLevel="0" collapsed="false">
      <c r="AJ541" s="17" t="str">
        <f aca="false">IF(Data_Summary!Y542&lt;&gt;"Coverage","",IF(Data_Summary!AA542="","",IF(COUNTIFS(Data_Summary!$Y$2:$Y542,"Coverage",Data_Summary!$AA$2:$AA542,Data_Summary!AA542)=1,Data_Summary!AA542,"")))</f>
        <v/>
      </c>
      <c r="AK541" s="17" t="str">
        <f aca="false">IF(AJ541="","",COUNTIFS(Data_Summary!$Y$2:$Y$20001,"Coverage",Data_Summary!$AA$2:$AA$20001,AJ541))</f>
        <v/>
      </c>
    </row>
    <row r="542" customFormat="false" ht="12.75" hidden="false" customHeight="true" outlineLevel="0" collapsed="false">
      <c r="AJ542" s="17" t="str">
        <f aca="false">IF(Data_Summary!Y543&lt;&gt;"Coverage","",IF(Data_Summary!AA543="","",IF(COUNTIFS(Data_Summary!$Y$2:$Y543,"Coverage",Data_Summary!$AA$2:$AA543,Data_Summary!AA543)=1,Data_Summary!AA543,"")))</f>
        <v/>
      </c>
      <c r="AK542" s="17" t="str">
        <f aca="false">IF(AJ542="","",COUNTIFS(Data_Summary!$Y$2:$Y$20001,"Coverage",Data_Summary!$AA$2:$AA$20001,AJ542))</f>
        <v/>
      </c>
    </row>
    <row r="543" customFormat="false" ht="12.75" hidden="false" customHeight="true" outlineLevel="0" collapsed="false">
      <c r="AJ543" s="17" t="str">
        <f aca="false">IF(Data_Summary!Y544&lt;&gt;"Coverage","",IF(Data_Summary!AA544="","",IF(COUNTIFS(Data_Summary!$Y$2:$Y544,"Coverage",Data_Summary!$AA$2:$AA544,Data_Summary!AA544)=1,Data_Summary!AA544,"")))</f>
        <v/>
      </c>
      <c r="AK543" s="17" t="str">
        <f aca="false">IF(AJ543="","",COUNTIFS(Data_Summary!$Y$2:$Y$20001,"Coverage",Data_Summary!$AA$2:$AA$20001,AJ543))</f>
        <v/>
      </c>
    </row>
    <row r="544" customFormat="false" ht="12.75" hidden="false" customHeight="true" outlineLevel="0" collapsed="false">
      <c r="AJ544" s="17" t="str">
        <f aca="false">IF(Data_Summary!Y545&lt;&gt;"Coverage","",IF(Data_Summary!AA545="","",IF(COUNTIFS(Data_Summary!$Y$2:$Y545,"Coverage",Data_Summary!$AA$2:$AA545,Data_Summary!AA545)=1,Data_Summary!AA545,"")))</f>
        <v/>
      </c>
      <c r="AK544" s="17" t="str">
        <f aca="false">IF(AJ544="","",COUNTIFS(Data_Summary!$Y$2:$Y$20001,"Coverage",Data_Summary!$AA$2:$AA$20001,AJ544))</f>
        <v/>
      </c>
    </row>
    <row r="545" customFormat="false" ht="12.75" hidden="false" customHeight="true" outlineLevel="0" collapsed="false">
      <c r="AJ545" s="17" t="str">
        <f aca="false">IF(Data_Summary!Y546&lt;&gt;"Coverage","",IF(Data_Summary!AA546="","",IF(COUNTIFS(Data_Summary!$Y$2:$Y546,"Coverage",Data_Summary!$AA$2:$AA546,Data_Summary!AA546)=1,Data_Summary!AA546,"")))</f>
        <v/>
      </c>
      <c r="AK545" s="17" t="str">
        <f aca="false">IF(AJ545="","",COUNTIFS(Data_Summary!$Y$2:$Y$20001,"Coverage",Data_Summary!$AA$2:$AA$20001,AJ545))</f>
        <v/>
      </c>
    </row>
    <row r="546" customFormat="false" ht="12.75" hidden="false" customHeight="true" outlineLevel="0" collapsed="false">
      <c r="AJ546" s="17" t="str">
        <f aca="false">IF(Data_Summary!Y547&lt;&gt;"Coverage","",IF(Data_Summary!AA547="","",IF(COUNTIFS(Data_Summary!$Y$2:$Y547,"Coverage",Data_Summary!$AA$2:$AA547,Data_Summary!AA547)=1,Data_Summary!AA547,"")))</f>
        <v/>
      </c>
      <c r="AK546" s="17" t="str">
        <f aca="false">IF(AJ546="","",COUNTIFS(Data_Summary!$Y$2:$Y$20001,"Coverage",Data_Summary!$AA$2:$AA$20001,AJ546))</f>
        <v/>
      </c>
    </row>
    <row r="547" customFormat="false" ht="12.75" hidden="false" customHeight="true" outlineLevel="0" collapsed="false">
      <c r="AJ547" s="17" t="str">
        <f aca="false">IF(Data_Summary!Y548&lt;&gt;"Coverage","",IF(Data_Summary!AA548="","",IF(COUNTIFS(Data_Summary!$Y$2:$Y548,"Coverage",Data_Summary!$AA$2:$AA548,Data_Summary!AA548)=1,Data_Summary!AA548,"")))</f>
        <v/>
      </c>
      <c r="AK547" s="17" t="str">
        <f aca="false">IF(AJ547="","",COUNTIFS(Data_Summary!$Y$2:$Y$20001,"Coverage",Data_Summary!$AA$2:$AA$20001,AJ547))</f>
        <v/>
      </c>
    </row>
    <row r="548" customFormat="false" ht="12.75" hidden="false" customHeight="true" outlineLevel="0" collapsed="false">
      <c r="AJ548" s="17" t="str">
        <f aca="false">IF(Data_Summary!Y549&lt;&gt;"Coverage","",IF(Data_Summary!AA549="","",IF(COUNTIFS(Data_Summary!$Y$2:$Y549,"Coverage",Data_Summary!$AA$2:$AA549,Data_Summary!AA549)=1,Data_Summary!AA549,"")))</f>
        <v/>
      </c>
      <c r="AK548" s="17" t="str">
        <f aca="false">IF(AJ548="","",COUNTIFS(Data_Summary!$Y$2:$Y$20001,"Coverage",Data_Summary!$AA$2:$AA$20001,AJ548))</f>
        <v/>
      </c>
    </row>
    <row r="549" customFormat="false" ht="12.75" hidden="false" customHeight="true" outlineLevel="0" collapsed="false">
      <c r="AJ549" s="17" t="str">
        <f aca="false">IF(Data_Summary!Y550&lt;&gt;"Coverage","",IF(Data_Summary!AA550="","",IF(COUNTIFS(Data_Summary!$Y$2:$Y550,"Coverage",Data_Summary!$AA$2:$AA550,Data_Summary!AA550)=1,Data_Summary!AA550,"")))</f>
        <v/>
      </c>
      <c r="AK549" s="17" t="str">
        <f aca="false">IF(AJ549="","",COUNTIFS(Data_Summary!$Y$2:$Y$20001,"Coverage",Data_Summary!$AA$2:$AA$20001,AJ549))</f>
        <v/>
      </c>
    </row>
    <row r="550" customFormat="false" ht="12.75" hidden="false" customHeight="true" outlineLevel="0" collapsed="false">
      <c r="AJ550" s="17" t="str">
        <f aca="false">IF(Data_Summary!Y551&lt;&gt;"Coverage","",IF(Data_Summary!AA551="","",IF(COUNTIFS(Data_Summary!$Y$2:$Y551,"Coverage",Data_Summary!$AA$2:$AA551,Data_Summary!AA551)=1,Data_Summary!AA551,"")))</f>
        <v/>
      </c>
      <c r="AK550" s="17" t="str">
        <f aca="false">IF(AJ550="","",COUNTIFS(Data_Summary!$Y$2:$Y$20001,"Coverage",Data_Summary!$AA$2:$AA$20001,AJ550))</f>
        <v/>
      </c>
    </row>
    <row r="551" customFormat="false" ht="12.75" hidden="false" customHeight="true" outlineLevel="0" collapsed="false">
      <c r="AJ551" s="17" t="str">
        <f aca="false">IF(Data_Summary!Y552&lt;&gt;"Coverage","",IF(Data_Summary!AA552="","",IF(COUNTIFS(Data_Summary!$Y$2:$Y552,"Coverage",Data_Summary!$AA$2:$AA552,Data_Summary!AA552)=1,Data_Summary!AA552,"")))</f>
        <v/>
      </c>
      <c r="AK551" s="17" t="str">
        <f aca="false">IF(AJ551="","",COUNTIFS(Data_Summary!$Y$2:$Y$20001,"Coverage",Data_Summary!$AA$2:$AA$20001,AJ551))</f>
        <v/>
      </c>
    </row>
    <row r="552" customFormat="false" ht="12.75" hidden="false" customHeight="true" outlineLevel="0" collapsed="false">
      <c r="AJ552" s="17" t="str">
        <f aca="false">IF(Data_Summary!Y553&lt;&gt;"Coverage","",IF(Data_Summary!AA553="","",IF(COUNTIFS(Data_Summary!$Y$2:$Y553,"Coverage",Data_Summary!$AA$2:$AA553,Data_Summary!AA553)=1,Data_Summary!AA553,"")))</f>
        <v/>
      </c>
      <c r="AK552" s="17" t="str">
        <f aca="false">IF(AJ552="","",COUNTIFS(Data_Summary!$Y$2:$Y$20001,"Coverage",Data_Summary!$AA$2:$AA$20001,AJ552))</f>
        <v/>
      </c>
    </row>
    <row r="553" customFormat="false" ht="12.75" hidden="false" customHeight="true" outlineLevel="0" collapsed="false">
      <c r="AJ553" s="17" t="str">
        <f aca="false">IF(Data_Summary!Y554&lt;&gt;"Coverage","",IF(Data_Summary!AA554="","",IF(COUNTIFS(Data_Summary!$Y$2:$Y554,"Coverage",Data_Summary!$AA$2:$AA554,Data_Summary!AA554)=1,Data_Summary!AA554,"")))</f>
        <v/>
      </c>
      <c r="AK553" s="17" t="str">
        <f aca="false">IF(AJ553="","",COUNTIFS(Data_Summary!$Y$2:$Y$20001,"Coverage",Data_Summary!$AA$2:$AA$20001,AJ553))</f>
        <v/>
      </c>
    </row>
    <row r="554" customFormat="false" ht="12.75" hidden="false" customHeight="true" outlineLevel="0" collapsed="false">
      <c r="AJ554" s="17" t="str">
        <f aca="false">IF(Data_Summary!Y555&lt;&gt;"Coverage","",IF(Data_Summary!AA555="","",IF(COUNTIFS(Data_Summary!$Y$2:$Y555,"Coverage",Data_Summary!$AA$2:$AA555,Data_Summary!AA555)=1,Data_Summary!AA555,"")))</f>
        <v/>
      </c>
      <c r="AK554" s="17" t="str">
        <f aca="false">IF(AJ554="","",COUNTIFS(Data_Summary!$Y$2:$Y$20001,"Coverage",Data_Summary!$AA$2:$AA$20001,AJ554))</f>
        <v/>
      </c>
    </row>
    <row r="555" customFormat="false" ht="12.75" hidden="false" customHeight="true" outlineLevel="0" collapsed="false">
      <c r="AJ555" s="17" t="str">
        <f aca="false">IF(Data_Summary!Y556&lt;&gt;"Coverage","",IF(Data_Summary!AA556="","",IF(COUNTIFS(Data_Summary!$Y$2:$Y556,"Coverage",Data_Summary!$AA$2:$AA556,Data_Summary!AA556)=1,Data_Summary!AA556,"")))</f>
        <v/>
      </c>
      <c r="AK555" s="17" t="str">
        <f aca="false">IF(AJ555="","",COUNTIFS(Data_Summary!$Y$2:$Y$20001,"Coverage",Data_Summary!$AA$2:$AA$20001,AJ555))</f>
        <v/>
      </c>
    </row>
    <row r="556" customFormat="false" ht="12.75" hidden="false" customHeight="true" outlineLevel="0" collapsed="false">
      <c r="AJ556" s="17" t="str">
        <f aca="false">IF(Data_Summary!Y557&lt;&gt;"Coverage","",IF(Data_Summary!AA557="","",IF(COUNTIFS(Data_Summary!$Y$2:$Y557,"Coverage",Data_Summary!$AA$2:$AA557,Data_Summary!AA557)=1,Data_Summary!AA557,"")))</f>
        <v/>
      </c>
      <c r="AK556" s="17" t="str">
        <f aca="false">IF(AJ556="","",COUNTIFS(Data_Summary!$Y$2:$Y$20001,"Coverage",Data_Summary!$AA$2:$AA$20001,AJ556))</f>
        <v/>
      </c>
    </row>
    <row r="557" customFormat="false" ht="12.75" hidden="false" customHeight="true" outlineLevel="0" collapsed="false">
      <c r="AJ557" s="17" t="str">
        <f aca="false">IF(Data_Summary!Y558&lt;&gt;"Coverage","",IF(Data_Summary!AA558="","",IF(COUNTIFS(Data_Summary!$Y$2:$Y558,"Coverage",Data_Summary!$AA$2:$AA558,Data_Summary!AA558)=1,Data_Summary!AA558,"")))</f>
        <v>Culture &amp; Engagement</v>
      </c>
      <c r="AK557" s="17" t="n">
        <f aca="false">IF(AJ557="","",COUNTIFS(Data_Summary!$Y$2:$Y$20001,"Coverage",Data_Summary!$AA$2:$AA$20001,AJ557))</f>
        <v>2</v>
      </c>
    </row>
    <row r="558" customFormat="false" ht="12.75" hidden="false" customHeight="true" outlineLevel="0" collapsed="false">
      <c r="AJ558" s="17" t="str">
        <f aca="false">IF(Data_Summary!Y559&lt;&gt;"Coverage","",IF(Data_Summary!AA559="","",IF(COUNTIFS(Data_Summary!$Y$2:$Y559,"Coverage",Data_Summary!$AA$2:$AA559,Data_Summary!AA559)=1,Data_Summary!AA559,"")))</f>
        <v/>
      </c>
      <c r="AK558" s="17" t="str">
        <f aca="false">IF(AJ558="","",COUNTIFS(Data_Summary!$Y$2:$Y$20001,"Coverage",Data_Summary!$AA$2:$AA$20001,AJ558))</f>
        <v/>
      </c>
    </row>
    <row r="559" customFormat="false" ht="12.75" hidden="false" customHeight="true" outlineLevel="0" collapsed="false">
      <c r="AJ559" s="17" t="str">
        <f aca="false">IF(Data_Summary!Y560&lt;&gt;"Coverage","",IF(Data_Summary!AA560="","",IF(COUNTIFS(Data_Summary!$Y$2:$Y560,"Coverage",Data_Summary!$AA$2:$AA560,Data_Summary!AA560)=1,Data_Summary!AA560,"")))</f>
        <v/>
      </c>
      <c r="AK559" s="17" t="str">
        <f aca="false">IF(AJ559="","",COUNTIFS(Data_Summary!$Y$2:$Y$20001,"Coverage",Data_Summary!$AA$2:$AA$20001,AJ559))</f>
        <v/>
      </c>
    </row>
    <row r="560" customFormat="false" ht="12.75" hidden="false" customHeight="true" outlineLevel="0" collapsed="false">
      <c r="AJ560" s="17" t="str">
        <f aca="false">IF(Data_Summary!Y561&lt;&gt;"Coverage","",IF(Data_Summary!AA561="","",IF(COUNTIFS(Data_Summary!$Y$2:$Y561,"Coverage",Data_Summary!$AA$2:$AA561,Data_Summary!AA561)=1,Data_Summary!AA561,"")))</f>
        <v/>
      </c>
      <c r="AK560" s="17" t="str">
        <f aca="false">IF(AJ560="","",COUNTIFS(Data_Summary!$Y$2:$Y$20001,"Coverage",Data_Summary!$AA$2:$AA$20001,AJ560))</f>
        <v/>
      </c>
    </row>
    <row r="561" customFormat="false" ht="12.75" hidden="false" customHeight="true" outlineLevel="0" collapsed="false">
      <c r="AJ561" s="17" t="str">
        <f aca="false">IF(Data_Summary!Y562&lt;&gt;"Coverage","",IF(Data_Summary!AA562="","",IF(COUNTIFS(Data_Summary!$Y$2:$Y562,"Coverage",Data_Summary!$AA$2:$AA562,Data_Summary!AA562)=1,Data_Summary!AA562,"")))</f>
        <v/>
      </c>
      <c r="AK561" s="17" t="str">
        <f aca="false">IF(AJ561="","",COUNTIFS(Data_Summary!$Y$2:$Y$20001,"Coverage",Data_Summary!$AA$2:$AA$20001,AJ561))</f>
        <v/>
      </c>
    </row>
    <row r="562" customFormat="false" ht="12.75" hidden="false" customHeight="true" outlineLevel="0" collapsed="false">
      <c r="AJ562" s="17" t="str">
        <f aca="false">IF(Data_Summary!Y563&lt;&gt;"Coverage","",IF(Data_Summary!AA563="","",IF(COUNTIFS(Data_Summary!$Y$2:$Y563,"Coverage",Data_Summary!$AA$2:$AA563,Data_Summary!AA563)=1,Data_Summary!AA563,"")))</f>
        <v/>
      </c>
      <c r="AK562" s="17" t="str">
        <f aca="false">IF(AJ562="","",COUNTIFS(Data_Summary!$Y$2:$Y$20001,"Coverage",Data_Summary!$AA$2:$AA$20001,AJ562))</f>
        <v/>
      </c>
    </row>
    <row r="563" customFormat="false" ht="12.75" hidden="false" customHeight="true" outlineLevel="0" collapsed="false">
      <c r="AJ563" s="17" t="str">
        <f aca="false">IF(Data_Summary!Y564&lt;&gt;"Coverage","",IF(Data_Summary!AA564="","",IF(COUNTIFS(Data_Summary!$Y$2:$Y564,"Coverage",Data_Summary!$AA$2:$AA564,Data_Summary!AA564)=1,Data_Summary!AA564,"")))</f>
        <v/>
      </c>
      <c r="AK563" s="17" t="str">
        <f aca="false">IF(AJ563="","",COUNTIFS(Data_Summary!$Y$2:$Y$20001,"Coverage",Data_Summary!$AA$2:$AA$20001,AJ563))</f>
        <v/>
      </c>
    </row>
    <row r="564" customFormat="false" ht="12.75" hidden="false" customHeight="true" outlineLevel="0" collapsed="false">
      <c r="AJ564" s="17" t="str">
        <f aca="false">IF(Data_Summary!Y565&lt;&gt;"Coverage","",IF(Data_Summary!AA565="","",IF(COUNTIFS(Data_Summary!$Y$2:$Y565,"Coverage",Data_Summary!$AA$2:$AA565,Data_Summary!AA565)=1,Data_Summary!AA565,"")))</f>
        <v/>
      </c>
      <c r="AK564" s="17" t="str">
        <f aca="false">IF(AJ564="","",COUNTIFS(Data_Summary!$Y$2:$Y$20001,"Coverage",Data_Summary!$AA$2:$AA$20001,AJ564))</f>
        <v/>
      </c>
    </row>
    <row r="565" customFormat="false" ht="12.75" hidden="false" customHeight="true" outlineLevel="0" collapsed="false">
      <c r="AJ565" s="17" t="str">
        <f aca="false">IF(Data_Summary!Y566&lt;&gt;"Coverage","",IF(Data_Summary!AA566="","",IF(COUNTIFS(Data_Summary!$Y$2:$Y566,"Coverage",Data_Summary!$AA$2:$AA566,Data_Summary!AA566)=1,Data_Summary!AA566,"")))</f>
        <v/>
      </c>
      <c r="AK565" s="17" t="str">
        <f aca="false">IF(AJ565="","",COUNTIFS(Data_Summary!$Y$2:$Y$20001,"Coverage",Data_Summary!$AA$2:$AA$20001,AJ565))</f>
        <v/>
      </c>
    </row>
    <row r="566" customFormat="false" ht="12.75" hidden="false" customHeight="true" outlineLevel="0" collapsed="false">
      <c r="AJ566" s="17" t="str">
        <f aca="false">IF(Data_Summary!Y567&lt;&gt;"Coverage","",IF(Data_Summary!AA567="","",IF(COUNTIFS(Data_Summary!$Y$2:$Y567,"Coverage",Data_Summary!$AA$2:$AA567,Data_Summary!AA567)=1,Data_Summary!AA567,"")))</f>
        <v/>
      </c>
      <c r="AK566" s="17" t="str">
        <f aca="false">IF(AJ566="","",COUNTIFS(Data_Summary!$Y$2:$Y$20001,"Coverage",Data_Summary!$AA$2:$AA$20001,AJ566))</f>
        <v/>
      </c>
    </row>
    <row r="567" customFormat="false" ht="12.75" hidden="false" customHeight="true" outlineLevel="0" collapsed="false">
      <c r="AJ567" s="17" t="str">
        <f aca="false">IF(Data_Summary!Y568&lt;&gt;"Coverage","",IF(Data_Summary!AA568="","",IF(COUNTIFS(Data_Summary!$Y$2:$Y568,"Coverage",Data_Summary!$AA$2:$AA568,Data_Summary!AA568)=1,Data_Summary!AA568,"")))</f>
        <v/>
      </c>
      <c r="AK567" s="17" t="str">
        <f aca="false">IF(AJ567="","",COUNTIFS(Data_Summary!$Y$2:$Y$20001,"Coverage",Data_Summary!$AA$2:$AA$20001,AJ567))</f>
        <v/>
      </c>
    </row>
    <row r="568" customFormat="false" ht="12.75" hidden="false" customHeight="true" outlineLevel="0" collapsed="false">
      <c r="AJ568" s="17" t="str">
        <f aca="false">IF(Data_Summary!Y569&lt;&gt;"Coverage","",IF(Data_Summary!AA569="","",IF(COUNTIFS(Data_Summary!$Y$2:$Y569,"Coverage",Data_Summary!$AA$2:$AA569,Data_Summary!AA569)=1,Data_Summary!AA569,"")))</f>
        <v/>
      </c>
      <c r="AK568" s="17" t="str">
        <f aca="false">IF(AJ568="","",COUNTIFS(Data_Summary!$Y$2:$Y$20001,"Coverage",Data_Summary!$AA$2:$AA$20001,AJ568))</f>
        <v/>
      </c>
    </row>
    <row r="569" customFormat="false" ht="12.75" hidden="false" customHeight="true" outlineLevel="0" collapsed="false">
      <c r="AJ569" s="17" t="str">
        <f aca="false">IF(Data_Summary!Y570&lt;&gt;"Coverage","",IF(Data_Summary!AA570="","",IF(COUNTIFS(Data_Summary!$Y$2:$Y570,"Coverage",Data_Summary!$AA$2:$AA570,Data_Summary!AA570)=1,Data_Summary!AA570,"")))</f>
        <v/>
      </c>
      <c r="AK569" s="17" t="str">
        <f aca="false">IF(AJ569="","",COUNTIFS(Data_Summary!$Y$2:$Y$20001,"Coverage",Data_Summary!$AA$2:$AA$20001,AJ569))</f>
        <v/>
      </c>
    </row>
    <row r="570" customFormat="false" ht="12.75" hidden="false" customHeight="true" outlineLevel="0" collapsed="false">
      <c r="AJ570" s="17" t="str">
        <f aca="false">IF(Data_Summary!Y571&lt;&gt;"Coverage","",IF(Data_Summary!AA571="","",IF(COUNTIFS(Data_Summary!$Y$2:$Y571,"Coverage",Data_Summary!$AA$2:$AA571,Data_Summary!AA571)=1,Data_Summary!AA571,"")))</f>
        <v/>
      </c>
      <c r="AK570" s="17" t="str">
        <f aca="false">IF(AJ570="","",COUNTIFS(Data_Summary!$Y$2:$Y$20001,"Coverage",Data_Summary!$AA$2:$AA$20001,AJ570))</f>
        <v/>
      </c>
    </row>
    <row r="571" customFormat="false" ht="12.75" hidden="false" customHeight="true" outlineLevel="0" collapsed="false">
      <c r="AJ571" s="17" t="str">
        <f aca="false">IF(Data_Summary!Y572&lt;&gt;"Coverage","",IF(Data_Summary!AA572="","",IF(COUNTIFS(Data_Summary!$Y$2:$Y572,"Coverage",Data_Summary!$AA$2:$AA572,Data_Summary!AA572)=1,Data_Summary!AA572,"")))</f>
        <v/>
      </c>
      <c r="AK571" s="17" t="str">
        <f aca="false">IF(AJ571="","",COUNTIFS(Data_Summary!$Y$2:$Y$20001,"Coverage",Data_Summary!$AA$2:$AA$20001,AJ571))</f>
        <v/>
      </c>
    </row>
    <row r="572" customFormat="false" ht="12.75" hidden="false" customHeight="true" outlineLevel="0" collapsed="false">
      <c r="AJ572" s="17" t="str">
        <f aca="false">IF(Data_Summary!Y573&lt;&gt;"Coverage","",IF(Data_Summary!AA573="","",IF(COUNTIFS(Data_Summary!$Y$2:$Y573,"Coverage",Data_Summary!$AA$2:$AA573,Data_Summary!AA573)=1,Data_Summary!AA573,"")))</f>
        <v/>
      </c>
      <c r="AK572" s="17" t="str">
        <f aca="false">IF(AJ572="","",COUNTIFS(Data_Summary!$Y$2:$Y$20001,"Coverage",Data_Summary!$AA$2:$AA$20001,AJ572))</f>
        <v/>
      </c>
    </row>
    <row r="573" customFormat="false" ht="12.75" hidden="false" customHeight="true" outlineLevel="0" collapsed="false">
      <c r="AJ573" s="17" t="str">
        <f aca="false">IF(Data_Summary!Y574&lt;&gt;"Coverage","",IF(Data_Summary!AA574="","",IF(COUNTIFS(Data_Summary!$Y$2:$Y574,"Coverage",Data_Summary!$AA$2:$AA574,Data_Summary!AA574)=1,Data_Summary!AA574,"")))</f>
        <v/>
      </c>
      <c r="AK573" s="17" t="str">
        <f aca="false">IF(AJ573="","",COUNTIFS(Data_Summary!$Y$2:$Y$20001,"Coverage",Data_Summary!$AA$2:$AA$20001,AJ573))</f>
        <v/>
      </c>
    </row>
    <row r="574" customFormat="false" ht="12.75" hidden="false" customHeight="true" outlineLevel="0" collapsed="false">
      <c r="AJ574" s="17" t="str">
        <f aca="false">IF(Data_Summary!Y575&lt;&gt;"Coverage","",IF(Data_Summary!AA575="","",IF(COUNTIFS(Data_Summary!$Y$2:$Y575,"Coverage",Data_Summary!$AA$2:$AA575,Data_Summary!AA575)=1,Data_Summary!AA575,"")))</f>
        <v/>
      </c>
      <c r="AK574" s="17" t="str">
        <f aca="false">IF(AJ574="","",COUNTIFS(Data_Summary!$Y$2:$Y$20001,"Coverage",Data_Summary!$AA$2:$AA$20001,AJ574))</f>
        <v/>
      </c>
    </row>
    <row r="575" customFormat="false" ht="12.75" hidden="false" customHeight="true" outlineLevel="0" collapsed="false">
      <c r="AJ575" s="17" t="str">
        <f aca="false">IF(Data_Summary!Y576&lt;&gt;"Coverage","",IF(Data_Summary!AA576="","",IF(COUNTIFS(Data_Summary!$Y$2:$Y576,"Coverage",Data_Summary!$AA$2:$AA576,Data_Summary!AA576)=1,Data_Summary!AA576,"")))</f>
        <v>Clarity On Appraisal/performance Timelines And Edge Cases</v>
      </c>
      <c r="AK575" s="17" t="n">
        <f aca="false">IF(AJ575="","",COUNTIFS(Data_Summary!$Y$2:$Y$20001,"Coverage",Data_Summary!$AA$2:$AA$20001,AJ575))</f>
        <v>2</v>
      </c>
    </row>
    <row r="576" customFormat="false" ht="12.75" hidden="false" customHeight="true" outlineLevel="0" collapsed="false">
      <c r="AJ576" s="17" t="str">
        <f aca="false">IF(Data_Summary!Y577&lt;&gt;"Coverage","",IF(Data_Summary!AA577="","",IF(COUNTIFS(Data_Summary!$Y$2:$Y577,"Coverage",Data_Summary!$AA$2:$AA577,Data_Summary!AA577)=1,Data_Summary!AA577,"")))</f>
        <v/>
      </c>
      <c r="AK576" s="17" t="str">
        <f aca="false">IF(AJ576="","",COUNTIFS(Data_Summary!$Y$2:$Y$20001,"Coverage",Data_Summary!$AA$2:$AA$20001,AJ576))</f>
        <v/>
      </c>
    </row>
    <row r="577" customFormat="false" ht="12.75" hidden="false" customHeight="true" outlineLevel="0" collapsed="false">
      <c r="AJ577" s="17" t="str">
        <f aca="false">IF(Data_Summary!Y578&lt;&gt;"Coverage","",IF(Data_Summary!AA578="","",IF(COUNTIFS(Data_Summary!$Y$2:$Y578,"Coverage",Data_Summary!$AA$2:$AA578,Data_Summary!AA578)=1,Data_Summary!AA578,"")))</f>
        <v/>
      </c>
      <c r="AK577" s="17" t="str">
        <f aca="false">IF(AJ577="","",COUNTIFS(Data_Summary!$Y$2:$Y$20001,"Coverage",Data_Summary!$AA$2:$AA$20001,AJ577))</f>
        <v/>
      </c>
    </row>
    <row r="578" customFormat="false" ht="12.75" hidden="false" customHeight="true" outlineLevel="0" collapsed="false">
      <c r="AJ578" s="17" t="str">
        <f aca="false">IF(Data_Summary!Y579&lt;&gt;"Coverage","",IF(Data_Summary!AA579="","",IF(COUNTIFS(Data_Summary!$Y$2:$Y579,"Coverage",Data_Summary!$AA$2:$AA579,Data_Summary!AA579)=1,Data_Summary!AA579,"")))</f>
        <v/>
      </c>
      <c r="AK578" s="17" t="str">
        <f aca="false">IF(AJ578="","",COUNTIFS(Data_Summary!$Y$2:$Y$20001,"Coverage",Data_Summary!$AA$2:$AA$20001,AJ578))</f>
        <v/>
      </c>
    </row>
    <row r="579" customFormat="false" ht="12.75" hidden="false" customHeight="true" outlineLevel="0" collapsed="false">
      <c r="AJ579" s="17" t="str">
        <f aca="false">IF(Data_Summary!Y580&lt;&gt;"Coverage","",IF(Data_Summary!AA580="","",IF(COUNTIFS(Data_Summary!$Y$2:$Y580,"Coverage",Data_Summary!$AA$2:$AA580,Data_Summary!AA580)=1,Data_Summary!AA580,"")))</f>
        <v/>
      </c>
      <c r="AK579" s="17" t="str">
        <f aca="false">IF(AJ579="","",COUNTIFS(Data_Summary!$Y$2:$Y$20001,"Coverage",Data_Summary!$AA$2:$AA$20001,AJ579))</f>
        <v/>
      </c>
    </row>
    <row r="580" customFormat="false" ht="12.75" hidden="false" customHeight="true" outlineLevel="0" collapsed="false">
      <c r="AJ580" s="17" t="str">
        <f aca="false">IF(Data_Summary!Y581&lt;&gt;"Coverage","",IF(Data_Summary!AA581="","",IF(COUNTIFS(Data_Summary!$Y$2:$Y581,"Coverage",Data_Summary!$AA$2:$AA581,Data_Summary!AA581)=1,Data_Summary!AA581,"")))</f>
        <v/>
      </c>
      <c r="AK580" s="17" t="str">
        <f aca="false">IF(AJ580="","",COUNTIFS(Data_Summary!$Y$2:$Y$20001,"Coverage",Data_Summary!$AA$2:$AA$20001,AJ580))</f>
        <v/>
      </c>
    </row>
    <row r="581" customFormat="false" ht="12.75" hidden="false" customHeight="true" outlineLevel="0" collapsed="false">
      <c r="AJ581" s="17" t="str">
        <f aca="false">IF(Data_Summary!Y582&lt;&gt;"Coverage","",IF(Data_Summary!AA582="","",IF(COUNTIFS(Data_Summary!$Y$2:$Y582,"Coverage",Data_Summary!$AA$2:$AA582,Data_Summary!AA582)=1,Data_Summary!AA582,"")))</f>
        <v/>
      </c>
      <c r="AK581" s="17" t="str">
        <f aca="false">IF(AJ581="","",COUNTIFS(Data_Summary!$Y$2:$Y$20001,"Coverage",Data_Summary!$AA$2:$AA$20001,AJ581))</f>
        <v/>
      </c>
    </row>
    <row r="582" customFormat="false" ht="12.75" hidden="false" customHeight="true" outlineLevel="0" collapsed="false">
      <c r="AJ582" s="17" t="str">
        <f aca="false">IF(Data_Summary!Y583&lt;&gt;"Coverage","",IF(Data_Summary!AA583="","",IF(COUNTIFS(Data_Summary!$Y$2:$Y583,"Coverage",Data_Summary!$AA$2:$AA583,Data_Summary!AA583)=1,Data_Summary!AA583,"")))</f>
        <v/>
      </c>
      <c r="AK582" s="17" t="str">
        <f aca="false">IF(AJ582="","",COUNTIFS(Data_Summary!$Y$2:$Y$20001,"Coverage",Data_Summary!$AA$2:$AA$20001,AJ582))</f>
        <v/>
      </c>
    </row>
    <row r="583" customFormat="false" ht="12.75" hidden="false" customHeight="true" outlineLevel="0" collapsed="false">
      <c r="AJ583" s="17" t="str">
        <f aca="false">IF(Data_Summary!Y584&lt;&gt;"Coverage","",IF(Data_Summary!AA584="","",IF(COUNTIFS(Data_Summary!$Y$2:$Y584,"Coverage",Data_Summary!$AA$2:$AA584,Data_Summary!AA584)=1,Data_Summary!AA584,"")))</f>
        <v/>
      </c>
      <c r="AK583" s="17" t="str">
        <f aca="false">IF(AJ583="","",COUNTIFS(Data_Summary!$Y$2:$Y$20001,"Coverage",Data_Summary!$AA$2:$AA$20001,AJ583))</f>
        <v/>
      </c>
    </row>
    <row r="584" customFormat="false" ht="12.75" hidden="false" customHeight="true" outlineLevel="0" collapsed="false">
      <c r="AJ584" s="17" t="str">
        <f aca="false">IF(Data_Summary!Y585&lt;&gt;"Coverage","",IF(Data_Summary!AA585="","",IF(COUNTIFS(Data_Summary!$Y$2:$Y585,"Coverage",Data_Summary!$AA$2:$AA585,Data_Summary!AA585)=1,Data_Summary!AA585,"")))</f>
        <v>Compensation &amp; Retention Risk</v>
      </c>
      <c r="AK584" s="17" t="n">
        <f aca="false">IF(AJ584="","",COUNTIFS(Data_Summary!$Y$2:$Y$20001,"Coverage",Data_Summary!$AA$2:$AA$20001,AJ584))</f>
        <v>1</v>
      </c>
    </row>
    <row r="585" customFormat="false" ht="12.75" hidden="false" customHeight="true" outlineLevel="0" collapsed="false">
      <c r="AJ585" s="17" t="str">
        <f aca="false">IF(Data_Summary!Y586&lt;&gt;"Coverage","",IF(Data_Summary!AA586="","",IF(COUNTIFS(Data_Summary!$Y$2:$Y586,"Coverage",Data_Summary!$AA$2:$AA586,Data_Summary!AA586)=1,Data_Summary!AA586,"")))</f>
        <v/>
      </c>
      <c r="AK585" s="17" t="str">
        <f aca="false">IF(AJ585="","",COUNTIFS(Data_Summary!$Y$2:$Y$20001,"Coverage",Data_Summary!$AA$2:$AA$20001,AJ585))</f>
        <v/>
      </c>
    </row>
    <row r="586" customFormat="false" ht="12.75" hidden="false" customHeight="true" outlineLevel="0" collapsed="false">
      <c r="AJ586" s="17" t="str">
        <f aca="false">IF(Data_Summary!Y587&lt;&gt;"Coverage","",IF(Data_Summary!AA587="","",IF(COUNTIFS(Data_Summary!$Y$2:$Y587,"Coverage",Data_Summary!$AA$2:$AA587,Data_Summary!AA587)=1,Data_Summary!AA587,"")))</f>
        <v/>
      </c>
      <c r="AK586" s="17" t="str">
        <f aca="false">IF(AJ586="","",COUNTIFS(Data_Summary!$Y$2:$Y$20001,"Coverage",Data_Summary!$AA$2:$AA$20001,AJ586))</f>
        <v/>
      </c>
    </row>
    <row r="587" customFormat="false" ht="12.75" hidden="false" customHeight="true" outlineLevel="0" collapsed="false">
      <c r="AJ587" s="17" t="str">
        <f aca="false">IF(Data_Summary!Y588&lt;&gt;"Coverage","",IF(Data_Summary!AA588="","",IF(COUNTIFS(Data_Summary!$Y$2:$Y588,"Coverage",Data_Summary!$AA$2:$AA588,Data_Summary!AA588)=1,Data_Summary!AA588,"")))</f>
        <v/>
      </c>
      <c r="AK587" s="17" t="str">
        <f aca="false">IF(AJ587="","",COUNTIFS(Data_Summary!$Y$2:$Y$20001,"Coverage",Data_Summary!$AA$2:$AA$20001,AJ587))</f>
        <v/>
      </c>
    </row>
    <row r="588" customFormat="false" ht="12.75" hidden="false" customHeight="true" outlineLevel="0" collapsed="false">
      <c r="AJ588" s="17" t="str">
        <f aca="false">IF(Data_Summary!Y589&lt;&gt;"Coverage","",IF(Data_Summary!AA589="","",IF(COUNTIFS(Data_Summary!$Y$2:$Y589,"Coverage",Data_Summary!$AA$2:$AA589,Data_Summary!AA589)=1,Data_Summary!AA589,"")))</f>
        <v/>
      </c>
      <c r="AK588" s="17" t="str">
        <f aca="false">IF(AJ588="","",COUNTIFS(Data_Summary!$Y$2:$Y$20001,"Coverage",Data_Summary!$AA$2:$AA$20001,AJ588))</f>
        <v/>
      </c>
    </row>
    <row r="589" customFormat="false" ht="12.75" hidden="false" customHeight="true" outlineLevel="0" collapsed="false">
      <c r="AJ589" s="17" t="str">
        <f aca="false">IF(Data_Summary!Y590&lt;&gt;"Coverage","",IF(Data_Summary!AA590="","",IF(COUNTIFS(Data_Summary!$Y$2:$Y590,"Coverage",Data_Summary!$AA$2:$AA590,Data_Summary!AA590)=1,Data_Summary!AA590,"")))</f>
        <v/>
      </c>
      <c r="AK589" s="17" t="str">
        <f aca="false">IF(AJ589="","",COUNTIFS(Data_Summary!$Y$2:$Y$20001,"Coverage",Data_Summary!$AA$2:$AA$20001,AJ589))</f>
        <v/>
      </c>
    </row>
    <row r="590" customFormat="false" ht="12.75" hidden="false" customHeight="true" outlineLevel="0" collapsed="false">
      <c r="AJ590" s="17" t="str">
        <f aca="false">IF(Data_Summary!Y591&lt;&gt;"Coverage","",IF(Data_Summary!AA591="","",IF(COUNTIFS(Data_Summary!$Y$2:$Y591,"Coverage",Data_Summary!$AA$2:$AA591,Data_Summary!AA591)=1,Data_Summary!AA591,"")))</f>
        <v/>
      </c>
      <c r="AK590" s="17" t="str">
        <f aca="false">IF(AJ590="","",COUNTIFS(Data_Summary!$Y$2:$Y$20001,"Coverage",Data_Summary!$AA$2:$AA$20001,AJ590))</f>
        <v/>
      </c>
    </row>
    <row r="591" customFormat="false" ht="12.75" hidden="false" customHeight="true" outlineLevel="0" collapsed="false">
      <c r="AJ591" s="17" t="str">
        <f aca="false">IF(Data_Summary!Y592&lt;&gt;"Coverage","",IF(Data_Summary!AA592="","",IF(COUNTIFS(Data_Summary!$Y$2:$Y592,"Coverage",Data_Summary!$AA$2:$AA592,Data_Summary!AA592)=1,Data_Summary!AA592,"")))</f>
        <v/>
      </c>
      <c r="AK591" s="17" t="str">
        <f aca="false">IF(AJ591="","",COUNTIFS(Data_Summary!$Y$2:$Y$20001,"Coverage",Data_Summary!$AA$2:$AA$20001,AJ591))</f>
        <v/>
      </c>
    </row>
    <row r="592" customFormat="false" ht="12.75" hidden="false" customHeight="true" outlineLevel="0" collapsed="false">
      <c r="AJ592" s="17" t="str">
        <f aca="false">IF(Data_Summary!Y593&lt;&gt;"Coverage","",IF(Data_Summary!AA593="","",IF(COUNTIFS(Data_Summary!$Y$2:$Y593,"Coverage",Data_Summary!$AA$2:$AA593,Data_Summary!AA593)=1,Data_Summary!AA593,"")))</f>
        <v/>
      </c>
      <c r="AK592" s="17" t="str">
        <f aca="false">IF(AJ592="","",COUNTIFS(Data_Summary!$Y$2:$Y$20001,"Coverage",Data_Summary!$AA$2:$AA$20001,AJ592))</f>
        <v/>
      </c>
    </row>
    <row r="593" customFormat="false" ht="12.75" hidden="false" customHeight="true" outlineLevel="0" collapsed="false">
      <c r="AJ593" s="17" t="str">
        <f aca="false">IF(Data_Summary!Y594&lt;&gt;"Coverage","",IF(Data_Summary!AA594="","",IF(COUNTIFS(Data_Summary!$Y$2:$Y594,"Coverage",Data_Summary!$AA$2:$AA594,Data_Summary!AA594)=1,Data_Summary!AA594,"")))</f>
        <v/>
      </c>
      <c r="AK593" s="17" t="str">
        <f aca="false">IF(AJ593="","",COUNTIFS(Data_Summary!$Y$2:$Y$20001,"Coverage",Data_Summary!$AA$2:$AA$20001,AJ593))</f>
        <v/>
      </c>
    </row>
    <row r="594" customFormat="false" ht="12.75" hidden="false" customHeight="true" outlineLevel="0" collapsed="false">
      <c r="AJ594" s="17" t="str">
        <f aca="false">IF(Data_Summary!Y595&lt;&gt;"Coverage","",IF(Data_Summary!AA595="","",IF(COUNTIFS(Data_Summary!$Y$2:$Y595,"Coverage",Data_Summary!$AA$2:$AA595,Data_Summary!AA595)=1,Data_Summary!AA595,"")))</f>
        <v/>
      </c>
      <c r="AK594" s="17" t="str">
        <f aca="false">IF(AJ594="","",COUNTIFS(Data_Summary!$Y$2:$Y$20001,"Coverage",Data_Summary!$AA$2:$AA$20001,AJ594))</f>
        <v/>
      </c>
    </row>
    <row r="595" customFormat="false" ht="12.75" hidden="false" customHeight="true" outlineLevel="0" collapsed="false">
      <c r="AJ595" s="17" t="str">
        <f aca="false">IF(Data_Summary!Y596&lt;&gt;"Coverage","",IF(Data_Summary!AA596="","",IF(COUNTIFS(Data_Summary!$Y$2:$Y596,"Coverage",Data_Summary!$AA$2:$AA596,Data_Summary!AA596)=1,Data_Summary!AA596,"")))</f>
        <v/>
      </c>
      <c r="AK595" s="17" t="str">
        <f aca="false">IF(AJ595="","",COUNTIFS(Data_Summary!$Y$2:$Y$20001,"Coverage",Data_Summary!$AA$2:$AA$20001,AJ595))</f>
        <v/>
      </c>
    </row>
    <row r="596" customFormat="false" ht="12.75" hidden="false" customHeight="true" outlineLevel="0" collapsed="false">
      <c r="AJ596" s="17" t="str">
        <f aca="false">IF(Data_Summary!Y597&lt;&gt;"Coverage","",IF(Data_Summary!AA597="","",IF(COUNTIFS(Data_Summary!$Y$2:$Y597,"Coverage",Data_Summary!$AA$2:$AA597,Data_Summary!AA597)=1,Data_Summary!AA597,"")))</f>
        <v/>
      </c>
      <c r="AK596" s="17" t="str">
        <f aca="false">IF(AJ596="","",COUNTIFS(Data_Summary!$Y$2:$Y$20001,"Coverage",Data_Summary!$AA$2:$AA$20001,AJ596))</f>
        <v/>
      </c>
    </row>
    <row r="597" customFormat="false" ht="12.75" hidden="false" customHeight="true" outlineLevel="0" collapsed="false">
      <c r="AJ597" s="17" t="str">
        <f aca="false">IF(Data_Summary!Y598&lt;&gt;"Coverage","",IF(Data_Summary!AA598="","",IF(COUNTIFS(Data_Summary!$Y$2:$Y598,"Coverage",Data_Summary!$AA$2:$AA598,Data_Summary!AA598)=1,Data_Summary!AA598,"")))</f>
        <v/>
      </c>
      <c r="AK597" s="17" t="str">
        <f aca="false">IF(AJ597="","",COUNTIFS(Data_Summary!$Y$2:$Y$20001,"Coverage",Data_Summary!$AA$2:$AA$20001,AJ597))</f>
        <v/>
      </c>
    </row>
    <row r="598" customFormat="false" ht="12.75" hidden="false" customHeight="true" outlineLevel="0" collapsed="false">
      <c r="AJ598" s="17" t="str">
        <f aca="false">IF(Data_Summary!Y599&lt;&gt;"Coverage","",IF(Data_Summary!AA599="","",IF(COUNTIFS(Data_Summary!$Y$2:$Y599,"Coverage",Data_Summary!$AA$2:$AA599,Data_Summary!AA599)=1,Data_Summary!AA599,"")))</f>
        <v/>
      </c>
      <c r="AK598" s="17" t="str">
        <f aca="false">IF(AJ598="","",COUNTIFS(Data_Summary!$Y$2:$Y$20001,"Coverage",Data_Summary!$AA$2:$AA$20001,AJ598))</f>
        <v/>
      </c>
    </row>
    <row r="599" customFormat="false" ht="12.75" hidden="false" customHeight="true" outlineLevel="0" collapsed="false">
      <c r="AJ599" s="17" t="str">
        <f aca="false">IF(Data_Summary!Y600&lt;&gt;"Coverage","",IF(Data_Summary!AA600="","",IF(COUNTIFS(Data_Summary!$Y$2:$Y600,"Coverage",Data_Summary!$AA$2:$AA600,Data_Summary!AA600)=1,Data_Summary!AA600,"")))</f>
        <v/>
      </c>
      <c r="AK599" s="17" t="str">
        <f aca="false">IF(AJ599="","",COUNTIFS(Data_Summary!$Y$2:$Y$20001,"Coverage",Data_Summary!$AA$2:$AA$20001,AJ599))</f>
        <v/>
      </c>
    </row>
  </sheetData>
  <mergeCells count="6">
    <mergeCell ref="J1:O1"/>
    <mergeCell ref="Q1:T1"/>
    <mergeCell ref="A48:D48"/>
    <mergeCell ref="A261:E261"/>
    <mergeCell ref="A268:H268"/>
    <mergeCell ref="A269:H2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70"/>
  <sheetViews>
    <sheetView showFormulas="false" showGridLines="false" showRowColHeaders="true" showZeros="true" rightToLeft="false" tabSelected="true" showOutlineSymbols="true" defaultGridColor="true" view="normal" topLeftCell="A1" colorId="64" zoomScale="94" zoomScaleNormal="94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B16" activeCellId="0" sqref="AB16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.14"/>
    <col collapsed="false" customWidth="true" hidden="false" outlineLevel="0" max="2" min="2" style="0" width="1.42"/>
    <col collapsed="false" customWidth="true" hidden="false" outlineLevel="0" max="3" min="3" style="0" width="28"/>
    <col collapsed="false" customWidth="true" hidden="false" outlineLevel="0" max="4" min="4" style="0" width="9.42"/>
    <col collapsed="false" customWidth="true" hidden="false" outlineLevel="0" max="5" min="5" style="0" width="10.71"/>
    <col collapsed="false" customWidth="true" hidden="false" outlineLevel="0" max="6" min="6" style="0" width="7.42"/>
    <col collapsed="false" customWidth="true" hidden="false" outlineLevel="0" max="7" min="7" style="0" width="8"/>
    <col collapsed="false" customWidth="true" hidden="false" outlineLevel="0" max="8" min="8" style="0" width="6.43"/>
    <col collapsed="false" customWidth="true" hidden="false" outlineLevel="0" max="16" min="9" style="0" width="6"/>
    <col collapsed="false" customWidth="true" hidden="false" outlineLevel="0" max="17" min="17" style="0" width="8.29"/>
    <col collapsed="false" customWidth="true" hidden="false" outlineLevel="0" max="18" min="18" style="0" width="6"/>
    <col collapsed="false" customWidth="true" hidden="false" outlineLevel="0" max="19" min="19" style="0" width="7.42"/>
    <col collapsed="false" customWidth="true" hidden="false" outlineLevel="0" max="20" min="20" style="0" width="7.71"/>
    <col collapsed="false" customWidth="true" hidden="false" outlineLevel="0" max="21" min="21" style="0" width="6"/>
    <col collapsed="false" customWidth="true" hidden="false" outlineLevel="0" max="22" min="22" style="0" width="8.15"/>
    <col collapsed="false" customWidth="true" hidden="false" outlineLevel="0" max="23" min="23" style="0" width="6"/>
    <col collapsed="false" customWidth="true" hidden="false" outlineLevel="0" max="24" min="24" style="0" width="12.15"/>
    <col collapsed="false" customWidth="true" hidden="false" outlineLevel="0" max="25" min="25" style="0" width="1.42"/>
  </cols>
  <sheetData>
    <row r="1" customFormat="false" ht="6" hidden="false" customHeight="true" outlineLevel="0" collapsed="false"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</row>
    <row r="2" customFormat="false" ht="36" hidden="false" customHeight="true" outlineLevel="0" collapsed="false">
      <c r="B2" s="78"/>
      <c r="C2" s="79" t="s">
        <v>2066</v>
      </c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80" t="s">
        <v>2067</v>
      </c>
      <c r="T2" s="80"/>
      <c r="U2" s="80"/>
      <c r="V2" s="80"/>
      <c r="W2" s="80"/>
      <c r="X2" s="80"/>
      <c r="Y2" s="77"/>
      <c r="Z2" s="77"/>
      <c r="AA2" s="77"/>
      <c r="AB2" s="77"/>
    </row>
    <row r="3" customFormat="false" ht="21.75" hidden="false" customHeight="true" outlineLevel="0" collapsed="false">
      <c r="B3" s="78"/>
      <c r="C3" s="81" t="s">
        <v>2068</v>
      </c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2"/>
      <c r="V3" s="82"/>
      <c r="W3" s="82"/>
      <c r="X3" s="82"/>
      <c r="Y3" s="77"/>
      <c r="Z3" s="77"/>
      <c r="AA3" s="77"/>
      <c r="AB3" s="77"/>
    </row>
    <row r="4" customFormat="false" ht="13.5" hidden="false" customHeight="true" outlineLevel="0" collapsed="false">
      <c r="B4" s="78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</row>
    <row r="5" customFormat="false" ht="6" hidden="false" customHeight="true" outlineLevel="0" collapsed="false"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</row>
    <row r="6" customFormat="false" ht="7.5" hidden="false" customHeight="true" outlineLevel="0" collapsed="false"/>
    <row r="7" customFormat="false" ht="3.75" hidden="false" customHeight="true" outlineLevel="0" collapsed="false">
      <c r="C7" s="83"/>
      <c r="D7" s="83"/>
      <c r="E7" s="83"/>
      <c r="F7" s="83"/>
      <c r="G7" s="83"/>
      <c r="H7" s="83"/>
      <c r="I7" s="84"/>
      <c r="J7" s="84"/>
      <c r="K7" s="84"/>
      <c r="L7" s="85"/>
      <c r="M7" s="85"/>
      <c r="N7" s="85"/>
      <c r="O7" s="86"/>
      <c r="P7" s="86"/>
      <c r="Q7" s="86"/>
      <c r="R7" s="87"/>
      <c r="S7" s="87"/>
      <c r="T7" s="87"/>
      <c r="U7" s="88"/>
      <c r="V7" s="88"/>
      <c r="W7" s="88"/>
      <c r="X7" s="88"/>
    </row>
    <row r="8" customFormat="false" ht="36" hidden="false" customHeight="true" outlineLevel="0" collapsed="false">
      <c r="C8" s="89" t="n">
        <f aca="false">Calc!B3</f>
        <v>300</v>
      </c>
      <c r="D8" s="89"/>
      <c r="E8" s="89"/>
      <c r="F8" s="90" t="n">
        <f aca="false">Calc!B4</f>
        <v>29</v>
      </c>
      <c r="G8" s="90"/>
      <c r="H8" s="90"/>
      <c r="I8" s="90" t="n">
        <f aca="false">Calc!B7</f>
        <v>63</v>
      </c>
      <c r="J8" s="90"/>
      <c r="K8" s="90"/>
      <c r="L8" s="91" t="n">
        <f aca="false">Calc!B5</f>
        <v>57</v>
      </c>
      <c r="M8" s="91"/>
      <c r="N8" s="91"/>
      <c r="O8" s="92" t="n">
        <f aca="false">Calc!B13</f>
        <v>71.3333333333333</v>
      </c>
      <c r="P8" s="92"/>
      <c r="Q8" s="92"/>
      <c r="R8" s="93" t="n">
        <f aca="false">Calc!B14</f>
        <v>79.3333333333333</v>
      </c>
      <c r="S8" s="93"/>
      <c r="T8" s="93"/>
      <c r="U8" s="89" t="n">
        <f aca="false">Calc!B15</f>
        <v>299</v>
      </c>
      <c r="V8" s="89"/>
      <c r="W8" s="89" t="n">
        <f aca="false">Calc!B16</f>
        <v>10</v>
      </c>
      <c r="X8" s="89"/>
    </row>
    <row r="9" customFormat="false" ht="18" hidden="false" customHeight="true" outlineLevel="0" collapsed="false">
      <c r="C9" s="94" t="s">
        <v>2069</v>
      </c>
      <c r="D9" s="94"/>
      <c r="E9" s="94"/>
      <c r="F9" s="94" t="s">
        <v>2070</v>
      </c>
      <c r="G9" s="94"/>
      <c r="H9" s="94"/>
      <c r="I9" s="94" t="s">
        <v>2071</v>
      </c>
      <c r="J9" s="94"/>
      <c r="K9" s="94"/>
      <c r="L9" s="94" t="s">
        <v>2072</v>
      </c>
      <c r="M9" s="94"/>
      <c r="N9" s="94"/>
      <c r="O9" s="94" t="s">
        <v>2073</v>
      </c>
      <c r="P9" s="94"/>
      <c r="Q9" s="94"/>
      <c r="R9" s="94" t="s">
        <v>2074</v>
      </c>
      <c r="S9" s="94"/>
      <c r="T9" s="94"/>
      <c r="U9" s="94" t="s">
        <v>2075</v>
      </c>
      <c r="V9" s="94"/>
      <c r="W9" s="94" t="s">
        <v>2076</v>
      </c>
      <c r="X9" s="94"/>
    </row>
    <row r="10" customFormat="false" ht="13.5" hidden="false" customHeight="true" outlineLevel="0" collapsed="false">
      <c r="C10" s="95"/>
      <c r="D10" s="95"/>
      <c r="E10" s="95"/>
      <c r="F10" s="95" t="s">
        <v>2077</v>
      </c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</row>
    <row r="11" customFormat="false" ht="6" hidden="false" customHeight="true" outlineLevel="0" collapsed="false"/>
    <row r="12" customFormat="false" ht="15.75" hidden="false" customHeight="true" outlineLevel="0" collapsed="false">
      <c r="C12" s="96" t="s">
        <v>2078</v>
      </c>
      <c r="D12" s="96"/>
      <c r="E12" s="96"/>
      <c r="F12" s="96"/>
      <c r="G12" s="96"/>
      <c r="H12" s="96"/>
      <c r="I12" s="96" t="s">
        <v>9</v>
      </c>
      <c r="J12" s="96"/>
      <c r="K12" s="96"/>
      <c r="L12" s="96"/>
      <c r="M12" s="96"/>
      <c r="N12" s="96"/>
      <c r="O12" s="96" t="s">
        <v>2079</v>
      </c>
      <c r="P12" s="96"/>
      <c r="Q12" s="96"/>
      <c r="R12" s="96"/>
      <c r="S12" s="96"/>
      <c r="T12" s="96"/>
      <c r="U12" s="96" t="s">
        <v>2080</v>
      </c>
      <c r="V12" s="96"/>
      <c r="W12" s="96"/>
      <c r="X12" s="96"/>
    </row>
    <row r="13" customFormat="false" ht="19.5" hidden="false" customHeight="true" outlineLevel="0" collapsed="false">
      <c r="C13" s="97" t="str">
        <f aca="false">Calc!B17</f>
        <v>DEA Service Line</v>
      </c>
      <c r="D13" s="97"/>
      <c r="E13" s="97"/>
      <c r="F13" s="97"/>
      <c r="G13" s="97"/>
      <c r="H13" s="97"/>
      <c r="I13" s="97" t="str">
        <f aca="false">Calc!B18</f>
        <v>IBU Specific Connect </v>
      </c>
      <c r="J13" s="97"/>
      <c r="K13" s="97"/>
      <c r="L13" s="97"/>
      <c r="M13" s="97"/>
      <c r="N13" s="97"/>
      <c r="O13" s="98" t="str">
        <f aca="false">Calc!B19</f>
        <v>Alignment</v>
      </c>
      <c r="P13" s="98"/>
      <c r="Q13" s="98"/>
      <c r="R13" s="98"/>
      <c r="S13" s="98"/>
      <c r="T13" s="98"/>
      <c r="U13" s="99" t="n">
        <f aca="false">Calc!B20</f>
        <v>86</v>
      </c>
      <c r="V13" s="99"/>
      <c r="W13" s="99"/>
      <c r="X13" s="99"/>
    </row>
    <row r="14" customFormat="false" ht="6" hidden="false" customHeight="true" outlineLevel="0" collapsed="false"/>
    <row r="15" customFormat="false" ht="19.5" hidden="false" customHeight="true" outlineLevel="0" collapsed="false">
      <c r="C15" s="100" t="s">
        <v>2081</v>
      </c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</row>
    <row r="16" customFormat="false" ht="13.5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6" hidden="false" customHeight="true" outlineLevel="0" collapsed="false"/>
    <row r="35" customFormat="false" ht="19.5" hidden="false" customHeight="true" outlineLevel="0" collapsed="false">
      <c r="C35" s="101" t="s">
        <v>2082</v>
      </c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</row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6" hidden="false" customHeight="true" outlineLevel="0" collapsed="false"/>
    <row r="55" customFormat="false" ht="6" hidden="false" customHeight="true" outlineLevel="0" collapsed="false">
      <c r="A55" s="102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</row>
    <row r="56" customFormat="false" ht="19.5" hidden="false" customHeight="true" outlineLevel="0" collapsed="false">
      <c r="C56" s="103" t="s">
        <v>2083</v>
      </c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</row>
    <row r="57" s="104" customFormat="true" ht="19.5" hidden="false" customHeight="true" outlineLevel="0" collapsed="false"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</row>
    <row r="58" s="104" customFormat="true" ht="19.5" hidden="false" customHeight="true" outlineLevel="0" collapsed="false">
      <c r="C58" s="105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</row>
    <row r="59" s="104" customFormat="true" ht="19.5" hidden="false" customHeight="true" outlineLevel="0" collapsed="false">
      <c r="C59" s="105"/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</row>
    <row r="60" s="104" customFormat="true" ht="19.5" hidden="false" customHeight="true" outlineLevel="0" collapsed="false"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</row>
    <row r="61" s="104" customFormat="true" ht="19.5" hidden="false" customHeight="true" outlineLevel="0" collapsed="false"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</row>
    <row r="62" s="104" customFormat="true" ht="19.5" hidden="false" customHeight="true" outlineLevel="0" collapsed="false">
      <c r="C62" s="105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</row>
    <row r="63" s="104" customFormat="true" ht="19.5" hidden="false" customHeight="true" outlineLevel="0" collapsed="false"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</row>
    <row r="64" s="104" customFormat="true" ht="19.5" hidden="false" customHeight="true" outlineLevel="0" collapsed="false">
      <c r="C64" s="105"/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</row>
    <row r="65" s="104" customFormat="true" ht="19.5" hidden="false" customHeight="true" outlineLevel="0" collapsed="false"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</row>
    <row r="66" s="104" customFormat="true" ht="19.5" hidden="false" customHeight="true" outlineLevel="0" collapsed="false"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</row>
    <row r="67" s="104" customFormat="true" ht="19.5" hidden="false" customHeight="true" outlineLevel="0" collapsed="false"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</row>
    <row r="68" s="104" customFormat="true" ht="19.5" hidden="false" customHeight="true" outlineLevel="0" collapsed="false">
      <c r="C68" s="105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</row>
    <row r="69" s="104" customFormat="true" ht="19.5" hidden="false" customHeight="true" outlineLevel="0" collapsed="false"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</row>
    <row r="70" customFormat="false" ht="21.75" hidden="false" customHeight="true" outlineLevel="0" collapsed="false">
      <c r="A70" s="102"/>
      <c r="B70" s="102"/>
      <c r="C70" s="106" t="s">
        <v>2084</v>
      </c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2"/>
      <c r="Y70" s="102"/>
    </row>
    <row r="71" customFormat="false" ht="36.75" hidden="false" customHeight="true" outlineLevel="0" collapsed="false">
      <c r="A71" s="102"/>
      <c r="B71" s="102"/>
      <c r="C71" s="107"/>
      <c r="D71" s="107"/>
      <c r="E71" s="107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</row>
    <row r="72" customFormat="false" ht="15" hidden="false" customHeight="true" outlineLevel="0" collapsed="false">
      <c r="A72" s="102"/>
      <c r="B72" s="102"/>
      <c r="C72" s="108"/>
      <c r="D72" s="109"/>
      <c r="E72" s="110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</row>
    <row r="73" customFormat="false" ht="15" hidden="false" customHeight="true" outlineLevel="0" collapsed="false">
      <c r="A73" s="102"/>
      <c r="B73" s="102"/>
      <c r="C73" s="111"/>
      <c r="D73" s="112"/>
      <c r="E73" s="113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</row>
    <row r="74" customFormat="false" ht="15" hidden="false" customHeight="true" outlineLevel="0" collapsed="false">
      <c r="A74" s="102"/>
      <c r="B74" s="102"/>
      <c r="C74" s="108"/>
      <c r="D74" s="109"/>
      <c r="E74" s="114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</row>
    <row r="75" customFormat="false" ht="15" hidden="false" customHeight="true" outlineLevel="0" collapsed="false">
      <c r="A75" s="102"/>
      <c r="B75" s="102"/>
      <c r="C75" s="111"/>
      <c r="D75" s="112"/>
      <c r="E75" s="110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</row>
    <row r="76" customFormat="false" ht="15" hidden="false" customHeight="true" outlineLevel="0" collapsed="false">
      <c r="A76" s="102"/>
      <c r="B76" s="102"/>
      <c r="C76" s="108"/>
      <c r="D76" s="109"/>
      <c r="E76" s="114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</row>
    <row r="77" customFormat="false" ht="15" hidden="false" customHeight="true" outlineLevel="0" collapsed="false">
      <c r="A77" s="102"/>
      <c r="B77" s="102"/>
      <c r="C77" s="111"/>
      <c r="D77" s="112"/>
      <c r="E77" s="113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</row>
    <row r="78" customFormat="false" ht="15" hidden="false" customHeight="true" outlineLevel="0" collapsed="false">
      <c r="A78" s="102"/>
      <c r="B78" s="102"/>
      <c r="C78" s="108"/>
      <c r="D78" s="109"/>
      <c r="E78" s="114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</row>
    <row r="79" customFormat="false" ht="15" hidden="false" customHeight="true" outlineLevel="0" collapsed="false">
      <c r="A79" s="102"/>
      <c r="B79" s="102"/>
      <c r="C79" s="111"/>
      <c r="D79" s="112"/>
      <c r="E79" s="113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</row>
    <row r="80" customFormat="false" ht="15" hidden="false" customHeight="true" outlineLevel="0" collapsed="false">
      <c r="A80" s="102"/>
      <c r="B80" s="102"/>
      <c r="C80" s="108"/>
      <c r="D80" s="109"/>
      <c r="E80" s="114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</row>
    <row r="81" customFormat="false" ht="15" hidden="false" customHeight="true" outlineLevel="0" collapsed="false">
      <c r="A81" s="102"/>
      <c r="B81" s="102"/>
      <c r="C81" s="111"/>
      <c r="D81" s="112"/>
      <c r="E81" s="113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</row>
    <row r="82" customFormat="false" ht="15" hidden="false" customHeight="true" outlineLevel="0" collapsed="false">
      <c r="A82" s="102"/>
      <c r="B82" s="102"/>
      <c r="C82" s="108"/>
      <c r="D82" s="109"/>
      <c r="E82" s="114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</row>
    <row r="83" customFormat="false" ht="15" hidden="false" customHeight="true" outlineLevel="0" collapsed="false">
      <c r="A83" s="102"/>
      <c r="B83" s="102"/>
      <c r="C83" s="111"/>
      <c r="D83" s="112"/>
      <c r="E83" s="110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</row>
    <row r="84" customFormat="false" ht="15" hidden="false" customHeight="true" outlineLevel="0" collapsed="false">
      <c r="A84" s="102"/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</row>
    <row r="85" customFormat="false" ht="39.75" hidden="false" customHeight="true" outlineLevel="0" collapsed="false">
      <c r="A85" s="102"/>
      <c r="B85" s="102"/>
      <c r="C85" s="107"/>
      <c r="D85" s="107"/>
      <c r="E85" s="107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</row>
    <row r="86" customFormat="false" ht="15" hidden="false" customHeight="true" outlineLevel="0" collapsed="false">
      <c r="A86" s="102"/>
      <c r="B86" s="102"/>
      <c r="C86" s="108"/>
      <c r="D86" s="109"/>
      <c r="E86" s="110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</row>
    <row r="87" customFormat="false" ht="15" hidden="false" customHeight="true" outlineLevel="0" collapsed="false">
      <c r="A87" s="102"/>
      <c r="B87" s="102"/>
      <c r="C87" s="111"/>
      <c r="D87" s="112"/>
      <c r="E87" s="110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</row>
    <row r="88" customFormat="false" ht="15" hidden="false" customHeight="true" outlineLevel="0" collapsed="false">
      <c r="A88" s="102"/>
      <c r="B88" s="102"/>
      <c r="C88" s="108"/>
      <c r="D88" s="109"/>
      <c r="E88" s="114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</row>
    <row r="89" customFormat="false" ht="15" hidden="false" customHeight="true" outlineLevel="0" collapsed="false">
      <c r="A89" s="102"/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</row>
    <row r="90" customFormat="false" ht="15" hidden="false" customHeight="true" outlineLevel="0" collapsed="false">
      <c r="A90" s="102"/>
      <c r="B90" s="102"/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</row>
    <row r="91" customFormat="false" ht="21.75" hidden="false" customHeight="true" outlineLevel="0" collapsed="false">
      <c r="A91" s="102"/>
      <c r="B91" s="102"/>
      <c r="C91" s="115" t="s">
        <v>2085</v>
      </c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02"/>
      <c r="Y91" s="102"/>
    </row>
    <row r="92" customFormat="false" ht="30" hidden="false" customHeight="true" outlineLevel="0" collapsed="false">
      <c r="A92" s="102"/>
      <c r="B92" s="102"/>
      <c r="C92" s="116" t="s">
        <v>2063</v>
      </c>
      <c r="D92" s="116" t="s">
        <v>0</v>
      </c>
      <c r="E92" s="116" t="s">
        <v>5</v>
      </c>
      <c r="F92" s="116"/>
      <c r="G92" s="116" t="s">
        <v>14</v>
      </c>
      <c r="H92" s="116"/>
      <c r="I92" s="116" t="s">
        <v>2064</v>
      </c>
      <c r="J92" s="116"/>
      <c r="K92" s="116"/>
      <c r="L92" s="116" t="s">
        <v>98</v>
      </c>
      <c r="M92" s="116"/>
      <c r="N92" s="116" t="s">
        <v>99</v>
      </c>
      <c r="O92" s="116"/>
      <c r="P92" s="116" t="s">
        <v>2086</v>
      </c>
      <c r="Q92" s="116"/>
      <c r="R92" s="116"/>
      <c r="S92" s="116"/>
      <c r="T92" s="116"/>
      <c r="U92" s="116"/>
      <c r="V92" s="116"/>
      <c r="W92" s="116"/>
      <c r="X92" s="102"/>
      <c r="Y92" s="102"/>
    </row>
    <row r="93" customFormat="false" ht="27.75" hidden="false" customHeight="true" outlineLevel="0" collapsed="false">
      <c r="A93" s="102"/>
      <c r="B93" s="102"/>
      <c r="C93" s="117" t="n">
        <f aca="false">IFERROR(Calc!A271,"—")</f>
        <v>1</v>
      </c>
      <c r="D93" s="118" t="n">
        <f aca="false">IFERROR(Calc!B271,"—")</f>
        <v>25</v>
      </c>
      <c r="E93" s="119" t="str">
        <f aca="false">IFERROR(Calc!C271,"—")</f>
        <v>Aadi Naik</v>
      </c>
      <c r="F93" s="119"/>
      <c r="G93" s="119" t="str">
        <f aca="false">IFERROR(Calc!D271,"—")</f>
        <v>DIG Vertical</v>
      </c>
      <c r="H93" s="119"/>
      <c r="I93" s="119" t="str">
        <f aca="false">IFERROR(Calc!E271,"—")</f>
        <v>New Joiner Connect (90 Days)</v>
      </c>
      <c r="J93" s="119"/>
      <c r="K93" s="119"/>
      <c r="L93" s="120" t="str">
        <f aca="false">IFERROR(Calc!F271,"—")</f>
        <v>High</v>
      </c>
      <c r="M93" s="120"/>
      <c r="N93" s="121" t="str">
        <f aca="false">IFERROR(Calc!G271,"—")</f>
        <v>Open</v>
      </c>
      <c r="O93" s="121"/>
      <c r="P93" s="119" t="str">
        <f aca="false">IFERROR(Calc!H271,"—")</f>
        <v>aNA</v>
      </c>
      <c r="Q93" s="119"/>
      <c r="R93" s="119"/>
      <c r="S93" s="119"/>
      <c r="T93" s="119"/>
      <c r="U93" s="119"/>
      <c r="V93" s="119"/>
      <c r="W93" s="119"/>
      <c r="X93" s="102"/>
      <c r="Y93" s="102"/>
    </row>
    <row r="94" customFormat="false" ht="27.75" hidden="false" customHeight="true" outlineLevel="0" collapsed="false">
      <c r="A94" s="102"/>
      <c r="B94" s="102"/>
      <c r="C94" s="122" t="n">
        <f aca="false">IFERROR(Calc!A272,"—")</f>
        <v>2</v>
      </c>
      <c r="D94" s="123" t="n">
        <f aca="false">IFERROR(Calc!B272,"—")</f>
        <v>63</v>
      </c>
      <c r="E94" s="124" t="str">
        <f aca="false">IFERROR(Calc!C272,"—")</f>
        <v>Chaitanya Aggarwal</v>
      </c>
      <c r="F94" s="124"/>
      <c r="G94" s="124" t="str">
        <f aca="false">IFERROR(Calc!D272,"—")</f>
        <v>Network Services Service Line</v>
      </c>
      <c r="H94" s="124"/>
      <c r="I94" s="124" t="str">
        <f aca="false">IFERROR(Calc!E272,"—")</f>
        <v>SL Induction</v>
      </c>
      <c r="J94" s="124"/>
      <c r="K94" s="124"/>
      <c r="L94" s="125" t="str">
        <f aca="false">IFERROR(Calc!F272,"—")</f>
        <v>High</v>
      </c>
      <c r="M94" s="125"/>
      <c r="N94" s="126" t="str">
        <f aca="false">IFERROR(Calc!G272,"—")</f>
        <v>Open</v>
      </c>
      <c r="O94" s="126"/>
      <c r="P94" s="124" t="str">
        <f aca="false">IFERROR(Calc!H272,"—")</f>
        <v>NA</v>
      </c>
      <c r="Q94" s="124"/>
      <c r="R94" s="124"/>
      <c r="S94" s="124"/>
      <c r="T94" s="124"/>
      <c r="U94" s="124"/>
      <c r="V94" s="124"/>
      <c r="W94" s="124"/>
      <c r="X94" s="102"/>
      <c r="Y94" s="102"/>
    </row>
    <row r="95" customFormat="false" ht="27.75" hidden="false" customHeight="true" outlineLevel="0" collapsed="false">
      <c r="A95" s="102"/>
      <c r="B95" s="102"/>
      <c r="C95" s="117" t="n">
        <f aca="false">IFERROR(Calc!A273,"—")</f>
        <v>3</v>
      </c>
      <c r="D95" s="118" t="n">
        <f aca="false">IFERROR(Calc!B273,"—")</f>
        <v>166</v>
      </c>
      <c r="E95" s="119" t="str">
        <f aca="false">IFERROR(Calc!C273,"—")</f>
        <v>Harini Tripathi</v>
      </c>
      <c r="F95" s="119"/>
      <c r="G95" s="124" t="str">
        <f aca="false">IFERROR(Calc!D273,"—")</f>
        <v>DEA Service Line</v>
      </c>
      <c r="H95" s="124"/>
      <c r="I95" s="119" t="str">
        <f aca="false">IFERROR(Calc!E273,"—")</f>
        <v>Women Associate Connect</v>
      </c>
      <c r="J95" s="119"/>
      <c r="K95" s="119"/>
      <c r="L95" s="120" t="str">
        <f aca="false">IFERROR(Calc!F273,"—")</f>
        <v>High</v>
      </c>
      <c r="M95" s="120"/>
      <c r="N95" s="121" t="str">
        <f aca="false">IFERROR(Calc!G273,"—")</f>
        <v>Open</v>
      </c>
      <c r="O95" s="121"/>
      <c r="P95" s="119" t="str">
        <f aca="false">IFERROR(Calc!H273,"—")</f>
        <v>NA</v>
      </c>
      <c r="Q95" s="119"/>
      <c r="R95" s="119"/>
      <c r="S95" s="119"/>
      <c r="T95" s="119"/>
      <c r="U95" s="119"/>
      <c r="V95" s="119"/>
      <c r="W95" s="119"/>
      <c r="X95" s="102"/>
      <c r="Y95" s="102"/>
    </row>
    <row r="96" customFormat="false" ht="27.75" hidden="false" customHeight="true" outlineLevel="0" collapsed="false">
      <c r="A96" s="102"/>
      <c r="B96" s="102"/>
      <c r="C96" s="122" t="n">
        <f aca="false">IFERROR(Calc!A274,"—")</f>
        <v>4</v>
      </c>
      <c r="D96" s="123" t="n">
        <f aca="false">IFERROR(Calc!B274,"—")</f>
        <v>253</v>
      </c>
      <c r="E96" s="124" t="str">
        <f aca="false">IFERROR(Calc!C274,"—")</f>
        <v>Anvi Bhalla</v>
      </c>
      <c r="F96" s="124"/>
      <c r="G96" s="124" t="str">
        <f aca="false">IFERROR(Calc!D274,"—")</f>
        <v>DEA Service Line</v>
      </c>
      <c r="H96" s="124"/>
      <c r="I96" s="124" t="str">
        <f aca="false">IFERROR(Calc!E274,"—")</f>
        <v>ML Returnee Connect</v>
      </c>
      <c r="J96" s="124"/>
      <c r="K96" s="124"/>
      <c r="L96" s="125" t="str">
        <f aca="false">IFERROR(Calc!F274,"—")</f>
        <v>High</v>
      </c>
      <c r="M96" s="125"/>
      <c r="N96" s="126" t="str">
        <f aca="false">IFERROR(Calc!G274,"—")</f>
        <v>Open</v>
      </c>
      <c r="O96" s="126"/>
      <c r="P96" s="124" t="str">
        <f aca="false">IFERROR(Calc!H274,"—")</f>
        <v>NA</v>
      </c>
      <c r="Q96" s="124"/>
      <c r="R96" s="124"/>
      <c r="S96" s="124"/>
      <c r="T96" s="124"/>
      <c r="U96" s="124"/>
      <c r="V96" s="124"/>
      <c r="W96" s="124"/>
      <c r="X96" s="102"/>
      <c r="Y96" s="102"/>
    </row>
    <row r="97" customFormat="false" ht="27.75" hidden="false" customHeight="true" outlineLevel="0" collapsed="false">
      <c r="A97" s="102"/>
      <c r="B97" s="102"/>
      <c r="C97" s="117" t="n">
        <f aca="false">IFERROR(Calc!A275,"—")</f>
        <v>5</v>
      </c>
      <c r="D97" s="118" t="n">
        <f aca="false">IFERROR(Calc!B275,"—")</f>
        <v>4</v>
      </c>
      <c r="E97" s="119" t="str">
        <f aca="false">IFERROR(Calc!C275,"—")</f>
        <v>Abeer Dutta</v>
      </c>
      <c r="F97" s="119"/>
      <c r="G97" s="124" t="str">
        <f aca="false">IFERROR(Calc!D275,"—")</f>
        <v>DEA Service Line</v>
      </c>
      <c r="H97" s="124"/>
      <c r="I97" s="124" t="str">
        <f aca="false">IFERROR(Calc!E275,"—")</f>
        <v>ML Returnee Connect</v>
      </c>
      <c r="J97" s="124"/>
      <c r="K97" s="124"/>
      <c r="L97" s="120" t="str">
        <f aca="false">IFERROR(Calc!F275,"—")</f>
        <v>High</v>
      </c>
      <c r="M97" s="120"/>
      <c r="N97" s="121" t="str">
        <f aca="false">IFERROR(Calc!G275,"—")</f>
        <v>In-progress</v>
      </c>
      <c r="O97" s="121"/>
      <c r="P97" s="119" t="str">
        <f aca="false">IFERROR(Calc!H275,"—")</f>
        <v>No response on IJP applied on Rapid</v>
      </c>
      <c r="Q97" s="119"/>
      <c r="R97" s="119"/>
      <c r="S97" s="119"/>
      <c r="T97" s="119"/>
      <c r="U97" s="119"/>
      <c r="V97" s="119"/>
      <c r="W97" s="119"/>
      <c r="X97" s="102"/>
      <c r="Y97" s="102"/>
    </row>
    <row r="98" customFormat="false" ht="27.75" hidden="false" customHeight="true" outlineLevel="0" collapsed="false">
      <c r="A98" s="102"/>
      <c r="B98" s="102"/>
      <c r="C98" s="122" t="n">
        <f aca="false">IFERROR(Calc!A276,"—")</f>
        <v>6</v>
      </c>
      <c r="D98" s="123" t="n">
        <f aca="false">IFERROR(Calc!B276,"—")</f>
        <v>26</v>
      </c>
      <c r="E98" s="124" t="str">
        <f aca="false">IFERROR(Calc!C276,"—")</f>
        <v>Janani Mohanty</v>
      </c>
      <c r="F98" s="124"/>
      <c r="G98" s="124" t="str">
        <f aca="false">IFERROR(Calc!D276,"—")</f>
        <v>DEA Service Line</v>
      </c>
      <c r="H98" s="124"/>
      <c r="I98" s="124" t="str">
        <f aca="false">IFERROR(Calc!E276,"—")</f>
        <v>Top Talent Connect</v>
      </c>
      <c r="J98" s="124"/>
      <c r="K98" s="124"/>
      <c r="L98" s="125" t="str">
        <f aca="false">IFERROR(Calc!F276,"—")</f>
        <v>High</v>
      </c>
      <c r="M98" s="125"/>
      <c r="N98" s="126" t="str">
        <f aca="false">IFERROR(Calc!G276,"—")</f>
        <v>In-progress</v>
      </c>
      <c r="O98" s="126"/>
      <c r="P98" s="119" t="str">
        <f aca="false">IFERROR(Calc!H276,"—")</f>
        <v>NA</v>
      </c>
      <c r="Q98" s="119"/>
      <c r="R98" s="119"/>
      <c r="S98" s="119"/>
      <c r="T98" s="119"/>
      <c r="U98" s="119"/>
      <c r="V98" s="119"/>
      <c r="W98" s="119"/>
      <c r="X98" s="102"/>
      <c r="Y98" s="102"/>
    </row>
    <row r="99" customFormat="false" ht="27.75" hidden="false" customHeight="true" outlineLevel="0" collapsed="false">
      <c r="A99" s="102"/>
      <c r="B99" s="102"/>
      <c r="C99" s="117" t="n">
        <f aca="false">IFERROR(Calc!A277,"—")</f>
        <v>7</v>
      </c>
      <c r="D99" s="118" t="n">
        <f aca="false">IFERROR(Calc!B277,"—")</f>
        <v>67</v>
      </c>
      <c r="E99" s="119" t="str">
        <f aca="false">IFERROR(Calc!C277,"—")</f>
        <v>Qushi Datta</v>
      </c>
      <c r="F99" s="119"/>
      <c r="G99" s="124" t="str">
        <f aca="false">IFERROR(Calc!D277,"—")</f>
        <v>DEA Service Line</v>
      </c>
      <c r="H99" s="124"/>
      <c r="I99" s="124" t="str">
        <f aca="false">IFERROR(Calc!E277,"—")</f>
        <v>Wellness Session</v>
      </c>
      <c r="J99" s="124"/>
      <c r="K99" s="124"/>
      <c r="L99" s="120" t="str">
        <f aca="false">IFERROR(Calc!F277,"—")</f>
        <v>High</v>
      </c>
      <c r="M99" s="120"/>
      <c r="N99" s="121" t="str">
        <f aca="false">IFERROR(Calc!G277,"—")</f>
        <v>In-progress</v>
      </c>
      <c r="O99" s="121"/>
      <c r="P99" s="119" t="str">
        <f aca="false">IFERROR(Calc!H277,"—")</f>
        <v>Workshops</v>
      </c>
      <c r="Q99" s="119"/>
      <c r="R99" s="119"/>
      <c r="S99" s="119"/>
      <c r="T99" s="119"/>
      <c r="U99" s="119"/>
      <c r="V99" s="119"/>
      <c r="W99" s="119"/>
      <c r="X99" s="102"/>
      <c r="Y99" s="102"/>
    </row>
    <row r="100" customFormat="false" ht="27.75" hidden="false" customHeight="true" outlineLevel="0" collapsed="false">
      <c r="C100" s="122" t="n">
        <f aca="false">IFERROR(Calc!A278,"—")</f>
        <v>8</v>
      </c>
      <c r="D100" s="127" t="n">
        <f aca="false">IFERROR(Calc!B278,"—")</f>
        <v>112</v>
      </c>
      <c r="E100" s="119" t="str">
        <f aca="false">IFERROR(Calc!C278,"—")</f>
        <v>Oliver Contractor</v>
      </c>
      <c r="F100" s="119"/>
      <c r="G100" s="124" t="str">
        <f aca="false">IFERROR(Calc!D278,"—")</f>
        <v>DEA Service Line</v>
      </c>
      <c r="H100" s="124"/>
      <c r="I100" s="124" t="str">
        <f aca="false">IFERROR(Calc!E278,"—")</f>
        <v>HR Connect (Project Wise)</v>
      </c>
      <c r="J100" s="124"/>
      <c r="K100" s="124"/>
      <c r="L100" s="125" t="str">
        <f aca="false">IFERROR(Calc!F278,"—")</f>
        <v>High</v>
      </c>
      <c r="M100" s="125"/>
      <c r="N100" s="126" t="str">
        <f aca="false">IFERROR(Calc!G278,"—")</f>
        <v>In-progress</v>
      </c>
      <c r="O100" s="126"/>
      <c r="P100" s="128" t="str">
        <f aca="false">IFERROR(Calc!H278,"—")</f>
        <v>Leave encashment, Gratuity,Exit guidelines</v>
      </c>
      <c r="Q100" s="128"/>
      <c r="R100" s="128"/>
      <c r="S100" s="128"/>
      <c r="T100" s="128"/>
      <c r="U100" s="128"/>
      <c r="V100" s="128"/>
      <c r="W100" s="128"/>
    </row>
    <row r="101" customFormat="false" ht="27.75" hidden="false" customHeight="true" outlineLevel="0" collapsed="false">
      <c r="C101" s="117" t="n">
        <f aca="false">IFERROR(Calc!A279,"—")</f>
        <v>9</v>
      </c>
      <c r="D101" s="129" t="n">
        <f aca="false">IFERROR(Calc!B279,"—")</f>
        <v>150</v>
      </c>
      <c r="E101" s="130" t="str">
        <f aca="false">IFERROR(Calc!C279,"—")</f>
        <v>Ekantika Krishna</v>
      </c>
      <c r="F101" s="130"/>
      <c r="G101" s="124" t="str">
        <f aca="false">IFERROR(Calc!D279,"—")</f>
        <v>DEA Service Line</v>
      </c>
      <c r="H101" s="124"/>
      <c r="I101" s="124" t="str">
        <f aca="false">IFERROR(Calc!E279,"—")</f>
        <v>HR Connect (General)</v>
      </c>
      <c r="J101" s="124"/>
      <c r="K101" s="124"/>
      <c r="L101" s="120" t="str">
        <f aca="false">IFERROR(Calc!F279,"—")</f>
        <v>High</v>
      </c>
      <c r="M101" s="120"/>
      <c r="N101" s="121" t="str">
        <f aca="false">IFERROR(Calc!G279,"—")</f>
        <v>In-progress</v>
      </c>
      <c r="O101" s="121"/>
      <c r="P101" s="130" t="str">
        <f aca="false">IFERROR(Calc!H279,"—")</f>
        <v>NA</v>
      </c>
      <c r="Q101" s="130"/>
      <c r="R101" s="130"/>
      <c r="S101" s="130"/>
      <c r="T101" s="130"/>
      <c r="U101" s="130"/>
      <c r="V101" s="130"/>
      <c r="W101" s="130"/>
    </row>
    <row r="102" customFormat="false" ht="27.75" hidden="false" customHeight="true" outlineLevel="0" collapsed="false">
      <c r="C102" s="122" t="n">
        <f aca="false">IFERROR(Calc!A280,"—")</f>
        <v>10</v>
      </c>
      <c r="D102" s="127" t="n">
        <f aca="false">IFERROR(Calc!B280,"—")</f>
        <v>155</v>
      </c>
      <c r="E102" s="128" t="str">
        <f aca="false">IFERROR(Calc!C280,"—")</f>
        <v>Bhavya Rattan</v>
      </c>
      <c r="F102" s="128"/>
      <c r="G102" s="124" t="str">
        <f aca="false">IFERROR(Calc!D280,"—")</f>
        <v>DEA Service Line</v>
      </c>
      <c r="H102" s="124"/>
      <c r="I102" s="124" t="str">
        <f aca="false">IFERROR(Calc!E280,"—")</f>
        <v>Cadence Connect</v>
      </c>
      <c r="J102" s="124"/>
      <c r="K102" s="124"/>
      <c r="L102" s="125" t="str">
        <f aca="false">IFERROR(Calc!F280,"—")</f>
        <v>High</v>
      </c>
      <c r="M102" s="125"/>
      <c r="N102" s="126" t="str">
        <f aca="false">IFERROR(Calc!G280,"—")</f>
        <v>In-progress</v>
      </c>
      <c r="O102" s="126"/>
      <c r="P102" s="128" t="str">
        <f aca="false">IFERROR(Calc!H280,"—")</f>
        <v>the associates had queries related to timesheet which was cleared during the call</v>
      </c>
      <c r="Q102" s="128"/>
      <c r="R102" s="128"/>
      <c r="S102" s="128"/>
      <c r="T102" s="128"/>
      <c r="U102" s="128"/>
      <c r="V102" s="128"/>
      <c r="W102" s="128"/>
    </row>
    <row r="105" customFormat="false" ht="21.75" hidden="false" customHeight="true" outlineLevel="0" collapsed="false">
      <c r="C105" s="131" t="s">
        <v>2087</v>
      </c>
      <c r="D105" s="131"/>
      <c r="E105" s="131"/>
      <c r="F105" s="131"/>
      <c r="G105" s="131"/>
      <c r="H105" s="131"/>
      <c r="I105" s="131"/>
      <c r="J105" s="131"/>
      <c r="K105" s="131"/>
      <c r="L105" s="131"/>
      <c r="M105" s="131"/>
      <c r="N105" s="131"/>
      <c r="O105" s="131"/>
      <c r="P105" s="131"/>
      <c r="Q105" s="131"/>
      <c r="R105" s="131"/>
      <c r="S105" s="131"/>
      <c r="T105" s="131"/>
      <c r="U105" s="131"/>
      <c r="V105" s="131"/>
      <c r="W105" s="131"/>
    </row>
    <row r="107" s="132" customFormat="true" ht="33.75" hidden="false" customHeight="true" outlineLevel="0" collapsed="false">
      <c r="C107" s="133" t="s">
        <v>99</v>
      </c>
      <c r="D107" s="133" t="s">
        <v>2088</v>
      </c>
      <c r="E107" s="133" t="s">
        <v>2089</v>
      </c>
      <c r="F107" s="133" t="s">
        <v>2090</v>
      </c>
      <c r="G107" s="133" t="s">
        <v>2010</v>
      </c>
    </row>
    <row r="108" customFormat="false" ht="15" hidden="false" customHeight="true" outlineLevel="0" collapsed="false">
      <c r="C108" s="134" t="str">
        <f aca="false">Calc!A264</f>
        <v>Open</v>
      </c>
      <c r="D108" s="135" t="n">
        <f aca="false">Calc!B264</f>
        <v>4</v>
      </c>
      <c r="E108" s="135" t="n">
        <f aca="false">Calc!C264</f>
        <v>17</v>
      </c>
      <c r="F108" s="135" t="n">
        <f aca="false">Calc!D264</f>
        <v>8</v>
      </c>
      <c r="G108" s="135" t="n">
        <f aca="false">Calc!E264</f>
        <v>29</v>
      </c>
    </row>
    <row r="109" customFormat="false" ht="15" hidden="false" customHeight="true" outlineLevel="0" collapsed="false">
      <c r="C109" s="136" t="str">
        <f aca="false">Calc!A265</f>
        <v>In-progress</v>
      </c>
      <c r="D109" s="137" t="n">
        <f aca="false">Calc!B265</f>
        <v>15</v>
      </c>
      <c r="E109" s="137" t="n">
        <f aca="false">Calc!C265</f>
        <v>23</v>
      </c>
      <c r="F109" s="137" t="n">
        <f aca="false">Calc!D265</f>
        <v>19</v>
      </c>
      <c r="G109" s="137" t="n">
        <f aca="false">Calc!E265</f>
        <v>57</v>
      </c>
    </row>
    <row r="110" customFormat="false" ht="15" hidden="false" customHeight="true" outlineLevel="0" collapsed="false">
      <c r="C110" s="138" t="str">
        <f aca="false">Calc!A266</f>
        <v>Closed</v>
      </c>
      <c r="D110" s="139" t="n">
        <f aca="false">Calc!B266</f>
        <v>44</v>
      </c>
      <c r="E110" s="139" t="n">
        <f aca="false">Calc!C266</f>
        <v>86</v>
      </c>
      <c r="F110" s="139" t="n">
        <f aca="false">Calc!D266</f>
        <v>84</v>
      </c>
      <c r="G110" s="139" t="n">
        <f aca="false">Calc!E266</f>
        <v>214</v>
      </c>
    </row>
    <row r="121" customFormat="false" ht="21.75" hidden="false" customHeight="true" outlineLevel="0" collapsed="false">
      <c r="C121" s="140" t="s">
        <v>2091</v>
      </c>
      <c r="D121" s="140"/>
      <c r="E121" s="140"/>
      <c r="F121" s="140"/>
      <c r="G121" s="140"/>
      <c r="H121" s="140"/>
      <c r="I121" s="140"/>
      <c r="J121" s="140"/>
      <c r="K121" s="140"/>
      <c r="L121" s="140"/>
      <c r="M121" s="140"/>
      <c r="N121" s="140"/>
      <c r="O121" s="140"/>
      <c r="P121" s="140"/>
      <c r="Q121" s="140"/>
      <c r="R121" s="140"/>
      <c r="S121" s="140"/>
      <c r="T121" s="140"/>
      <c r="U121" s="140"/>
      <c r="V121" s="140"/>
      <c r="W121" s="140"/>
    </row>
    <row r="122" customFormat="false" ht="34.5" hidden="false" customHeight="true" outlineLevel="0" collapsed="false">
      <c r="C122" s="141" t="s">
        <v>2063</v>
      </c>
      <c r="D122" s="142" t="s">
        <v>2092</v>
      </c>
      <c r="E122" s="142"/>
      <c r="F122" s="142"/>
      <c r="G122" s="142"/>
      <c r="H122" s="142"/>
      <c r="I122" s="142"/>
      <c r="J122" s="142"/>
      <c r="K122" s="142"/>
      <c r="L122" s="141" t="s">
        <v>2012</v>
      </c>
      <c r="M122" s="141"/>
      <c r="N122" s="141"/>
      <c r="O122" s="141" t="s">
        <v>2013</v>
      </c>
      <c r="P122" s="141"/>
      <c r="Q122" s="141"/>
      <c r="R122" s="141" t="s">
        <v>2093</v>
      </c>
      <c r="S122" s="141"/>
      <c r="T122" s="141"/>
      <c r="U122" s="141"/>
      <c r="V122" s="141"/>
      <c r="W122" s="141"/>
    </row>
    <row r="123" customFormat="false" ht="15.75" hidden="false" customHeight="true" outlineLevel="0" collapsed="false">
      <c r="C123" s="143" t="n">
        <v>1</v>
      </c>
      <c r="D123" s="144" t="str">
        <f aca="false">IFERROR(Calc!Q3,"")</f>
        <v>Feedback on recent processes</v>
      </c>
      <c r="E123" s="144"/>
      <c r="F123" s="144"/>
      <c r="G123" s="144"/>
      <c r="H123" s="144"/>
      <c r="I123" s="144"/>
      <c r="J123" s="144"/>
      <c r="K123" s="144"/>
      <c r="L123" s="145" t="n">
        <f aca="false">IFERROR(Calc!R3,"")</f>
        <v>24</v>
      </c>
      <c r="M123" s="145"/>
      <c r="N123" s="145"/>
      <c r="O123" s="146" t="n">
        <f aca="false">IFERROR(Calc!S3,"")</f>
        <v>0.08</v>
      </c>
      <c r="P123" s="146"/>
      <c r="Q123" s="146"/>
      <c r="R123" s="144" t="str">
        <f aca="false">IFERROR(Calc!T3,"")</f>
        <v>1:1</v>
      </c>
      <c r="S123" s="144"/>
      <c r="T123" s="144"/>
      <c r="U123" s="144"/>
      <c r="V123" s="144"/>
      <c r="W123" s="144"/>
    </row>
    <row r="124" customFormat="false" ht="15.75" hidden="false" customHeight="true" outlineLevel="0" collapsed="false">
      <c r="C124" s="147" t="n">
        <v>2</v>
      </c>
      <c r="D124" s="148" t="str">
        <f aca="false">IFERROR(Calc!Q4,"")</f>
        <v>Clarity on expectations</v>
      </c>
      <c r="E124" s="148"/>
      <c r="F124" s="148"/>
      <c r="G124" s="148"/>
      <c r="H124" s="148"/>
      <c r="I124" s="148"/>
      <c r="J124" s="148"/>
      <c r="K124" s="148"/>
      <c r="L124" s="149" t="n">
        <f aca="false">IFERROR(Calc!R4,"")</f>
        <v>19</v>
      </c>
      <c r="M124" s="149"/>
      <c r="N124" s="149"/>
      <c r="O124" s="150" t="n">
        <f aca="false">IFERROR(Calc!S4,"")</f>
        <v>0.0633333333333333</v>
      </c>
      <c r="P124" s="150"/>
      <c r="Q124" s="150"/>
      <c r="R124" s="148" t="str">
        <f aca="false">IFERROR(Calc!T4,"")</f>
        <v>Large Connect</v>
      </c>
      <c r="S124" s="148"/>
      <c r="T124" s="148"/>
      <c r="U124" s="148"/>
      <c r="V124" s="148"/>
      <c r="W124" s="148"/>
    </row>
    <row r="125" customFormat="false" ht="15.75" hidden="false" customHeight="true" outlineLevel="0" collapsed="false">
      <c r="C125" s="143" t="n">
        <v>3</v>
      </c>
      <c r="D125" s="144" t="str">
        <f aca="false">IFERROR(Calc!Q5,"")</f>
        <v>General wellbeing check-in</v>
      </c>
      <c r="E125" s="144"/>
      <c r="F125" s="144"/>
      <c r="G125" s="144"/>
      <c r="H125" s="144"/>
      <c r="I125" s="144"/>
      <c r="J125" s="144"/>
      <c r="K125" s="144"/>
      <c r="L125" s="145" t="n">
        <f aca="false">IFERROR(Calc!R5,"")</f>
        <v>16</v>
      </c>
      <c r="M125" s="145"/>
      <c r="N125" s="145"/>
      <c r="O125" s="146" t="n">
        <f aca="false">IFERROR(Calc!S5,"")</f>
        <v>0.0533333333333333</v>
      </c>
      <c r="P125" s="146"/>
      <c r="Q125" s="146"/>
      <c r="R125" s="144" t="str">
        <f aca="false">IFERROR(Calc!T5,"")</f>
        <v>Location-Offshore</v>
      </c>
      <c r="S125" s="144"/>
      <c r="T125" s="144"/>
      <c r="U125" s="144"/>
      <c r="V125" s="144"/>
      <c r="W125" s="144"/>
    </row>
    <row r="126" customFormat="false" ht="15.75" hidden="false" customHeight="true" outlineLevel="0" collapsed="false">
      <c r="C126" s="147" t="n">
        <v>4</v>
      </c>
      <c r="D126" s="148" t="str">
        <f aca="false">IFERROR(Calc!Q6,"")</f>
        <v>Team Integration</v>
      </c>
      <c r="E126" s="148"/>
      <c r="F126" s="148"/>
      <c r="G126" s="148"/>
      <c r="H126" s="148"/>
      <c r="I126" s="148"/>
      <c r="J126" s="148"/>
      <c r="K126" s="148"/>
      <c r="L126" s="149" t="n">
        <f aca="false">IFERROR(Calc!R6,"")</f>
        <v>13</v>
      </c>
      <c r="M126" s="149"/>
      <c r="N126" s="149"/>
      <c r="O126" s="150" t="n">
        <f aca="false">IFERROR(Calc!S6,"")</f>
        <v>0.0433333333333333</v>
      </c>
      <c r="P126" s="150"/>
      <c r="Q126" s="150"/>
      <c r="R126" s="148" t="str">
        <f aca="false">IFERROR(Calc!T6,"")</f>
        <v>Induction</v>
      </c>
      <c r="S126" s="148"/>
      <c r="T126" s="148"/>
      <c r="U126" s="148"/>
      <c r="V126" s="148"/>
      <c r="W126" s="148"/>
    </row>
    <row r="127" customFormat="false" ht="15.75" hidden="false" customHeight="true" outlineLevel="0" collapsed="false">
      <c r="C127" s="143" t="n">
        <v>5</v>
      </c>
      <c r="D127" s="144" t="str">
        <f aca="false">IFERROR(Calc!Q7,"")</f>
        <v>Workload &amp; Work-Life Balance</v>
      </c>
      <c r="E127" s="144"/>
      <c r="F127" s="144"/>
      <c r="G127" s="144"/>
      <c r="H127" s="144"/>
      <c r="I127" s="144"/>
      <c r="J127" s="144"/>
      <c r="K127" s="144"/>
      <c r="L127" s="145" t="n">
        <f aca="false">IFERROR(Calc!R7,"")</f>
        <v>12</v>
      </c>
      <c r="M127" s="145"/>
      <c r="N127" s="145"/>
      <c r="O127" s="146" t="n">
        <f aca="false">IFERROR(Calc!S7,"")</f>
        <v>0.04</v>
      </c>
      <c r="P127" s="146"/>
      <c r="Q127" s="146"/>
      <c r="R127" s="144" t="str">
        <f aca="false">IFERROR(Calc!T7,"")</f>
        <v>FGD</v>
      </c>
      <c r="S127" s="144"/>
      <c r="T127" s="144"/>
      <c r="U127" s="144"/>
      <c r="V127" s="144"/>
      <c r="W127" s="144"/>
    </row>
    <row r="128" customFormat="false" ht="15.75" hidden="false" customHeight="true" outlineLevel="0" collapsed="false">
      <c r="C128" s="147" t="n">
        <v>6</v>
      </c>
      <c r="D128" s="148" t="str">
        <f aca="false">IFERROR(Calc!Q8,"")</f>
        <v>Discussion on team dynamics</v>
      </c>
      <c r="E128" s="148"/>
      <c r="F128" s="148"/>
      <c r="G128" s="148"/>
      <c r="H128" s="148"/>
      <c r="I128" s="148"/>
      <c r="J128" s="148"/>
      <c r="K128" s="148"/>
      <c r="L128" s="149" t="n">
        <f aca="false">IFERROR(Calc!R8,"")</f>
        <v>12</v>
      </c>
      <c r="M128" s="149"/>
      <c r="N128" s="149"/>
      <c r="O128" s="150" t="n">
        <f aca="false">IFERROR(Calc!S8,"")</f>
        <v>0.04</v>
      </c>
      <c r="P128" s="150"/>
      <c r="Q128" s="150"/>
      <c r="R128" s="148" t="str">
        <f aca="false">IFERROR(Calc!T8,"")</f>
        <v>1:1</v>
      </c>
      <c r="S128" s="148"/>
      <c r="T128" s="148"/>
      <c r="U128" s="148"/>
      <c r="V128" s="148"/>
      <c r="W128" s="148"/>
    </row>
    <row r="129" customFormat="false" ht="15.75" hidden="false" customHeight="true" outlineLevel="0" collapsed="false">
      <c r="C129" s="143" t="n">
        <v>7</v>
      </c>
      <c r="D129" s="144" t="str">
        <f aca="false">IFERROR(Calc!Q9,"")</f>
        <v>Business &amp; Strategy Clarity</v>
      </c>
      <c r="E129" s="144"/>
      <c r="F129" s="144"/>
      <c r="G129" s="144"/>
      <c r="H129" s="144"/>
      <c r="I129" s="144"/>
      <c r="J129" s="144"/>
      <c r="K129" s="144"/>
      <c r="L129" s="145" t="n">
        <f aca="false">IFERROR(Calc!R9,"")</f>
        <v>11</v>
      </c>
      <c r="M129" s="145"/>
      <c r="N129" s="145"/>
      <c r="O129" s="146" t="n">
        <f aca="false">IFERROR(Calc!S9,"")</f>
        <v>0.0366666666666667</v>
      </c>
      <c r="P129" s="146"/>
      <c r="Q129" s="146"/>
      <c r="R129" s="144" t="str">
        <f aca="false">IFERROR(Calc!T9,"")</f>
        <v>Large Connect</v>
      </c>
      <c r="S129" s="144"/>
      <c r="T129" s="144"/>
      <c r="U129" s="144"/>
      <c r="V129" s="144"/>
      <c r="W129" s="144"/>
    </row>
    <row r="130" customFormat="false" ht="15.75" hidden="false" customHeight="true" outlineLevel="0" collapsed="false">
      <c r="C130" s="147" t="n">
        <v>8</v>
      </c>
      <c r="D130" s="148" t="str">
        <f aca="false">IFERROR(Calc!Q10,"")</f>
        <v>HR / WFM / Training Communication Effectiveness</v>
      </c>
      <c r="E130" s="148"/>
      <c r="F130" s="148"/>
      <c r="G130" s="148"/>
      <c r="H130" s="148"/>
      <c r="I130" s="148"/>
      <c r="J130" s="148"/>
      <c r="K130" s="148"/>
      <c r="L130" s="149" t="n">
        <f aca="false">IFERROR(Calc!R10,"")</f>
        <v>11</v>
      </c>
      <c r="M130" s="149"/>
      <c r="N130" s="149"/>
      <c r="O130" s="150" t="n">
        <f aca="false">IFERROR(Calc!S10,"")</f>
        <v>0.0366666666666667</v>
      </c>
      <c r="P130" s="150"/>
      <c r="Q130" s="150"/>
      <c r="R130" s="148" t="str">
        <f aca="false">IFERROR(Calc!T10,"")</f>
        <v>1:1</v>
      </c>
      <c r="S130" s="148"/>
      <c r="T130" s="148"/>
      <c r="U130" s="148"/>
      <c r="V130" s="148"/>
      <c r="W130" s="148"/>
    </row>
    <row r="131" customFormat="false" ht="15.75" hidden="false" customHeight="true" outlineLevel="0" collapsed="false">
      <c r="C131" s="143" t="n">
        <v>9</v>
      </c>
      <c r="D131" s="144" t="str">
        <f aca="false">IFERROR(Calc!Q11,"")</f>
        <v>Manager Support &amp; Local Leadership Effectiveness</v>
      </c>
      <c r="E131" s="144"/>
      <c r="F131" s="144"/>
      <c r="G131" s="144"/>
      <c r="H131" s="144"/>
      <c r="I131" s="144"/>
      <c r="J131" s="144"/>
      <c r="K131" s="144"/>
      <c r="L131" s="145" t="n">
        <f aca="false">IFERROR(Calc!R11,"")</f>
        <v>10</v>
      </c>
      <c r="M131" s="145"/>
      <c r="N131" s="145"/>
      <c r="O131" s="146" t="n">
        <f aca="false">IFERROR(Calc!S11,"")</f>
        <v>0.0333333333333333</v>
      </c>
      <c r="P131" s="146"/>
      <c r="Q131" s="146"/>
      <c r="R131" s="144" t="str">
        <f aca="false">IFERROR(Calc!T11,"")</f>
        <v>FGD</v>
      </c>
      <c r="S131" s="144"/>
      <c r="T131" s="144"/>
      <c r="U131" s="144"/>
      <c r="V131" s="144"/>
      <c r="W131" s="144"/>
    </row>
    <row r="132" customFormat="false" ht="15.75" hidden="false" customHeight="true" outlineLevel="0" collapsed="false">
      <c r="C132" s="147" t="n">
        <v>10</v>
      </c>
      <c r="D132" s="148" t="str">
        <f aca="false">IFERROR(Calc!Q12,"")</f>
        <v>Queries related to BGV check</v>
      </c>
      <c r="E132" s="148"/>
      <c r="F132" s="148"/>
      <c r="G132" s="148"/>
      <c r="H132" s="148"/>
      <c r="I132" s="148"/>
      <c r="J132" s="148"/>
      <c r="K132" s="148"/>
      <c r="L132" s="149" t="n">
        <f aca="false">IFERROR(Calc!R12,"")</f>
        <v>10</v>
      </c>
      <c r="M132" s="149"/>
      <c r="N132" s="149"/>
      <c r="O132" s="150" t="n">
        <f aca="false">IFERROR(Calc!S12,"")</f>
        <v>0.0333333333333333</v>
      </c>
      <c r="P132" s="150"/>
      <c r="Q132" s="150"/>
      <c r="R132" s="148" t="str">
        <f aca="false">IFERROR(Calc!T12,"")</f>
        <v>Induction</v>
      </c>
      <c r="S132" s="148"/>
      <c r="T132" s="148"/>
      <c r="U132" s="148"/>
      <c r="V132" s="148"/>
      <c r="W132" s="148"/>
    </row>
    <row r="133" customFormat="false" ht="15.75" hidden="false" customHeight="true" outlineLevel="0" collapsed="false">
      <c r="C133" s="151"/>
      <c r="D133" s="152"/>
      <c r="E133" s="152"/>
      <c r="F133" s="152"/>
      <c r="G133" s="152"/>
      <c r="H133" s="152"/>
      <c r="I133" s="152"/>
      <c r="J133" s="152"/>
      <c r="K133" s="152"/>
      <c r="L133" s="151"/>
      <c r="M133" s="151"/>
      <c r="N133" s="151"/>
      <c r="O133" s="153"/>
      <c r="P133" s="153"/>
      <c r="Q133" s="153"/>
      <c r="R133" s="152"/>
      <c r="S133" s="152"/>
      <c r="T133" s="152"/>
      <c r="U133" s="152"/>
      <c r="V133" s="152"/>
      <c r="W133" s="152"/>
    </row>
    <row r="134" customFormat="false" ht="21.75" hidden="false" customHeight="true" outlineLevel="0" collapsed="false">
      <c r="C134" s="154" t="s">
        <v>2094</v>
      </c>
      <c r="D134" s="154"/>
      <c r="E134" s="154"/>
      <c r="F134" s="154"/>
      <c r="G134" s="154"/>
      <c r="H134" s="154"/>
      <c r="I134" s="154"/>
      <c r="J134" s="154"/>
      <c r="K134" s="154"/>
      <c r="L134" s="154"/>
      <c r="M134" s="154"/>
      <c r="N134" s="154"/>
      <c r="O134" s="154"/>
      <c r="P134" s="154"/>
      <c r="Q134" s="154"/>
      <c r="R134" s="154"/>
      <c r="S134" s="154"/>
      <c r="T134" s="154"/>
      <c r="U134" s="154"/>
      <c r="V134" s="154"/>
      <c r="W134" s="154"/>
    </row>
    <row r="135" s="104" customFormat="true" ht="21.75" hidden="false" customHeight="true" outlineLevel="0" collapsed="false">
      <c r="C135" s="155"/>
      <c r="D135" s="155"/>
      <c r="E135" s="155"/>
      <c r="F135" s="155"/>
      <c r="G135" s="155"/>
      <c r="H135" s="155"/>
      <c r="I135" s="155"/>
      <c r="J135" s="155"/>
      <c r="K135" s="155"/>
      <c r="L135" s="155"/>
      <c r="M135" s="155"/>
      <c r="N135" s="155"/>
      <c r="O135" s="155"/>
      <c r="P135" s="155"/>
      <c r="Q135" s="155"/>
      <c r="R135" s="155"/>
      <c r="S135" s="155"/>
      <c r="T135" s="155"/>
      <c r="U135" s="155"/>
      <c r="V135" s="155"/>
      <c r="W135" s="155"/>
    </row>
    <row r="136" s="104" customFormat="true" ht="21.75" hidden="false" customHeight="true" outlineLevel="0" collapsed="false">
      <c r="C136" s="155"/>
      <c r="D136" s="155"/>
      <c r="E136" s="155"/>
      <c r="F136" s="155"/>
      <c r="G136" s="155"/>
      <c r="H136" s="155"/>
      <c r="I136" s="155"/>
      <c r="J136" s="155"/>
      <c r="K136" s="155"/>
      <c r="L136" s="155"/>
      <c r="M136" s="155"/>
      <c r="N136" s="155"/>
      <c r="O136" s="155"/>
      <c r="P136" s="155"/>
      <c r="Q136" s="155"/>
      <c r="R136" s="155"/>
      <c r="S136" s="155"/>
      <c r="T136" s="155"/>
      <c r="U136" s="155"/>
      <c r="V136" s="155"/>
      <c r="W136" s="155"/>
    </row>
    <row r="137" s="104" customFormat="true" ht="21.75" hidden="false" customHeight="true" outlineLevel="0" collapsed="false">
      <c r="C137" s="155"/>
      <c r="D137" s="155"/>
      <c r="E137" s="155"/>
      <c r="F137" s="155"/>
      <c r="G137" s="155"/>
      <c r="H137" s="155"/>
      <c r="I137" s="155"/>
      <c r="J137" s="155"/>
      <c r="K137" s="155"/>
      <c r="L137" s="155"/>
      <c r="M137" s="155"/>
      <c r="N137" s="155"/>
      <c r="O137" s="155"/>
      <c r="P137" s="155"/>
      <c r="Q137" s="155"/>
      <c r="R137" s="155"/>
      <c r="S137" s="155"/>
      <c r="T137" s="155"/>
      <c r="U137" s="155"/>
      <c r="V137" s="155"/>
      <c r="W137" s="155"/>
    </row>
    <row r="138" s="104" customFormat="true" ht="21.75" hidden="false" customHeight="true" outlineLevel="0" collapsed="false">
      <c r="C138" s="155"/>
      <c r="D138" s="155"/>
      <c r="E138" s="155"/>
      <c r="F138" s="155"/>
      <c r="G138" s="155"/>
      <c r="H138" s="155"/>
      <c r="I138" s="155"/>
      <c r="J138" s="155"/>
      <c r="K138" s="155"/>
      <c r="L138" s="155"/>
      <c r="M138" s="155"/>
      <c r="N138" s="155"/>
      <c r="O138" s="155"/>
      <c r="P138" s="155"/>
      <c r="Q138" s="155"/>
      <c r="R138" s="155"/>
      <c r="S138" s="155"/>
      <c r="T138" s="155"/>
      <c r="U138" s="155"/>
      <c r="V138" s="155"/>
      <c r="W138" s="155"/>
    </row>
    <row r="139" s="104" customFormat="true" ht="21.75" hidden="false" customHeight="true" outlineLevel="0" collapsed="false">
      <c r="C139" s="155"/>
      <c r="D139" s="155"/>
      <c r="E139" s="155"/>
      <c r="F139" s="155"/>
      <c r="G139" s="155"/>
      <c r="H139" s="155"/>
      <c r="I139" s="155"/>
      <c r="J139" s="155"/>
      <c r="K139" s="155"/>
      <c r="L139" s="155"/>
      <c r="M139" s="155"/>
      <c r="N139" s="155"/>
      <c r="O139" s="155"/>
      <c r="P139" s="155"/>
      <c r="Q139" s="155"/>
      <c r="R139" s="155"/>
      <c r="S139" s="155"/>
      <c r="T139" s="155"/>
      <c r="U139" s="155"/>
      <c r="V139" s="155"/>
      <c r="W139" s="155"/>
    </row>
    <row r="140" s="104" customFormat="true" ht="21.75" hidden="false" customHeight="true" outlineLevel="0" collapsed="false">
      <c r="C140" s="155"/>
      <c r="D140" s="155"/>
      <c r="E140" s="155"/>
      <c r="F140" s="155"/>
      <c r="G140" s="155"/>
      <c r="H140" s="155"/>
      <c r="I140" s="155"/>
      <c r="J140" s="155"/>
      <c r="K140" s="155"/>
      <c r="L140" s="155"/>
      <c r="M140" s="155"/>
      <c r="N140" s="155"/>
      <c r="O140" s="155"/>
      <c r="P140" s="155"/>
      <c r="Q140" s="155"/>
      <c r="R140" s="155"/>
      <c r="S140" s="155"/>
      <c r="T140" s="155"/>
      <c r="U140" s="155"/>
      <c r="V140" s="155"/>
      <c r="W140" s="155"/>
    </row>
    <row r="141" s="104" customFormat="true" ht="21.75" hidden="false" customHeight="true" outlineLevel="0" collapsed="false">
      <c r="C141" s="155"/>
      <c r="D141" s="155"/>
      <c r="E141" s="155"/>
      <c r="F141" s="155"/>
      <c r="G141" s="155"/>
      <c r="H141" s="155"/>
      <c r="I141" s="155"/>
      <c r="J141" s="155"/>
      <c r="K141" s="155"/>
      <c r="L141" s="155"/>
      <c r="M141" s="155"/>
      <c r="N141" s="155"/>
      <c r="O141" s="155"/>
      <c r="P141" s="155"/>
      <c r="Q141" s="155"/>
      <c r="R141" s="155"/>
      <c r="S141" s="155"/>
      <c r="T141" s="155"/>
      <c r="U141" s="155"/>
      <c r="V141" s="155"/>
      <c r="W141" s="155"/>
    </row>
    <row r="142" s="104" customFormat="true" ht="21.75" hidden="false" customHeight="true" outlineLevel="0" collapsed="false">
      <c r="C142" s="155"/>
      <c r="D142" s="155"/>
      <c r="E142" s="155"/>
      <c r="F142" s="155"/>
      <c r="G142" s="155"/>
      <c r="H142" s="155"/>
      <c r="I142" s="155"/>
      <c r="J142" s="155"/>
      <c r="K142" s="155"/>
      <c r="L142" s="155"/>
      <c r="M142" s="155"/>
      <c r="N142" s="155"/>
      <c r="O142" s="155"/>
      <c r="P142" s="155"/>
      <c r="Q142" s="155"/>
      <c r="R142" s="155"/>
      <c r="S142" s="155"/>
      <c r="T142" s="155"/>
      <c r="U142" s="155"/>
      <c r="V142" s="155"/>
      <c r="W142" s="155"/>
    </row>
    <row r="143" s="104" customFormat="true" ht="21.75" hidden="false" customHeight="true" outlineLevel="0" collapsed="false">
      <c r="C143" s="155"/>
      <c r="D143" s="155"/>
      <c r="E143" s="155"/>
      <c r="F143" s="155"/>
      <c r="G143" s="155"/>
      <c r="H143" s="155"/>
      <c r="I143" s="155"/>
      <c r="J143" s="155"/>
      <c r="K143" s="155"/>
      <c r="L143" s="155"/>
      <c r="M143" s="155"/>
      <c r="N143" s="155"/>
      <c r="O143" s="155"/>
      <c r="P143" s="155"/>
      <c r="Q143" s="155"/>
      <c r="R143" s="155"/>
      <c r="S143" s="155"/>
      <c r="T143" s="155"/>
      <c r="U143" s="155"/>
      <c r="V143" s="155"/>
      <c r="W143" s="155"/>
    </row>
    <row r="144" s="104" customFormat="true" ht="21.75" hidden="false" customHeight="true" outlineLevel="0" collapsed="false">
      <c r="C144" s="155"/>
      <c r="D144" s="155"/>
      <c r="E144" s="155"/>
      <c r="F144" s="155"/>
      <c r="G144" s="155"/>
      <c r="H144" s="155"/>
      <c r="I144" s="155"/>
      <c r="J144" s="155"/>
      <c r="K144" s="155"/>
      <c r="L144" s="155"/>
      <c r="M144" s="155"/>
      <c r="N144" s="155"/>
      <c r="O144" s="155"/>
      <c r="P144" s="155"/>
      <c r="Q144" s="155"/>
      <c r="R144" s="155"/>
      <c r="S144" s="155"/>
      <c r="T144" s="155"/>
      <c r="U144" s="155"/>
      <c r="V144" s="155"/>
      <c r="W144" s="155"/>
    </row>
    <row r="145" s="104" customFormat="true" ht="21.75" hidden="false" customHeight="true" outlineLevel="0" collapsed="false">
      <c r="C145" s="155"/>
      <c r="D145" s="155"/>
      <c r="E145" s="155"/>
      <c r="F145" s="155"/>
      <c r="G145" s="155"/>
      <c r="H145" s="155"/>
      <c r="I145" s="155"/>
      <c r="J145" s="155"/>
      <c r="K145" s="155"/>
      <c r="L145" s="155"/>
      <c r="M145" s="155"/>
      <c r="N145" s="155"/>
      <c r="O145" s="155"/>
      <c r="P145" s="155"/>
      <c r="Q145" s="155"/>
      <c r="R145" s="155"/>
      <c r="S145" s="155"/>
      <c r="T145" s="155"/>
      <c r="U145" s="155"/>
      <c r="V145" s="155"/>
      <c r="W145" s="155"/>
    </row>
    <row r="146" customFormat="false" ht="21.75" hidden="false" customHeight="true" outlineLevel="0" collapsed="false">
      <c r="C146" s="156" t="s">
        <v>2095</v>
      </c>
      <c r="D146" s="156"/>
      <c r="E146" s="156"/>
      <c r="F146" s="156"/>
      <c r="G146" s="156"/>
      <c r="H146" s="156"/>
      <c r="I146" s="156"/>
      <c r="J146" s="156"/>
      <c r="K146" s="156"/>
      <c r="L146" s="156"/>
      <c r="M146" s="156"/>
      <c r="N146" s="156"/>
      <c r="O146" s="156"/>
      <c r="P146" s="156"/>
      <c r="Q146" s="156"/>
      <c r="R146" s="156"/>
      <c r="S146" s="156"/>
      <c r="T146" s="156"/>
      <c r="U146" s="156"/>
      <c r="V146" s="156"/>
      <c r="W146" s="156"/>
    </row>
    <row r="148" customFormat="false" ht="31.5" hidden="false" customHeight="true" outlineLevel="0" collapsed="false">
      <c r="C148" s="157" t="s">
        <v>2096</v>
      </c>
      <c r="D148" s="157" t="s">
        <v>2018</v>
      </c>
      <c r="E148" s="157" t="s">
        <v>2097</v>
      </c>
      <c r="F148" s="157" t="s">
        <v>2098</v>
      </c>
      <c r="G148" s="157" t="s">
        <v>2099</v>
      </c>
      <c r="H148" s="157" t="s">
        <v>2100</v>
      </c>
    </row>
    <row r="149" customFormat="false" ht="21.75" hidden="false" customHeight="true" outlineLevel="0" collapsed="false">
      <c r="C149" s="158" t="str">
        <f aca="false">Calc!A42</f>
        <v>Alignment</v>
      </c>
      <c r="D149" s="159" t="n">
        <f aca="false">Calc!B42</f>
        <v>173</v>
      </c>
      <c r="E149" s="160" t="n">
        <f aca="false">COUNTIFS(RawData[CARES Framework],C149,RawData[Severity],"High")</f>
        <v>38</v>
      </c>
      <c r="F149" s="161" t="n">
        <f aca="false">COUNTIFS(RawData[CARES Framework],C149,RawData[Severity],"Moderate")</f>
        <v>73</v>
      </c>
      <c r="G149" s="162" t="n">
        <f aca="false">COUNTIFS(RawData[CARES Framework],C149,RawData[Severity],"Low")</f>
        <v>62</v>
      </c>
      <c r="H149" s="163" t="n">
        <f aca="false">IFERROR(D149/Calc!$B$3,0)</f>
        <v>0.576666666666667</v>
      </c>
    </row>
    <row r="150" customFormat="false" ht="21.75" hidden="false" customHeight="true" outlineLevel="0" collapsed="false">
      <c r="C150" s="164" t="str">
        <f aca="false">Calc!A43</f>
        <v>Career</v>
      </c>
      <c r="D150" s="165" t="n">
        <f aca="false">Calc!B43</f>
        <v>40</v>
      </c>
      <c r="E150" s="166" t="n">
        <f aca="false">COUNTIFS(RawData[CARES Framework],C150,RawData[Severity],"High")</f>
        <v>7</v>
      </c>
      <c r="F150" s="167" t="n">
        <f aca="false">COUNTIFS(RawData[CARES Framework],C150,RawData[Severity],"Moderate")</f>
        <v>17</v>
      </c>
      <c r="G150" s="168" t="n">
        <f aca="false">COUNTIFS(RawData[CARES Framework],C150,RawData[Severity],"Low")</f>
        <v>16</v>
      </c>
      <c r="H150" s="169" t="n">
        <f aca="false">IFERROR(D150/Calc!$B$3,0)</f>
        <v>0.133333333333333</v>
      </c>
    </row>
    <row r="151" customFormat="false" ht="21.75" hidden="false" customHeight="true" outlineLevel="0" collapsed="false">
      <c r="C151" s="170" t="str">
        <f aca="false">Calc!A44</f>
        <v>Empowerment</v>
      </c>
      <c r="D151" s="159" t="n">
        <f aca="false">Calc!B44</f>
        <v>58</v>
      </c>
      <c r="E151" s="160" t="n">
        <f aca="false">COUNTIFS(RawData[CARES Framework],C151,RawData[Severity],"High")</f>
        <v>10</v>
      </c>
      <c r="F151" s="161" t="n">
        <f aca="false">COUNTIFS(RawData[CARES Framework],C151,RawData[Severity],"Moderate")</f>
        <v>25</v>
      </c>
      <c r="G151" s="162" t="n">
        <f aca="false">COUNTIFS(RawData[CARES Framework],C151,RawData[Severity],"Low")</f>
        <v>23</v>
      </c>
      <c r="H151" s="163" t="n">
        <f aca="false">IFERROR(D151/Calc!$B$3,0)</f>
        <v>0.193333333333333</v>
      </c>
    </row>
    <row r="152" customFormat="false" ht="21.75" hidden="false" customHeight="true" outlineLevel="0" collapsed="false">
      <c r="C152" s="171" t="str">
        <f aca="false">Calc!A45</f>
        <v>Recognition</v>
      </c>
      <c r="D152" s="165" t="n">
        <f aca="false">Calc!B45</f>
        <v>14</v>
      </c>
      <c r="E152" s="166" t="n">
        <f aca="false">COUNTIFS(RawData[CARES Framework],C152,RawData[Severity],"High")</f>
        <v>3</v>
      </c>
      <c r="F152" s="167" t="n">
        <f aca="false">COUNTIFS(RawData[CARES Framework],C152,RawData[Severity],"Moderate")</f>
        <v>6</v>
      </c>
      <c r="G152" s="168" t="n">
        <f aca="false">COUNTIFS(RawData[CARES Framework],C152,RawData[Severity],"Low")</f>
        <v>5</v>
      </c>
      <c r="H152" s="169" t="n">
        <f aca="false">IFERROR(D152/Calc!$B$3,0)</f>
        <v>0.0466666666666667</v>
      </c>
    </row>
    <row r="153" customFormat="false" ht="21.75" hidden="false" customHeight="true" outlineLevel="0" collapsed="false">
      <c r="C153" s="172" t="str">
        <f aca="false">Calc!A46</f>
        <v>Strive</v>
      </c>
      <c r="D153" s="159" t="n">
        <f aca="false">Calc!B46</f>
        <v>15</v>
      </c>
      <c r="E153" s="160" t="n">
        <f aca="false">COUNTIFS(RawData[CARES Framework],C153,RawData[Severity],"High")</f>
        <v>5</v>
      </c>
      <c r="F153" s="161" t="n">
        <f aca="false">COUNTIFS(RawData[CARES Framework],C153,RawData[Severity],"Moderate")</f>
        <v>5</v>
      </c>
      <c r="G153" s="162" t="n">
        <f aca="false">COUNTIFS(RawData[CARES Framework],C153,RawData[Severity],"Low")</f>
        <v>5</v>
      </c>
      <c r="H153" s="163" t="n">
        <f aca="false">IFERROR(D153/Calc!$B$3,0)</f>
        <v>0.05</v>
      </c>
    </row>
    <row r="155" customFormat="false" ht="21.75" hidden="false" customHeight="true" outlineLevel="0" collapsed="false">
      <c r="C155" s="173" t="s">
        <v>2101</v>
      </c>
      <c r="D155" s="173"/>
      <c r="E155" s="173"/>
      <c r="F155" s="173"/>
      <c r="G155" s="173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3"/>
      <c r="V155" s="173"/>
      <c r="W155" s="173"/>
    </row>
    <row r="158" customFormat="false" ht="21.75" hidden="false" customHeight="true" outlineLevel="0" collapsed="false">
      <c r="C158" s="174"/>
    </row>
    <row r="159" customFormat="false" ht="15" hidden="false" customHeight="true" outlineLevel="0" collapsed="false">
      <c r="C159" s="175"/>
    </row>
    <row r="160" customFormat="false" ht="34.5" hidden="false" customHeight="true" outlineLevel="0" collapsed="false">
      <c r="C160" s="176"/>
      <c r="D160" s="176"/>
      <c r="E160" s="177"/>
    </row>
    <row r="161" customFormat="false" ht="19.5" hidden="false" customHeight="true" outlineLevel="0" collapsed="false">
      <c r="C161" s="178"/>
      <c r="D161" s="179"/>
      <c r="E161" s="180"/>
    </row>
    <row r="162" customFormat="false" ht="19.5" hidden="false" customHeight="true" outlineLevel="0" collapsed="false">
      <c r="C162" s="181"/>
      <c r="D162" s="182"/>
      <c r="E162" s="183"/>
    </row>
    <row r="163" customFormat="false" ht="19.5" hidden="false" customHeight="true" outlineLevel="0" collapsed="false">
      <c r="C163" s="178"/>
      <c r="D163" s="179"/>
      <c r="E163" s="180"/>
    </row>
    <row r="164" customFormat="false" ht="19.5" hidden="false" customHeight="true" outlineLevel="0" collapsed="false">
      <c r="C164" s="181"/>
      <c r="D164" s="182"/>
      <c r="E164" s="183"/>
    </row>
    <row r="165" customFormat="false" ht="34.5" hidden="false" customHeight="true" outlineLevel="0" collapsed="false"/>
    <row r="166" customFormat="false" ht="39.75" hidden="false" customHeight="true" outlineLevel="0" collapsed="false"/>
    <row r="167" customFormat="false" ht="43.5" hidden="false" customHeight="true" outlineLevel="0" collapsed="false"/>
    <row r="168" customFormat="false" ht="29.25" hidden="false" customHeight="true" outlineLevel="0" collapsed="false"/>
    <row r="170" customFormat="false" ht="15" hidden="false" customHeight="true" outlineLevel="0" collapsed="false">
      <c r="C170" s="184"/>
      <c r="D170" s="184"/>
      <c r="E170" s="184"/>
      <c r="F170" s="184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  <c r="W170" s="184"/>
    </row>
  </sheetData>
  <mergeCells count="157">
    <mergeCell ref="C2:R2"/>
    <mergeCell ref="S2:X2"/>
    <mergeCell ref="C3:T3"/>
    <mergeCell ref="U3:X3"/>
    <mergeCell ref="C8:E8"/>
    <mergeCell ref="F8:H8"/>
    <mergeCell ref="I8:K8"/>
    <mergeCell ref="L8:N8"/>
    <mergeCell ref="O8:Q8"/>
    <mergeCell ref="R8:T8"/>
    <mergeCell ref="U8:V8"/>
    <mergeCell ref="W8:X8"/>
    <mergeCell ref="C9:E9"/>
    <mergeCell ref="F9:H9"/>
    <mergeCell ref="I9:K9"/>
    <mergeCell ref="L9:N9"/>
    <mergeCell ref="O9:Q9"/>
    <mergeCell ref="R9:T9"/>
    <mergeCell ref="U9:V9"/>
    <mergeCell ref="W9:X9"/>
    <mergeCell ref="C10:E10"/>
    <mergeCell ref="F10:H10"/>
    <mergeCell ref="I10:K10"/>
    <mergeCell ref="L10:N10"/>
    <mergeCell ref="O10:Q10"/>
    <mergeCell ref="R10:T10"/>
    <mergeCell ref="U10:V10"/>
    <mergeCell ref="W10:X10"/>
    <mergeCell ref="C12:H12"/>
    <mergeCell ref="I12:N12"/>
    <mergeCell ref="O12:T12"/>
    <mergeCell ref="U12:X12"/>
    <mergeCell ref="C13:H13"/>
    <mergeCell ref="I13:N13"/>
    <mergeCell ref="O13:T13"/>
    <mergeCell ref="U13:X13"/>
    <mergeCell ref="C15:X15"/>
    <mergeCell ref="C35:AB35"/>
    <mergeCell ref="C56:X56"/>
    <mergeCell ref="C70:W70"/>
    <mergeCell ref="C91:W91"/>
    <mergeCell ref="E92:F92"/>
    <mergeCell ref="G92:H92"/>
    <mergeCell ref="I92:K92"/>
    <mergeCell ref="L92:M92"/>
    <mergeCell ref="N92:O92"/>
    <mergeCell ref="P92:W92"/>
    <mergeCell ref="E93:F93"/>
    <mergeCell ref="G93:H93"/>
    <mergeCell ref="I93:K93"/>
    <mergeCell ref="L93:M93"/>
    <mergeCell ref="N93:O93"/>
    <mergeCell ref="P93:W93"/>
    <mergeCell ref="E94:F94"/>
    <mergeCell ref="G94:H94"/>
    <mergeCell ref="I94:K94"/>
    <mergeCell ref="L94:M94"/>
    <mergeCell ref="N94:O94"/>
    <mergeCell ref="P94:W94"/>
    <mergeCell ref="E95:F95"/>
    <mergeCell ref="G95:H95"/>
    <mergeCell ref="I95:K95"/>
    <mergeCell ref="L95:M95"/>
    <mergeCell ref="N95:O95"/>
    <mergeCell ref="P95:W95"/>
    <mergeCell ref="E96:F96"/>
    <mergeCell ref="G96:H96"/>
    <mergeCell ref="I96:K96"/>
    <mergeCell ref="L96:M96"/>
    <mergeCell ref="N96:O96"/>
    <mergeCell ref="P96:W96"/>
    <mergeCell ref="E97:F97"/>
    <mergeCell ref="G97:H97"/>
    <mergeCell ref="I97:K97"/>
    <mergeCell ref="L97:M97"/>
    <mergeCell ref="N97:O97"/>
    <mergeCell ref="P97:W97"/>
    <mergeCell ref="E98:F98"/>
    <mergeCell ref="G98:H98"/>
    <mergeCell ref="I98:K98"/>
    <mergeCell ref="L98:M98"/>
    <mergeCell ref="N98:O98"/>
    <mergeCell ref="P98:W98"/>
    <mergeCell ref="E99:F99"/>
    <mergeCell ref="G99:H99"/>
    <mergeCell ref="I99:K99"/>
    <mergeCell ref="L99:M99"/>
    <mergeCell ref="N99:O99"/>
    <mergeCell ref="P99:W99"/>
    <mergeCell ref="E100:F100"/>
    <mergeCell ref="G100:H100"/>
    <mergeCell ref="I100:K100"/>
    <mergeCell ref="L100:M100"/>
    <mergeCell ref="N100:O100"/>
    <mergeCell ref="P100:W100"/>
    <mergeCell ref="E101:F101"/>
    <mergeCell ref="G101:H101"/>
    <mergeCell ref="I101:K101"/>
    <mergeCell ref="L101:M101"/>
    <mergeCell ref="N101:O101"/>
    <mergeCell ref="P101:W101"/>
    <mergeCell ref="E102:F102"/>
    <mergeCell ref="G102:H102"/>
    <mergeCell ref="I102:K102"/>
    <mergeCell ref="L102:M102"/>
    <mergeCell ref="N102:O102"/>
    <mergeCell ref="P102:W102"/>
    <mergeCell ref="C105:W105"/>
    <mergeCell ref="C121:W121"/>
    <mergeCell ref="D122:K122"/>
    <mergeCell ref="L122:N122"/>
    <mergeCell ref="O122:Q122"/>
    <mergeCell ref="R122:W122"/>
    <mergeCell ref="D123:K123"/>
    <mergeCell ref="L123:N123"/>
    <mergeCell ref="O123:Q123"/>
    <mergeCell ref="R123:W123"/>
    <mergeCell ref="D124:K124"/>
    <mergeCell ref="L124:N124"/>
    <mergeCell ref="O124:Q124"/>
    <mergeCell ref="R124:W124"/>
    <mergeCell ref="D125:K125"/>
    <mergeCell ref="L125:N125"/>
    <mergeCell ref="O125:Q125"/>
    <mergeCell ref="R125:W125"/>
    <mergeCell ref="D126:K126"/>
    <mergeCell ref="L126:N126"/>
    <mergeCell ref="O126:Q126"/>
    <mergeCell ref="R126:W126"/>
    <mergeCell ref="D127:K127"/>
    <mergeCell ref="L127:N127"/>
    <mergeCell ref="O127:Q127"/>
    <mergeCell ref="R127:W127"/>
    <mergeCell ref="D128:K128"/>
    <mergeCell ref="L128:N128"/>
    <mergeCell ref="O128:Q128"/>
    <mergeCell ref="R128:W128"/>
    <mergeCell ref="D129:K129"/>
    <mergeCell ref="L129:N129"/>
    <mergeCell ref="O129:Q129"/>
    <mergeCell ref="R129:W129"/>
    <mergeCell ref="D130:K130"/>
    <mergeCell ref="L130:N130"/>
    <mergeCell ref="O130:Q130"/>
    <mergeCell ref="R130:W130"/>
    <mergeCell ref="D131:K131"/>
    <mergeCell ref="L131:N131"/>
    <mergeCell ref="O131:Q131"/>
    <mergeCell ref="R131:W131"/>
    <mergeCell ref="D132:K132"/>
    <mergeCell ref="L132:N132"/>
    <mergeCell ref="O132:Q132"/>
    <mergeCell ref="R132:W132"/>
    <mergeCell ref="C134:W134"/>
    <mergeCell ref="C146:W146"/>
    <mergeCell ref="C155:W155"/>
    <mergeCell ref="C170:W1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4992"/>
  <sheetViews>
    <sheetView showFormulas="false" showGridLines="true" showRowColHeaders="true" showZeros="true" rightToLeft="false" tabSelected="false" showOutlineSymbols="true" defaultGridColor="true" view="normal" topLeftCell="A768" colorId="64" zoomScale="91" zoomScaleNormal="91" zoomScalePageLayoutView="100" workbookViewId="0">
      <selection pane="topLeft" activeCell="A2" activeCellId="0" sqref="A2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185" width="19.42"/>
    <col collapsed="false" customWidth="true" hidden="false" outlineLevel="0" max="3" min="3" style="185" width="20.85"/>
    <col collapsed="false" customWidth="true" hidden="false" outlineLevel="0" max="4" min="4" style="0" width="30"/>
    <col collapsed="false" customWidth="true" hidden="false" outlineLevel="0" max="6" min="5" style="0" width="25"/>
    <col collapsed="false" customWidth="true" hidden="false" outlineLevel="0" max="7" min="7" style="0" width="13"/>
    <col collapsed="false" customWidth="true" hidden="false" outlineLevel="0" max="8" min="8" style="185" width="21"/>
    <col collapsed="false" customWidth="true" hidden="false" outlineLevel="0" max="9" min="9" style="0" width="31"/>
    <col collapsed="false" customWidth="true" hidden="false" outlineLevel="0" max="10" min="10" style="0" width="40"/>
    <col collapsed="false" customWidth="true" hidden="false" outlineLevel="0" max="11" min="11" style="0" width="20"/>
    <col collapsed="false" customWidth="true" hidden="false" outlineLevel="0" max="12" min="12" style="0" width="37"/>
    <col collapsed="false" customWidth="true" hidden="false" outlineLevel="0" max="13" min="13" style="0" width="25"/>
    <col collapsed="false" customWidth="true" hidden="false" outlineLevel="0" max="14" min="14" style="0" width="45"/>
    <col collapsed="false" customWidth="true" hidden="false" outlineLevel="0" max="15" min="15" style="0" width="31"/>
    <col collapsed="false" customWidth="true" hidden="false" outlineLevel="0" max="16" min="16" style="0" width="12"/>
    <col collapsed="false" customWidth="true" hidden="false" outlineLevel="0" max="17" min="17" style="0" width="27"/>
    <col collapsed="false" customWidth="true" hidden="false" outlineLevel="0" max="18" min="18" style="0" width="17"/>
    <col collapsed="false" customWidth="true" hidden="false" outlineLevel="0" max="19" min="19" style="0" width="19"/>
    <col collapsed="false" customWidth="true" hidden="false" outlineLevel="0" max="21" min="20" style="0" width="45"/>
    <col collapsed="false" customWidth="true" hidden="false" outlineLevel="0" max="22" min="22" style="0" width="12"/>
    <col collapsed="false" customWidth="true" hidden="false" outlineLevel="0" max="23" min="23" style="0" width="13"/>
    <col collapsed="false" customWidth="true" hidden="false" outlineLevel="0" max="24" min="24" style="0" width="30"/>
    <col collapsed="false" customWidth="true" hidden="false" outlineLevel="0" max="25" min="25" style="0" width="13"/>
    <col collapsed="false" customWidth="true" hidden="false" outlineLevel="0" max="26" min="26" style="0" width="17"/>
    <col collapsed="false" customWidth="true" hidden="false" outlineLevel="0" max="27" min="27" style="0" width="117.14"/>
  </cols>
  <sheetData>
    <row r="1" customFormat="false" ht="30" hidden="false" customHeight="true" outlineLevel="0" collapsed="false">
      <c r="A1" s="186" t="s">
        <v>0</v>
      </c>
      <c r="B1" s="187" t="s">
        <v>1</v>
      </c>
      <c r="C1" s="187" t="s">
        <v>2</v>
      </c>
      <c r="D1" s="186" t="s">
        <v>3</v>
      </c>
      <c r="E1" s="186" t="s">
        <v>4</v>
      </c>
      <c r="F1" s="186" t="s">
        <v>5</v>
      </c>
      <c r="G1" s="186" t="s">
        <v>6</v>
      </c>
      <c r="H1" s="187" t="s">
        <v>7</v>
      </c>
      <c r="I1" s="186" t="s">
        <v>14</v>
      </c>
      <c r="J1" s="186" t="s">
        <v>9</v>
      </c>
      <c r="K1" s="186" t="s">
        <v>2102</v>
      </c>
      <c r="L1" s="186" t="s">
        <v>2103</v>
      </c>
      <c r="M1" s="186" t="s">
        <v>2104</v>
      </c>
      <c r="N1" s="186" t="s">
        <v>2105</v>
      </c>
      <c r="O1" s="186" t="s">
        <v>8</v>
      </c>
      <c r="P1" s="186" t="s">
        <v>12</v>
      </c>
      <c r="Q1" s="186" t="s">
        <v>13</v>
      </c>
      <c r="R1" s="186" t="s">
        <v>20</v>
      </c>
      <c r="S1" s="186" t="s">
        <v>95</v>
      </c>
      <c r="T1" s="186" t="s">
        <v>96</v>
      </c>
      <c r="U1" s="186" t="s">
        <v>97</v>
      </c>
      <c r="V1" s="186" t="s">
        <v>98</v>
      </c>
      <c r="W1" s="186" t="s">
        <v>99</v>
      </c>
      <c r="X1" s="186" t="s">
        <v>2064</v>
      </c>
      <c r="Y1" s="186" t="s">
        <v>2106</v>
      </c>
      <c r="Z1" s="186" t="s">
        <v>2107</v>
      </c>
      <c r="AA1" s="186" t="s">
        <v>2021</v>
      </c>
    </row>
    <row r="2" customFormat="false" ht="15" hidden="false" customHeight="true" outlineLevel="0" collapsed="false">
      <c r="A2" s="0" t="n">
        <v>1</v>
      </c>
      <c r="B2" s="188" t="n">
        <v>46150.5064431434</v>
      </c>
      <c r="C2" s="188" t="n">
        <v>46150.5229824953</v>
      </c>
      <c r="D2" s="189" t="s">
        <v>103</v>
      </c>
      <c r="E2" s="189" t="s">
        <v>104</v>
      </c>
      <c r="F2" s="189" t="s">
        <v>105</v>
      </c>
      <c r="G2" s="189" t="s">
        <v>106</v>
      </c>
      <c r="H2" s="188" t="n">
        <v>46142</v>
      </c>
      <c r="I2" s="189" t="s">
        <v>113</v>
      </c>
      <c r="J2" s="189" t="s">
        <v>108</v>
      </c>
      <c r="K2" s="189" t="s">
        <v>109</v>
      </c>
      <c r="L2" s="189" t="s">
        <v>110</v>
      </c>
      <c r="M2" s="189" t="s">
        <v>114</v>
      </c>
      <c r="N2" s="189" t="s">
        <v>115</v>
      </c>
      <c r="O2" s="189" t="s">
        <v>107</v>
      </c>
      <c r="P2" s="189" t="s">
        <v>111</v>
      </c>
      <c r="Q2" s="189" t="s">
        <v>112</v>
      </c>
      <c r="R2" s="189" t="s">
        <v>22</v>
      </c>
      <c r="S2" s="189" t="s">
        <v>120</v>
      </c>
      <c r="T2" s="189" t="s">
        <v>121</v>
      </c>
      <c r="U2" s="189" t="s">
        <v>122</v>
      </c>
      <c r="V2" s="189" t="s">
        <v>123</v>
      </c>
      <c r="W2" s="189" t="s">
        <v>124</v>
      </c>
      <c r="X2" s="189" t="s">
        <v>116</v>
      </c>
      <c r="Y2" s="189" t="s">
        <v>2108</v>
      </c>
      <c r="Z2" s="0" t="n">
        <v>1</v>
      </c>
      <c r="AA2" s="189" t="s">
        <v>2109</v>
      </c>
    </row>
    <row r="3" customFormat="false" ht="15" hidden="false" customHeight="true" outlineLevel="0" collapsed="false">
      <c r="A3" s="0" t="n">
        <v>1</v>
      </c>
      <c r="B3" s="188" t="n">
        <v>46150.5064431434</v>
      </c>
      <c r="C3" s="188" t="n">
        <v>46150.5229824953</v>
      </c>
      <c r="D3" s="189" t="s">
        <v>103</v>
      </c>
      <c r="E3" s="189" t="s">
        <v>104</v>
      </c>
      <c r="F3" s="189" t="s">
        <v>105</v>
      </c>
      <c r="G3" s="189" t="s">
        <v>106</v>
      </c>
      <c r="H3" s="188" t="n">
        <v>46142</v>
      </c>
      <c r="I3" s="189" t="s">
        <v>113</v>
      </c>
      <c r="J3" s="189" t="s">
        <v>108</v>
      </c>
      <c r="K3" s="189" t="s">
        <v>109</v>
      </c>
      <c r="L3" s="189" t="s">
        <v>110</v>
      </c>
      <c r="M3" s="189" t="s">
        <v>114</v>
      </c>
      <c r="N3" s="189" t="s">
        <v>115</v>
      </c>
      <c r="O3" s="189" t="s">
        <v>107</v>
      </c>
      <c r="P3" s="189" t="s">
        <v>111</v>
      </c>
      <c r="Q3" s="189" t="s">
        <v>112</v>
      </c>
      <c r="R3" s="189" t="s">
        <v>22</v>
      </c>
      <c r="S3" s="189" t="s">
        <v>120</v>
      </c>
      <c r="T3" s="189" t="s">
        <v>121</v>
      </c>
      <c r="U3" s="189" t="s">
        <v>122</v>
      </c>
      <c r="V3" s="189" t="s">
        <v>123</v>
      </c>
      <c r="W3" s="189" t="s">
        <v>124</v>
      </c>
      <c r="X3" s="189" t="s">
        <v>116</v>
      </c>
      <c r="Y3" s="189" t="s">
        <v>2110</v>
      </c>
      <c r="Z3" s="0" t="n">
        <v>1</v>
      </c>
      <c r="AA3" s="189" t="s">
        <v>2111</v>
      </c>
    </row>
    <row r="4" customFormat="false" ht="15" hidden="false" customHeight="true" outlineLevel="0" collapsed="false">
      <c r="A4" s="0" t="n">
        <v>1</v>
      </c>
      <c r="B4" s="188" t="n">
        <v>46150.5064431434</v>
      </c>
      <c r="C4" s="188" t="n">
        <v>46150.5229824953</v>
      </c>
      <c r="D4" s="189" t="s">
        <v>103</v>
      </c>
      <c r="E4" s="189" t="s">
        <v>104</v>
      </c>
      <c r="F4" s="189" t="s">
        <v>105</v>
      </c>
      <c r="G4" s="189" t="s">
        <v>106</v>
      </c>
      <c r="H4" s="188" t="n">
        <v>46142</v>
      </c>
      <c r="I4" s="189" t="s">
        <v>113</v>
      </c>
      <c r="J4" s="189" t="s">
        <v>108</v>
      </c>
      <c r="K4" s="189" t="s">
        <v>109</v>
      </c>
      <c r="L4" s="189" t="s">
        <v>110</v>
      </c>
      <c r="M4" s="189" t="s">
        <v>114</v>
      </c>
      <c r="N4" s="189" t="s">
        <v>115</v>
      </c>
      <c r="O4" s="189" t="s">
        <v>107</v>
      </c>
      <c r="P4" s="189" t="s">
        <v>111</v>
      </c>
      <c r="Q4" s="189" t="s">
        <v>112</v>
      </c>
      <c r="R4" s="189" t="s">
        <v>22</v>
      </c>
      <c r="S4" s="189" t="s">
        <v>120</v>
      </c>
      <c r="T4" s="189" t="s">
        <v>121</v>
      </c>
      <c r="U4" s="189" t="s">
        <v>122</v>
      </c>
      <c r="V4" s="189" t="s">
        <v>123</v>
      </c>
      <c r="W4" s="189" t="s">
        <v>124</v>
      </c>
      <c r="X4" s="189" t="s">
        <v>116</v>
      </c>
      <c r="Y4" s="189" t="s">
        <v>2110</v>
      </c>
      <c r="Z4" s="0" t="n">
        <v>2</v>
      </c>
      <c r="AA4" s="189" t="s">
        <v>2112</v>
      </c>
    </row>
    <row r="5" customFormat="false" ht="15" hidden="false" customHeight="true" outlineLevel="0" collapsed="false">
      <c r="A5" s="0" t="n">
        <v>1</v>
      </c>
      <c r="B5" s="188" t="n">
        <v>46150.5064431434</v>
      </c>
      <c r="C5" s="188" t="n">
        <v>46150.5229824953</v>
      </c>
      <c r="D5" s="189" t="s">
        <v>103</v>
      </c>
      <c r="E5" s="189" t="s">
        <v>104</v>
      </c>
      <c r="F5" s="189" t="s">
        <v>105</v>
      </c>
      <c r="G5" s="189" t="s">
        <v>106</v>
      </c>
      <c r="H5" s="188" t="n">
        <v>46142</v>
      </c>
      <c r="I5" s="189" t="s">
        <v>113</v>
      </c>
      <c r="J5" s="189" t="s">
        <v>108</v>
      </c>
      <c r="K5" s="189" t="s">
        <v>109</v>
      </c>
      <c r="L5" s="189" t="s">
        <v>110</v>
      </c>
      <c r="M5" s="189" t="s">
        <v>114</v>
      </c>
      <c r="N5" s="189" t="s">
        <v>115</v>
      </c>
      <c r="O5" s="189" t="s">
        <v>107</v>
      </c>
      <c r="P5" s="189" t="s">
        <v>111</v>
      </c>
      <c r="Q5" s="189" t="s">
        <v>112</v>
      </c>
      <c r="R5" s="189" t="s">
        <v>22</v>
      </c>
      <c r="S5" s="189" t="s">
        <v>120</v>
      </c>
      <c r="T5" s="189" t="s">
        <v>121</v>
      </c>
      <c r="U5" s="189" t="s">
        <v>122</v>
      </c>
      <c r="V5" s="189" t="s">
        <v>123</v>
      </c>
      <c r="W5" s="189" t="s">
        <v>124</v>
      </c>
      <c r="X5" s="189" t="s">
        <v>116</v>
      </c>
      <c r="Y5" s="189" t="s">
        <v>2113</v>
      </c>
      <c r="Z5" s="0" t="n">
        <v>1</v>
      </c>
      <c r="AA5" s="189" t="s">
        <v>122</v>
      </c>
    </row>
    <row r="6" customFormat="false" ht="15" hidden="false" customHeight="true" outlineLevel="0" collapsed="false">
      <c r="A6" s="0" t="n">
        <v>1</v>
      </c>
      <c r="B6" s="188" t="n">
        <v>46150.5064431434</v>
      </c>
      <c r="C6" s="188" t="n">
        <v>46150.5229824953</v>
      </c>
      <c r="D6" s="189" t="s">
        <v>103</v>
      </c>
      <c r="E6" s="189" t="s">
        <v>104</v>
      </c>
      <c r="F6" s="189" t="s">
        <v>105</v>
      </c>
      <c r="G6" s="189" t="s">
        <v>106</v>
      </c>
      <c r="H6" s="188" t="n">
        <v>46142</v>
      </c>
      <c r="I6" s="189" t="s">
        <v>113</v>
      </c>
      <c r="J6" s="189" t="s">
        <v>108</v>
      </c>
      <c r="K6" s="189" t="s">
        <v>109</v>
      </c>
      <c r="L6" s="189" t="s">
        <v>110</v>
      </c>
      <c r="M6" s="189" t="s">
        <v>114</v>
      </c>
      <c r="N6" s="189" t="s">
        <v>115</v>
      </c>
      <c r="O6" s="189" t="s">
        <v>107</v>
      </c>
      <c r="P6" s="189" t="s">
        <v>111</v>
      </c>
      <c r="Q6" s="189" t="s">
        <v>112</v>
      </c>
      <c r="R6" s="189" t="s">
        <v>22</v>
      </c>
      <c r="S6" s="189" t="s">
        <v>120</v>
      </c>
      <c r="T6" s="189" t="s">
        <v>121</v>
      </c>
      <c r="U6" s="189" t="s">
        <v>122</v>
      </c>
      <c r="V6" s="189" t="s">
        <v>123</v>
      </c>
      <c r="W6" s="189" t="s">
        <v>124</v>
      </c>
      <c r="X6" s="189" t="s">
        <v>116</v>
      </c>
      <c r="Y6" s="189" t="s">
        <v>2113</v>
      </c>
      <c r="Z6" s="0" t="n">
        <v>2</v>
      </c>
      <c r="AA6" s="189" t="s">
        <v>2114</v>
      </c>
    </row>
    <row r="7" customFormat="false" ht="15" hidden="false" customHeight="true" outlineLevel="0" collapsed="false">
      <c r="A7" s="0" t="n">
        <v>2</v>
      </c>
      <c r="B7" s="188" t="n">
        <v>46110.8074344179</v>
      </c>
      <c r="C7" s="188" t="n">
        <v>46110.8279436771</v>
      </c>
      <c r="D7" s="189" t="s">
        <v>125</v>
      </c>
      <c r="E7" s="189" t="s">
        <v>126</v>
      </c>
      <c r="F7" s="189" t="s">
        <v>126</v>
      </c>
      <c r="G7" s="189" t="s">
        <v>127</v>
      </c>
      <c r="H7" s="188" t="n">
        <v>46093</v>
      </c>
      <c r="I7" s="189" t="s">
        <v>132</v>
      </c>
      <c r="J7" s="189" t="s">
        <v>128</v>
      </c>
      <c r="K7" s="189" t="s">
        <v>129</v>
      </c>
      <c r="L7" s="189" t="s">
        <v>130</v>
      </c>
      <c r="M7" s="189" t="s">
        <v>133</v>
      </c>
      <c r="N7" s="189" t="s">
        <v>134</v>
      </c>
      <c r="O7" s="189" t="s">
        <v>107</v>
      </c>
      <c r="P7" s="189" t="s">
        <v>131</v>
      </c>
      <c r="Q7" s="189" t="s">
        <v>112</v>
      </c>
      <c r="R7" s="189" t="s">
        <v>22</v>
      </c>
      <c r="S7" s="189" t="s">
        <v>120</v>
      </c>
      <c r="T7" s="189" t="s">
        <v>121</v>
      </c>
      <c r="V7" s="189" t="s">
        <v>123</v>
      </c>
      <c r="W7" s="189" t="s">
        <v>139</v>
      </c>
      <c r="X7" s="189" t="s">
        <v>135</v>
      </c>
      <c r="Y7" s="189" t="s">
        <v>2108</v>
      </c>
      <c r="Z7" s="0" t="n">
        <v>1</v>
      </c>
      <c r="AA7" s="189" t="s">
        <v>2115</v>
      </c>
    </row>
    <row r="8" customFormat="false" ht="15" hidden="false" customHeight="true" outlineLevel="0" collapsed="false">
      <c r="A8" s="0" t="n">
        <v>2</v>
      </c>
      <c r="B8" s="188" t="n">
        <v>46110.8074344179</v>
      </c>
      <c r="C8" s="188" t="n">
        <v>46110.8279436771</v>
      </c>
      <c r="D8" s="189" t="s">
        <v>125</v>
      </c>
      <c r="E8" s="189" t="s">
        <v>126</v>
      </c>
      <c r="F8" s="189" t="s">
        <v>126</v>
      </c>
      <c r="G8" s="189" t="s">
        <v>127</v>
      </c>
      <c r="H8" s="188" t="n">
        <v>46093</v>
      </c>
      <c r="I8" s="189" t="s">
        <v>132</v>
      </c>
      <c r="J8" s="189" t="s">
        <v>128</v>
      </c>
      <c r="K8" s="189" t="s">
        <v>129</v>
      </c>
      <c r="L8" s="189" t="s">
        <v>130</v>
      </c>
      <c r="M8" s="189" t="s">
        <v>133</v>
      </c>
      <c r="N8" s="189" t="s">
        <v>134</v>
      </c>
      <c r="O8" s="189" t="s">
        <v>107</v>
      </c>
      <c r="P8" s="189" t="s">
        <v>131</v>
      </c>
      <c r="Q8" s="189" t="s">
        <v>112</v>
      </c>
      <c r="R8" s="189" t="s">
        <v>22</v>
      </c>
      <c r="S8" s="189" t="s">
        <v>120</v>
      </c>
      <c r="T8" s="189" t="s">
        <v>121</v>
      </c>
      <c r="V8" s="189" t="s">
        <v>123</v>
      </c>
      <c r="W8" s="189" t="s">
        <v>139</v>
      </c>
      <c r="X8" s="189" t="s">
        <v>135</v>
      </c>
      <c r="Y8" s="189" t="s">
        <v>2108</v>
      </c>
      <c r="Z8" s="0" t="n">
        <v>2</v>
      </c>
      <c r="AA8" s="189" t="s">
        <v>2116</v>
      </c>
    </row>
    <row r="9" customFormat="false" ht="15" hidden="false" customHeight="true" outlineLevel="0" collapsed="false">
      <c r="A9" s="0" t="n">
        <v>2</v>
      </c>
      <c r="B9" s="188" t="n">
        <v>46110.8074344179</v>
      </c>
      <c r="C9" s="188" t="n">
        <v>46110.8279436771</v>
      </c>
      <c r="D9" s="189" t="s">
        <v>125</v>
      </c>
      <c r="E9" s="189" t="s">
        <v>126</v>
      </c>
      <c r="F9" s="189" t="s">
        <v>126</v>
      </c>
      <c r="G9" s="189" t="s">
        <v>127</v>
      </c>
      <c r="H9" s="188" t="n">
        <v>46093</v>
      </c>
      <c r="I9" s="189" t="s">
        <v>132</v>
      </c>
      <c r="J9" s="189" t="s">
        <v>128</v>
      </c>
      <c r="K9" s="189" t="s">
        <v>129</v>
      </c>
      <c r="L9" s="189" t="s">
        <v>130</v>
      </c>
      <c r="M9" s="189" t="s">
        <v>133</v>
      </c>
      <c r="N9" s="189" t="s">
        <v>134</v>
      </c>
      <c r="O9" s="189" t="s">
        <v>107</v>
      </c>
      <c r="P9" s="189" t="s">
        <v>131</v>
      </c>
      <c r="Q9" s="189" t="s">
        <v>112</v>
      </c>
      <c r="R9" s="189" t="s">
        <v>22</v>
      </c>
      <c r="S9" s="189" t="s">
        <v>120</v>
      </c>
      <c r="T9" s="189" t="s">
        <v>121</v>
      </c>
      <c r="V9" s="189" t="s">
        <v>123</v>
      </c>
      <c r="W9" s="189" t="s">
        <v>139</v>
      </c>
      <c r="X9" s="189" t="s">
        <v>135</v>
      </c>
      <c r="Y9" s="189" t="s">
        <v>2108</v>
      </c>
      <c r="Z9" s="0" t="n">
        <v>3</v>
      </c>
      <c r="AA9" s="189" t="s">
        <v>2117</v>
      </c>
    </row>
    <row r="10" customFormat="false" ht="14.25" hidden="false" customHeight="true" outlineLevel="0" collapsed="false">
      <c r="A10" s="0" t="n">
        <v>2</v>
      </c>
      <c r="B10" s="188" t="n">
        <v>46110.8074344179</v>
      </c>
      <c r="C10" s="188" t="n">
        <v>46110.8279436771</v>
      </c>
      <c r="D10" s="189" t="s">
        <v>125</v>
      </c>
      <c r="E10" s="189" t="s">
        <v>126</v>
      </c>
      <c r="F10" s="189" t="s">
        <v>126</v>
      </c>
      <c r="G10" s="189" t="s">
        <v>127</v>
      </c>
      <c r="H10" s="188" t="n">
        <v>46093</v>
      </c>
      <c r="I10" s="189" t="s">
        <v>132</v>
      </c>
      <c r="J10" s="189" t="s">
        <v>128</v>
      </c>
      <c r="K10" s="189" t="s">
        <v>129</v>
      </c>
      <c r="L10" s="189" t="s">
        <v>130</v>
      </c>
      <c r="M10" s="189" t="s">
        <v>133</v>
      </c>
      <c r="N10" s="189" t="s">
        <v>134</v>
      </c>
      <c r="O10" s="189" t="s">
        <v>107</v>
      </c>
      <c r="P10" s="189" t="s">
        <v>131</v>
      </c>
      <c r="Q10" s="189" t="s">
        <v>112</v>
      </c>
      <c r="R10" s="189" t="s">
        <v>22</v>
      </c>
      <c r="S10" s="189" t="s">
        <v>120</v>
      </c>
      <c r="T10" s="189" t="s">
        <v>121</v>
      </c>
      <c r="V10" s="189" t="s">
        <v>123</v>
      </c>
      <c r="W10" s="189" t="s">
        <v>139</v>
      </c>
      <c r="X10" s="189" t="s">
        <v>135</v>
      </c>
      <c r="Y10" s="189" t="s">
        <v>2110</v>
      </c>
      <c r="Z10" s="0" t="n">
        <v>1</v>
      </c>
      <c r="AA10" s="189" t="s">
        <v>2118</v>
      </c>
    </row>
    <row r="11" customFormat="false" ht="15" hidden="false" customHeight="true" outlineLevel="0" collapsed="false">
      <c r="A11" s="0" t="n">
        <v>2</v>
      </c>
      <c r="B11" s="188" t="n">
        <v>46110.8074344179</v>
      </c>
      <c r="C11" s="188" t="n">
        <v>46110.8279436771</v>
      </c>
      <c r="D11" s="189" t="s">
        <v>125</v>
      </c>
      <c r="E11" s="189" t="s">
        <v>126</v>
      </c>
      <c r="F11" s="189" t="s">
        <v>126</v>
      </c>
      <c r="G11" s="189" t="s">
        <v>127</v>
      </c>
      <c r="H11" s="188" t="n">
        <v>46093</v>
      </c>
      <c r="I11" s="189" t="s">
        <v>132</v>
      </c>
      <c r="J11" s="189" t="s">
        <v>128</v>
      </c>
      <c r="K11" s="189" t="s">
        <v>129</v>
      </c>
      <c r="L11" s="189" t="s">
        <v>130</v>
      </c>
      <c r="M11" s="189" t="s">
        <v>133</v>
      </c>
      <c r="N11" s="189" t="s">
        <v>134</v>
      </c>
      <c r="O11" s="189" t="s">
        <v>107</v>
      </c>
      <c r="P11" s="189" t="s">
        <v>131</v>
      </c>
      <c r="Q11" s="189" t="s">
        <v>112</v>
      </c>
      <c r="R11" s="189" t="s">
        <v>22</v>
      </c>
      <c r="S11" s="189" t="s">
        <v>120</v>
      </c>
      <c r="T11" s="189" t="s">
        <v>121</v>
      </c>
      <c r="V11" s="189" t="s">
        <v>123</v>
      </c>
      <c r="W11" s="189" t="s">
        <v>139</v>
      </c>
      <c r="X11" s="189" t="s">
        <v>135</v>
      </c>
      <c r="Y11" s="189" t="s">
        <v>2113</v>
      </c>
      <c r="Z11" s="0" t="n">
        <v>1</v>
      </c>
      <c r="AA11" s="189" t="s">
        <v>2119</v>
      </c>
    </row>
    <row r="12" customFormat="false" ht="15" hidden="false" customHeight="true" outlineLevel="0" collapsed="false">
      <c r="A12" s="0" t="n">
        <v>2</v>
      </c>
      <c r="B12" s="188" t="n">
        <v>46110.8074344179</v>
      </c>
      <c r="C12" s="188" t="n">
        <v>46110.8279436771</v>
      </c>
      <c r="D12" s="189" t="s">
        <v>125</v>
      </c>
      <c r="E12" s="189" t="s">
        <v>126</v>
      </c>
      <c r="F12" s="189" t="s">
        <v>126</v>
      </c>
      <c r="G12" s="189" t="s">
        <v>127</v>
      </c>
      <c r="H12" s="188" t="n">
        <v>46093</v>
      </c>
      <c r="I12" s="189" t="s">
        <v>132</v>
      </c>
      <c r="J12" s="189" t="s">
        <v>128</v>
      </c>
      <c r="K12" s="189" t="s">
        <v>129</v>
      </c>
      <c r="L12" s="189" t="s">
        <v>130</v>
      </c>
      <c r="M12" s="189" t="s">
        <v>133</v>
      </c>
      <c r="N12" s="189" t="s">
        <v>134</v>
      </c>
      <c r="O12" s="189" t="s">
        <v>107</v>
      </c>
      <c r="P12" s="189" t="s">
        <v>131</v>
      </c>
      <c r="Q12" s="189" t="s">
        <v>112</v>
      </c>
      <c r="R12" s="189" t="s">
        <v>22</v>
      </c>
      <c r="S12" s="189" t="s">
        <v>120</v>
      </c>
      <c r="T12" s="189" t="s">
        <v>121</v>
      </c>
      <c r="V12" s="189" t="s">
        <v>123</v>
      </c>
      <c r="W12" s="189" t="s">
        <v>139</v>
      </c>
      <c r="X12" s="189" t="s">
        <v>135</v>
      </c>
      <c r="Y12" s="189" t="s">
        <v>2113</v>
      </c>
      <c r="Z12" s="0" t="n">
        <v>2</v>
      </c>
      <c r="AA12" s="189" t="s">
        <v>122</v>
      </c>
    </row>
    <row r="13" customFormat="false" ht="15" hidden="false" customHeight="true" outlineLevel="0" collapsed="false">
      <c r="A13" s="0" t="n">
        <v>3</v>
      </c>
      <c r="B13" s="188" t="n">
        <v>46143.6787223151</v>
      </c>
      <c r="C13" s="188" t="n">
        <v>46143.6973912966</v>
      </c>
      <c r="D13" s="189" t="s">
        <v>140</v>
      </c>
      <c r="E13" s="189" t="s">
        <v>141</v>
      </c>
      <c r="F13" s="189" t="s">
        <v>141</v>
      </c>
      <c r="G13" s="189" t="s">
        <v>142</v>
      </c>
      <c r="H13" s="188" t="n">
        <v>46131</v>
      </c>
      <c r="I13" s="189" t="s">
        <v>113</v>
      </c>
      <c r="J13" s="189" t="s">
        <v>128</v>
      </c>
      <c r="K13" s="189" t="s">
        <v>143</v>
      </c>
      <c r="L13" s="189" t="s">
        <v>144</v>
      </c>
      <c r="M13" s="189" t="s">
        <v>146</v>
      </c>
      <c r="N13" s="189" t="s">
        <v>147</v>
      </c>
      <c r="O13" s="189" t="s">
        <v>107</v>
      </c>
      <c r="P13" s="189" t="s">
        <v>131</v>
      </c>
      <c r="Q13" s="189" t="s">
        <v>145</v>
      </c>
      <c r="R13" s="189" t="s">
        <v>22</v>
      </c>
      <c r="S13" s="189" t="s">
        <v>152</v>
      </c>
      <c r="T13" s="189" t="s">
        <v>121</v>
      </c>
      <c r="U13" s="189" t="s">
        <v>153</v>
      </c>
      <c r="V13" s="189" t="s">
        <v>123</v>
      </c>
      <c r="W13" s="189" t="s">
        <v>124</v>
      </c>
      <c r="X13" s="189" t="s">
        <v>148</v>
      </c>
      <c r="Y13" s="189" t="s">
        <v>2108</v>
      </c>
      <c r="Z13" s="0" t="n">
        <v>1</v>
      </c>
      <c r="AA13" s="189" t="s">
        <v>2120</v>
      </c>
    </row>
    <row r="14" customFormat="false" ht="15" hidden="false" customHeight="true" outlineLevel="0" collapsed="false">
      <c r="A14" s="0" t="n">
        <v>3</v>
      </c>
      <c r="B14" s="188" t="n">
        <v>46143.6787223151</v>
      </c>
      <c r="C14" s="188" t="n">
        <v>46143.6973912966</v>
      </c>
      <c r="D14" s="189" t="s">
        <v>140</v>
      </c>
      <c r="E14" s="189" t="s">
        <v>141</v>
      </c>
      <c r="F14" s="189" t="s">
        <v>141</v>
      </c>
      <c r="G14" s="189" t="s">
        <v>142</v>
      </c>
      <c r="H14" s="188" t="n">
        <v>46131</v>
      </c>
      <c r="I14" s="189" t="s">
        <v>113</v>
      </c>
      <c r="J14" s="189" t="s">
        <v>128</v>
      </c>
      <c r="K14" s="189" t="s">
        <v>143</v>
      </c>
      <c r="L14" s="189" t="s">
        <v>144</v>
      </c>
      <c r="M14" s="189" t="s">
        <v>146</v>
      </c>
      <c r="N14" s="189" t="s">
        <v>147</v>
      </c>
      <c r="O14" s="189" t="s">
        <v>107</v>
      </c>
      <c r="P14" s="189" t="s">
        <v>131</v>
      </c>
      <c r="Q14" s="189" t="s">
        <v>145</v>
      </c>
      <c r="R14" s="189" t="s">
        <v>22</v>
      </c>
      <c r="S14" s="189" t="s">
        <v>152</v>
      </c>
      <c r="T14" s="189" t="s">
        <v>121</v>
      </c>
      <c r="U14" s="189" t="s">
        <v>153</v>
      </c>
      <c r="V14" s="189" t="s">
        <v>123</v>
      </c>
      <c r="W14" s="189" t="s">
        <v>124</v>
      </c>
      <c r="X14" s="189" t="s">
        <v>148</v>
      </c>
      <c r="Y14" s="189" t="s">
        <v>2110</v>
      </c>
      <c r="Z14" s="0" t="n">
        <v>1</v>
      </c>
      <c r="AA14" s="189" t="s">
        <v>2121</v>
      </c>
    </row>
    <row r="15" customFormat="false" ht="15" hidden="false" customHeight="true" outlineLevel="0" collapsed="false">
      <c r="A15" s="0" t="n">
        <v>3</v>
      </c>
      <c r="B15" s="188" t="n">
        <v>46143.6787223151</v>
      </c>
      <c r="C15" s="188" t="n">
        <v>46143.6973912966</v>
      </c>
      <c r="D15" s="189" t="s">
        <v>140</v>
      </c>
      <c r="E15" s="189" t="s">
        <v>141</v>
      </c>
      <c r="F15" s="189" t="s">
        <v>141</v>
      </c>
      <c r="G15" s="189" t="s">
        <v>142</v>
      </c>
      <c r="H15" s="188" t="n">
        <v>46131</v>
      </c>
      <c r="I15" s="189" t="s">
        <v>113</v>
      </c>
      <c r="J15" s="189" t="s">
        <v>128</v>
      </c>
      <c r="K15" s="189" t="s">
        <v>143</v>
      </c>
      <c r="L15" s="189" t="s">
        <v>144</v>
      </c>
      <c r="M15" s="189" t="s">
        <v>146</v>
      </c>
      <c r="N15" s="189" t="s">
        <v>147</v>
      </c>
      <c r="O15" s="189" t="s">
        <v>107</v>
      </c>
      <c r="P15" s="189" t="s">
        <v>131</v>
      </c>
      <c r="Q15" s="189" t="s">
        <v>145</v>
      </c>
      <c r="R15" s="189" t="s">
        <v>22</v>
      </c>
      <c r="S15" s="189" t="s">
        <v>152</v>
      </c>
      <c r="T15" s="189" t="s">
        <v>121</v>
      </c>
      <c r="U15" s="189" t="s">
        <v>153</v>
      </c>
      <c r="V15" s="189" t="s">
        <v>123</v>
      </c>
      <c r="W15" s="189" t="s">
        <v>124</v>
      </c>
      <c r="X15" s="189" t="s">
        <v>148</v>
      </c>
      <c r="Y15" s="189" t="s">
        <v>2110</v>
      </c>
      <c r="Z15" s="0" t="n">
        <v>2</v>
      </c>
      <c r="AA15" s="189" t="s">
        <v>2122</v>
      </c>
    </row>
    <row r="16" customFormat="false" ht="15" hidden="false" customHeight="true" outlineLevel="0" collapsed="false">
      <c r="A16" s="0" t="n">
        <v>3</v>
      </c>
      <c r="B16" s="188" t="n">
        <v>46143.6787223151</v>
      </c>
      <c r="C16" s="188" t="n">
        <v>46143.6973912966</v>
      </c>
      <c r="D16" s="189" t="s">
        <v>140</v>
      </c>
      <c r="E16" s="189" t="s">
        <v>141</v>
      </c>
      <c r="F16" s="189" t="s">
        <v>141</v>
      </c>
      <c r="G16" s="189" t="s">
        <v>142</v>
      </c>
      <c r="H16" s="188" t="n">
        <v>46131</v>
      </c>
      <c r="I16" s="189" t="s">
        <v>113</v>
      </c>
      <c r="J16" s="189" t="s">
        <v>128</v>
      </c>
      <c r="K16" s="189" t="s">
        <v>143</v>
      </c>
      <c r="L16" s="189" t="s">
        <v>144</v>
      </c>
      <c r="M16" s="189" t="s">
        <v>146</v>
      </c>
      <c r="N16" s="189" t="s">
        <v>147</v>
      </c>
      <c r="O16" s="189" t="s">
        <v>107</v>
      </c>
      <c r="P16" s="189" t="s">
        <v>131</v>
      </c>
      <c r="Q16" s="189" t="s">
        <v>145</v>
      </c>
      <c r="R16" s="189" t="s">
        <v>22</v>
      </c>
      <c r="S16" s="189" t="s">
        <v>152</v>
      </c>
      <c r="T16" s="189" t="s">
        <v>121</v>
      </c>
      <c r="U16" s="189" t="s">
        <v>153</v>
      </c>
      <c r="V16" s="189" t="s">
        <v>123</v>
      </c>
      <c r="W16" s="189" t="s">
        <v>124</v>
      </c>
      <c r="X16" s="189" t="s">
        <v>148</v>
      </c>
      <c r="Y16" s="189" t="s">
        <v>2113</v>
      </c>
      <c r="Z16" s="0" t="n">
        <v>1</v>
      </c>
      <c r="AA16" s="189" t="s">
        <v>2123</v>
      </c>
    </row>
    <row r="17" customFormat="false" ht="15" hidden="false" customHeight="true" outlineLevel="0" collapsed="false">
      <c r="A17" s="0" t="n">
        <v>3</v>
      </c>
      <c r="B17" s="188" t="n">
        <v>46143.6787223151</v>
      </c>
      <c r="C17" s="188" t="n">
        <v>46143.6973912966</v>
      </c>
      <c r="D17" s="189" t="s">
        <v>140</v>
      </c>
      <c r="E17" s="189" t="s">
        <v>141</v>
      </c>
      <c r="F17" s="189" t="s">
        <v>141</v>
      </c>
      <c r="G17" s="189" t="s">
        <v>142</v>
      </c>
      <c r="H17" s="188" t="n">
        <v>46131</v>
      </c>
      <c r="I17" s="189" t="s">
        <v>113</v>
      </c>
      <c r="J17" s="189" t="s">
        <v>128</v>
      </c>
      <c r="K17" s="189" t="s">
        <v>143</v>
      </c>
      <c r="L17" s="189" t="s">
        <v>144</v>
      </c>
      <c r="M17" s="189" t="s">
        <v>146</v>
      </c>
      <c r="N17" s="189" t="s">
        <v>147</v>
      </c>
      <c r="O17" s="189" t="s">
        <v>107</v>
      </c>
      <c r="P17" s="189" t="s">
        <v>131</v>
      </c>
      <c r="Q17" s="189" t="s">
        <v>145</v>
      </c>
      <c r="R17" s="189" t="s">
        <v>22</v>
      </c>
      <c r="S17" s="189" t="s">
        <v>152</v>
      </c>
      <c r="T17" s="189" t="s">
        <v>121</v>
      </c>
      <c r="U17" s="189" t="s">
        <v>153</v>
      </c>
      <c r="V17" s="189" t="s">
        <v>123</v>
      </c>
      <c r="W17" s="189" t="s">
        <v>124</v>
      </c>
      <c r="X17" s="189" t="s">
        <v>148</v>
      </c>
      <c r="Y17" s="189" t="s">
        <v>2113</v>
      </c>
      <c r="Z17" s="0" t="n">
        <v>2</v>
      </c>
      <c r="AA17" s="189" t="s">
        <v>2124</v>
      </c>
    </row>
    <row r="18" customFormat="false" ht="15" hidden="false" customHeight="true" outlineLevel="0" collapsed="false">
      <c r="A18" s="0" t="n">
        <v>4</v>
      </c>
      <c r="B18" s="188" t="n">
        <v>46115.7878990166</v>
      </c>
      <c r="C18" s="188" t="n">
        <v>46115.7925633685</v>
      </c>
      <c r="D18" s="189" t="s">
        <v>154</v>
      </c>
      <c r="E18" s="189" t="s">
        <v>155</v>
      </c>
      <c r="F18" s="189" t="s">
        <v>155</v>
      </c>
      <c r="G18" s="189" t="s">
        <v>156</v>
      </c>
      <c r="H18" s="188" t="n">
        <v>46114</v>
      </c>
      <c r="I18" s="189" t="s">
        <v>113</v>
      </c>
      <c r="J18" s="189" t="s">
        <v>108</v>
      </c>
      <c r="K18" s="189" t="s">
        <v>158</v>
      </c>
      <c r="L18" s="189" t="s">
        <v>159</v>
      </c>
      <c r="M18" s="189" t="s">
        <v>160</v>
      </c>
      <c r="N18" s="189" t="s">
        <v>161</v>
      </c>
      <c r="O18" s="189" t="s">
        <v>157</v>
      </c>
      <c r="P18" s="189" t="s">
        <v>111</v>
      </c>
      <c r="Q18" s="189" t="s">
        <v>112</v>
      </c>
      <c r="R18" s="189" t="s">
        <v>22</v>
      </c>
      <c r="S18" s="189" t="s">
        <v>152</v>
      </c>
      <c r="T18" s="189" t="s">
        <v>165</v>
      </c>
      <c r="U18" s="189" t="s">
        <v>166</v>
      </c>
      <c r="V18" s="189" t="s">
        <v>167</v>
      </c>
      <c r="W18" s="189" t="s">
        <v>168</v>
      </c>
      <c r="X18" s="189" t="s">
        <v>116</v>
      </c>
      <c r="Y18" s="189" t="s">
        <v>2108</v>
      </c>
      <c r="Z18" s="0" t="n">
        <v>1</v>
      </c>
      <c r="AA18" s="189" t="s">
        <v>2125</v>
      </c>
    </row>
    <row r="19" customFormat="false" ht="15" hidden="false" customHeight="true" outlineLevel="0" collapsed="false">
      <c r="A19" s="0" t="n">
        <v>4</v>
      </c>
      <c r="B19" s="188" t="n">
        <v>46115.7878990166</v>
      </c>
      <c r="C19" s="188" t="n">
        <v>46115.7925633685</v>
      </c>
      <c r="D19" s="189" t="s">
        <v>154</v>
      </c>
      <c r="E19" s="189" t="s">
        <v>155</v>
      </c>
      <c r="F19" s="189" t="s">
        <v>155</v>
      </c>
      <c r="G19" s="189" t="s">
        <v>156</v>
      </c>
      <c r="H19" s="188" t="n">
        <v>46114</v>
      </c>
      <c r="I19" s="189" t="s">
        <v>113</v>
      </c>
      <c r="J19" s="189" t="s">
        <v>108</v>
      </c>
      <c r="K19" s="189" t="s">
        <v>158</v>
      </c>
      <c r="L19" s="189" t="s">
        <v>159</v>
      </c>
      <c r="M19" s="189" t="s">
        <v>160</v>
      </c>
      <c r="N19" s="189" t="s">
        <v>161</v>
      </c>
      <c r="O19" s="189" t="s">
        <v>157</v>
      </c>
      <c r="P19" s="189" t="s">
        <v>111</v>
      </c>
      <c r="Q19" s="189" t="s">
        <v>112</v>
      </c>
      <c r="R19" s="189" t="s">
        <v>22</v>
      </c>
      <c r="S19" s="189" t="s">
        <v>152</v>
      </c>
      <c r="T19" s="189" t="s">
        <v>165</v>
      </c>
      <c r="U19" s="189" t="s">
        <v>166</v>
      </c>
      <c r="V19" s="189" t="s">
        <v>167</v>
      </c>
      <c r="W19" s="189" t="s">
        <v>168</v>
      </c>
      <c r="X19" s="189" t="s">
        <v>116</v>
      </c>
      <c r="Y19" s="189" t="s">
        <v>2110</v>
      </c>
      <c r="Z19" s="0" t="n">
        <v>1</v>
      </c>
      <c r="AA19" s="189" t="s">
        <v>2126</v>
      </c>
    </row>
    <row r="20" customFormat="false" ht="15" hidden="false" customHeight="true" outlineLevel="0" collapsed="false">
      <c r="A20" s="0" t="n">
        <v>4</v>
      </c>
      <c r="B20" s="188" t="n">
        <v>46115.7878990166</v>
      </c>
      <c r="C20" s="188" t="n">
        <v>46115.7925633685</v>
      </c>
      <c r="D20" s="189" t="s">
        <v>154</v>
      </c>
      <c r="E20" s="189" t="s">
        <v>155</v>
      </c>
      <c r="F20" s="189" t="s">
        <v>155</v>
      </c>
      <c r="G20" s="189" t="s">
        <v>156</v>
      </c>
      <c r="H20" s="188" t="n">
        <v>46114</v>
      </c>
      <c r="I20" s="189" t="s">
        <v>113</v>
      </c>
      <c r="J20" s="189" t="s">
        <v>108</v>
      </c>
      <c r="K20" s="189" t="s">
        <v>158</v>
      </c>
      <c r="L20" s="189" t="s">
        <v>159</v>
      </c>
      <c r="M20" s="189" t="s">
        <v>160</v>
      </c>
      <c r="N20" s="189" t="s">
        <v>161</v>
      </c>
      <c r="O20" s="189" t="s">
        <v>157</v>
      </c>
      <c r="P20" s="189" t="s">
        <v>111</v>
      </c>
      <c r="Q20" s="189" t="s">
        <v>112</v>
      </c>
      <c r="R20" s="189" t="s">
        <v>22</v>
      </c>
      <c r="S20" s="189" t="s">
        <v>152</v>
      </c>
      <c r="T20" s="189" t="s">
        <v>165</v>
      </c>
      <c r="U20" s="189" t="s">
        <v>166</v>
      </c>
      <c r="V20" s="189" t="s">
        <v>167</v>
      </c>
      <c r="W20" s="189" t="s">
        <v>168</v>
      </c>
      <c r="X20" s="189" t="s">
        <v>116</v>
      </c>
      <c r="Y20" s="189" t="s">
        <v>2110</v>
      </c>
      <c r="Z20" s="0" t="n">
        <v>2</v>
      </c>
      <c r="AA20" s="189" t="s">
        <v>122</v>
      </c>
    </row>
    <row r="21" customFormat="false" ht="15" hidden="false" customHeight="true" outlineLevel="0" collapsed="false">
      <c r="A21" s="0" t="n">
        <v>4</v>
      </c>
      <c r="B21" s="188" t="n">
        <v>46115.7878990166</v>
      </c>
      <c r="C21" s="188" t="n">
        <v>46115.7925633685</v>
      </c>
      <c r="D21" s="189" t="s">
        <v>154</v>
      </c>
      <c r="E21" s="189" t="s">
        <v>155</v>
      </c>
      <c r="F21" s="189" t="s">
        <v>155</v>
      </c>
      <c r="G21" s="189" t="s">
        <v>156</v>
      </c>
      <c r="H21" s="188" t="n">
        <v>46114</v>
      </c>
      <c r="I21" s="189" t="s">
        <v>113</v>
      </c>
      <c r="J21" s="189" t="s">
        <v>108</v>
      </c>
      <c r="K21" s="189" t="s">
        <v>158</v>
      </c>
      <c r="L21" s="189" t="s">
        <v>159</v>
      </c>
      <c r="M21" s="189" t="s">
        <v>160</v>
      </c>
      <c r="N21" s="189" t="s">
        <v>161</v>
      </c>
      <c r="O21" s="189" t="s">
        <v>157</v>
      </c>
      <c r="P21" s="189" t="s">
        <v>111</v>
      </c>
      <c r="Q21" s="189" t="s">
        <v>112</v>
      </c>
      <c r="R21" s="189" t="s">
        <v>22</v>
      </c>
      <c r="S21" s="189" t="s">
        <v>152</v>
      </c>
      <c r="T21" s="189" t="s">
        <v>165</v>
      </c>
      <c r="U21" s="189" t="s">
        <v>166</v>
      </c>
      <c r="V21" s="189" t="s">
        <v>167</v>
      </c>
      <c r="W21" s="189" t="s">
        <v>168</v>
      </c>
      <c r="X21" s="189" t="s">
        <v>116</v>
      </c>
      <c r="Y21" s="189" t="s">
        <v>2113</v>
      </c>
      <c r="Z21" s="0" t="n">
        <v>1</v>
      </c>
      <c r="AA21" s="189" t="s">
        <v>2127</v>
      </c>
    </row>
    <row r="22" customFormat="false" ht="15" hidden="false" customHeight="true" outlineLevel="0" collapsed="false">
      <c r="A22" s="0" t="n">
        <v>4</v>
      </c>
      <c r="B22" s="188" t="n">
        <v>46115.7878990166</v>
      </c>
      <c r="C22" s="188" t="n">
        <v>46115.7925633685</v>
      </c>
      <c r="D22" s="189" t="s">
        <v>154</v>
      </c>
      <c r="E22" s="189" t="s">
        <v>155</v>
      </c>
      <c r="F22" s="189" t="s">
        <v>155</v>
      </c>
      <c r="G22" s="189" t="s">
        <v>156</v>
      </c>
      <c r="H22" s="188" t="n">
        <v>46114</v>
      </c>
      <c r="I22" s="189" t="s">
        <v>113</v>
      </c>
      <c r="J22" s="189" t="s">
        <v>108</v>
      </c>
      <c r="K22" s="189" t="s">
        <v>158</v>
      </c>
      <c r="L22" s="189" t="s">
        <v>159</v>
      </c>
      <c r="M22" s="189" t="s">
        <v>160</v>
      </c>
      <c r="N22" s="189" t="s">
        <v>161</v>
      </c>
      <c r="O22" s="189" t="s">
        <v>157</v>
      </c>
      <c r="P22" s="189" t="s">
        <v>111</v>
      </c>
      <c r="Q22" s="189" t="s">
        <v>112</v>
      </c>
      <c r="R22" s="189" t="s">
        <v>22</v>
      </c>
      <c r="S22" s="189" t="s">
        <v>152</v>
      </c>
      <c r="T22" s="189" t="s">
        <v>165</v>
      </c>
      <c r="U22" s="189" t="s">
        <v>166</v>
      </c>
      <c r="V22" s="189" t="s">
        <v>167</v>
      </c>
      <c r="W22" s="189" t="s">
        <v>168</v>
      </c>
      <c r="X22" s="189" t="s">
        <v>116</v>
      </c>
      <c r="Y22" s="189" t="s">
        <v>2113</v>
      </c>
      <c r="Z22" s="0" t="n">
        <v>2</v>
      </c>
      <c r="AA22" s="189" t="s">
        <v>2114</v>
      </c>
    </row>
    <row r="23" customFormat="false" ht="15" hidden="false" customHeight="true" outlineLevel="0" collapsed="false">
      <c r="A23" s="0" t="n">
        <v>5</v>
      </c>
      <c r="B23" s="188" t="n">
        <v>46084.5153411708</v>
      </c>
      <c r="C23" s="188" t="n">
        <v>46084.5318689486</v>
      </c>
      <c r="D23" s="189" t="s">
        <v>169</v>
      </c>
      <c r="E23" s="189" t="s">
        <v>170</v>
      </c>
      <c r="F23" s="189" t="s">
        <v>170</v>
      </c>
      <c r="G23" s="189" t="s">
        <v>171</v>
      </c>
      <c r="H23" s="188" t="n">
        <v>46080</v>
      </c>
      <c r="I23" s="189" t="s">
        <v>113</v>
      </c>
      <c r="J23" s="189" t="s">
        <v>108</v>
      </c>
      <c r="K23" s="189" t="s">
        <v>173</v>
      </c>
      <c r="L23" s="189" t="s">
        <v>144</v>
      </c>
      <c r="M23" s="189" t="s">
        <v>174</v>
      </c>
      <c r="N23" s="189" t="s">
        <v>175</v>
      </c>
      <c r="O23" s="189" t="s">
        <v>172</v>
      </c>
      <c r="P23" s="189" t="s">
        <v>111</v>
      </c>
      <c r="Q23" s="189" t="s">
        <v>112</v>
      </c>
      <c r="R23" s="189" t="s">
        <v>22</v>
      </c>
      <c r="S23" s="189" t="s">
        <v>152</v>
      </c>
      <c r="T23" s="189" t="s">
        <v>180</v>
      </c>
      <c r="U23" s="189" t="s">
        <v>122</v>
      </c>
      <c r="V23" s="189" t="s">
        <v>123</v>
      </c>
      <c r="W23" s="189" t="s">
        <v>124</v>
      </c>
      <c r="X23" s="189" t="s">
        <v>176</v>
      </c>
      <c r="Y23" s="189" t="s">
        <v>2108</v>
      </c>
      <c r="Z23" s="0" t="n">
        <v>1</v>
      </c>
      <c r="AA23" s="189" t="s">
        <v>2128</v>
      </c>
    </row>
    <row r="24" customFormat="false" ht="31.5" hidden="false" customHeight="true" outlineLevel="0" collapsed="false">
      <c r="A24" s="0" t="n">
        <v>5</v>
      </c>
      <c r="B24" s="188" t="n">
        <v>46084.5153411708</v>
      </c>
      <c r="C24" s="188" t="n">
        <v>46084.5318689486</v>
      </c>
      <c r="D24" s="189" t="s">
        <v>169</v>
      </c>
      <c r="E24" s="189" t="s">
        <v>170</v>
      </c>
      <c r="F24" s="189" t="s">
        <v>170</v>
      </c>
      <c r="G24" s="189" t="s">
        <v>171</v>
      </c>
      <c r="H24" s="188" t="n">
        <v>46080</v>
      </c>
      <c r="I24" s="189" t="s">
        <v>113</v>
      </c>
      <c r="J24" s="189" t="s">
        <v>108</v>
      </c>
      <c r="K24" s="189" t="s">
        <v>173</v>
      </c>
      <c r="L24" s="189" t="s">
        <v>144</v>
      </c>
      <c r="M24" s="189" t="s">
        <v>174</v>
      </c>
      <c r="N24" s="189" t="s">
        <v>175</v>
      </c>
      <c r="O24" s="189" t="s">
        <v>172</v>
      </c>
      <c r="P24" s="189" t="s">
        <v>111</v>
      </c>
      <c r="Q24" s="189" t="s">
        <v>112</v>
      </c>
      <c r="R24" s="189" t="s">
        <v>22</v>
      </c>
      <c r="S24" s="189" t="s">
        <v>152</v>
      </c>
      <c r="T24" s="189" t="s">
        <v>180</v>
      </c>
      <c r="U24" s="189" t="s">
        <v>122</v>
      </c>
      <c r="V24" s="189" t="s">
        <v>123</v>
      </c>
      <c r="W24" s="189" t="s">
        <v>124</v>
      </c>
      <c r="X24" s="189" t="s">
        <v>176</v>
      </c>
      <c r="Y24" s="189" t="s">
        <v>2108</v>
      </c>
      <c r="Z24" s="0" t="n">
        <v>2</v>
      </c>
      <c r="AA24" s="189" t="s">
        <v>2129</v>
      </c>
    </row>
    <row r="25" customFormat="false" ht="15" hidden="false" customHeight="true" outlineLevel="0" collapsed="false">
      <c r="A25" s="0" t="n">
        <v>5</v>
      </c>
      <c r="B25" s="188" t="n">
        <v>46084.5153411708</v>
      </c>
      <c r="C25" s="188" t="n">
        <v>46084.5318689486</v>
      </c>
      <c r="D25" s="189" t="s">
        <v>169</v>
      </c>
      <c r="E25" s="189" t="s">
        <v>170</v>
      </c>
      <c r="F25" s="189" t="s">
        <v>170</v>
      </c>
      <c r="G25" s="189" t="s">
        <v>171</v>
      </c>
      <c r="H25" s="188" t="n">
        <v>46080</v>
      </c>
      <c r="I25" s="189" t="s">
        <v>113</v>
      </c>
      <c r="J25" s="189" t="s">
        <v>108</v>
      </c>
      <c r="K25" s="189" t="s">
        <v>173</v>
      </c>
      <c r="L25" s="189" t="s">
        <v>144</v>
      </c>
      <c r="M25" s="189" t="s">
        <v>174</v>
      </c>
      <c r="N25" s="189" t="s">
        <v>175</v>
      </c>
      <c r="O25" s="189" t="s">
        <v>172</v>
      </c>
      <c r="P25" s="189" t="s">
        <v>111</v>
      </c>
      <c r="Q25" s="189" t="s">
        <v>112</v>
      </c>
      <c r="R25" s="189" t="s">
        <v>22</v>
      </c>
      <c r="S25" s="189" t="s">
        <v>152</v>
      </c>
      <c r="T25" s="189" t="s">
        <v>180</v>
      </c>
      <c r="U25" s="189" t="s">
        <v>122</v>
      </c>
      <c r="V25" s="189" t="s">
        <v>123</v>
      </c>
      <c r="W25" s="189" t="s">
        <v>124</v>
      </c>
      <c r="X25" s="189" t="s">
        <v>176</v>
      </c>
      <c r="Y25" s="189" t="s">
        <v>2108</v>
      </c>
      <c r="Z25" s="0" t="n">
        <v>3</v>
      </c>
      <c r="AA25" s="189" t="s">
        <v>2130</v>
      </c>
    </row>
    <row r="26" customFormat="false" ht="15" hidden="false" customHeight="true" outlineLevel="0" collapsed="false">
      <c r="A26" s="0" t="n">
        <v>5</v>
      </c>
      <c r="B26" s="188" t="n">
        <v>46084.5153411708</v>
      </c>
      <c r="C26" s="188" t="n">
        <v>46084.5318689486</v>
      </c>
      <c r="D26" s="189" t="s">
        <v>169</v>
      </c>
      <c r="E26" s="189" t="s">
        <v>170</v>
      </c>
      <c r="F26" s="189" t="s">
        <v>170</v>
      </c>
      <c r="G26" s="189" t="s">
        <v>171</v>
      </c>
      <c r="H26" s="188" t="n">
        <v>46080</v>
      </c>
      <c r="I26" s="189" t="s">
        <v>113</v>
      </c>
      <c r="J26" s="189" t="s">
        <v>108</v>
      </c>
      <c r="K26" s="189" t="s">
        <v>173</v>
      </c>
      <c r="L26" s="189" t="s">
        <v>144</v>
      </c>
      <c r="M26" s="189" t="s">
        <v>174</v>
      </c>
      <c r="N26" s="189" t="s">
        <v>175</v>
      </c>
      <c r="O26" s="189" t="s">
        <v>172</v>
      </c>
      <c r="P26" s="189" t="s">
        <v>111</v>
      </c>
      <c r="Q26" s="189" t="s">
        <v>112</v>
      </c>
      <c r="R26" s="189" t="s">
        <v>22</v>
      </c>
      <c r="S26" s="189" t="s">
        <v>152</v>
      </c>
      <c r="T26" s="189" t="s">
        <v>180</v>
      </c>
      <c r="U26" s="189" t="s">
        <v>122</v>
      </c>
      <c r="V26" s="189" t="s">
        <v>123</v>
      </c>
      <c r="W26" s="189" t="s">
        <v>124</v>
      </c>
      <c r="X26" s="189" t="s">
        <v>176</v>
      </c>
      <c r="Y26" s="189" t="s">
        <v>2110</v>
      </c>
      <c r="Z26" s="0" t="n">
        <v>1</v>
      </c>
      <c r="AA26" s="189" t="s">
        <v>2131</v>
      </c>
    </row>
    <row r="27" customFormat="false" ht="15" hidden="false" customHeight="true" outlineLevel="0" collapsed="false">
      <c r="A27" s="0" t="n">
        <v>5</v>
      </c>
      <c r="B27" s="188" t="n">
        <v>46084.5153411708</v>
      </c>
      <c r="C27" s="188" t="n">
        <v>46084.5318689486</v>
      </c>
      <c r="D27" s="189" t="s">
        <v>169</v>
      </c>
      <c r="E27" s="189" t="s">
        <v>170</v>
      </c>
      <c r="F27" s="189" t="s">
        <v>170</v>
      </c>
      <c r="G27" s="189" t="s">
        <v>171</v>
      </c>
      <c r="H27" s="188" t="n">
        <v>46080</v>
      </c>
      <c r="I27" s="189" t="s">
        <v>113</v>
      </c>
      <c r="J27" s="189" t="s">
        <v>108</v>
      </c>
      <c r="K27" s="189" t="s">
        <v>173</v>
      </c>
      <c r="L27" s="189" t="s">
        <v>144</v>
      </c>
      <c r="M27" s="189" t="s">
        <v>174</v>
      </c>
      <c r="N27" s="189" t="s">
        <v>175</v>
      </c>
      <c r="O27" s="189" t="s">
        <v>172</v>
      </c>
      <c r="P27" s="189" t="s">
        <v>111</v>
      </c>
      <c r="Q27" s="189" t="s">
        <v>112</v>
      </c>
      <c r="R27" s="189" t="s">
        <v>22</v>
      </c>
      <c r="S27" s="189" t="s">
        <v>152</v>
      </c>
      <c r="T27" s="189" t="s">
        <v>180</v>
      </c>
      <c r="U27" s="189" t="s">
        <v>122</v>
      </c>
      <c r="V27" s="189" t="s">
        <v>123</v>
      </c>
      <c r="W27" s="189" t="s">
        <v>124</v>
      </c>
      <c r="X27" s="189" t="s">
        <v>176</v>
      </c>
      <c r="Y27" s="189" t="s">
        <v>2110</v>
      </c>
      <c r="Z27" s="0" t="n">
        <v>2</v>
      </c>
      <c r="AA27" s="189" t="s">
        <v>122</v>
      </c>
    </row>
    <row r="28" customFormat="false" ht="15" hidden="false" customHeight="true" outlineLevel="0" collapsed="false">
      <c r="A28" s="0" t="n">
        <v>5</v>
      </c>
      <c r="B28" s="188" t="n">
        <v>46084.5153411708</v>
      </c>
      <c r="C28" s="188" t="n">
        <v>46084.5318689486</v>
      </c>
      <c r="D28" s="189" t="s">
        <v>169</v>
      </c>
      <c r="E28" s="189" t="s">
        <v>170</v>
      </c>
      <c r="F28" s="189" t="s">
        <v>170</v>
      </c>
      <c r="G28" s="189" t="s">
        <v>171</v>
      </c>
      <c r="H28" s="188" t="n">
        <v>46080</v>
      </c>
      <c r="I28" s="189" t="s">
        <v>113</v>
      </c>
      <c r="J28" s="189" t="s">
        <v>108</v>
      </c>
      <c r="K28" s="189" t="s">
        <v>173</v>
      </c>
      <c r="L28" s="189" t="s">
        <v>144</v>
      </c>
      <c r="M28" s="189" t="s">
        <v>174</v>
      </c>
      <c r="N28" s="189" t="s">
        <v>175</v>
      </c>
      <c r="O28" s="189" t="s">
        <v>172</v>
      </c>
      <c r="P28" s="189" t="s">
        <v>111</v>
      </c>
      <c r="Q28" s="189" t="s">
        <v>112</v>
      </c>
      <c r="R28" s="189" t="s">
        <v>22</v>
      </c>
      <c r="S28" s="189" t="s">
        <v>152</v>
      </c>
      <c r="T28" s="189" t="s">
        <v>180</v>
      </c>
      <c r="U28" s="189" t="s">
        <v>122</v>
      </c>
      <c r="V28" s="189" t="s">
        <v>123</v>
      </c>
      <c r="W28" s="189" t="s">
        <v>124</v>
      </c>
      <c r="X28" s="189" t="s">
        <v>176</v>
      </c>
      <c r="Y28" s="189" t="s">
        <v>2113</v>
      </c>
      <c r="Z28" s="0" t="n">
        <v>1</v>
      </c>
      <c r="AA28" s="189" t="s">
        <v>2132</v>
      </c>
    </row>
    <row r="29" customFormat="false" ht="15" hidden="false" customHeight="true" outlineLevel="0" collapsed="false">
      <c r="A29" s="0" t="n">
        <v>6</v>
      </c>
      <c r="B29" s="188" t="n">
        <v>46050.7262352226</v>
      </c>
      <c r="C29" s="188" t="n">
        <v>46050.7350083708</v>
      </c>
      <c r="D29" s="189" t="s">
        <v>181</v>
      </c>
      <c r="E29" s="189" t="s">
        <v>182</v>
      </c>
      <c r="F29" s="189" t="s">
        <v>182</v>
      </c>
      <c r="G29" s="189" t="s">
        <v>183</v>
      </c>
      <c r="H29" s="188" t="n">
        <v>46030</v>
      </c>
      <c r="I29" s="189" t="s">
        <v>113</v>
      </c>
      <c r="J29" s="189" t="s">
        <v>128</v>
      </c>
      <c r="K29" s="189" t="s">
        <v>143</v>
      </c>
      <c r="L29" s="189" t="s">
        <v>184</v>
      </c>
      <c r="M29" s="189" t="s">
        <v>185</v>
      </c>
      <c r="N29" s="189" t="s">
        <v>186</v>
      </c>
      <c r="O29" s="189" t="s">
        <v>172</v>
      </c>
      <c r="P29" s="189" t="s">
        <v>111</v>
      </c>
      <c r="Q29" s="189" t="s">
        <v>112</v>
      </c>
      <c r="R29" s="189" t="s">
        <v>21</v>
      </c>
      <c r="S29" s="189" t="s">
        <v>152</v>
      </c>
      <c r="T29" s="189" t="s">
        <v>121</v>
      </c>
      <c r="U29" s="189" t="s">
        <v>191</v>
      </c>
      <c r="V29" s="189" t="s">
        <v>192</v>
      </c>
      <c r="W29" s="189" t="s">
        <v>124</v>
      </c>
      <c r="X29" s="189" t="s">
        <v>187</v>
      </c>
      <c r="Y29" s="189" t="s">
        <v>2108</v>
      </c>
      <c r="Z29" s="0" t="n">
        <v>1</v>
      </c>
      <c r="AA29" s="189" t="s">
        <v>2133</v>
      </c>
    </row>
    <row r="30" customFormat="false" ht="15" hidden="false" customHeight="true" outlineLevel="0" collapsed="false">
      <c r="A30" s="0" t="n">
        <v>6</v>
      </c>
      <c r="B30" s="188" t="n">
        <v>46050.7262352226</v>
      </c>
      <c r="C30" s="188" t="n">
        <v>46050.7350083708</v>
      </c>
      <c r="D30" s="189" t="s">
        <v>181</v>
      </c>
      <c r="E30" s="189" t="s">
        <v>182</v>
      </c>
      <c r="F30" s="189" t="s">
        <v>182</v>
      </c>
      <c r="G30" s="189" t="s">
        <v>183</v>
      </c>
      <c r="H30" s="188" t="n">
        <v>46030</v>
      </c>
      <c r="I30" s="189" t="s">
        <v>113</v>
      </c>
      <c r="J30" s="189" t="s">
        <v>128</v>
      </c>
      <c r="K30" s="189" t="s">
        <v>143</v>
      </c>
      <c r="L30" s="189" t="s">
        <v>184</v>
      </c>
      <c r="M30" s="189" t="s">
        <v>185</v>
      </c>
      <c r="N30" s="189" t="s">
        <v>186</v>
      </c>
      <c r="O30" s="189" t="s">
        <v>172</v>
      </c>
      <c r="P30" s="189" t="s">
        <v>111</v>
      </c>
      <c r="Q30" s="189" t="s">
        <v>112</v>
      </c>
      <c r="R30" s="189" t="s">
        <v>21</v>
      </c>
      <c r="S30" s="189" t="s">
        <v>152</v>
      </c>
      <c r="T30" s="189" t="s">
        <v>121</v>
      </c>
      <c r="U30" s="189" t="s">
        <v>191</v>
      </c>
      <c r="V30" s="189" t="s">
        <v>192</v>
      </c>
      <c r="W30" s="189" t="s">
        <v>124</v>
      </c>
      <c r="X30" s="189" t="s">
        <v>187</v>
      </c>
      <c r="Y30" s="189" t="s">
        <v>2110</v>
      </c>
      <c r="Z30" s="0" t="n">
        <v>1</v>
      </c>
      <c r="AA30" s="189" t="s">
        <v>2134</v>
      </c>
    </row>
    <row r="31" customFormat="false" ht="15" hidden="false" customHeight="true" outlineLevel="0" collapsed="false">
      <c r="A31" s="0" t="n">
        <v>6</v>
      </c>
      <c r="B31" s="188" t="n">
        <v>46050.7262352226</v>
      </c>
      <c r="C31" s="188" t="n">
        <v>46050.7350083708</v>
      </c>
      <c r="D31" s="189" t="s">
        <v>181</v>
      </c>
      <c r="E31" s="189" t="s">
        <v>182</v>
      </c>
      <c r="F31" s="189" t="s">
        <v>182</v>
      </c>
      <c r="G31" s="189" t="s">
        <v>183</v>
      </c>
      <c r="H31" s="188" t="n">
        <v>46030</v>
      </c>
      <c r="I31" s="189" t="s">
        <v>113</v>
      </c>
      <c r="J31" s="189" t="s">
        <v>128</v>
      </c>
      <c r="K31" s="189" t="s">
        <v>143</v>
      </c>
      <c r="L31" s="189" t="s">
        <v>184</v>
      </c>
      <c r="M31" s="189" t="s">
        <v>185</v>
      </c>
      <c r="N31" s="189" t="s">
        <v>186</v>
      </c>
      <c r="O31" s="189" t="s">
        <v>172</v>
      </c>
      <c r="P31" s="189" t="s">
        <v>111</v>
      </c>
      <c r="Q31" s="189" t="s">
        <v>112</v>
      </c>
      <c r="R31" s="189" t="s">
        <v>21</v>
      </c>
      <c r="S31" s="189" t="s">
        <v>152</v>
      </c>
      <c r="T31" s="189" t="s">
        <v>121</v>
      </c>
      <c r="U31" s="189" t="s">
        <v>191</v>
      </c>
      <c r="V31" s="189" t="s">
        <v>192</v>
      </c>
      <c r="W31" s="189" t="s">
        <v>124</v>
      </c>
      <c r="X31" s="189" t="s">
        <v>187</v>
      </c>
      <c r="Y31" s="189" t="s">
        <v>2113</v>
      </c>
      <c r="Z31" s="0" t="n">
        <v>1</v>
      </c>
      <c r="AA31" s="189" t="s">
        <v>2135</v>
      </c>
    </row>
    <row r="32" customFormat="false" ht="15" hidden="false" customHeight="true" outlineLevel="0" collapsed="false">
      <c r="A32" s="0" t="n">
        <v>7</v>
      </c>
      <c r="B32" s="188" t="n">
        <v>46143.990339134</v>
      </c>
      <c r="C32" s="188" t="n">
        <v>46144.0029317266</v>
      </c>
      <c r="D32" s="189" t="s">
        <v>193</v>
      </c>
      <c r="E32" s="189" t="s">
        <v>194</v>
      </c>
      <c r="F32" s="189" t="s">
        <v>194</v>
      </c>
      <c r="G32" s="189" t="s">
        <v>195</v>
      </c>
      <c r="H32" s="188" t="n">
        <v>46140</v>
      </c>
      <c r="I32" s="189" t="s">
        <v>113</v>
      </c>
      <c r="J32" s="189" t="s">
        <v>108</v>
      </c>
      <c r="K32" s="189" t="s">
        <v>196</v>
      </c>
      <c r="L32" s="189" t="s">
        <v>197</v>
      </c>
      <c r="M32" s="189" t="s">
        <v>199</v>
      </c>
      <c r="N32" s="189" t="s">
        <v>200</v>
      </c>
      <c r="O32" s="189" t="s">
        <v>107</v>
      </c>
      <c r="P32" s="189" t="s">
        <v>111</v>
      </c>
      <c r="Q32" s="189" t="s">
        <v>198</v>
      </c>
      <c r="R32" s="189" t="s">
        <v>22</v>
      </c>
      <c r="S32" s="189" t="s">
        <v>152</v>
      </c>
      <c r="T32" s="189" t="s">
        <v>121</v>
      </c>
      <c r="U32" s="189" t="s">
        <v>204</v>
      </c>
      <c r="V32" s="189" t="s">
        <v>123</v>
      </c>
      <c r="W32" s="189" t="s">
        <v>168</v>
      </c>
      <c r="X32" s="189" t="s">
        <v>148</v>
      </c>
      <c r="Y32" s="189" t="s">
        <v>2108</v>
      </c>
      <c r="Z32" s="0" t="n">
        <v>1</v>
      </c>
      <c r="AA32" s="189" t="s">
        <v>2136</v>
      </c>
    </row>
    <row r="33" customFormat="false" ht="15" hidden="false" customHeight="true" outlineLevel="0" collapsed="false">
      <c r="A33" s="0" t="n">
        <v>7</v>
      </c>
      <c r="B33" s="188" t="n">
        <v>46143.990339134</v>
      </c>
      <c r="C33" s="188" t="n">
        <v>46144.0029317266</v>
      </c>
      <c r="D33" s="189" t="s">
        <v>193</v>
      </c>
      <c r="E33" s="189" t="s">
        <v>194</v>
      </c>
      <c r="F33" s="189" t="s">
        <v>194</v>
      </c>
      <c r="G33" s="189" t="s">
        <v>195</v>
      </c>
      <c r="H33" s="188" t="n">
        <v>46140</v>
      </c>
      <c r="I33" s="189" t="s">
        <v>113</v>
      </c>
      <c r="J33" s="189" t="s">
        <v>108</v>
      </c>
      <c r="K33" s="189" t="s">
        <v>196</v>
      </c>
      <c r="L33" s="189" t="s">
        <v>197</v>
      </c>
      <c r="M33" s="189" t="s">
        <v>199</v>
      </c>
      <c r="N33" s="189" t="s">
        <v>200</v>
      </c>
      <c r="O33" s="189" t="s">
        <v>107</v>
      </c>
      <c r="P33" s="189" t="s">
        <v>111</v>
      </c>
      <c r="Q33" s="189" t="s">
        <v>198</v>
      </c>
      <c r="R33" s="189" t="s">
        <v>22</v>
      </c>
      <c r="S33" s="189" t="s">
        <v>152</v>
      </c>
      <c r="T33" s="189" t="s">
        <v>121</v>
      </c>
      <c r="U33" s="189" t="s">
        <v>204</v>
      </c>
      <c r="V33" s="189" t="s">
        <v>123</v>
      </c>
      <c r="W33" s="189" t="s">
        <v>168</v>
      </c>
      <c r="X33" s="189" t="s">
        <v>148</v>
      </c>
      <c r="Y33" s="189" t="s">
        <v>2110</v>
      </c>
      <c r="Z33" s="0" t="n">
        <v>1</v>
      </c>
      <c r="AA33" s="189" t="s">
        <v>2137</v>
      </c>
    </row>
    <row r="34" customFormat="false" ht="41.25" hidden="false" customHeight="true" outlineLevel="0" collapsed="false">
      <c r="A34" s="0" t="n">
        <v>7</v>
      </c>
      <c r="B34" s="188" t="n">
        <v>46143.990339134</v>
      </c>
      <c r="C34" s="188" t="n">
        <v>46144.0029317266</v>
      </c>
      <c r="D34" s="189" t="s">
        <v>193</v>
      </c>
      <c r="E34" s="189" t="s">
        <v>194</v>
      </c>
      <c r="F34" s="189" t="s">
        <v>194</v>
      </c>
      <c r="G34" s="189" t="s">
        <v>195</v>
      </c>
      <c r="H34" s="188" t="n">
        <v>46140</v>
      </c>
      <c r="I34" s="189" t="s">
        <v>113</v>
      </c>
      <c r="J34" s="189" t="s">
        <v>108</v>
      </c>
      <c r="K34" s="189" t="s">
        <v>196</v>
      </c>
      <c r="L34" s="189" t="s">
        <v>197</v>
      </c>
      <c r="M34" s="189" t="s">
        <v>199</v>
      </c>
      <c r="N34" s="189" t="s">
        <v>200</v>
      </c>
      <c r="O34" s="189" t="s">
        <v>107</v>
      </c>
      <c r="P34" s="189" t="s">
        <v>111</v>
      </c>
      <c r="Q34" s="189" t="s">
        <v>198</v>
      </c>
      <c r="R34" s="189" t="s">
        <v>22</v>
      </c>
      <c r="S34" s="189" t="s">
        <v>152</v>
      </c>
      <c r="T34" s="189" t="s">
        <v>121</v>
      </c>
      <c r="U34" s="189" t="s">
        <v>204</v>
      </c>
      <c r="V34" s="189" t="s">
        <v>123</v>
      </c>
      <c r="W34" s="189" t="s">
        <v>168</v>
      </c>
      <c r="X34" s="189" t="s">
        <v>148</v>
      </c>
      <c r="Y34" s="189" t="s">
        <v>2113</v>
      </c>
      <c r="Z34" s="0" t="n">
        <v>1</v>
      </c>
      <c r="AA34" s="189" t="s">
        <v>2138</v>
      </c>
    </row>
    <row r="35" customFormat="false" ht="41.25" hidden="false" customHeight="true" outlineLevel="0" collapsed="false">
      <c r="A35" s="0" t="n">
        <v>7</v>
      </c>
      <c r="B35" s="188" t="n">
        <v>46143.990339134</v>
      </c>
      <c r="C35" s="188" t="n">
        <v>46144.0029317266</v>
      </c>
      <c r="D35" s="189" t="s">
        <v>193</v>
      </c>
      <c r="E35" s="189" t="s">
        <v>194</v>
      </c>
      <c r="F35" s="189" t="s">
        <v>194</v>
      </c>
      <c r="G35" s="189" t="s">
        <v>195</v>
      </c>
      <c r="H35" s="188" t="n">
        <v>46140</v>
      </c>
      <c r="I35" s="189" t="s">
        <v>113</v>
      </c>
      <c r="J35" s="189" t="s">
        <v>108</v>
      </c>
      <c r="K35" s="189" t="s">
        <v>196</v>
      </c>
      <c r="L35" s="189" t="s">
        <v>197</v>
      </c>
      <c r="M35" s="189" t="s">
        <v>199</v>
      </c>
      <c r="N35" s="189" t="s">
        <v>200</v>
      </c>
      <c r="O35" s="189" t="s">
        <v>107</v>
      </c>
      <c r="P35" s="189" t="s">
        <v>111</v>
      </c>
      <c r="Q35" s="189" t="s">
        <v>198</v>
      </c>
      <c r="R35" s="189" t="s">
        <v>22</v>
      </c>
      <c r="S35" s="189" t="s">
        <v>152</v>
      </c>
      <c r="T35" s="189" t="s">
        <v>121</v>
      </c>
      <c r="U35" s="189" t="s">
        <v>204</v>
      </c>
      <c r="V35" s="189" t="s">
        <v>123</v>
      </c>
      <c r="W35" s="189" t="s">
        <v>168</v>
      </c>
      <c r="X35" s="189" t="s">
        <v>148</v>
      </c>
      <c r="Y35" s="189" t="s">
        <v>2113</v>
      </c>
      <c r="Z35" s="0" t="n">
        <v>2</v>
      </c>
      <c r="AA35" s="189" t="s">
        <v>2124</v>
      </c>
    </row>
    <row r="36" customFormat="false" ht="41.25" hidden="false" customHeight="true" outlineLevel="0" collapsed="false">
      <c r="A36" s="0" t="n">
        <v>8</v>
      </c>
      <c r="B36" s="188" t="n">
        <v>46056.5815351329</v>
      </c>
      <c r="C36" s="188" t="n">
        <v>46056.583271244</v>
      </c>
      <c r="D36" s="189" t="s">
        <v>206</v>
      </c>
      <c r="E36" s="189" t="s">
        <v>207</v>
      </c>
      <c r="F36" s="189" t="s">
        <v>207</v>
      </c>
      <c r="G36" s="189" t="s">
        <v>208</v>
      </c>
      <c r="H36" s="188" t="n">
        <v>46049</v>
      </c>
      <c r="I36" s="189" t="s">
        <v>113</v>
      </c>
      <c r="J36" s="189" t="s">
        <v>108</v>
      </c>
      <c r="K36" s="189" t="s">
        <v>209</v>
      </c>
      <c r="L36" s="189" t="s">
        <v>210</v>
      </c>
      <c r="M36" s="189" t="s">
        <v>212</v>
      </c>
      <c r="N36" s="189" t="s">
        <v>213</v>
      </c>
      <c r="O36" s="189" t="s">
        <v>107</v>
      </c>
      <c r="P36" s="189" t="s">
        <v>211</v>
      </c>
      <c r="Q36" s="189" t="s">
        <v>112</v>
      </c>
      <c r="R36" s="189" t="s">
        <v>24</v>
      </c>
      <c r="S36" s="189" t="s">
        <v>152</v>
      </c>
      <c r="T36" s="189" t="s">
        <v>121</v>
      </c>
      <c r="U36" s="189" t="s">
        <v>218</v>
      </c>
      <c r="V36" s="189" t="s">
        <v>123</v>
      </c>
      <c r="W36" s="189" t="s">
        <v>124</v>
      </c>
      <c r="X36" s="189" t="s">
        <v>214</v>
      </c>
      <c r="Y36" s="189" t="s">
        <v>2108</v>
      </c>
      <c r="Z36" s="0" t="n">
        <v>1</v>
      </c>
      <c r="AA36" s="189" t="s">
        <v>2139</v>
      </c>
    </row>
    <row r="37" customFormat="false" ht="41.25" hidden="false" customHeight="true" outlineLevel="0" collapsed="false">
      <c r="A37" s="0" t="n">
        <v>8</v>
      </c>
      <c r="B37" s="188" t="n">
        <v>46056.5815351329</v>
      </c>
      <c r="C37" s="188" t="n">
        <v>46056.583271244</v>
      </c>
      <c r="D37" s="189" t="s">
        <v>206</v>
      </c>
      <c r="E37" s="189" t="s">
        <v>207</v>
      </c>
      <c r="F37" s="189" t="s">
        <v>207</v>
      </c>
      <c r="G37" s="189" t="s">
        <v>208</v>
      </c>
      <c r="H37" s="188" t="n">
        <v>46049</v>
      </c>
      <c r="I37" s="189" t="s">
        <v>113</v>
      </c>
      <c r="J37" s="189" t="s">
        <v>108</v>
      </c>
      <c r="K37" s="189" t="s">
        <v>209</v>
      </c>
      <c r="L37" s="189" t="s">
        <v>210</v>
      </c>
      <c r="M37" s="189" t="s">
        <v>212</v>
      </c>
      <c r="N37" s="189" t="s">
        <v>213</v>
      </c>
      <c r="O37" s="189" t="s">
        <v>107</v>
      </c>
      <c r="P37" s="189" t="s">
        <v>211</v>
      </c>
      <c r="Q37" s="189" t="s">
        <v>112</v>
      </c>
      <c r="R37" s="189" t="s">
        <v>24</v>
      </c>
      <c r="S37" s="189" t="s">
        <v>152</v>
      </c>
      <c r="T37" s="189" t="s">
        <v>121</v>
      </c>
      <c r="U37" s="189" t="s">
        <v>218</v>
      </c>
      <c r="V37" s="189" t="s">
        <v>123</v>
      </c>
      <c r="W37" s="189" t="s">
        <v>124</v>
      </c>
      <c r="X37" s="189" t="s">
        <v>214</v>
      </c>
      <c r="Y37" s="189" t="s">
        <v>2108</v>
      </c>
      <c r="Z37" s="0" t="n">
        <v>2</v>
      </c>
      <c r="AA37" s="189" t="s">
        <v>2109</v>
      </c>
    </row>
    <row r="38" customFormat="false" ht="41.25" hidden="false" customHeight="true" outlineLevel="0" collapsed="false">
      <c r="A38" s="0" t="n">
        <v>8</v>
      </c>
      <c r="B38" s="188" t="n">
        <v>46056.5815351329</v>
      </c>
      <c r="C38" s="188" t="n">
        <v>46056.583271244</v>
      </c>
      <c r="D38" s="189" t="s">
        <v>206</v>
      </c>
      <c r="E38" s="189" t="s">
        <v>207</v>
      </c>
      <c r="F38" s="189" t="s">
        <v>207</v>
      </c>
      <c r="G38" s="189" t="s">
        <v>208</v>
      </c>
      <c r="H38" s="188" t="n">
        <v>46049</v>
      </c>
      <c r="I38" s="189" t="s">
        <v>113</v>
      </c>
      <c r="J38" s="189" t="s">
        <v>108</v>
      </c>
      <c r="K38" s="189" t="s">
        <v>209</v>
      </c>
      <c r="L38" s="189" t="s">
        <v>210</v>
      </c>
      <c r="M38" s="189" t="s">
        <v>212</v>
      </c>
      <c r="N38" s="189" t="s">
        <v>213</v>
      </c>
      <c r="O38" s="189" t="s">
        <v>107</v>
      </c>
      <c r="P38" s="189" t="s">
        <v>211</v>
      </c>
      <c r="Q38" s="189" t="s">
        <v>112</v>
      </c>
      <c r="R38" s="189" t="s">
        <v>24</v>
      </c>
      <c r="S38" s="189" t="s">
        <v>152</v>
      </c>
      <c r="T38" s="189" t="s">
        <v>121</v>
      </c>
      <c r="U38" s="189" t="s">
        <v>218</v>
      </c>
      <c r="V38" s="189" t="s">
        <v>123</v>
      </c>
      <c r="W38" s="189" t="s">
        <v>124</v>
      </c>
      <c r="X38" s="189" t="s">
        <v>214</v>
      </c>
      <c r="Y38" s="189" t="s">
        <v>2110</v>
      </c>
      <c r="Z38" s="0" t="n">
        <v>1</v>
      </c>
      <c r="AA38" s="189" t="s">
        <v>2111</v>
      </c>
    </row>
    <row r="39" customFormat="false" ht="15" hidden="false" customHeight="true" outlineLevel="0" collapsed="false">
      <c r="A39" s="0" t="n">
        <v>8</v>
      </c>
      <c r="B39" s="188" t="n">
        <v>46056.5815351329</v>
      </c>
      <c r="C39" s="188" t="n">
        <v>46056.583271244</v>
      </c>
      <c r="D39" s="189" t="s">
        <v>206</v>
      </c>
      <c r="E39" s="189" t="s">
        <v>207</v>
      </c>
      <c r="F39" s="189" t="s">
        <v>207</v>
      </c>
      <c r="G39" s="189" t="s">
        <v>208</v>
      </c>
      <c r="H39" s="188" t="n">
        <v>46049</v>
      </c>
      <c r="I39" s="189" t="s">
        <v>113</v>
      </c>
      <c r="J39" s="189" t="s">
        <v>108</v>
      </c>
      <c r="K39" s="189" t="s">
        <v>209</v>
      </c>
      <c r="L39" s="189" t="s">
        <v>210</v>
      </c>
      <c r="M39" s="189" t="s">
        <v>212</v>
      </c>
      <c r="N39" s="189" t="s">
        <v>213</v>
      </c>
      <c r="O39" s="189" t="s">
        <v>107</v>
      </c>
      <c r="P39" s="189" t="s">
        <v>211</v>
      </c>
      <c r="Q39" s="189" t="s">
        <v>112</v>
      </c>
      <c r="R39" s="189" t="s">
        <v>24</v>
      </c>
      <c r="S39" s="189" t="s">
        <v>152</v>
      </c>
      <c r="T39" s="189" t="s">
        <v>121</v>
      </c>
      <c r="U39" s="189" t="s">
        <v>218</v>
      </c>
      <c r="V39" s="189" t="s">
        <v>123</v>
      </c>
      <c r="W39" s="189" t="s">
        <v>124</v>
      </c>
      <c r="X39" s="189" t="s">
        <v>214</v>
      </c>
      <c r="Y39" s="189" t="s">
        <v>2113</v>
      </c>
      <c r="Z39" s="0" t="n">
        <v>1</v>
      </c>
      <c r="AA39" s="189" t="s">
        <v>2114</v>
      </c>
    </row>
    <row r="40" customFormat="false" ht="15" hidden="false" customHeight="true" outlineLevel="0" collapsed="false">
      <c r="A40" s="0" t="n">
        <v>8</v>
      </c>
      <c r="B40" s="188" t="n">
        <v>46056.5815351329</v>
      </c>
      <c r="C40" s="188" t="n">
        <v>46056.583271244</v>
      </c>
      <c r="D40" s="189" t="s">
        <v>206</v>
      </c>
      <c r="E40" s="189" t="s">
        <v>207</v>
      </c>
      <c r="F40" s="189" t="s">
        <v>207</v>
      </c>
      <c r="G40" s="189" t="s">
        <v>208</v>
      </c>
      <c r="H40" s="188" t="n">
        <v>46049</v>
      </c>
      <c r="I40" s="189" t="s">
        <v>113</v>
      </c>
      <c r="J40" s="189" t="s">
        <v>108</v>
      </c>
      <c r="K40" s="189" t="s">
        <v>209</v>
      </c>
      <c r="L40" s="189" t="s">
        <v>210</v>
      </c>
      <c r="M40" s="189" t="s">
        <v>212</v>
      </c>
      <c r="N40" s="189" t="s">
        <v>213</v>
      </c>
      <c r="O40" s="189" t="s">
        <v>107</v>
      </c>
      <c r="P40" s="189" t="s">
        <v>211</v>
      </c>
      <c r="Q40" s="189" t="s">
        <v>112</v>
      </c>
      <c r="R40" s="189" t="s">
        <v>24</v>
      </c>
      <c r="S40" s="189" t="s">
        <v>152</v>
      </c>
      <c r="T40" s="189" t="s">
        <v>121</v>
      </c>
      <c r="U40" s="189" t="s">
        <v>218</v>
      </c>
      <c r="V40" s="189" t="s">
        <v>123</v>
      </c>
      <c r="W40" s="189" t="s">
        <v>124</v>
      </c>
      <c r="X40" s="189" t="s">
        <v>214</v>
      </c>
      <c r="Y40" s="189" t="s">
        <v>2113</v>
      </c>
      <c r="Z40" s="0" t="n">
        <v>2</v>
      </c>
      <c r="AA40" s="189" t="s">
        <v>122</v>
      </c>
    </row>
    <row r="41" customFormat="false" ht="15" hidden="false" customHeight="true" outlineLevel="0" collapsed="false">
      <c r="A41" s="0" t="n">
        <v>9</v>
      </c>
      <c r="B41" s="188" t="n">
        <v>46068.8947773825</v>
      </c>
      <c r="C41" s="188" t="n">
        <v>46068.8980644196</v>
      </c>
      <c r="D41" s="189" t="s">
        <v>220</v>
      </c>
      <c r="E41" s="189" t="s">
        <v>221</v>
      </c>
      <c r="F41" s="189" t="s">
        <v>221</v>
      </c>
      <c r="G41" s="189" t="s">
        <v>222</v>
      </c>
      <c r="H41" s="188" t="n">
        <v>46049</v>
      </c>
      <c r="I41" s="189" t="s">
        <v>113</v>
      </c>
      <c r="J41" s="189" t="s">
        <v>128</v>
      </c>
      <c r="K41" s="189" t="s">
        <v>143</v>
      </c>
      <c r="L41" s="189" t="s">
        <v>197</v>
      </c>
      <c r="M41" s="189" t="s">
        <v>144</v>
      </c>
      <c r="N41" s="189" t="s">
        <v>147</v>
      </c>
      <c r="O41" s="189" t="s">
        <v>107</v>
      </c>
      <c r="P41" s="189" t="s">
        <v>111</v>
      </c>
      <c r="Q41" s="189" t="s">
        <v>112</v>
      </c>
      <c r="R41" s="189" t="s">
        <v>24</v>
      </c>
      <c r="S41" s="189" t="s">
        <v>227</v>
      </c>
      <c r="T41" s="189" t="s">
        <v>228</v>
      </c>
      <c r="U41" s="189" t="s">
        <v>122</v>
      </c>
      <c r="V41" s="189" t="s">
        <v>192</v>
      </c>
      <c r="W41" s="189" t="s">
        <v>124</v>
      </c>
      <c r="X41" s="189" t="s">
        <v>223</v>
      </c>
      <c r="Y41" s="189" t="s">
        <v>2108</v>
      </c>
      <c r="Z41" s="0" t="n">
        <v>1</v>
      </c>
      <c r="AA41" s="189" t="s">
        <v>2140</v>
      </c>
    </row>
    <row r="42" customFormat="false" ht="15" hidden="false" customHeight="true" outlineLevel="0" collapsed="false">
      <c r="A42" s="0" t="n">
        <v>9</v>
      </c>
      <c r="B42" s="188" t="n">
        <v>46068.8947773825</v>
      </c>
      <c r="C42" s="188" t="n">
        <v>46068.8980644196</v>
      </c>
      <c r="D42" s="189" t="s">
        <v>220</v>
      </c>
      <c r="E42" s="189" t="s">
        <v>221</v>
      </c>
      <c r="F42" s="189" t="s">
        <v>221</v>
      </c>
      <c r="G42" s="189" t="s">
        <v>222</v>
      </c>
      <c r="H42" s="188" t="n">
        <v>46049</v>
      </c>
      <c r="I42" s="189" t="s">
        <v>113</v>
      </c>
      <c r="J42" s="189" t="s">
        <v>128</v>
      </c>
      <c r="K42" s="189" t="s">
        <v>143</v>
      </c>
      <c r="L42" s="189" t="s">
        <v>197</v>
      </c>
      <c r="M42" s="189" t="s">
        <v>144</v>
      </c>
      <c r="N42" s="189" t="s">
        <v>147</v>
      </c>
      <c r="O42" s="189" t="s">
        <v>107</v>
      </c>
      <c r="P42" s="189" t="s">
        <v>111</v>
      </c>
      <c r="Q42" s="189" t="s">
        <v>112</v>
      </c>
      <c r="R42" s="189" t="s">
        <v>24</v>
      </c>
      <c r="S42" s="189" t="s">
        <v>227</v>
      </c>
      <c r="T42" s="189" t="s">
        <v>228</v>
      </c>
      <c r="U42" s="189" t="s">
        <v>122</v>
      </c>
      <c r="V42" s="189" t="s">
        <v>192</v>
      </c>
      <c r="W42" s="189" t="s">
        <v>124</v>
      </c>
      <c r="X42" s="189" t="s">
        <v>223</v>
      </c>
      <c r="Y42" s="189" t="s">
        <v>2108</v>
      </c>
      <c r="Z42" s="0" t="n">
        <v>2</v>
      </c>
      <c r="AA42" s="189" t="s">
        <v>2141</v>
      </c>
    </row>
    <row r="43" customFormat="false" ht="15" hidden="false" customHeight="true" outlineLevel="0" collapsed="false">
      <c r="A43" s="0" t="n">
        <v>9</v>
      </c>
      <c r="B43" s="188" t="n">
        <v>46068.8947773825</v>
      </c>
      <c r="C43" s="188" t="n">
        <v>46068.8980644196</v>
      </c>
      <c r="D43" s="189" t="s">
        <v>220</v>
      </c>
      <c r="E43" s="189" t="s">
        <v>221</v>
      </c>
      <c r="F43" s="189" t="s">
        <v>221</v>
      </c>
      <c r="G43" s="189" t="s">
        <v>222</v>
      </c>
      <c r="H43" s="188" t="n">
        <v>46049</v>
      </c>
      <c r="I43" s="189" t="s">
        <v>113</v>
      </c>
      <c r="J43" s="189" t="s">
        <v>128</v>
      </c>
      <c r="K43" s="189" t="s">
        <v>143</v>
      </c>
      <c r="L43" s="189" t="s">
        <v>197</v>
      </c>
      <c r="M43" s="189" t="s">
        <v>144</v>
      </c>
      <c r="N43" s="189" t="s">
        <v>147</v>
      </c>
      <c r="O43" s="189" t="s">
        <v>107</v>
      </c>
      <c r="P43" s="189" t="s">
        <v>111</v>
      </c>
      <c r="Q43" s="189" t="s">
        <v>112</v>
      </c>
      <c r="R43" s="189" t="s">
        <v>24</v>
      </c>
      <c r="S43" s="189" t="s">
        <v>227</v>
      </c>
      <c r="T43" s="189" t="s">
        <v>228</v>
      </c>
      <c r="U43" s="189" t="s">
        <v>122</v>
      </c>
      <c r="V43" s="189" t="s">
        <v>192</v>
      </c>
      <c r="W43" s="189" t="s">
        <v>124</v>
      </c>
      <c r="X43" s="189" t="s">
        <v>223</v>
      </c>
      <c r="Y43" s="189" t="s">
        <v>2108</v>
      </c>
      <c r="Z43" s="0" t="n">
        <v>3</v>
      </c>
      <c r="AA43" s="189" t="s">
        <v>2142</v>
      </c>
    </row>
    <row r="44" customFormat="false" ht="15" hidden="false" customHeight="true" outlineLevel="0" collapsed="false">
      <c r="A44" s="0" t="n">
        <v>9</v>
      </c>
      <c r="B44" s="188" t="n">
        <v>46068.8947773825</v>
      </c>
      <c r="C44" s="188" t="n">
        <v>46068.8980644196</v>
      </c>
      <c r="D44" s="189" t="s">
        <v>220</v>
      </c>
      <c r="E44" s="189" t="s">
        <v>221</v>
      </c>
      <c r="F44" s="189" t="s">
        <v>221</v>
      </c>
      <c r="G44" s="189" t="s">
        <v>222</v>
      </c>
      <c r="H44" s="188" t="n">
        <v>46049</v>
      </c>
      <c r="I44" s="189" t="s">
        <v>113</v>
      </c>
      <c r="J44" s="189" t="s">
        <v>128</v>
      </c>
      <c r="K44" s="189" t="s">
        <v>143</v>
      </c>
      <c r="L44" s="189" t="s">
        <v>197</v>
      </c>
      <c r="M44" s="189" t="s">
        <v>144</v>
      </c>
      <c r="N44" s="189" t="s">
        <v>147</v>
      </c>
      <c r="O44" s="189" t="s">
        <v>107</v>
      </c>
      <c r="P44" s="189" t="s">
        <v>111</v>
      </c>
      <c r="Q44" s="189" t="s">
        <v>112</v>
      </c>
      <c r="R44" s="189" t="s">
        <v>24</v>
      </c>
      <c r="S44" s="189" t="s">
        <v>227</v>
      </c>
      <c r="T44" s="189" t="s">
        <v>228</v>
      </c>
      <c r="U44" s="189" t="s">
        <v>122</v>
      </c>
      <c r="V44" s="189" t="s">
        <v>192</v>
      </c>
      <c r="W44" s="189" t="s">
        <v>124</v>
      </c>
      <c r="X44" s="189" t="s">
        <v>223</v>
      </c>
      <c r="Y44" s="189" t="s">
        <v>2110</v>
      </c>
      <c r="Z44" s="0" t="n">
        <v>1</v>
      </c>
      <c r="AA44" s="189" t="s">
        <v>2143</v>
      </c>
    </row>
    <row r="45" customFormat="false" ht="15" hidden="false" customHeight="true" outlineLevel="0" collapsed="false">
      <c r="A45" s="0" t="n">
        <v>9</v>
      </c>
      <c r="B45" s="188" t="n">
        <v>46068.8947773825</v>
      </c>
      <c r="C45" s="188" t="n">
        <v>46068.8980644196</v>
      </c>
      <c r="D45" s="189" t="s">
        <v>220</v>
      </c>
      <c r="E45" s="189" t="s">
        <v>221</v>
      </c>
      <c r="F45" s="189" t="s">
        <v>221</v>
      </c>
      <c r="G45" s="189" t="s">
        <v>222</v>
      </c>
      <c r="H45" s="188" t="n">
        <v>46049</v>
      </c>
      <c r="I45" s="189" t="s">
        <v>113</v>
      </c>
      <c r="J45" s="189" t="s">
        <v>128</v>
      </c>
      <c r="K45" s="189" t="s">
        <v>143</v>
      </c>
      <c r="L45" s="189" t="s">
        <v>197</v>
      </c>
      <c r="M45" s="189" t="s">
        <v>144</v>
      </c>
      <c r="N45" s="189" t="s">
        <v>147</v>
      </c>
      <c r="O45" s="189" t="s">
        <v>107</v>
      </c>
      <c r="P45" s="189" t="s">
        <v>111</v>
      </c>
      <c r="Q45" s="189" t="s">
        <v>112</v>
      </c>
      <c r="R45" s="189" t="s">
        <v>24</v>
      </c>
      <c r="S45" s="189" t="s">
        <v>227</v>
      </c>
      <c r="T45" s="189" t="s">
        <v>228</v>
      </c>
      <c r="U45" s="189" t="s">
        <v>122</v>
      </c>
      <c r="V45" s="189" t="s">
        <v>192</v>
      </c>
      <c r="W45" s="189" t="s">
        <v>124</v>
      </c>
      <c r="X45" s="189" t="s">
        <v>223</v>
      </c>
      <c r="Y45" s="189" t="s">
        <v>2110</v>
      </c>
      <c r="Z45" s="0" t="n">
        <v>2</v>
      </c>
      <c r="AA45" s="189" t="s">
        <v>2144</v>
      </c>
    </row>
    <row r="46" customFormat="false" ht="15" hidden="false" customHeight="true" outlineLevel="0" collapsed="false">
      <c r="A46" s="0" t="n">
        <v>9</v>
      </c>
      <c r="B46" s="188" t="n">
        <v>46068.8947773825</v>
      </c>
      <c r="C46" s="188" t="n">
        <v>46068.8980644196</v>
      </c>
      <c r="D46" s="189" t="s">
        <v>220</v>
      </c>
      <c r="E46" s="189" t="s">
        <v>221</v>
      </c>
      <c r="F46" s="189" t="s">
        <v>221</v>
      </c>
      <c r="G46" s="189" t="s">
        <v>222</v>
      </c>
      <c r="H46" s="188" t="n">
        <v>46049</v>
      </c>
      <c r="I46" s="189" t="s">
        <v>113</v>
      </c>
      <c r="J46" s="189" t="s">
        <v>128</v>
      </c>
      <c r="K46" s="189" t="s">
        <v>143</v>
      </c>
      <c r="L46" s="189" t="s">
        <v>197</v>
      </c>
      <c r="M46" s="189" t="s">
        <v>144</v>
      </c>
      <c r="N46" s="189" t="s">
        <v>147</v>
      </c>
      <c r="O46" s="189" t="s">
        <v>107</v>
      </c>
      <c r="P46" s="189" t="s">
        <v>111</v>
      </c>
      <c r="Q46" s="189" t="s">
        <v>112</v>
      </c>
      <c r="R46" s="189" t="s">
        <v>24</v>
      </c>
      <c r="S46" s="189" t="s">
        <v>227</v>
      </c>
      <c r="T46" s="189" t="s">
        <v>228</v>
      </c>
      <c r="U46" s="189" t="s">
        <v>122</v>
      </c>
      <c r="V46" s="189" t="s">
        <v>192</v>
      </c>
      <c r="W46" s="189" t="s">
        <v>124</v>
      </c>
      <c r="X46" s="189" t="s">
        <v>223</v>
      </c>
      <c r="Y46" s="189" t="s">
        <v>2113</v>
      </c>
      <c r="Z46" s="0" t="n">
        <v>1</v>
      </c>
      <c r="AA46" s="189" t="s">
        <v>2145</v>
      </c>
    </row>
    <row r="47" customFormat="false" ht="15" hidden="false" customHeight="true" outlineLevel="0" collapsed="false">
      <c r="A47" s="0" t="n">
        <v>9</v>
      </c>
      <c r="B47" s="188" t="n">
        <v>46068.8947773825</v>
      </c>
      <c r="C47" s="188" t="n">
        <v>46068.8980644196</v>
      </c>
      <c r="D47" s="189" t="s">
        <v>220</v>
      </c>
      <c r="E47" s="189" t="s">
        <v>221</v>
      </c>
      <c r="F47" s="189" t="s">
        <v>221</v>
      </c>
      <c r="G47" s="189" t="s">
        <v>222</v>
      </c>
      <c r="H47" s="188" t="n">
        <v>46049</v>
      </c>
      <c r="I47" s="189" t="s">
        <v>113</v>
      </c>
      <c r="J47" s="189" t="s">
        <v>128</v>
      </c>
      <c r="K47" s="189" t="s">
        <v>143</v>
      </c>
      <c r="L47" s="189" t="s">
        <v>197</v>
      </c>
      <c r="M47" s="189" t="s">
        <v>144</v>
      </c>
      <c r="N47" s="189" t="s">
        <v>147</v>
      </c>
      <c r="O47" s="189" t="s">
        <v>107</v>
      </c>
      <c r="P47" s="189" t="s">
        <v>111</v>
      </c>
      <c r="Q47" s="189" t="s">
        <v>112</v>
      </c>
      <c r="R47" s="189" t="s">
        <v>24</v>
      </c>
      <c r="S47" s="189" t="s">
        <v>227</v>
      </c>
      <c r="T47" s="189" t="s">
        <v>228</v>
      </c>
      <c r="U47" s="189" t="s">
        <v>122</v>
      </c>
      <c r="V47" s="189" t="s">
        <v>192</v>
      </c>
      <c r="W47" s="189" t="s">
        <v>124</v>
      </c>
      <c r="X47" s="189" t="s">
        <v>223</v>
      </c>
      <c r="Y47" s="189" t="s">
        <v>2113</v>
      </c>
      <c r="Z47" s="0" t="n">
        <v>2</v>
      </c>
      <c r="AA47" s="189" t="s">
        <v>2146</v>
      </c>
    </row>
    <row r="48" customFormat="false" ht="15" hidden="false" customHeight="true" outlineLevel="0" collapsed="false">
      <c r="A48" s="0" t="n">
        <v>10</v>
      </c>
      <c r="B48" s="188" t="n">
        <v>46174.8986974496</v>
      </c>
      <c r="C48" s="188" t="n">
        <v>46174.9083502274</v>
      </c>
      <c r="D48" s="189" t="s">
        <v>229</v>
      </c>
      <c r="E48" s="189" t="s">
        <v>230</v>
      </c>
      <c r="F48" s="189" t="s">
        <v>230</v>
      </c>
      <c r="G48" s="189" t="s">
        <v>231</v>
      </c>
      <c r="H48" s="188" t="n">
        <v>46163</v>
      </c>
      <c r="I48" s="189" t="s">
        <v>113</v>
      </c>
      <c r="J48" s="189" t="s">
        <v>108</v>
      </c>
      <c r="K48" s="189" t="s">
        <v>232</v>
      </c>
      <c r="L48" s="189" t="s">
        <v>233</v>
      </c>
      <c r="M48" s="189" t="s">
        <v>234</v>
      </c>
      <c r="N48" s="189" t="s">
        <v>235</v>
      </c>
      <c r="O48" s="189" t="s">
        <v>172</v>
      </c>
      <c r="P48" s="189" t="s">
        <v>111</v>
      </c>
      <c r="Q48" s="189" t="s">
        <v>145</v>
      </c>
      <c r="R48" s="189" t="s">
        <v>24</v>
      </c>
      <c r="S48" s="189" t="s">
        <v>152</v>
      </c>
      <c r="T48" s="189" t="s">
        <v>180</v>
      </c>
      <c r="U48" s="189" t="s">
        <v>239</v>
      </c>
      <c r="V48" s="189" t="s">
        <v>192</v>
      </c>
      <c r="W48" s="189" t="s">
        <v>168</v>
      </c>
      <c r="X48" s="189" t="s">
        <v>223</v>
      </c>
      <c r="Y48" s="189" t="s">
        <v>2108</v>
      </c>
      <c r="Z48" s="0" t="n">
        <v>1</v>
      </c>
      <c r="AA48" s="189" t="s">
        <v>2147</v>
      </c>
    </row>
    <row r="49" customFormat="false" ht="15" hidden="false" customHeight="true" outlineLevel="0" collapsed="false">
      <c r="A49" s="0" t="n">
        <v>10</v>
      </c>
      <c r="B49" s="188" t="n">
        <v>46174.8986974496</v>
      </c>
      <c r="C49" s="188" t="n">
        <v>46174.9083502274</v>
      </c>
      <c r="D49" s="189" t="s">
        <v>229</v>
      </c>
      <c r="E49" s="189" t="s">
        <v>230</v>
      </c>
      <c r="F49" s="189" t="s">
        <v>230</v>
      </c>
      <c r="G49" s="189" t="s">
        <v>231</v>
      </c>
      <c r="H49" s="188" t="n">
        <v>46163</v>
      </c>
      <c r="I49" s="189" t="s">
        <v>113</v>
      </c>
      <c r="J49" s="189" t="s">
        <v>108</v>
      </c>
      <c r="K49" s="189" t="s">
        <v>232</v>
      </c>
      <c r="L49" s="189" t="s">
        <v>233</v>
      </c>
      <c r="M49" s="189" t="s">
        <v>234</v>
      </c>
      <c r="N49" s="189" t="s">
        <v>235</v>
      </c>
      <c r="O49" s="189" t="s">
        <v>172</v>
      </c>
      <c r="P49" s="189" t="s">
        <v>111</v>
      </c>
      <c r="Q49" s="189" t="s">
        <v>145</v>
      </c>
      <c r="R49" s="189" t="s">
        <v>24</v>
      </c>
      <c r="S49" s="189" t="s">
        <v>152</v>
      </c>
      <c r="T49" s="189" t="s">
        <v>180</v>
      </c>
      <c r="U49" s="189" t="s">
        <v>239</v>
      </c>
      <c r="V49" s="189" t="s">
        <v>192</v>
      </c>
      <c r="W49" s="189" t="s">
        <v>168</v>
      </c>
      <c r="X49" s="189" t="s">
        <v>223</v>
      </c>
      <c r="Y49" s="189" t="s">
        <v>2108</v>
      </c>
      <c r="Z49" s="0" t="n">
        <v>2</v>
      </c>
      <c r="AA49" s="189" t="s">
        <v>2148</v>
      </c>
    </row>
    <row r="50" customFormat="false" ht="15" hidden="false" customHeight="true" outlineLevel="0" collapsed="false">
      <c r="A50" s="0" t="n">
        <v>10</v>
      </c>
      <c r="B50" s="188" t="n">
        <v>46174.8986974496</v>
      </c>
      <c r="C50" s="188" t="n">
        <v>46174.9083502274</v>
      </c>
      <c r="D50" s="189" t="s">
        <v>229</v>
      </c>
      <c r="E50" s="189" t="s">
        <v>230</v>
      </c>
      <c r="F50" s="189" t="s">
        <v>230</v>
      </c>
      <c r="G50" s="189" t="s">
        <v>231</v>
      </c>
      <c r="H50" s="188" t="n">
        <v>46163</v>
      </c>
      <c r="I50" s="189" t="s">
        <v>113</v>
      </c>
      <c r="J50" s="189" t="s">
        <v>108</v>
      </c>
      <c r="K50" s="189" t="s">
        <v>232</v>
      </c>
      <c r="L50" s="189" t="s">
        <v>233</v>
      </c>
      <c r="M50" s="189" t="s">
        <v>234</v>
      </c>
      <c r="N50" s="189" t="s">
        <v>235</v>
      </c>
      <c r="O50" s="189" t="s">
        <v>172</v>
      </c>
      <c r="P50" s="189" t="s">
        <v>111</v>
      </c>
      <c r="Q50" s="189" t="s">
        <v>145</v>
      </c>
      <c r="R50" s="189" t="s">
        <v>24</v>
      </c>
      <c r="S50" s="189" t="s">
        <v>152</v>
      </c>
      <c r="T50" s="189" t="s">
        <v>180</v>
      </c>
      <c r="U50" s="189" t="s">
        <v>239</v>
      </c>
      <c r="V50" s="189" t="s">
        <v>192</v>
      </c>
      <c r="W50" s="189" t="s">
        <v>168</v>
      </c>
      <c r="X50" s="189" t="s">
        <v>223</v>
      </c>
      <c r="Y50" s="189" t="s">
        <v>2110</v>
      </c>
      <c r="Z50" s="0" t="n">
        <v>1</v>
      </c>
      <c r="AA50" s="189" t="s">
        <v>2149</v>
      </c>
    </row>
    <row r="51" customFormat="false" ht="15" hidden="false" customHeight="true" outlineLevel="0" collapsed="false">
      <c r="A51" s="0" t="n">
        <v>10</v>
      </c>
      <c r="B51" s="188" t="n">
        <v>46174.8986974496</v>
      </c>
      <c r="C51" s="188" t="n">
        <v>46174.9083502274</v>
      </c>
      <c r="D51" s="189" t="s">
        <v>229</v>
      </c>
      <c r="E51" s="189" t="s">
        <v>230</v>
      </c>
      <c r="F51" s="189" t="s">
        <v>230</v>
      </c>
      <c r="G51" s="189" t="s">
        <v>231</v>
      </c>
      <c r="H51" s="188" t="n">
        <v>46163</v>
      </c>
      <c r="I51" s="189" t="s">
        <v>113</v>
      </c>
      <c r="J51" s="189" t="s">
        <v>108</v>
      </c>
      <c r="K51" s="189" t="s">
        <v>232</v>
      </c>
      <c r="L51" s="189" t="s">
        <v>233</v>
      </c>
      <c r="M51" s="189" t="s">
        <v>234</v>
      </c>
      <c r="N51" s="189" t="s">
        <v>235</v>
      </c>
      <c r="O51" s="189" t="s">
        <v>172</v>
      </c>
      <c r="P51" s="189" t="s">
        <v>111</v>
      </c>
      <c r="Q51" s="189" t="s">
        <v>145</v>
      </c>
      <c r="R51" s="189" t="s">
        <v>24</v>
      </c>
      <c r="S51" s="189" t="s">
        <v>152</v>
      </c>
      <c r="T51" s="189" t="s">
        <v>180</v>
      </c>
      <c r="U51" s="189" t="s">
        <v>239</v>
      </c>
      <c r="V51" s="189" t="s">
        <v>192</v>
      </c>
      <c r="W51" s="189" t="s">
        <v>168</v>
      </c>
      <c r="X51" s="189" t="s">
        <v>223</v>
      </c>
      <c r="Y51" s="189" t="s">
        <v>2113</v>
      </c>
      <c r="Z51" s="0" t="n">
        <v>1</v>
      </c>
      <c r="AA51" s="189" t="s">
        <v>2146</v>
      </c>
    </row>
    <row r="52" customFormat="false" ht="15" hidden="false" customHeight="true" outlineLevel="0" collapsed="false">
      <c r="A52" s="0" t="n">
        <v>10</v>
      </c>
      <c r="B52" s="188" t="n">
        <v>46174.8986974496</v>
      </c>
      <c r="C52" s="188" t="n">
        <v>46174.9083502274</v>
      </c>
      <c r="D52" s="189" t="s">
        <v>229</v>
      </c>
      <c r="E52" s="189" t="s">
        <v>230</v>
      </c>
      <c r="F52" s="189" t="s">
        <v>230</v>
      </c>
      <c r="G52" s="189" t="s">
        <v>231</v>
      </c>
      <c r="H52" s="188" t="n">
        <v>46163</v>
      </c>
      <c r="I52" s="189" t="s">
        <v>113</v>
      </c>
      <c r="J52" s="189" t="s">
        <v>108</v>
      </c>
      <c r="K52" s="189" t="s">
        <v>232</v>
      </c>
      <c r="L52" s="189" t="s">
        <v>233</v>
      </c>
      <c r="M52" s="189" t="s">
        <v>234</v>
      </c>
      <c r="N52" s="189" t="s">
        <v>235</v>
      </c>
      <c r="O52" s="189" t="s">
        <v>172</v>
      </c>
      <c r="P52" s="189" t="s">
        <v>111</v>
      </c>
      <c r="Q52" s="189" t="s">
        <v>145</v>
      </c>
      <c r="R52" s="189" t="s">
        <v>24</v>
      </c>
      <c r="S52" s="189" t="s">
        <v>152</v>
      </c>
      <c r="T52" s="189" t="s">
        <v>180</v>
      </c>
      <c r="U52" s="189" t="s">
        <v>239</v>
      </c>
      <c r="V52" s="189" t="s">
        <v>192</v>
      </c>
      <c r="W52" s="189" t="s">
        <v>168</v>
      </c>
      <c r="X52" s="189" t="s">
        <v>223</v>
      </c>
      <c r="Y52" s="189" t="s">
        <v>2113</v>
      </c>
      <c r="Z52" s="0" t="n">
        <v>2</v>
      </c>
      <c r="AA52" s="189" t="s">
        <v>2150</v>
      </c>
    </row>
    <row r="53" customFormat="false" ht="15" hidden="false" customHeight="true" outlineLevel="0" collapsed="false">
      <c r="A53" s="0" t="n">
        <v>11</v>
      </c>
      <c r="B53" s="188" t="n">
        <v>46103.178902483</v>
      </c>
      <c r="C53" s="188" t="n">
        <v>46103.1868422978</v>
      </c>
      <c r="D53" s="189" t="s">
        <v>240</v>
      </c>
      <c r="E53" s="189" t="s">
        <v>241</v>
      </c>
      <c r="F53" s="189" t="s">
        <v>242</v>
      </c>
      <c r="G53" s="189" t="s">
        <v>243</v>
      </c>
      <c r="H53" s="188" t="n">
        <v>46099</v>
      </c>
      <c r="I53" s="189" t="s">
        <v>113</v>
      </c>
      <c r="J53" s="189" t="s">
        <v>108</v>
      </c>
      <c r="K53" s="189" t="s">
        <v>245</v>
      </c>
      <c r="L53" s="189" t="s">
        <v>246</v>
      </c>
      <c r="M53" s="189" t="s">
        <v>248</v>
      </c>
      <c r="N53" s="189" t="s">
        <v>249</v>
      </c>
      <c r="O53" s="189" t="s">
        <v>244</v>
      </c>
      <c r="P53" s="189" t="s">
        <v>111</v>
      </c>
      <c r="Q53" s="189" t="s">
        <v>247</v>
      </c>
      <c r="R53" s="189" t="s">
        <v>21</v>
      </c>
      <c r="S53" s="189" t="s">
        <v>120</v>
      </c>
      <c r="T53" s="189" t="s">
        <v>121</v>
      </c>
      <c r="V53" s="189" t="s">
        <v>192</v>
      </c>
      <c r="W53" s="189" t="s">
        <v>168</v>
      </c>
      <c r="X53" s="189" t="s">
        <v>250</v>
      </c>
      <c r="Y53" s="189" t="s">
        <v>2108</v>
      </c>
      <c r="Z53" s="0" t="n">
        <v>1</v>
      </c>
      <c r="AA53" s="189" t="s">
        <v>2109</v>
      </c>
    </row>
    <row r="54" customFormat="false" ht="15" hidden="false" customHeight="true" outlineLevel="0" collapsed="false">
      <c r="A54" s="0" t="n">
        <v>11</v>
      </c>
      <c r="B54" s="188" t="n">
        <v>46103.178902483</v>
      </c>
      <c r="C54" s="188" t="n">
        <v>46103.1868422978</v>
      </c>
      <c r="D54" s="189" t="s">
        <v>240</v>
      </c>
      <c r="E54" s="189" t="s">
        <v>241</v>
      </c>
      <c r="F54" s="189" t="s">
        <v>242</v>
      </c>
      <c r="G54" s="189" t="s">
        <v>243</v>
      </c>
      <c r="H54" s="188" t="n">
        <v>46099</v>
      </c>
      <c r="I54" s="189" t="s">
        <v>113</v>
      </c>
      <c r="J54" s="189" t="s">
        <v>108</v>
      </c>
      <c r="K54" s="189" t="s">
        <v>245</v>
      </c>
      <c r="L54" s="189" t="s">
        <v>246</v>
      </c>
      <c r="M54" s="189" t="s">
        <v>248</v>
      </c>
      <c r="N54" s="189" t="s">
        <v>249</v>
      </c>
      <c r="O54" s="189" t="s">
        <v>244</v>
      </c>
      <c r="P54" s="189" t="s">
        <v>111</v>
      </c>
      <c r="Q54" s="189" t="s">
        <v>247</v>
      </c>
      <c r="R54" s="189" t="s">
        <v>21</v>
      </c>
      <c r="S54" s="189" t="s">
        <v>120</v>
      </c>
      <c r="T54" s="189" t="s">
        <v>121</v>
      </c>
      <c r="V54" s="189" t="s">
        <v>192</v>
      </c>
      <c r="W54" s="189" t="s">
        <v>168</v>
      </c>
      <c r="X54" s="189" t="s">
        <v>250</v>
      </c>
      <c r="Y54" s="189" t="s">
        <v>2108</v>
      </c>
      <c r="Z54" s="0" t="n">
        <v>2</v>
      </c>
      <c r="AA54" s="189" t="s">
        <v>2151</v>
      </c>
    </row>
    <row r="55" customFormat="false" ht="15" hidden="false" customHeight="true" outlineLevel="0" collapsed="false">
      <c r="A55" s="0" t="n">
        <v>11</v>
      </c>
      <c r="B55" s="188" t="n">
        <v>46103.178902483</v>
      </c>
      <c r="C55" s="188" t="n">
        <v>46103.1868422978</v>
      </c>
      <c r="D55" s="189" t="s">
        <v>240</v>
      </c>
      <c r="E55" s="189" t="s">
        <v>241</v>
      </c>
      <c r="F55" s="189" t="s">
        <v>242</v>
      </c>
      <c r="G55" s="189" t="s">
        <v>243</v>
      </c>
      <c r="H55" s="188" t="n">
        <v>46099</v>
      </c>
      <c r="I55" s="189" t="s">
        <v>113</v>
      </c>
      <c r="J55" s="189" t="s">
        <v>108</v>
      </c>
      <c r="K55" s="189" t="s">
        <v>245</v>
      </c>
      <c r="L55" s="189" t="s">
        <v>246</v>
      </c>
      <c r="M55" s="189" t="s">
        <v>248</v>
      </c>
      <c r="N55" s="189" t="s">
        <v>249</v>
      </c>
      <c r="O55" s="189" t="s">
        <v>244</v>
      </c>
      <c r="P55" s="189" t="s">
        <v>111</v>
      </c>
      <c r="Q55" s="189" t="s">
        <v>247</v>
      </c>
      <c r="R55" s="189" t="s">
        <v>21</v>
      </c>
      <c r="S55" s="189" t="s">
        <v>120</v>
      </c>
      <c r="T55" s="189" t="s">
        <v>121</v>
      </c>
      <c r="V55" s="189" t="s">
        <v>192</v>
      </c>
      <c r="W55" s="189" t="s">
        <v>168</v>
      </c>
      <c r="X55" s="189" t="s">
        <v>250</v>
      </c>
      <c r="Y55" s="189" t="s">
        <v>2108</v>
      </c>
      <c r="Z55" s="0" t="n">
        <v>3</v>
      </c>
      <c r="AA55" s="189" t="s">
        <v>2139</v>
      </c>
    </row>
    <row r="56" customFormat="false" ht="15" hidden="false" customHeight="true" outlineLevel="0" collapsed="false">
      <c r="A56" s="0" t="n">
        <v>11</v>
      </c>
      <c r="B56" s="188" t="n">
        <v>46103.178902483</v>
      </c>
      <c r="C56" s="188" t="n">
        <v>46103.1868422978</v>
      </c>
      <c r="D56" s="189" t="s">
        <v>240</v>
      </c>
      <c r="E56" s="189" t="s">
        <v>241</v>
      </c>
      <c r="F56" s="189" t="s">
        <v>242</v>
      </c>
      <c r="G56" s="189" t="s">
        <v>243</v>
      </c>
      <c r="H56" s="188" t="n">
        <v>46099</v>
      </c>
      <c r="I56" s="189" t="s">
        <v>113</v>
      </c>
      <c r="J56" s="189" t="s">
        <v>108</v>
      </c>
      <c r="K56" s="189" t="s">
        <v>245</v>
      </c>
      <c r="L56" s="189" t="s">
        <v>246</v>
      </c>
      <c r="M56" s="189" t="s">
        <v>248</v>
      </c>
      <c r="N56" s="189" t="s">
        <v>249</v>
      </c>
      <c r="O56" s="189" t="s">
        <v>244</v>
      </c>
      <c r="P56" s="189" t="s">
        <v>111</v>
      </c>
      <c r="Q56" s="189" t="s">
        <v>247</v>
      </c>
      <c r="R56" s="189" t="s">
        <v>21</v>
      </c>
      <c r="S56" s="189" t="s">
        <v>120</v>
      </c>
      <c r="T56" s="189" t="s">
        <v>121</v>
      </c>
      <c r="V56" s="189" t="s">
        <v>192</v>
      </c>
      <c r="W56" s="189" t="s">
        <v>168</v>
      </c>
      <c r="X56" s="189" t="s">
        <v>250</v>
      </c>
      <c r="Y56" s="189" t="s">
        <v>2110</v>
      </c>
      <c r="Z56" s="0" t="n">
        <v>1</v>
      </c>
      <c r="AA56" s="189" t="s">
        <v>122</v>
      </c>
    </row>
    <row r="57" customFormat="false" ht="15" hidden="false" customHeight="true" outlineLevel="0" collapsed="false">
      <c r="A57" s="0" t="n">
        <v>11</v>
      </c>
      <c r="B57" s="188" t="n">
        <v>46103.178902483</v>
      </c>
      <c r="C57" s="188" t="n">
        <v>46103.1868422978</v>
      </c>
      <c r="D57" s="189" t="s">
        <v>240</v>
      </c>
      <c r="E57" s="189" t="s">
        <v>241</v>
      </c>
      <c r="F57" s="189" t="s">
        <v>242</v>
      </c>
      <c r="G57" s="189" t="s">
        <v>243</v>
      </c>
      <c r="H57" s="188" t="n">
        <v>46099</v>
      </c>
      <c r="I57" s="189" t="s">
        <v>113</v>
      </c>
      <c r="J57" s="189" t="s">
        <v>108</v>
      </c>
      <c r="K57" s="189" t="s">
        <v>245</v>
      </c>
      <c r="L57" s="189" t="s">
        <v>246</v>
      </c>
      <c r="M57" s="189" t="s">
        <v>248</v>
      </c>
      <c r="N57" s="189" t="s">
        <v>249</v>
      </c>
      <c r="O57" s="189" t="s">
        <v>244</v>
      </c>
      <c r="P57" s="189" t="s">
        <v>111</v>
      </c>
      <c r="Q57" s="189" t="s">
        <v>247</v>
      </c>
      <c r="R57" s="189" t="s">
        <v>21</v>
      </c>
      <c r="S57" s="189" t="s">
        <v>120</v>
      </c>
      <c r="T57" s="189" t="s">
        <v>121</v>
      </c>
      <c r="V57" s="189" t="s">
        <v>192</v>
      </c>
      <c r="W57" s="189" t="s">
        <v>168</v>
      </c>
      <c r="X57" s="189" t="s">
        <v>250</v>
      </c>
      <c r="Y57" s="189" t="s">
        <v>2113</v>
      </c>
      <c r="Z57" s="0" t="n">
        <v>1</v>
      </c>
      <c r="AA57" s="189" t="s">
        <v>2152</v>
      </c>
    </row>
    <row r="58" customFormat="false" ht="15" hidden="false" customHeight="true" outlineLevel="0" collapsed="false">
      <c r="A58" s="0" t="n">
        <v>11</v>
      </c>
      <c r="B58" s="188" t="n">
        <v>46103.178902483</v>
      </c>
      <c r="C58" s="188" t="n">
        <v>46103.1868422978</v>
      </c>
      <c r="D58" s="189" t="s">
        <v>240</v>
      </c>
      <c r="E58" s="189" t="s">
        <v>241</v>
      </c>
      <c r="F58" s="189" t="s">
        <v>242</v>
      </c>
      <c r="G58" s="189" t="s">
        <v>243</v>
      </c>
      <c r="H58" s="188" t="n">
        <v>46099</v>
      </c>
      <c r="I58" s="189" t="s">
        <v>113</v>
      </c>
      <c r="J58" s="189" t="s">
        <v>108</v>
      </c>
      <c r="K58" s="189" t="s">
        <v>245</v>
      </c>
      <c r="L58" s="189" t="s">
        <v>246</v>
      </c>
      <c r="M58" s="189" t="s">
        <v>248</v>
      </c>
      <c r="N58" s="189" t="s">
        <v>249</v>
      </c>
      <c r="O58" s="189" t="s">
        <v>244</v>
      </c>
      <c r="P58" s="189" t="s">
        <v>111</v>
      </c>
      <c r="Q58" s="189" t="s">
        <v>247</v>
      </c>
      <c r="R58" s="189" t="s">
        <v>21</v>
      </c>
      <c r="S58" s="189" t="s">
        <v>120</v>
      </c>
      <c r="T58" s="189" t="s">
        <v>121</v>
      </c>
      <c r="V58" s="189" t="s">
        <v>192</v>
      </c>
      <c r="W58" s="189" t="s">
        <v>168</v>
      </c>
      <c r="X58" s="189" t="s">
        <v>250</v>
      </c>
      <c r="Y58" s="189" t="s">
        <v>2113</v>
      </c>
      <c r="Z58" s="0" t="n">
        <v>2</v>
      </c>
      <c r="AA58" s="189" t="s">
        <v>122</v>
      </c>
    </row>
    <row r="59" customFormat="false" ht="15" hidden="false" customHeight="true" outlineLevel="0" collapsed="false">
      <c r="A59" s="0" t="n">
        <v>12</v>
      </c>
      <c r="B59" s="188" t="n">
        <v>46156.1186367163</v>
      </c>
      <c r="C59" s="188" t="n">
        <v>46156.1256274571</v>
      </c>
      <c r="D59" s="189" t="s">
        <v>254</v>
      </c>
      <c r="E59" s="189" t="s">
        <v>255</v>
      </c>
      <c r="F59" s="189" t="s">
        <v>255</v>
      </c>
      <c r="G59" s="189" t="s">
        <v>256</v>
      </c>
      <c r="H59" s="188" t="n">
        <v>46151</v>
      </c>
      <c r="I59" s="189" t="s">
        <v>132</v>
      </c>
      <c r="J59" s="189" t="s">
        <v>108</v>
      </c>
      <c r="K59" s="189" t="s">
        <v>257</v>
      </c>
      <c r="L59" s="189" t="s">
        <v>159</v>
      </c>
      <c r="M59" s="189" t="s">
        <v>258</v>
      </c>
      <c r="N59" s="189" t="s">
        <v>259</v>
      </c>
      <c r="O59" s="189" t="s">
        <v>157</v>
      </c>
      <c r="P59" s="189" t="s">
        <v>131</v>
      </c>
      <c r="Q59" s="189" t="s">
        <v>145</v>
      </c>
      <c r="R59" s="189" t="s">
        <v>24</v>
      </c>
      <c r="S59" s="189" t="s">
        <v>120</v>
      </c>
      <c r="T59" s="189" t="s">
        <v>264</v>
      </c>
      <c r="U59" s="189" t="s">
        <v>122</v>
      </c>
      <c r="V59" s="189" t="s">
        <v>123</v>
      </c>
      <c r="W59" s="189" t="s">
        <v>124</v>
      </c>
      <c r="X59" s="189" t="s">
        <v>260</v>
      </c>
      <c r="Y59" s="189" t="s">
        <v>2108</v>
      </c>
      <c r="Z59" s="0" t="n">
        <v>1</v>
      </c>
      <c r="AA59" s="189" t="s">
        <v>2153</v>
      </c>
    </row>
    <row r="60" customFormat="false" ht="15" hidden="false" customHeight="true" outlineLevel="0" collapsed="false">
      <c r="A60" s="0" t="n">
        <v>12</v>
      </c>
      <c r="B60" s="188" t="n">
        <v>46156.1186367163</v>
      </c>
      <c r="C60" s="188" t="n">
        <v>46156.1256274571</v>
      </c>
      <c r="D60" s="189" t="s">
        <v>254</v>
      </c>
      <c r="E60" s="189" t="s">
        <v>255</v>
      </c>
      <c r="F60" s="189" t="s">
        <v>255</v>
      </c>
      <c r="G60" s="189" t="s">
        <v>256</v>
      </c>
      <c r="H60" s="188" t="n">
        <v>46151</v>
      </c>
      <c r="I60" s="189" t="s">
        <v>132</v>
      </c>
      <c r="J60" s="189" t="s">
        <v>108</v>
      </c>
      <c r="K60" s="189" t="s">
        <v>257</v>
      </c>
      <c r="L60" s="189" t="s">
        <v>159</v>
      </c>
      <c r="M60" s="189" t="s">
        <v>258</v>
      </c>
      <c r="N60" s="189" t="s">
        <v>259</v>
      </c>
      <c r="O60" s="189" t="s">
        <v>157</v>
      </c>
      <c r="P60" s="189" t="s">
        <v>131</v>
      </c>
      <c r="Q60" s="189" t="s">
        <v>145</v>
      </c>
      <c r="R60" s="189" t="s">
        <v>24</v>
      </c>
      <c r="S60" s="189" t="s">
        <v>120</v>
      </c>
      <c r="T60" s="189" t="s">
        <v>264</v>
      </c>
      <c r="U60" s="189" t="s">
        <v>122</v>
      </c>
      <c r="V60" s="189" t="s">
        <v>123</v>
      </c>
      <c r="W60" s="189" t="s">
        <v>124</v>
      </c>
      <c r="X60" s="189" t="s">
        <v>260</v>
      </c>
      <c r="Y60" s="189" t="s">
        <v>2108</v>
      </c>
      <c r="Z60" s="0" t="n">
        <v>2</v>
      </c>
      <c r="AA60" s="189" t="s">
        <v>2154</v>
      </c>
    </row>
    <row r="61" customFormat="false" ht="15" hidden="false" customHeight="true" outlineLevel="0" collapsed="false">
      <c r="A61" s="0" t="n">
        <v>12</v>
      </c>
      <c r="B61" s="188" t="n">
        <v>46156.1186367163</v>
      </c>
      <c r="C61" s="188" t="n">
        <v>46156.1256274571</v>
      </c>
      <c r="D61" s="189" t="s">
        <v>254</v>
      </c>
      <c r="E61" s="189" t="s">
        <v>255</v>
      </c>
      <c r="F61" s="189" t="s">
        <v>255</v>
      </c>
      <c r="G61" s="189" t="s">
        <v>256</v>
      </c>
      <c r="H61" s="188" t="n">
        <v>46151</v>
      </c>
      <c r="I61" s="189" t="s">
        <v>132</v>
      </c>
      <c r="J61" s="189" t="s">
        <v>108</v>
      </c>
      <c r="K61" s="189" t="s">
        <v>257</v>
      </c>
      <c r="L61" s="189" t="s">
        <v>159</v>
      </c>
      <c r="M61" s="189" t="s">
        <v>258</v>
      </c>
      <c r="N61" s="189" t="s">
        <v>259</v>
      </c>
      <c r="O61" s="189" t="s">
        <v>157</v>
      </c>
      <c r="P61" s="189" t="s">
        <v>131</v>
      </c>
      <c r="Q61" s="189" t="s">
        <v>145</v>
      </c>
      <c r="R61" s="189" t="s">
        <v>24</v>
      </c>
      <c r="S61" s="189" t="s">
        <v>120</v>
      </c>
      <c r="T61" s="189" t="s">
        <v>264</v>
      </c>
      <c r="U61" s="189" t="s">
        <v>122</v>
      </c>
      <c r="V61" s="189" t="s">
        <v>123</v>
      </c>
      <c r="W61" s="189" t="s">
        <v>124</v>
      </c>
      <c r="X61" s="189" t="s">
        <v>260</v>
      </c>
      <c r="Y61" s="189" t="s">
        <v>2110</v>
      </c>
      <c r="Z61" s="0" t="n">
        <v>1</v>
      </c>
      <c r="AA61" s="189" t="s">
        <v>2155</v>
      </c>
    </row>
    <row r="62" customFormat="false" ht="15" hidden="false" customHeight="true" outlineLevel="0" collapsed="false">
      <c r="A62" s="0" t="n">
        <v>12</v>
      </c>
      <c r="B62" s="188" t="n">
        <v>46156.1186367163</v>
      </c>
      <c r="C62" s="188" t="n">
        <v>46156.1256274571</v>
      </c>
      <c r="D62" s="189" t="s">
        <v>254</v>
      </c>
      <c r="E62" s="189" t="s">
        <v>255</v>
      </c>
      <c r="F62" s="189" t="s">
        <v>255</v>
      </c>
      <c r="G62" s="189" t="s">
        <v>256</v>
      </c>
      <c r="H62" s="188" t="n">
        <v>46151</v>
      </c>
      <c r="I62" s="189" t="s">
        <v>132</v>
      </c>
      <c r="J62" s="189" t="s">
        <v>108</v>
      </c>
      <c r="K62" s="189" t="s">
        <v>257</v>
      </c>
      <c r="L62" s="189" t="s">
        <v>159</v>
      </c>
      <c r="M62" s="189" t="s">
        <v>258</v>
      </c>
      <c r="N62" s="189" t="s">
        <v>259</v>
      </c>
      <c r="O62" s="189" t="s">
        <v>157</v>
      </c>
      <c r="P62" s="189" t="s">
        <v>131</v>
      </c>
      <c r="Q62" s="189" t="s">
        <v>145</v>
      </c>
      <c r="R62" s="189" t="s">
        <v>24</v>
      </c>
      <c r="S62" s="189" t="s">
        <v>120</v>
      </c>
      <c r="T62" s="189" t="s">
        <v>264</v>
      </c>
      <c r="U62" s="189" t="s">
        <v>122</v>
      </c>
      <c r="V62" s="189" t="s">
        <v>123</v>
      </c>
      <c r="W62" s="189" t="s">
        <v>124</v>
      </c>
      <c r="X62" s="189" t="s">
        <v>260</v>
      </c>
      <c r="Y62" s="189" t="s">
        <v>2113</v>
      </c>
      <c r="Z62" s="0" t="n">
        <v>1</v>
      </c>
      <c r="AA62" s="189" t="s">
        <v>2156</v>
      </c>
    </row>
    <row r="63" customFormat="false" ht="15" hidden="false" customHeight="true" outlineLevel="0" collapsed="false">
      <c r="A63" s="0" t="n">
        <v>12</v>
      </c>
      <c r="B63" s="188" t="n">
        <v>46156.1186367163</v>
      </c>
      <c r="C63" s="188" t="n">
        <v>46156.1256274571</v>
      </c>
      <c r="D63" s="189" t="s">
        <v>254</v>
      </c>
      <c r="E63" s="189" t="s">
        <v>255</v>
      </c>
      <c r="F63" s="189" t="s">
        <v>255</v>
      </c>
      <c r="G63" s="189" t="s">
        <v>256</v>
      </c>
      <c r="H63" s="188" t="n">
        <v>46151</v>
      </c>
      <c r="I63" s="189" t="s">
        <v>132</v>
      </c>
      <c r="J63" s="189" t="s">
        <v>108</v>
      </c>
      <c r="K63" s="189" t="s">
        <v>257</v>
      </c>
      <c r="L63" s="189" t="s">
        <v>159</v>
      </c>
      <c r="M63" s="189" t="s">
        <v>258</v>
      </c>
      <c r="N63" s="189" t="s">
        <v>259</v>
      </c>
      <c r="O63" s="189" t="s">
        <v>157</v>
      </c>
      <c r="P63" s="189" t="s">
        <v>131</v>
      </c>
      <c r="Q63" s="189" t="s">
        <v>145</v>
      </c>
      <c r="R63" s="189" t="s">
        <v>24</v>
      </c>
      <c r="S63" s="189" t="s">
        <v>120</v>
      </c>
      <c r="T63" s="189" t="s">
        <v>264</v>
      </c>
      <c r="U63" s="189" t="s">
        <v>122</v>
      </c>
      <c r="V63" s="189" t="s">
        <v>123</v>
      </c>
      <c r="W63" s="189" t="s">
        <v>124</v>
      </c>
      <c r="X63" s="189" t="s">
        <v>260</v>
      </c>
      <c r="Y63" s="189" t="s">
        <v>2113</v>
      </c>
      <c r="Z63" s="0" t="n">
        <v>2</v>
      </c>
      <c r="AA63" s="189" t="s">
        <v>2157</v>
      </c>
    </row>
    <row r="64" customFormat="false" ht="15" hidden="false" customHeight="true" outlineLevel="0" collapsed="false">
      <c r="A64" s="0" t="n">
        <v>13</v>
      </c>
      <c r="B64" s="188" t="n">
        <v>46166.8784870508</v>
      </c>
      <c r="C64" s="188" t="n">
        <v>46166.8919476989</v>
      </c>
      <c r="D64" s="189" t="s">
        <v>265</v>
      </c>
      <c r="E64" s="189" t="s">
        <v>266</v>
      </c>
      <c r="F64" s="189" t="s">
        <v>266</v>
      </c>
      <c r="G64" s="189" t="s">
        <v>267</v>
      </c>
      <c r="H64" s="188" t="n">
        <v>46149</v>
      </c>
      <c r="I64" s="189" t="s">
        <v>113</v>
      </c>
      <c r="J64" s="189" t="s">
        <v>108</v>
      </c>
      <c r="K64" s="189" t="s">
        <v>232</v>
      </c>
      <c r="L64" s="189" t="s">
        <v>268</v>
      </c>
      <c r="M64" s="189" t="s">
        <v>269</v>
      </c>
      <c r="N64" s="189" t="s">
        <v>270</v>
      </c>
      <c r="O64" s="189" t="s">
        <v>172</v>
      </c>
      <c r="P64" s="189" t="s">
        <v>111</v>
      </c>
      <c r="Q64" s="189" t="s">
        <v>198</v>
      </c>
      <c r="R64" s="189" t="s">
        <v>22</v>
      </c>
      <c r="S64" s="189" t="s">
        <v>152</v>
      </c>
      <c r="T64" s="189" t="s">
        <v>228</v>
      </c>
      <c r="U64" s="189" t="s">
        <v>122</v>
      </c>
      <c r="V64" s="189" t="s">
        <v>192</v>
      </c>
      <c r="W64" s="189" t="s">
        <v>124</v>
      </c>
      <c r="X64" s="189" t="s">
        <v>271</v>
      </c>
      <c r="Y64" s="189" t="s">
        <v>2108</v>
      </c>
      <c r="Z64" s="0" t="n">
        <v>1</v>
      </c>
      <c r="AA64" s="189" t="s">
        <v>2158</v>
      </c>
    </row>
    <row r="65" customFormat="false" ht="15" hidden="false" customHeight="true" outlineLevel="0" collapsed="false">
      <c r="A65" s="0" t="n">
        <v>13</v>
      </c>
      <c r="B65" s="188" t="n">
        <v>46166.8784870508</v>
      </c>
      <c r="C65" s="188" t="n">
        <v>46166.8919476989</v>
      </c>
      <c r="D65" s="189" t="s">
        <v>265</v>
      </c>
      <c r="E65" s="189" t="s">
        <v>266</v>
      </c>
      <c r="F65" s="189" t="s">
        <v>266</v>
      </c>
      <c r="G65" s="189" t="s">
        <v>267</v>
      </c>
      <c r="H65" s="188" t="n">
        <v>46149</v>
      </c>
      <c r="I65" s="189" t="s">
        <v>113</v>
      </c>
      <c r="J65" s="189" t="s">
        <v>108</v>
      </c>
      <c r="K65" s="189" t="s">
        <v>232</v>
      </c>
      <c r="L65" s="189" t="s">
        <v>268</v>
      </c>
      <c r="M65" s="189" t="s">
        <v>269</v>
      </c>
      <c r="N65" s="189" t="s">
        <v>270</v>
      </c>
      <c r="O65" s="189" t="s">
        <v>172</v>
      </c>
      <c r="P65" s="189" t="s">
        <v>111</v>
      </c>
      <c r="Q65" s="189" t="s">
        <v>198</v>
      </c>
      <c r="R65" s="189" t="s">
        <v>22</v>
      </c>
      <c r="S65" s="189" t="s">
        <v>152</v>
      </c>
      <c r="T65" s="189" t="s">
        <v>228</v>
      </c>
      <c r="U65" s="189" t="s">
        <v>122</v>
      </c>
      <c r="V65" s="189" t="s">
        <v>192</v>
      </c>
      <c r="W65" s="189" t="s">
        <v>124</v>
      </c>
      <c r="X65" s="189" t="s">
        <v>271</v>
      </c>
      <c r="Y65" s="189" t="s">
        <v>2108</v>
      </c>
      <c r="Z65" s="0" t="n">
        <v>2</v>
      </c>
      <c r="AA65" s="189" t="s">
        <v>2159</v>
      </c>
    </row>
    <row r="66" customFormat="false" ht="15" hidden="false" customHeight="true" outlineLevel="0" collapsed="false">
      <c r="A66" s="0" t="n">
        <v>13</v>
      </c>
      <c r="B66" s="188" t="n">
        <v>46166.8784870508</v>
      </c>
      <c r="C66" s="188" t="n">
        <v>46166.8919476989</v>
      </c>
      <c r="D66" s="189" t="s">
        <v>265</v>
      </c>
      <c r="E66" s="189" t="s">
        <v>266</v>
      </c>
      <c r="F66" s="189" t="s">
        <v>266</v>
      </c>
      <c r="G66" s="189" t="s">
        <v>267</v>
      </c>
      <c r="H66" s="188" t="n">
        <v>46149</v>
      </c>
      <c r="I66" s="189" t="s">
        <v>113</v>
      </c>
      <c r="J66" s="189" t="s">
        <v>108</v>
      </c>
      <c r="K66" s="189" t="s">
        <v>232</v>
      </c>
      <c r="L66" s="189" t="s">
        <v>268</v>
      </c>
      <c r="M66" s="189" t="s">
        <v>269</v>
      </c>
      <c r="N66" s="189" t="s">
        <v>270</v>
      </c>
      <c r="O66" s="189" t="s">
        <v>172</v>
      </c>
      <c r="P66" s="189" t="s">
        <v>111</v>
      </c>
      <c r="Q66" s="189" t="s">
        <v>198</v>
      </c>
      <c r="R66" s="189" t="s">
        <v>22</v>
      </c>
      <c r="S66" s="189" t="s">
        <v>152</v>
      </c>
      <c r="T66" s="189" t="s">
        <v>228</v>
      </c>
      <c r="U66" s="189" t="s">
        <v>122</v>
      </c>
      <c r="V66" s="189" t="s">
        <v>192</v>
      </c>
      <c r="W66" s="189" t="s">
        <v>124</v>
      </c>
      <c r="X66" s="189" t="s">
        <v>271</v>
      </c>
      <c r="Y66" s="189" t="s">
        <v>2110</v>
      </c>
      <c r="Z66" s="0" t="n">
        <v>1</v>
      </c>
      <c r="AA66" s="189" t="s">
        <v>2160</v>
      </c>
    </row>
    <row r="67" customFormat="false" ht="15" hidden="false" customHeight="true" outlineLevel="0" collapsed="false">
      <c r="A67" s="0" t="n">
        <v>13</v>
      </c>
      <c r="B67" s="188" t="n">
        <v>46166.8784870508</v>
      </c>
      <c r="C67" s="188" t="n">
        <v>46166.8919476989</v>
      </c>
      <c r="D67" s="189" t="s">
        <v>265</v>
      </c>
      <c r="E67" s="189" t="s">
        <v>266</v>
      </c>
      <c r="F67" s="189" t="s">
        <v>266</v>
      </c>
      <c r="G67" s="189" t="s">
        <v>267</v>
      </c>
      <c r="H67" s="188" t="n">
        <v>46149</v>
      </c>
      <c r="I67" s="189" t="s">
        <v>113</v>
      </c>
      <c r="J67" s="189" t="s">
        <v>108</v>
      </c>
      <c r="K67" s="189" t="s">
        <v>232</v>
      </c>
      <c r="L67" s="189" t="s">
        <v>268</v>
      </c>
      <c r="M67" s="189" t="s">
        <v>269</v>
      </c>
      <c r="N67" s="189" t="s">
        <v>270</v>
      </c>
      <c r="O67" s="189" t="s">
        <v>172</v>
      </c>
      <c r="P67" s="189" t="s">
        <v>111</v>
      </c>
      <c r="Q67" s="189" t="s">
        <v>198</v>
      </c>
      <c r="R67" s="189" t="s">
        <v>22</v>
      </c>
      <c r="S67" s="189" t="s">
        <v>152</v>
      </c>
      <c r="T67" s="189" t="s">
        <v>228</v>
      </c>
      <c r="U67" s="189" t="s">
        <v>122</v>
      </c>
      <c r="V67" s="189" t="s">
        <v>192</v>
      </c>
      <c r="W67" s="189" t="s">
        <v>124</v>
      </c>
      <c r="X67" s="189" t="s">
        <v>271</v>
      </c>
      <c r="Y67" s="189" t="s">
        <v>2110</v>
      </c>
      <c r="Z67" s="0" t="n">
        <v>2</v>
      </c>
      <c r="AA67" s="189" t="s">
        <v>2161</v>
      </c>
    </row>
    <row r="68" customFormat="false" ht="15" hidden="false" customHeight="true" outlineLevel="0" collapsed="false">
      <c r="A68" s="0" t="n">
        <v>13</v>
      </c>
      <c r="B68" s="188" t="n">
        <v>46166.8784870508</v>
      </c>
      <c r="C68" s="188" t="n">
        <v>46166.8919476989</v>
      </c>
      <c r="D68" s="189" t="s">
        <v>265</v>
      </c>
      <c r="E68" s="189" t="s">
        <v>266</v>
      </c>
      <c r="F68" s="189" t="s">
        <v>266</v>
      </c>
      <c r="G68" s="189" t="s">
        <v>267</v>
      </c>
      <c r="H68" s="188" t="n">
        <v>46149</v>
      </c>
      <c r="I68" s="189" t="s">
        <v>113</v>
      </c>
      <c r="J68" s="189" t="s">
        <v>108</v>
      </c>
      <c r="K68" s="189" t="s">
        <v>232</v>
      </c>
      <c r="L68" s="189" t="s">
        <v>268</v>
      </c>
      <c r="M68" s="189" t="s">
        <v>269</v>
      </c>
      <c r="N68" s="189" t="s">
        <v>270</v>
      </c>
      <c r="O68" s="189" t="s">
        <v>172</v>
      </c>
      <c r="P68" s="189" t="s">
        <v>111</v>
      </c>
      <c r="Q68" s="189" t="s">
        <v>198</v>
      </c>
      <c r="R68" s="189" t="s">
        <v>22</v>
      </c>
      <c r="S68" s="189" t="s">
        <v>152</v>
      </c>
      <c r="T68" s="189" t="s">
        <v>228</v>
      </c>
      <c r="U68" s="189" t="s">
        <v>122</v>
      </c>
      <c r="V68" s="189" t="s">
        <v>192</v>
      </c>
      <c r="W68" s="189" t="s">
        <v>124</v>
      </c>
      <c r="X68" s="189" t="s">
        <v>271</v>
      </c>
      <c r="Y68" s="189" t="s">
        <v>2113</v>
      </c>
      <c r="Z68" s="0" t="n">
        <v>1</v>
      </c>
      <c r="AA68" s="189" t="s">
        <v>2162</v>
      </c>
    </row>
    <row r="69" customFormat="false" ht="15" hidden="false" customHeight="true" outlineLevel="0" collapsed="false">
      <c r="A69" s="0" t="n">
        <v>13</v>
      </c>
      <c r="B69" s="188" t="n">
        <v>46166.8784870508</v>
      </c>
      <c r="C69" s="188" t="n">
        <v>46166.8919476989</v>
      </c>
      <c r="D69" s="189" t="s">
        <v>265</v>
      </c>
      <c r="E69" s="189" t="s">
        <v>266</v>
      </c>
      <c r="F69" s="189" t="s">
        <v>266</v>
      </c>
      <c r="G69" s="189" t="s">
        <v>267</v>
      </c>
      <c r="H69" s="188" t="n">
        <v>46149</v>
      </c>
      <c r="I69" s="189" t="s">
        <v>113</v>
      </c>
      <c r="J69" s="189" t="s">
        <v>108</v>
      </c>
      <c r="K69" s="189" t="s">
        <v>232</v>
      </c>
      <c r="L69" s="189" t="s">
        <v>268</v>
      </c>
      <c r="M69" s="189" t="s">
        <v>269</v>
      </c>
      <c r="N69" s="189" t="s">
        <v>270</v>
      </c>
      <c r="O69" s="189" t="s">
        <v>172</v>
      </c>
      <c r="P69" s="189" t="s">
        <v>111</v>
      </c>
      <c r="Q69" s="189" t="s">
        <v>198</v>
      </c>
      <c r="R69" s="189" t="s">
        <v>22</v>
      </c>
      <c r="S69" s="189" t="s">
        <v>152</v>
      </c>
      <c r="T69" s="189" t="s">
        <v>228</v>
      </c>
      <c r="U69" s="189" t="s">
        <v>122</v>
      </c>
      <c r="V69" s="189" t="s">
        <v>192</v>
      </c>
      <c r="W69" s="189" t="s">
        <v>124</v>
      </c>
      <c r="X69" s="189" t="s">
        <v>271</v>
      </c>
      <c r="Y69" s="189" t="s">
        <v>2113</v>
      </c>
      <c r="Z69" s="0" t="n">
        <v>2</v>
      </c>
      <c r="AA69" s="189" t="s">
        <v>2163</v>
      </c>
    </row>
    <row r="70" customFormat="false" ht="15" hidden="false" customHeight="true" outlineLevel="0" collapsed="false">
      <c r="A70" s="0" t="n">
        <v>14</v>
      </c>
      <c r="B70" s="188" t="n">
        <v>46083.0691412336</v>
      </c>
      <c r="C70" s="188" t="n">
        <v>46083.0783541965</v>
      </c>
      <c r="D70" s="189" t="s">
        <v>275</v>
      </c>
      <c r="E70" s="189" t="s">
        <v>276</v>
      </c>
      <c r="F70" s="189" t="s">
        <v>276</v>
      </c>
      <c r="G70" s="189" t="s">
        <v>277</v>
      </c>
      <c r="H70" s="188" t="n">
        <v>46080</v>
      </c>
      <c r="I70" s="189" t="s">
        <v>113</v>
      </c>
      <c r="J70" s="189" t="s">
        <v>108</v>
      </c>
      <c r="K70" s="189" t="s">
        <v>245</v>
      </c>
      <c r="L70" s="189" t="s">
        <v>144</v>
      </c>
      <c r="M70" s="189" t="s">
        <v>279</v>
      </c>
      <c r="N70" s="189" t="s">
        <v>280</v>
      </c>
      <c r="O70" s="189" t="s">
        <v>278</v>
      </c>
      <c r="P70" s="189" t="s">
        <v>111</v>
      </c>
      <c r="Q70" s="189" t="s">
        <v>112</v>
      </c>
      <c r="R70" s="189" t="s">
        <v>24</v>
      </c>
      <c r="S70" s="189" t="s">
        <v>120</v>
      </c>
      <c r="T70" s="189" t="s">
        <v>180</v>
      </c>
      <c r="V70" s="189" t="s">
        <v>192</v>
      </c>
      <c r="W70" s="189" t="s">
        <v>124</v>
      </c>
      <c r="X70" s="189" t="s">
        <v>223</v>
      </c>
      <c r="Y70" s="189" t="s">
        <v>2108</v>
      </c>
      <c r="Z70" s="0" t="n">
        <v>1</v>
      </c>
      <c r="AA70" s="189" t="s">
        <v>2164</v>
      </c>
    </row>
    <row r="71" customFormat="false" ht="15" hidden="false" customHeight="true" outlineLevel="0" collapsed="false">
      <c r="A71" s="0" t="n">
        <v>14</v>
      </c>
      <c r="B71" s="188" t="n">
        <v>46083.0691412336</v>
      </c>
      <c r="C71" s="188" t="n">
        <v>46083.0783541965</v>
      </c>
      <c r="D71" s="189" t="s">
        <v>275</v>
      </c>
      <c r="E71" s="189" t="s">
        <v>276</v>
      </c>
      <c r="F71" s="189" t="s">
        <v>276</v>
      </c>
      <c r="G71" s="189" t="s">
        <v>277</v>
      </c>
      <c r="H71" s="188" t="n">
        <v>46080</v>
      </c>
      <c r="I71" s="189" t="s">
        <v>113</v>
      </c>
      <c r="J71" s="189" t="s">
        <v>108</v>
      </c>
      <c r="K71" s="189" t="s">
        <v>245</v>
      </c>
      <c r="L71" s="189" t="s">
        <v>144</v>
      </c>
      <c r="M71" s="189" t="s">
        <v>279</v>
      </c>
      <c r="N71" s="189" t="s">
        <v>280</v>
      </c>
      <c r="O71" s="189" t="s">
        <v>278</v>
      </c>
      <c r="P71" s="189" t="s">
        <v>111</v>
      </c>
      <c r="Q71" s="189" t="s">
        <v>112</v>
      </c>
      <c r="R71" s="189" t="s">
        <v>24</v>
      </c>
      <c r="S71" s="189" t="s">
        <v>120</v>
      </c>
      <c r="T71" s="189" t="s">
        <v>180</v>
      </c>
      <c r="V71" s="189" t="s">
        <v>192</v>
      </c>
      <c r="W71" s="189" t="s">
        <v>124</v>
      </c>
      <c r="X71" s="189" t="s">
        <v>223</v>
      </c>
      <c r="Y71" s="189" t="s">
        <v>2108</v>
      </c>
      <c r="Z71" s="0" t="n">
        <v>2</v>
      </c>
      <c r="AA71" s="189" t="s">
        <v>2141</v>
      </c>
    </row>
    <row r="72" customFormat="false" ht="15" hidden="false" customHeight="true" outlineLevel="0" collapsed="false">
      <c r="A72" s="0" t="n">
        <v>14</v>
      </c>
      <c r="B72" s="188" t="n">
        <v>46083.0691412336</v>
      </c>
      <c r="C72" s="188" t="n">
        <v>46083.0783541965</v>
      </c>
      <c r="D72" s="189" t="s">
        <v>275</v>
      </c>
      <c r="E72" s="189" t="s">
        <v>276</v>
      </c>
      <c r="F72" s="189" t="s">
        <v>276</v>
      </c>
      <c r="G72" s="189" t="s">
        <v>277</v>
      </c>
      <c r="H72" s="188" t="n">
        <v>46080</v>
      </c>
      <c r="I72" s="189" t="s">
        <v>113</v>
      </c>
      <c r="J72" s="189" t="s">
        <v>108</v>
      </c>
      <c r="K72" s="189" t="s">
        <v>245</v>
      </c>
      <c r="L72" s="189" t="s">
        <v>144</v>
      </c>
      <c r="M72" s="189" t="s">
        <v>279</v>
      </c>
      <c r="N72" s="189" t="s">
        <v>280</v>
      </c>
      <c r="O72" s="189" t="s">
        <v>278</v>
      </c>
      <c r="P72" s="189" t="s">
        <v>111</v>
      </c>
      <c r="Q72" s="189" t="s">
        <v>112</v>
      </c>
      <c r="R72" s="189" t="s">
        <v>24</v>
      </c>
      <c r="S72" s="189" t="s">
        <v>120</v>
      </c>
      <c r="T72" s="189" t="s">
        <v>180</v>
      </c>
      <c r="V72" s="189" t="s">
        <v>192</v>
      </c>
      <c r="W72" s="189" t="s">
        <v>124</v>
      </c>
      <c r="X72" s="189" t="s">
        <v>223</v>
      </c>
      <c r="Y72" s="189" t="s">
        <v>2108</v>
      </c>
      <c r="Z72" s="0" t="n">
        <v>3</v>
      </c>
      <c r="AA72" s="189" t="s">
        <v>2165</v>
      </c>
    </row>
    <row r="73" customFormat="false" ht="15" hidden="false" customHeight="true" outlineLevel="0" collapsed="false">
      <c r="A73" s="0" t="n">
        <v>14</v>
      </c>
      <c r="B73" s="188" t="n">
        <v>46083.0691412336</v>
      </c>
      <c r="C73" s="188" t="n">
        <v>46083.0783541965</v>
      </c>
      <c r="D73" s="189" t="s">
        <v>275</v>
      </c>
      <c r="E73" s="189" t="s">
        <v>276</v>
      </c>
      <c r="F73" s="189" t="s">
        <v>276</v>
      </c>
      <c r="G73" s="189" t="s">
        <v>277</v>
      </c>
      <c r="H73" s="188" t="n">
        <v>46080</v>
      </c>
      <c r="I73" s="189" t="s">
        <v>113</v>
      </c>
      <c r="J73" s="189" t="s">
        <v>108</v>
      </c>
      <c r="K73" s="189" t="s">
        <v>245</v>
      </c>
      <c r="L73" s="189" t="s">
        <v>144</v>
      </c>
      <c r="M73" s="189" t="s">
        <v>279</v>
      </c>
      <c r="N73" s="189" t="s">
        <v>280</v>
      </c>
      <c r="O73" s="189" t="s">
        <v>278</v>
      </c>
      <c r="P73" s="189" t="s">
        <v>111</v>
      </c>
      <c r="Q73" s="189" t="s">
        <v>112</v>
      </c>
      <c r="R73" s="189" t="s">
        <v>24</v>
      </c>
      <c r="S73" s="189" t="s">
        <v>120</v>
      </c>
      <c r="T73" s="189" t="s">
        <v>180</v>
      </c>
      <c r="V73" s="189" t="s">
        <v>192</v>
      </c>
      <c r="W73" s="189" t="s">
        <v>124</v>
      </c>
      <c r="X73" s="189" t="s">
        <v>223</v>
      </c>
      <c r="Y73" s="189" t="s">
        <v>2110</v>
      </c>
      <c r="Z73" s="0" t="n">
        <v>1</v>
      </c>
      <c r="AA73" s="189" t="s">
        <v>2149</v>
      </c>
    </row>
    <row r="74" customFormat="false" ht="15" hidden="false" customHeight="true" outlineLevel="0" collapsed="false">
      <c r="A74" s="0" t="n">
        <v>14</v>
      </c>
      <c r="B74" s="188" t="n">
        <v>46083.0691412336</v>
      </c>
      <c r="C74" s="188" t="n">
        <v>46083.0783541965</v>
      </c>
      <c r="D74" s="189" t="s">
        <v>275</v>
      </c>
      <c r="E74" s="189" t="s">
        <v>276</v>
      </c>
      <c r="F74" s="189" t="s">
        <v>276</v>
      </c>
      <c r="G74" s="189" t="s">
        <v>277</v>
      </c>
      <c r="H74" s="188" t="n">
        <v>46080</v>
      </c>
      <c r="I74" s="189" t="s">
        <v>113</v>
      </c>
      <c r="J74" s="189" t="s">
        <v>108</v>
      </c>
      <c r="K74" s="189" t="s">
        <v>245</v>
      </c>
      <c r="L74" s="189" t="s">
        <v>144</v>
      </c>
      <c r="M74" s="189" t="s">
        <v>279</v>
      </c>
      <c r="N74" s="189" t="s">
        <v>280</v>
      </c>
      <c r="O74" s="189" t="s">
        <v>278</v>
      </c>
      <c r="P74" s="189" t="s">
        <v>111</v>
      </c>
      <c r="Q74" s="189" t="s">
        <v>112</v>
      </c>
      <c r="R74" s="189" t="s">
        <v>24</v>
      </c>
      <c r="S74" s="189" t="s">
        <v>120</v>
      </c>
      <c r="T74" s="189" t="s">
        <v>180</v>
      </c>
      <c r="V74" s="189" t="s">
        <v>192</v>
      </c>
      <c r="W74" s="189" t="s">
        <v>124</v>
      </c>
      <c r="X74" s="189" t="s">
        <v>223</v>
      </c>
      <c r="Y74" s="189" t="s">
        <v>2113</v>
      </c>
      <c r="Z74" s="0" t="n">
        <v>1</v>
      </c>
      <c r="AA74" s="189" t="s">
        <v>2146</v>
      </c>
    </row>
    <row r="75" customFormat="false" ht="15" hidden="false" customHeight="true" outlineLevel="0" collapsed="false">
      <c r="A75" s="0" t="n">
        <v>14</v>
      </c>
      <c r="B75" s="188" t="n">
        <v>46083.0691412336</v>
      </c>
      <c r="C75" s="188" t="n">
        <v>46083.0783541965</v>
      </c>
      <c r="D75" s="189" t="s">
        <v>275</v>
      </c>
      <c r="E75" s="189" t="s">
        <v>276</v>
      </c>
      <c r="F75" s="189" t="s">
        <v>276</v>
      </c>
      <c r="G75" s="189" t="s">
        <v>277</v>
      </c>
      <c r="H75" s="188" t="n">
        <v>46080</v>
      </c>
      <c r="I75" s="189" t="s">
        <v>113</v>
      </c>
      <c r="J75" s="189" t="s">
        <v>108</v>
      </c>
      <c r="K75" s="189" t="s">
        <v>245</v>
      </c>
      <c r="L75" s="189" t="s">
        <v>144</v>
      </c>
      <c r="M75" s="189" t="s">
        <v>279</v>
      </c>
      <c r="N75" s="189" t="s">
        <v>280</v>
      </c>
      <c r="O75" s="189" t="s">
        <v>278</v>
      </c>
      <c r="P75" s="189" t="s">
        <v>111</v>
      </c>
      <c r="Q75" s="189" t="s">
        <v>112</v>
      </c>
      <c r="R75" s="189" t="s">
        <v>24</v>
      </c>
      <c r="S75" s="189" t="s">
        <v>120</v>
      </c>
      <c r="T75" s="189" t="s">
        <v>180</v>
      </c>
      <c r="V75" s="189" t="s">
        <v>192</v>
      </c>
      <c r="W75" s="189" t="s">
        <v>124</v>
      </c>
      <c r="X75" s="189" t="s">
        <v>223</v>
      </c>
      <c r="Y75" s="189" t="s">
        <v>2113</v>
      </c>
      <c r="Z75" s="0" t="n">
        <v>2</v>
      </c>
      <c r="AA75" s="189" t="s">
        <v>2145</v>
      </c>
    </row>
    <row r="76" customFormat="false" ht="15" hidden="false" customHeight="true" outlineLevel="0" collapsed="false">
      <c r="A76" s="0" t="n">
        <v>15</v>
      </c>
      <c r="B76" s="188" t="n">
        <v>46075.6041179838</v>
      </c>
      <c r="C76" s="188" t="n">
        <v>46075.6211202986</v>
      </c>
      <c r="D76" s="189" t="s">
        <v>283</v>
      </c>
      <c r="E76" s="189" t="s">
        <v>284</v>
      </c>
      <c r="F76" s="189" t="s">
        <v>284</v>
      </c>
      <c r="G76" s="189" t="s">
        <v>285</v>
      </c>
      <c r="H76" s="188" t="n">
        <v>46055</v>
      </c>
      <c r="I76" s="189" t="s">
        <v>113</v>
      </c>
      <c r="J76" s="189" t="s">
        <v>108</v>
      </c>
      <c r="K76" s="189" t="s">
        <v>143</v>
      </c>
      <c r="L76" s="189" t="s">
        <v>130</v>
      </c>
      <c r="M76" s="189" t="s">
        <v>286</v>
      </c>
      <c r="N76" s="189" t="s">
        <v>287</v>
      </c>
      <c r="O76" s="189" t="s">
        <v>244</v>
      </c>
      <c r="P76" s="189" t="s">
        <v>111</v>
      </c>
      <c r="Q76" s="189" t="s">
        <v>112</v>
      </c>
      <c r="R76" s="189" t="s">
        <v>22</v>
      </c>
      <c r="S76" s="189" t="s">
        <v>120</v>
      </c>
      <c r="T76" s="189" t="s">
        <v>121</v>
      </c>
      <c r="U76" s="189" t="s">
        <v>291</v>
      </c>
      <c r="V76" s="189" t="s">
        <v>192</v>
      </c>
      <c r="W76" s="189" t="s">
        <v>124</v>
      </c>
      <c r="X76" s="189" t="s">
        <v>148</v>
      </c>
      <c r="Y76" s="189" t="s">
        <v>2108</v>
      </c>
      <c r="Z76" s="0" t="n">
        <v>1</v>
      </c>
      <c r="AA76" s="189" t="s">
        <v>2166</v>
      </c>
    </row>
    <row r="77" customFormat="false" ht="15" hidden="false" customHeight="true" outlineLevel="0" collapsed="false">
      <c r="A77" s="0" t="n">
        <v>15</v>
      </c>
      <c r="B77" s="188" t="n">
        <v>46075.6041179838</v>
      </c>
      <c r="C77" s="188" t="n">
        <v>46075.6211202986</v>
      </c>
      <c r="D77" s="189" t="s">
        <v>283</v>
      </c>
      <c r="E77" s="189" t="s">
        <v>284</v>
      </c>
      <c r="F77" s="189" t="s">
        <v>284</v>
      </c>
      <c r="G77" s="189" t="s">
        <v>285</v>
      </c>
      <c r="H77" s="188" t="n">
        <v>46055</v>
      </c>
      <c r="I77" s="189" t="s">
        <v>113</v>
      </c>
      <c r="J77" s="189" t="s">
        <v>108</v>
      </c>
      <c r="K77" s="189" t="s">
        <v>143</v>
      </c>
      <c r="L77" s="189" t="s">
        <v>130</v>
      </c>
      <c r="M77" s="189" t="s">
        <v>286</v>
      </c>
      <c r="N77" s="189" t="s">
        <v>287</v>
      </c>
      <c r="O77" s="189" t="s">
        <v>244</v>
      </c>
      <c r="P77" s="189" t="s">
        <v>111</v>
      </c>
      <c r="Q77" s="189" t="s">
        <v>112</v>
      </c>
      <c r="R77" s="189" t="s">
        <v>22</v>
      </c>
      <c r="S77" s="189" t="s">
        <v>120</v>
      </c>
      <c r="T77" s="189" t="s">
        <v>121</v>
      </c>
      <c r="U77" s="189" t="s">
        <v>291</v>
      </c>
      <c r="V77" s="189" t="s">
        <v>192</v>
      </c>
      <c r="W77" s="189" t="s">
        <v>124</v>
      </c>
      <c r="X77" s="189" t="s">
        <v>148</v>
      </c>
      <c r="Y77" s="189" t="s">
        <v>2108</v>
      </c>
      <c r="Z77" s="0" t="n">
        <v>2</v>
      </c>
      <c r="AA77" s="189" t="s">
        <v>2136</v>
      </c>
    </row>
    <row r="78" customFormat="false" ht="15" hidden="false" customHeight="true" outlineLevel="0" collapsed="false">
      <c r="A78" s="0" t="n">
        <v>15</v>
      </c>
      <c r="B78" s="188" t="n">
        <v>46075.6041179838</v>
      </c>
      <c r="C78" s="188" t="n">
        <v>46075.6211202986</v>
      </c>
      <c r="D78" s="189" t="s">
        <v>283</v>
      </c>
      <c r="E78" s="189" t="s">
        <v>284</v>
      </c>
      <c r="F78" s="189" t="s">
        <v>284</v>
      </c>
      <c r="G78" s="189" t="s">
        <v>285</v>
      </c>
      <c r="H78" s="188" t="n">
        <v>46055</v>
      </c>
      <c r="I78" s="189" t="s">
        <v>113</v>
      </c>
      <c r="J78" s="189" t="s">
        <v>108</v>
      </c>
      <c r="K78" s="189" t="s">
        <v>143</v>
      </c>
      <c r="L78" s="189" t="s">
        <v>130</v>
      </c>
      <c r="M78" s="189" t="s">
        <v>286</v>
      </c>
      <c r="N78" s="189" t="s">
        <v>287</v>
      </c>
      <c r="O78" s="189" t="s">
        <v>244</v>
      </c>
      <c r="P78" s="189" t="s">
        <v>111</v>
      </c>
      <c r="Q78" s="189" t="s">
        <v>112</v>
      </c>
      <c r="R78" s="189" t="s">
        <v>22</v>
      </c>
      <c r="S78" s="189" t="s">
        <v>120</v>
      </c>
      <c r="T78" s="189" t="s">
        <v>121</v>
      </c>
      <c r="U78" s="189" t="s">
        <v>291</v>
      </c>
      <c r="V78" s="189" t="s">
        <v>192</v>
      </c>
      <c r="W78" s="189" t="s">
        <v>124</v>
      </c>
      <c r="X78" s="189" t="s">
        <v>148</v>
      </c>
      <c r="Y78" s="189" t="s">
        <v>2110</v>
      </c>
      <c r="Z78" s="0" t="n">
        <v>1</v>
      </c>
      <c r="AA78" s="189" t="s">
        <v>2122</v>
      </c>
    </row>
    <row r="79" customFormat="false" ht="15" hidden="false" customHeight="true" outlineLevel="0" collapsed="false">
      <c r="A79" s="0" t="n">
        <v>15</v>
      </c>
      <c r="B79" s="188" t="n">
        <v>46075.6041179838</v>
      </c>
      <c r="C79" s="188" t="n">
        <v>46075.6211202986</v>
      </c>
      <c r="D79" s="189" t="s">
        <v>283</v>
      </c>
      <c r="E79" s="189" t="s">
        <v>284</v>
      </c>
      <c r="F79" s="189" t="s">
        <v>284</v>
      </c>
      <c r="G79" s="189" t="s">
        <v>285</v>
      </c>
      <c r="H79" s="188" t="n">
        <v>46055</v>
      </c>
      <c r="I79" s="189" t="s">
        <v>113</v>
      </c>
      <c r="J79" s="189" t="s">
        <v>108</v>
      </c>
      <c r="K79" s="189" t="s">
        <v>143</v>
      </c>
      <c r="L79" s="189" t="s">
        <v>130</v>
      </c>
      <c r="M79" s="189" t="s">
        <v>286</v>
      </c>
      <c r="N79" s="189" t="s">
        <v>287</v>
      </c>
      <c r="O79" s="189" t="s">
        <v>244</v>
      </c>
      <c r="P79" s="189" t="s">
        <v>111</v>
      </c>
      <c r="Q79" s="189" t="s">
        <v>112</v>
      </c>
      <c r="R79" s="189" t="s">
        <v>22</v>
      </c>
      <c r="S79" s="189" t="s">
        <v>120</v>
      </c>
      <c r="T79" s="189" t="s">
        <v>121</v>
      </c>
      <c r="U79" s="189" t="s">
        <v>291</v>
      </c>
      <c r="V79" s="189" t="s">
        <v>192</v>
      </c>
      <c r="W79" s="189" t="s">
        <v>124</v>
      </c>
      <c r="X79" s="189" t="s">
        <v>148</v>
      </c>
      <c r="Y79" s="189" t="s">
        <v>2110</v>
      </c>
      <c r="Z79" s="0" t="n">
        <v>2</v>
      </c>
      <c r="AA79" s="189" t="s">
        <v>122</v>
      </c>
    </row>
    <row r="80" customFormat="false" ht="15" hidden="false" customHeight="true" outlineLevel="0" collapsed="false">
      <c r="A80" s="0" t="n">
        <v>15</v>
      </c>
      <c r="B80" s="188" t="n">
        <v>46075.6041179838</v>
      </c>
      <c r="C80" s="188" t="n">
        <v>46075.6211202986</v>
      </c>
      <c r="D80" s="189" t="s">
        <v>283</v>
      </c>
      <c r="E80" s="189" t="s">
        <v>284</v>
      </c>
      <c r="F80" s="189" t="s">
        <v>284</v>
      </c>
      <c r="G80" s="189" t="s">
        <v>285</v>
      </c>
      <c r="H80" s="188" t="n">
        <v>46055</v>
      </c>
      <c r="I80" s="189" t="s">
        <v>113</v>
      </c>
      <c r="J80" s="189" t="s">
        <v>108</v>
      </c>
      <c r="K80" s="189" t="s">
        <v>143</v>
      </c>
      <c r="L80" s="189" t="s">
        <v>130</v>
      </c>
      <c r="M80" s="189" t="s">
        <v>286</v>
      </c>
      <c r="N80" s="189" t="s">
        <v>287</v>
      </c>
      <c r="O80" s="189" t="s">
        <v>244</v>
      </c>
      <c r="P80" s="189" t="s">
        <v>111</v>
      </c>
      <c r="Q80" s="189" t="s">
        <v>112</v>
      </c>
      <c r="R80" s="189" t="s">
        <v>22</v>
      </c>
      <c r="S80" s="189" t="s">
        <v>120</v>
      </c>
      <c r="T80" s="189" t="s">
        <v>121</v>
      </c>
      <c r="U80" s="189" t="s">
        <v>291</v>
      </c>
      <c r="V80" s="189" t="s">
        <v>192</v>
      </c>
      <c r="W80" s="189" t="s">
        <v>124</v>
      </c>
      <c r="X80" s="189" t="s">
        <v>148</v>
      </c>
      <c r="Y80" s="189" t="s">
        <v>2113</v>
      </c>
      <c r="Z80" s="0" t="n">
        <v>1</v>
      </c>
      <c r="AA80" s="189" t="s">
        <v>2138</v>
      </c>
    </row>
    <row r="81" customFormat="false" ht="15" hidden="false" customHeight="true" outlineLevel="0" collapsed="false">
      <c r="A81" s="0" t="n">
        <v>16</v>
      </c>
      <c r="B81" s="188" t="n">
        <v>46082.666328572</v>
      </c>
      <c r="C81" s="188" t="n">
        <v>46082.6809234794</v>
      </c>
      <c r="D81" s="189" t="s">
        <v>292</v>
      </c>
      <c r="E81" s="189" t="s">
        <v>293</v>
      </c>
      <c r="F81" s="189" t="s">
        <v>293</v>
      </c>
      <c r="G81" s="189" t="s">
        <v>294</v>
      </c>
      <c r="H81" s="188" t="n">
        <v>46079</v>
      </c>
      <c r="I81" s="189" t="s">
        <v>113</v>
      </c>
      <c r="J81" s="189" t="s">
        <v>295</v>
      </c>
      <c r="K81" s="189" t="s">
        <v>257</v>
      </c>
      <c r="L81" s="189" t="s">
        <v>296</v>
      </c>
      <c r="M81" s="189" t="s">
        <v>174</v>
      </c>
      <c r="N81" s="189" t="s">
        <v>297</v>
      </c>
      <c r="O81" s="189" t="s">
        <v>172</v>
      </c>
      <c r="P81" s="189" t="s">
        <v>111</v>
      </c>
      <c r="Q81" s="189" t="s">
        <v>145</v>
      </c>
      <c r="R81" s="189" t="s">
        <v>22</v>
      </c>
      <c r="S81" s="189" t="s">
        <v>152</v>
      </c>
      <c r="T81" s="189" t="s">
        <v>121</v>
      </c>
      <c r="U81" s="189" t="s">
        <v>122</v>
      </c>
      <c r="V81" s="189" t="s">
        <v>123</v>
      </c>
      <c r="W81" s="189" t="s">
        <v>124</v>
      </c>
      <c r="X81" s="189" t="s">
        <v>298</v>
      </c>
      <c r="Y81" s="189" t="s">
        <v>2108</v>
      </c>
      <c r="Z81" s="0" t="n">
        <v>1</v>
      </c>
      <c r="AA81" s="189" t="s">
        <v>2167</v>
      </c>
    </row>
    <row r="82" customFormat="false" ht="15" hidden="false" customHeight="true" outlineLevel="0" collapsed="false">
      <c r="A82" s="0" t="n">
        <v>16</v>
      </c>
      <c r="B82" s="188" t="n">
        <v>46082.666328572</v>
      </c>
      <c r="C82" s="188" t="n">
        <v>46082.6809234794</v>
      </c>
      <c r="D82" s="189" t="s">
        <v>292</v>
      </c>
      <c r="E82" s="189" t="s">
        <v>293</v>
      </c>
      <c r="F82" s="189" t="s">
        <v>293</v>
      </c>
      <c r="G82" s="189" t="s">
        <v>294</v>
      </c>
      <c r="H82" s="188" t="n">
        <v>46079</v>
      </c>
      <c r="I82" s="189" t="s">
        <v>113</v>
      </c>
      <c r="J82" s="189" t="s">
        <v>295</v>
      </c>
      <c r="K82" s="189" t="s">
        <v>257</v>
      </c>
      <c r="L82" s="189" t="s">
        <v>296</v>
      </c>
      <c r="M82" s="189" t="s">
        <v>174</v>
      </c>
      <c r="N82" s="189" t="s">
        <v>297</v>
      </c>
      <c r="O82" s="189" t="s">
        <v>172</v>
      </c>
      <c r="P82" s="189" t="s">
        <v>111</v>
      </c>
      <c r="Q82" s="189" t="s">
        <v>145</v>
      </c>
      <c r="R82" s="189" t="s">
        <v>22</v>
      </c>
      <c r="S82" s="189" t="s">
        <v>152</v>
      </c>
      <c r="T82" s="189" t="s">
        <v>121</v>
      </c>
      <c r="U82" s="189" t="s">
        <v>122</v>
      </c>
      <c r="V82" s="189" t="s">
        <v>123</v>
      </c>
      <c r="W82" s="189" t="s">
        <v>124</v>
      </c>
      <c r="X82" s="189" t="s">
        <v>298</v>
      </c>
      <c r="Y82" s="189" t="s">
        <v>2108</v>
      </c>
      <c r="Z82" s="0" t="n">
        <v>2</v>
      </c>
      <c r="AA82" s="189" t="s">
        <v>2168</v>
      </c>
    </row>
    <row r="83" customFormat="false" ht="15" hidden="false" customHeight="true" outlineLevel="0" collapsed="false">
      <c r="A83" s="0" t="n">
        <v>16</v>
      </c>
      <c r="B83" s="188" t="n">
        <v>46082.666328572</v>
      </c>
      <c r="C83" s="188" t="n">
        <v>46082.6809234794</v>
      </c>
      <c r="D83" s="189" t="s">
        <v>292</v>
      </c>
      <c r="E83" s="189" t="s">
        <v>293</v>
      </c>
      <c r="F83" s="189" t="s">
        <v>293</v>
      </c>
      <c r="G83" s="189" t="s">
        <v>294</v>
      </c>
      <c r="H83" s="188" t="n">
        <v>46079</v>
      </c>
      <c r="I83" s="189" t="s">
        <v>113</v>
      </c>
      <c r="J83" s="189" t="s">
        <v>295</v>
      </c>
      <c r="K83" s="189" t="s">
        <v>257</v>
      </c>
      <c r="L83" s="189" t="s">
        <v>296</v>
      </c>
      <c r="M83" s="189" t="s">
        <v>174</v>
      </c>
      <c r="N83" s="189" t="s">
        <v>297</v>
      </c>
      <c r="O83" s="189" t="s">
        <v>172</v>
      </c>
      <c r="P83" s="189" t="s">
        <v>111</v>
      </c>
      <c r="Q83" s="189" t="s">
        <v>145</v>
      </c>
      <c r="R83" s="189" t="s">
        <v>22</v>
      </c>
      <c r="S83" s="189" t="s">
        <v>152</v>
      </c>
      <c r="T83" s="189" t="s">
        <v>121</v>
      </c>
      <c r="U83" s="189" t="s">
        <v>122</v>
      </c>
      <c r="V83" s="189" t="s">
        <v>123</v>
      </c>
      <c r="W83" s="189" t="s">
        <v>124</v>
      </c>
      <c r="X83" s="189" t="s">
        <v>298</v>
      </c>
      <c r="Y83" s="189" t="s">
        <v>2108</v>
      </c>
      <c r="Z83" s="0" t="n">
        <v>3</v>
      </c>
      <c r="AA83" s="189" t="s">
        <v>2169</v>
      </c>
    </row>
    <row r="84" customFormat="false" ht="15" hidden="false" customHeight="true" outlineLevel="0" collapsed="false">
      <c r="A84" s="0" t="n">
        <v>16</v>
      </c>
      <c r="B84" s="188" t="n">
        <v>46082.666328572</v>
      </c>
      <c r="C84" s="188" t="n">
        <v>46082.6809234794</v>
      </c>
      <c r="D84" s="189" t="s">
        <v>292</v>
      </c>
      <c r="E84" s="189" t="s">
        <v>293</v>
      </c>
      <c r="F84" s="189" t="s">
        <v>293</v>
      </c>
      <c r="G84" s="189" t="s">
        <v>294</v>
      </c>
      <c r="H84" s="188" t="n">
        <v>46079</v>
      </c>
      <c r="I84" s="189" t="s">
        <v>113</v>
      </c>
      <c r="J84" s="189" t="s">
        <v>295</v>
      </c>
      <c r="K84" s="189" t="s">
        <v>257</v>
      </c>
      <c r="L84" s="189" t="s">
        <v>296</v>
      </c>
      <c r="M84" s="189" t="s">
        <v>174</v>
      </c>
      <c r="N84" s="189" t="s">
        <v>297</v>
      </c>
      <c r="O84" s="189" t="s">
        <v>172</v>
      </c>
      <c r="P84" s="189" t="s">
        <v>111</v>
      </c>
      <c r="Q84" s="189" t="s">
        <v>145</v>
      </c>
      <c r="R84" s="189" t="s">
        <v>22</v>
      </c>
      <c r="S84" s="189" t="s">
        <v>152</v>
      </c>
      <c r="T84" s="189" t="s">
        <v>121</v>
      </c>
      <c r="U84" s="189" t="s">
        <v>122</v>
      </c>
      <c r="V84" s="189" t="s">
        <v>123</v>
      </c>
      <c r="W84" s="189" t="s">
        <v>124</v>
      </c>
      <c r="X84" s="189" t="s">
        <v>298</v>
      </c>
      <c r="Y84" s="189" t="s">
        <v>2110</v>
      </c>
      <c r="Z84" s="0" t="n">
        <v>1</v>
      </c>
      <c r="AA84" s="189" t="s">
        <v>2170</v>
      </c>
    </row>
    <row r="85" customFormat="false" ht="15" hidden="false" customHeight="true" outlineLevel="0" collapsed="false">
      <c r="A85" s="0" t="n">
        <v>16</v>
      </c>
      <c r="B85" s="188" t="n">
        <v>46082.666328572</v>
      </c>
      <c r="C85" s="188" t="n">
        <v>46082.6809234794</v>
      </c>
      <c r="D85" s="189" t="s">
        <v>292</v>
      </c>
      <c r="E85" s="189" t="s">
        <v>293</v>
      </c>
      <c r="F85" s="189" t="s">
        <v>293</v>
      </c>
      <c r="G85" s="189" t="s">
        <v>294</v>
      </c>
      <c r="H85" s="188" t="n">
        <v>46079</v>
      </c>
      <c r="I85" s="189" t="s">
        <v>113</v>
      </c>
      <c r="J85" s="189" t="s">
        <v>295</v>
      </c>
      <c r="K85" s="189" t="s">
        <v>257</v>
      </c>
      <c r="L85" s="189" t="s">
        <v>296</v>
      </c>
      <c r="M85" s="189" t="s">
        <v>174</v>
      </c>
      <c r="N85" s="189" t="s">
        <v>297</v>
      </c>
      <c r="O85" s="189" t="s">
        <v>172</v>
      </c>
      <c r="P85" s="189" t="s">
        <v>111</v>
      </c>
      <c r="Q85" s="189" t="s">
        <v>145</v>
      </c>
      <c r="R85" s="189" t="s">
        <v>22</v>
      </c>
      <c r="S85" s="189" t="s">
        <v>152</v>
      </c>
      <c r="T85" s="189" t="s">
        <v>121</v>
      </c>
      <c r="U85" s="189" t="s">
        <v>122</v>
      </c>
      <c r="V85" s="189" t="s">
        <v>123</v>
      </c>
      <c r="W85" s="189" t="s">
        <v>124</v>
      </c>
      <c r="X85" s="189" t="s">
        <v>298</v>
      </c>
      <c r="Y85" s="189" t="s">
        <v>2113</v>
      </c>
      <c r="Z85" s="0" t="n">
        <v>1</v>
      </c>
      <c r="AA85" s="189" t="s">
        <v>2171</v>
      </c>
    </row>
    <row r="86" customFormat="false" ht="15" hidden="false" customHeight="true" outlineLevel="0" collapsed="false">
      <c r="A86" s="0" t="n">
        <v>16</v>
      </c>
      <c r="B86" s="188" t="n">
        <v>46082.666328572</v>
      </c>
      <c r="C86" s="188" t="n">
        <v>46082.6809234794</v>
      </c>
      <c r="D86" s="189" t="s">
        <v>292</v>
      </c>
      <c r="E86" s="189" t="s">
        <v>293</v>
      </c>
      <c r="F86" s="189" t="s">
        <v>293</v>
      </c>
      <c r="G86" s="189" t="s">
        <v>294</v>
      </c>
      <c r="H86" s="188" t="n">
        <v>46079</v>
      </c>
      <c r="I86" s="189" t="s">
        <v>113</v>
      </c>
      <c r="J86" s="189" t="s">
        <v>295</v>
      </c>
      <c r="K86" s="189" t="s">
        <v>257</v>
      </c>
      <c r="L86" s="189" t="s">
        <v>296</v>
      </c>
      <c r="M86" s="189" t="s">
        <v>174</v>
      </c>
      <c r="N86" s="189" t="s">
        <v>297</v>
      </c>
      <c r="O86" s="189" t="s">
        <v>172</v>
      </c>
      <c r="P86" s="189" t="s">
        <v>111</v>
      </c>
      <c r="Q86" s="189" t="s">
        <v>145</v>
      </c>
      <c r="R86" s="189" t="s">
        <v>22</v>
      </c>
      <c r="S86" s="189" t="s">
        <v>152</v>
      </c>
      <c r="T86" s="189" t="s">
        <v>121</v>
      </c>
      <c r="U86" s="189" t="s">
        <v>122</v>
      </c>
      <c r="V86" s="189" t="s">
        <v>123</v>
      </c>
      <c r="W86" s="189" t="s">
        <v>124</v>
      </c>
      <c r="X86" s="189" t="s">
        <v>298</v>
      </c>
      <c r="Y86" s="189" t="s">
        <v>2113</v>
      </c>
      <c r="Z86" s="0" t="n">
        <v>2</v>
      </c>
      <c r="AA86" s="189" t="s">
        <v>2172</v>
      </c>
    </row>
    <row r="87" customFormat="false" ht="15" hidden="false" customHeight="true" outlineLevel="0" collapsed="false">
      <c r="A87" s="0" t="n">
        <v>17</v>
      </c>
      <c r="B87" s="188" t="n">
        <v>46153.4289290785</v>
      </c>
      <c r="C87" s="188" t="n">
        <v>46153.4393920415</v>
      </c>
      <c r="D87" s="189" t="s">
        <v>302</v>
      </c>
      <c r="E87" s="189" t="s">
        <v>303</v>
      </c>
      <c r="F87" s="189" t="s">
        <v>303</v>
      </c>
      <c r="G87" s="189" t="s">
        <v>304</v>
      </c>
      <c r="H87" s="188" t="n">
        <v>46147</v>
      </c>
      <c r="I87" s="189" t="s">
        <v>305</v>
      </c>
      <c r="J87" s="189" t="s">
        <v>108</v>
      </c>
      <c r="K87" s="189" t="s">
        <v>245</v>
      </c>
      <c r="L87" s="189" t="s">
        <v>197</v>
      </c>
      <c r="M87" s="189" t="s">
        <v>185</v>
      </c>
      <c r="N87" s="189" t="s">
        <v>306</v>
      </c>
      <c r="O87" s="189" t="s">
        <v>107</v>
      </c>
      <c r="P87" s="189" t="s">
        <v>111</v>
      </c>
      <c r="Q87" s="189" t="s">
        <v>112</v>
      </c>
      <c r="R87" s="189" t="s">
        <v>21</v>
      </c>
      <c r="S87" s="189" t="s">
        <v>152</v>
      </c>
      <c r="T87" s="189" t="s">
        <v>121</v>
      </c>
      <c r="V87" s="189" t="s">
        <v>192</v>
      </c>
      <c r="W87" s="189" t="s">
        <v>124</v>
      </c>
      <c r="X87" s="189" t="s">
        <v>307</v>
      </c>
      <c r="Y87" s="189" t="s">
        <v>2108</v>
      </c>
      <c r="Z87" s="0" t="n">
        <v>1</v>
      </c>
      <c r="AA87" s="189" t="s">
        <v>2173</v>
      </c>
    </row>
    <row r="88" customFormat="false" ht="15" hidden="false" customHeight="true" outlineLevel="0" collapsed="false">
      <c r="A88" s="0" t="n">
        <v>17</v>
      </c>
      <c r="B88" s="188" t="n">
        <v>46153.4289290785</v>
      </c>
      <c r="C88" s="188" t="n">
        <v>46153.4393920415</v>
      </c>
      <c r="D88" s="189" t="s">
        <v>302</v>
      </c>
      <c r="E88" s="189" t="s">
        <v>303</v>
      </c>
      <c r="F88" s="189" t="s">
        <v>303</v>
      </c>
      <c r="G88" s="189" t="s">
        <v>304</v>
      </c>
      <c r="H88" s="188" t="n">
        <v>46147</v>
      </c>
      <c r="I88" s="189" t="s">
        <v>305</v>
      </c>
      <c r="J88" s="189" t="s">
        <v>108</v>
      </c>
      <c r="K88" s="189" t="s">
        <v>245</v>
      </c>
      <c r="L88" s="189" t="s">
        <v>197</v>
      </c>
      <c r="M88" s="189" t="s">
        <v>185</v>
      </c>
      <c r="N88" s="189" t="s">
        <v>306</v>
      </c>
      <c r="O88" s="189" t="s">
        <v>107</v>
      </c>
      <c r="P88" s="189" t="s">
        <v>111</v>
      </c>
      <c r="Q88" s="189" t="s">
        <v>112</v>
      </c>
      <c r="R88" s="189" t="s">
        <v>21</v>
      </c>
      <c r="S88" s="189" t="s">
        <v>152</v>
      </c>
      <c r="T88" s="189" t="s">
        <v>121</v>
      </c>
      <c r="V88" s="189" t="s">
        <v>192</v>
      </c>
      <c r="W88" s="189" t="s">
        <v>124</v>
      </c>
      <c r="X88" s="189" t="s">
        <v>307</v>
      </c>
      <c r="Y88" s="189" t="s">
        <v>2108</v>
      </c>
      <c r="Z88" s="0" t="n">
        <v>2</v>
      </c>
      <c r="AA88" s="189" t="s">
        <v>2174</v>
      </c>
    </row>
    <row r="89" customFormat="false" ht="15" hidden="false" customHeight="true" outlineLevel="0" collapsed="false">
      <c r="A89" s="0" t="n">
        <v>17</v>
      </c>
      <c r="B89" s="188" t="n">
        <v>46153.4289290785</v>
      </c>
      <c r="C89" s="188" t="n">
        <v>46153.4393920415</v>
      </c>
      <c r="D89" s="189" t="s">
        <v>302</v>
      </c>
      <c r="E89" s="189" t="s">
        <v>303</v>
      </c>
      <c r="F89" s="189" t="s">
        <v>303</v>
      </c>
      <c r="G89" s="189" t="s">
        <v>304</v>
      </c>
      <c r="H89" s="188" t="n">
        <v>46147</v>
      </c>
      <c r="I89" s="189" t="s">
        <v>305</v>
      </c>
      <c r="J89" s="189" t="s">
        <v>108</v>
      </c>
      <c r="K89" s="189" t="s">
        <v>245</v>
      </c>
      <c r="L89" s="189" t="s">
        <v>197</v>
      </c>
      <c r="M89" s="189" t="s">
        <v>185</v>
      </c>
      <c r="N89" s="189" t="s">
        <v>306</v>
      </c>
      <c r="O89" s="189" t="s">
        <v>107</v>
      </c>
      <c r="P89" s="189" t="s">
        <v>111</v>
      </c>
      <c r="Q89" s="189" t="s">
        <v>112</v>
      </c>
      <c r="R89" s="189" t="s">
        <v>21</v>
      </c>
      <c r="S89" s="189" t="s">
        <v>152</v>
      </c>
      <c r="T89" s="189" t="s">
        <v>121</v>
      </c>
      <c r="V89" s="189" t="s">
        <v>192</v>
      </c>
      <c r="W89" s="189" t="s">
        <v>124</v>
      </c>
      <c r="X89" s="189" t="s">
        <v>307</v>
      </c>
      <c r="Y89" s="189" t="s">
        <v>2108</v>
      </c>
      <c r="Z89" s="0" t="n">
        <v>3</v>
      </c>
      <c r="AA89" s="189" t="s">
        <v>2175</v>
      </c>
    </row>
    <row r="90" customFormat="false" ht="15" hidden="false" customHeight="true" outlineLevel="0" collapsed="false">
      <c r="A90" s="0" t="n">
        <v>17</v>
      </c>
      <c r="B90" s="188" t="n">
        <v>46153.4289290785</v>
      </c>
      <c r="C90" s="188" t="n">
        <v>46153.4393920415</v>
      </c>
      <c r="D90" s="189" t="s">
        <v>302</v>
      </c>
      <c r="E90" s="189" t="s">
        <v>303</v>
      </c>
      <c r="F90" s="189" t="s">
        <v>303</v>
      </c>
      <c r="G90" s="189" t="s">
        <v>304</v>
      </c>
      <c r="H90" s="188" t="n">
        <v>46147</v>
      </c>
      <c r="I90" s="189" t="s">
        <v>305</v>
      </c>
      <c r="J90" s="189" t="s">
        <v>108</v>
      </c>
      <c r="K90" s="189" t="s">
        <v>245</v>
      </c>
      <c r="L90" s="189" t="s">
        <v>197</v>
      </c>
      <c r="M90" s="189" t="s">
        <v>185</v>
      </c>
      <c r="N90" s="189" t="s">
        <v>306</v>
      </c>
      <c r="O90" s="189" t="s">
        <v>107</v>
      </c>
      <c r="P90" s="189" t="s">
        <v>111</v>
      </c>
      <c r="Q90" s="189" t="s">
        <v>112</v>
      </c>
      <c r="R90" s="189" t="s">
        <v>21</v>
      </c>
      <c r="S90" s="189" t="s">
        <v>152</v>
      </c>
      <c r="T90" s="189" t="s">
        <v>121</v>
      </c>
      <c r="V90" s="189" t="s">
        <v>192</v>
      </c>
      <c r="W90" s="189" t="s">
        <v>124</v>
      </c>
      <c r="X90" s="189" t="s">
        <v>307</v>
      </c>
      <c r="Y90" s="189" t="s">
        <v>2110</v>
      </c>
      <c r="Z90" s="0" t="n">
        <v>1</v>
      </c>
      <c r="AA90" s="189" t="s">
        <v>2176</v>
      </c>
    </row>
    <row r="91" customFormat="false" ht="15" hidden="false" customHeight="true" outlineLevel="0" collapsed="false">
      <c r="A91" s="0" t="n">
        <v>17</v>
      </c>
      <c r="B91" s="188" t="n">
        <v>46153.4289290785</v>
      </c>
      <c r="C91" s="188" t="n">
        <v>46153.4393920415</v>
      </c>
      <c r="D91" s="189" t="s">
        <v>302</v>
      </c>
      <c r="E91" s="189" t="s">
        <v>303</v>
      </c>
      <c r="F91" s="189" t="s">
        <v>303</v>
      </c>
      <c r="G91" s="189" t="s">
        <v>304</v>
      </c>
      <c r="H91" s="188" t="n">
        <v>46147</v>
      </c>
      <c r="I91" s="189" t="s">
        <v>305</v>
      </c>
      <c r="J91" s="189" t="s">
        <v>108</v>
      </c>
      <c r="K91" s="189" t="s">
        <v>245</v>
      </c>
      <c r="L91" s="189" t="s">
        <v>197</v>
      </c>
      <c r="M91" s="189" t="s">
        <v>185</v>
      </c>
      <c r="N91" s="189" t="s">
        <v>306</v>
      </c>
      <c r="O91" s="189" t="s">
        <v>107</v>
      </c>
      <c r="P91" s="189" t="s">
        <v>111</v>
      </c>
      <c r="Q91" s="189" t="s">
        <v>112</v>
      </c>
      <c r="R91" s="189" t="s">
        <v>21</v>
      </c>
      <c r="S91" s="189" t="s">
        <v>152</v>
      </c>
      <c r="T91" s="189" t="s">
        <v>121</v>
      </c>
      <c r="V91" s="189" t="s">
        <v>192</v>
      </c>
      <c r="W91" s="189" t="s">
        <v>124</v>
      </c>
      <c r="X91" s="189" t="s">
        <v>307</v>
      </c>
      <c r="Y91" s="189" t="s">
        <v>2110</v>
      </c>
      <c r="Z91" s="0" t="n">
        <v>2</v>
      </c>
      <c r="AA91" s="189" t="s">
        <v>1174</v>
      </c>
    </row>
    <row r="92" customFormat="false" ht="15" hidden="false" customHeight="true" outlineLevel="0" collapsed="false">
      <c r="A92" s="0" t="n">
        <v>17</v>
      </c>
      <c r="B92" s="188" t="n">
        <v>46153.4289290785</v>
      </c>
      <c r="C92" s="188" t="n">
        <v>46153.4393920415</v>
      </c>
      <c r="D92" s="189" t="s">
        <v>302</v>
      </c>
      <c r="E92" s="189" t="s">
        <v>303</v>
      </c>
      <c r="F92" s="189" t="s">
        <v>303</v>
      </c>
      <c r="G92" s="189" t="s">
        <v>304</v>
      </c>
      <c r="H92" s="188" t="n">
        <v>46147</v>
      </c>
      <c r="I92" s="189" t="s">
        <v>305</v>
      </c>
      <c r="J92" s="189" t="s">
        <v>108</v>
      </c>
      <c r="K92" s="189" t="s">
        <v>245</v>
      </c>
      <c r="L92" s="189" t="s">
        <v>197</v>
      </c>
      <c r="M92" s="189" t="s">
        <v>185</v>
      </c>
      <c r="N92" s="189" t="s">
        <v>306</v>
      </c>
      <c r="O92" s="189" t="s">
        <v>107</v>
      </c>
      <c r="P92" s="189" t="s">
        <v>111</v>
      </c>
      <c r="Q92" s="189" t="s">
        <v>112</v>
      </c>
      <c r="R92" s="189" t="s">
        <v>21</v>
      </c>
      <c r="S92" s="189" t="s">
        <v>152</v>
      </c>
      <c r="T92" s="189" t="s">
        <v>121</v>
      </c>
      <c r="V92" s="189" t="s">
        <v>192</v>
      </c>
      <c r="W92" s="189" t="s">
        <v>124</v>
      </c>
      <c r="X92" s="189" t="s">
        <v>307</v>
      </c>
      <c r="Y92" s="189" t="s">
        <v>2113</v>
      </c>
      <c r="Z92" s="0" t="n">
        <v>1</v>
      </c>
      <c r="AA92" s="189" t="s">
        <v>2177</v>
      </c>
    </row>
    <row r="93" customFormat="false" ht="15" hidden="false" customHeight="true" outlineLevel="0" collapsed="false">
      <c r="A93" s="0" t="n">
        <v>17</v>
      </c>
      <c r="B93" s="188" t="n">
        <v>46153.4289290785</v>
      </c>
      <c r="C93" s="188" t="n">
        <v>46153.4393920415</v>
      </c>
      <c r="D93" s="189" t="s">
        <v>302</v>
      </c>
      <c r="E93" s="189" t="s">
        <v>303</v>
      </c>
      <c r="F93" s="189" t="s">
        <v>303</v>
      </c>
      <c r="G93" s="189" t="s">
        <v>304</v>
      </c>
      <c r="H93" s="188" t="n">
        <v>46147</v>
      </c>
      <c r="I93" s="189" t="s">
        <v>305</v>
      </c>
      <c r="J93" s="189" t="s">
        <v>108</v>
      </c>
      <c r="K93" s="189" t="s">
        <v>245</v>
      </c>
      <c r="L93" s="189" t="s">
        <v>197</v>
      </c>
      <c r="M93" s="189" t="s">
        <v>185</v>
      </c>
      <c r="N93" s="189" t="s">
        <v>306</v>
      </c>
      <c r="O93" s="189" t="s">
        <v>107</v>
      </c>
      <c r="P93" s="189" t="s">
        <v>111</v>
      </c>
      <c r="Q93" s="189" t="s">
        <v>112</v>
      </c>
      <c r="R93" s="189" t="s">
        <v>21</v>
      </c>
      <c r="S93" s="189" t="s">
        <v>152</v>
      </c>
      <c r="T93" s="189" t="s">
        <v>121</v>
      </c>
      <c r="V93" s="189" t="s">
        <v>192</v>
      </c>
      <c r="W93" s="189" t="s">
        <v>124</v>
      </c>
      <c r="X93" s="189" t="s">
        <v>307</v>
      </c>
      <c r="Y93" s="189" t="s">
        <v>2113</v>
      </c>
      <c r="Z93" s="0" t="n">
        <v>2</v>
      </c>
      <c r="AA93" s="189" t="s">
        <v>2178</v>
      </c>
    </row>
    <row r="94" customFormat="false" ht="15" hidden="false" customHeight="true" outlineLevel="0" collapsed="false">
      <c r="A94" s="0" t="n">
        <v>18</v>
      </c>
      <c r="B94" s="188" t="n">
        <v>46082.1441918781</v>
      </c>
      <c r="C94" s="188" t="n">
        <v>46082.1603261374</v>
      </c>
      <c r="D94" s="189" t="s">
        <v>311</v>
      </c>
      <c r="E94" s="189" t="s">
        <v>312</v>
      </c>
      <c r="F94" s="189" t="s">
        <v>313</v>
      </c>
      <c r="G94" s="189" t="s">
        <v>314</v>
      </c>
      <c r="H94" s="188" t="n">
        <v>46070</v>
      </c>
      <c r="I94" s="189" t="s">
        <v>113</v>
      </c>
      <c r="J94" s="189" t="s">
        <v>295</v>
      </c>
      <c r="K94" s="189" t="s">
        <v>315</v>
      </c>
      <c r="L94" s="189" t="s">
        <v>159</v>
      </c>
      <c r="M94" s="189" t="s">
        <v>212</v>
      </c>
      <c r="N94" s="189" t="s">
        <v>316</v>
      </c>
      <c r="O94" s="189" t="s">
        <v>244</v>
      </c>
      <c r="P94" s="189" t="s">
        <v>111</v>
      </c>
      <c r="Q94" s="189" t="s">
        <v>112</v>
      </c>
      <c r="R94" s="189" t="s">
        <v>22</v>
      </c>
      <c r="S94" s="189" t="s">
        <v>320</v>
      </c>
      <c r="T94" s="189" t="s">
        <v>121</v>
      </c>
      <c r="U94" s="189" t="s">
        <v>321</v>
      </c>
      <c r="V94" s="189" t="s">
        <v>123</v>
      </c>
      <c r="W94" s="189" t="s">
        <v>124</v>
      </c>
      <c r="X94" s="189" t="s">
        <v>271</v>
      </c>
      <c r="Y94" s="189" t="s">
        <v>2108</v>
      </c>
      <c r="Z94" s="0" t="n">
        <v>1</v>
      </c>
      <c r="AA94" s="189" t="s">
        <v>2179</v>
      </c>
    </row>
    <row r="95" customFormat="false" ht="15" hidden="false" customHeight="true" outlineLevel="0" collapsed="false">
      <c r="A95" s="0" t="n">
        <v>18</v>
      </c>
      <c r="B95" s="188" t="n">
        <v>46082.1441918781</v>
      </c>
      <c r="C95" s="188" t="n">
        <v>46082.1603261374</v>
      </c>
      <c r="D95" s="189" t="s">
        <v>311</v>
      </c>
      <c r="E95" s="189" t="s">
        <v>312</v>
      </c>
      <c r="F95" s="189" t="s">
        <v>313</v>
      </c>
      <c r="G95" s="189" t="s">
        <v>314</v>
      </c>
      <c r="H95" s="188" t="n">
        <v>46070</v>
      </c>
      <c r="I95" s="189" t="s">
        <v>113</v>
      </c>
      <c r="J95" s="189" t="s">
        <v>295</v>
      </c>
      <c r="K95" s="189" t="s">
        <v>315</v>
      </c>
      <c r="L95" s="189" t="s">
        <v>159</v>
      </c>
      <c r="M95" s="189" t="s">
        <v>212</v>
      </c>
      <c r="N95" s="189" t="s">
        <v>316</v>
      </c>
      <c r="O95" s="189" t="s">
        <v>244</v>
      </c>
      <c r="P95" s="189" t="s">
        <v>111</v>
      </c>
      <c r="Q95" s="189" t="s">
        <v>112</v>
      </c>
      <c r="R95" s="189" t="s">
        <v>22</v>
      </c>
      <c r="S95" s="189" t="s">
        <v>320</v>
      </c>
      <c r="T95" s="189" t="s">
        <v>121</v>
      </c>
      <c r="U95" s="189" t="s">
        <v>321</v>
      </c>
      <c r="V95" s="189" t="s">
        <v>123</v>
      </c>
      <c r="W95" s="189" t="s">
        <v>124</v>
      </c>
      <c r="X95" s="189" t="s">
        <v>271</v>
      </c>
      <c r="Y95" s="189" t="s">
        <v>2108</v>
      </c>
      <c r="Z95" s="0" t="n">
        <v>2</v>
      </c>
      <c r="AA95" s="189" t="s">
        <v>2180</v>
      </c>
    </row>
    <row r="96" customFormat="false" ht="15" hidden="false" customHeight="true" outlineLevel="0" collapsed="false">
      <c r="A96" s="0" t="n">
        <v>18</v>
      </c>
      <c r="B96" s="188" t="n">
        <v>46082.1441918781</v>
      </c>
      <c r="C96" s="188" t="n">
        <v>46082.1603261374</v>
      </c>
      <c r="D96" s="189" t="s">
        <v>311</v>
      </c>
      <c r="E96" s="189" t="s">
        <v>312</v>
      </c>
      <c r="F96" s="189" t="s">
        <v>313</v>
      </c>
      <c r="G96" s="189" t="s">
        <v>314</v>
      </c>
      <c r="H96" s="188" t="n">
        <v>46070</v>
      </c>
      <c r="I96" s="189" t="s">
        <v>113</v>
      </c>
      <c r="J96" s="189" t="s">
        <v>295</v>
      </c>
      <c r="K96" s="189" t="s">
        <v>315</v>
      </c>
      <c r="L96" s="189" t="s">
        <v>159</v>
      </c>
      <c r="M96" s="189" t="s">
        <v>212</v>
      </c>
      <c r="N96" s="189" t="s">
        <v>316</v>
      </c>
      <c r="O96" s="189" t="s">
        <v>244</v>
      </c>
      <c r="P96" s="189" t="s">
        <v>111</v>
      </c>
      <c r="Q96" s="189" t="s">
        <v>112</v>
      </c>
      <c r="R96" s="189" t="s">
        <v>22</v>
      </c>
      <c r="S96" s="189" t="s">
        <v>320</v>
      </c>
      <c r="T96" s="189" t="s">
        <v>121</v>
      </c>
      <c r="U96" s="189" t="s">
        <v>321</v>
      </c>
      <c r="V96" s="189" t="s">
        <v>123</v>
      </c>
      <c r="W96" s="189" t="s">
        <v>124</v>
      </c>
      <c r="X96" s="189" t="s">
        <v>271</v>
      </c>
      <c r="Y96" s="189" t="s">
        <v>2110</v>
      </c>
      <c r="Z96" s="0" t="n">
        <v>1</v>
      </c>
      <c r="AA96" s="189" t="s">
        <v>2181</v>
      </c>
    </row>
    <row r="97" customFormat="false" ht="15" hidden="false" customHeight="true" outlineLevel="0" collapsed="false">
      <c r="A97" s="0" t="n">
        <v>18</v>
      </c>
      <c r="B97" s="188" t="n">
        <v>46082.1441918781</v>
      </c>
      <c r="C97" s="188" t="n">
        <v>46082.1603261374</v>
      </c>
      <c r="D97" s="189" t="s">
        <v>311</v>
      </c>
      <c r="E97" s="189" t="s">
        <v>312</v>
      </c>
      <c r="F97" s="189" t="s">
        <v>313</v>
      </c>
      <c r="G97" s="189" t="s">
        <v>314</v>
      </c>
      <c r="H97" s="188" t="n">
        <v>46070</v>
      </c>
      <c r="I97" s="189" t="s">
        <v>113</v>
      </c>
      <c r="J97" s="189" t="s">
        <v>295</v>
      </c>
      <c r="K97" s="189" t="s">
        <v>315</v>
      </c>
      <c r="L97" s="189" t="s">
        <v>159</v>
      </c>
      <c r="M97" s="189" t="s">
        <v>212</v>
      </c>
      <c r="N97" s="189" t="s">
        <v>316</v>
      </c>
      <c r="O97" s="189" t="s">
        <v>244</v>
      </c>
      <c r="P97" s="189" t="s">
        <v>111</v>
      </c>
      <c r="Q97" s="189" t="s">
        <v>112</v>
      </c>
      <c r="R97" s="189" t="s">
        <v>22</v>
      </c>
      <c r="S97" s="189" t="s">
        <v>320</v>
      </c>
      <c r="T97" s="189" t="s">
        <v>121</v>
      </c>
      <c r="U97" s="189" t="s">
        <v>321</v>
      </c>
      <c r="V97" s="189" t="s">
        <v>123</v>
      </c>
      <c r="W97" s="189" t="s">
        <v>124</v>
      </c>
      <c r="X97" s="189" t="s">
        <v>271</v>
      </c>
      <c r="Y97" s="189" t="s">
        <v>2110</v>
      </c>
      <c r="Z97" s="0" t="n">
        <v>2</v>
      </c>
      <c r="AA97" s="189" t="s">
        <v>2182</v>
      </c>
    </row>
    <row r="98" customFormat="false" ht="15" hidden="false" customHeight="true" outlineLevel="0" collapsed="false">
      <c r="A98" s="0" t="n">
        <v>18</v>
      </c>
      <c r="B98" s="188" t="n">
        <v>46082.1441918781</v>
      </c>
      <c r="C98" s="188" t="n">
        <v>46082.1603261374</v>
      </c>
      <c r="D98" s="189" t="s">
        <v>311</v>
      </c>
      <c r="E98" s="189" t="s">
        <v>312</v>
      </c>
      <c r="F98" s="189" t="s">
        <v>313</v>
      </c>
      <c r="G98" s="189" t="s">
        <v>314</v>
      </c>
      <c r="H98" s="188" t="n">
        <v>46070</v>
      </c>
      <c r="I98" s="189" t="s">
        <v>113</v>
      </c>
      <c r="J98" s="189" t="s">
        <v>295</v>
      </c>
      <c r="K98" s="189" t="s">
        <v>315</v>
      </c>
      <c r="L98" s="189" t="s">
        <v>159</v>
      </c>
      <c r="M98" s="189" t="s">
        <v>212</v>
      </c>
      <c r="N98" s="189" t="s">
        <v>316</v>
      </c>
      <c r="O98" s="189" t="s">
        <v>244</v>
      </c>
      <c r="P98" s="189" t="s">
        <v>111</v>
      </c>
      <c r="Q98" s="189" t="s">
        <v>112</v>
      </c>
      <c r="R98" s="189" t="s">
        <v>22</v>
      </c>
      <c r="S98" s="189" t="s">
        <v>320</v>
      </c>
      <c r="T98" s="189" t="s">
        <v>121</v>
      </c>
      <c r="U98" s="189" t="s">
        <v>321</v>
      </c>
      <c r="V98" s="189" t="s">
        <v>123</v>
      </c>
      <c r="W98" s="189" t="s">
        <v>124</v>
      </c>
      <c r="X98" s="189" t="s">
        <v>271</v>
      </c>
      <c r="Y98" s="189" t="s">
        <v>2113</v>
      </c>
      <c r="Z98" s="0" t="n">
        <v>1</v>
      </c>
      <c r="AA98" s="189" t="s">
        <v>2162</v>
      </c>
    </row>
    <row r="99" customFormat="false" ht="15" hidden="false" customHeight="true" outlineLevel="0" collapsed="false">
      <c r="A99" s="0" t="n">
        <v>18</v>
      </c>
      <c r="B99" s="188" t="n">
        <v>46082.1441918781</v>
      </c>
      <c r="C99" s="188" t="n">
        <v>46082.1603261374</v>
      </c>
      <c r="D99" s="189" t="s">
        <v>311</v>
      </c>
      <c r="E99" s="189" t="s">
        <v>312</v>
      </c>
      <c r="F99" s="189" t="s">
        <v>313</v>
      </c>
      <c r="G99" s="189" t="s">
        <v>314</v>
      </c>
      <c r="H99" s="188" t="n">
        <v>46070</v>
      </c>
      <c r="I99" s="189" t="s">
        <v>113</v>
      </c>
      <c r="J99" s="189" t="s">
        <v>295</v>
      </c>
      <c r="K99" s="189" t="s">
        <v>315</v>
      </c>
      <c r="L99" s="189" t="s">
        <v>159</v>
      </c>
      <c r="M99" s="189" t="s">
        <v>212</v>
      </c>
      <c r="N99" s="189" t="s">
        <v>316</v>
      </c>
      <c r="O99" s="189" t="s">
        <v>244</v>
      </c>
      <c r="P99" s="189" t="s">
        <v>111</v>
      </c>
      <c r="Q99" s="189" t="s">
        <v>112</v>
      </c>
      <c r="R99" s="189" t="s">
        <v>22</v>
      </c>
      <c r="S99" s="189" t="s">
        <v>320</v>
      </c>
      <c r="T99" s="189" t="s">
        <v>121</v>
      </c>
      <c r="U99" s="189" t="s">
        <v>321</v>
      </c>
      <c r="V99" s="189" t="s">
        <v>123</v>
      </c>
      <c r="W99" s="189" t="s">
        <v>124</v>
      </c>
      <c r="X99" s="189" t="s">
        <v>271</v>
      </c>
      <c r="Y99" s="189" t="s">
        <v>2113</v>
      </c>
      <c r="Z99" s="0" t="n">
        <v>2</v>
      </c>
      <c r="AA99" s="189" t="s">
        <v>122</v>
      </c>
    </row>
    <row r="100" customFormat="false" ht="15" hidden="false" customHeight="true" outlineLevel="0" collapsed="false">
      <c r="A100" s="0" t="n">
        <v>19</v>
      </c>
      <c r="B100" s="188" t="n">
        <v>46123.874774073</v>
      </c>
      <c r="C100" s="188" t="n">
        <v>46123.88181111</v>
      </c>
      <c r="D100" s="189" t="s">
        <v>322</v>
      </c>
      <c r="E100" s="189" t="s">
        <v>323</v>
      </c>
      <c r="F100" s="189" t="s">
        <v>323</v>
      </c>
      <c r="G100" s="189" t="s">
        <v>324</v>
      </c>
      <c r="H100" s="188" t="n">
        <v>46120</v>
      </c>
      <c r="I100" s="189" t="s">
        <v>325</v>
      </c>
      <c r="J100" s="189" t="s">
        <v>108</v>
      </c>
      <c r="K100" s="189" t="s">
        <v>257</v>
      </c>
      <c r="L100" s="189" t="s">
        <v>268</v>
      </c>
      <c r="M100" s="189" t="s">
        <v>326</v>
      </c>
      <c r="N100" s="189" t="s">
        <v>259</v>
      </c>
      <c r="O100" s="189" t="s">
        <v>244</v>
      </c>
      <c r="P100" s="189" t="s">
        <v>111</v>
      </c>
      <c r="Q100" s="189" t="s">
        <v>247</v>
      </c>
      <c r="R100" s="189" t="s">
        <v>25</v>
      </c>
      <c r="S100" s="189" t="s">
        <v>120</v>
      </c>
      <c r="T100" s="189" t="s">
        <v>180</v>
      </c>
      <c r="U100" s="189" t="s">
        <v>122</v>
      </c>
      <c r="V100" s="189" t="s">
        <v>167</v>
      </c>
      <c r="W100" s="189" t="s">
        <v>124</v>
      </c>
      <c r="X100" s="189" t="s">
        <v>327</v>
      </c>
      <c r="Y100" s="189" t="s">
        <v>2108</v>
      </c>
      <c r="Z100" s="0" t="n">
        <v>1</v>
      </c>
      <c r="AA100" s="189" t="s">
        <v>2125</v>
      </c>
    </row>
    <row r="101" customFormat="false" ht="15" hidden="false" customHeight="true" outlineLevel="0" collapsed="false">
      <c r="A101" s="0" t="n">
        <v>19</v>
      </c>
      <c r="B101" s="188" t="n">
        <v>46123.874774073</v>
      </c>
      <c r="C101" s="188" t="n">
        <v>46123.88181111</v>
      </c>
      <c r="D101" s="189" t="s">
        <v>322</v>
      </c>
      <c r="E101" s="189" t="s">
        <v>323</v>
      </c>
      <c r="F101" s="189" t="s">
        <v>323</v>
      </c>
      <c r="G101" s="189" t="s">
        <v>324</v>
      </c>
      <c r="H101" s="188" t="n">
        <v>46120</v>
      </c>
      <c r="I101" s="189" t="s">
        <v>325</v>
      </c>
      <c r="J101" s="189" t="s">
        <v>108</v>
      </c>
      <c r="K101" s="189" t="s">
        <v>257</v>
      </c>
      <c r="L101" s="189" t="s">
        <v>268</v>
      </c>
      <c r="M101" s="189" t="s">
        <v>326</v>
      </c>
      <c r="N101" s="189" t="s">
        <v>259</v>
      </c>
      <c r="O101" s="189" t="s">
        <v>244</v>
      </c>
      <c r="P101" s="189" t="s">
        <v>111</v>
      </c>
      <c r="Q101" s="189" t="s">
        <v>247</v>
      </c>
      <c r="R101" s="189" t="s">
        <v>25</v>
      </c>
      <c r="S101" s="189" t="s">
        <v>120</v>
      </c>
      <c r="T101" s="189" t="s">
        <v>180</v>
      </c>
      <c r="U101" s="189" t="s">
        <v>122</v>
      </c>
      <c r="V101" s="189" t="s">
        <v>167</v>
      </c>
      <c r="W101" s="189" t="s">
        <v>124</v>
      </c>
      <c r="X101" s="189" t="s">
        <v>327</v>
      </c>
      <c r="Y101" s="189" t="s">
        <v>2108</v>
      </c>
      <c r="Z101" s="0" t="n">
        <v>2</v>
      </c>
      <c r="AA101" s="189" t="s">
        <v>2183</v>
      </c>
    </row>
    <row r="102" customFormat="false" ht="15" hidden="false" customHeight="true" outlineLevel="0" collapsed="false">
      <c r="A102" s="0" t="n">
        <v>19</v>
      </c>
      <c r="B102" s="188" t="n">
        <v>46123.874774073</v>
      </c>
      <c r="C102" s="188" t="n">
        <v>46123.88181111</v>
      </c>
      <c r="D102" s="189" t="s">
        <v>322</v>
      </c>
      <c r="E102" s="189" t="s">
        <v>323</v>
      </c>
      <c r="F102" s="189" t="s">
        <v>323</v>
      </c>
      <c r="G102" s="189" t="s">
        <v>324</v>
      </c>
      <c r="H102" s="188" t="n">
        <v>46120</v>
      </c>
      <c r="I102" s="189" t="s">
        <v>325</v>
      </c>
      <c r="J102" s="189" t="s">
        <v>108</v>
      </c>
      <c r="K102" s="189" t="s">
        <v>257</v>
      </c>
      <c r="L102" s="189" t="s">
        <v>268</v>
      </c>
      <c r="M102" s="189" t="s">
        <v>326</v>
      </c>
      <c r="N102" s="189" t="s">
        <v>259</v>
      </c>
      <c r="O102" s="189" t="s">
        <v>244</v>
      </c>
      <c r="P102" s="189" t="s">
        <v>111</v>
      </c>
      <c r="Q102" s="189" t="s">
        <v>247</v>
      </c>
      <c r="R102" s="189" t="s">
        <v>25</v>
      </c>
      <c r="S102" s="189" t="s">
        <v>120</v>
      </c>
      <c r="T102" s="189" t="s">
        <v>180</v>
      </c>
      <c r="U102" s="189" t="s">
        <v>122</v>
      </c>
      <c r="V102" s="189" t="s">
        <v>167</v>
      </c>
      <c r="W102" s="189" t="s">
        <v>124</v>
      </c>
      <c r="X102" s="189" t="s">
        <v>327</v>
      </c>
      <c r="Y102" s="189" t="s">
        <v>2108</v>
      </c>
      <c r="Z102" s="0" t="n">
        <v>3</v>
      </c>
      <c r="AA102" s="189" t="s">
        <v>2139</v>
      </c>
    </row>
    <row r="103" customFormat="false" ht="15" hidden="false" customHeight="true" outlineLevel="0" collapsed="false">
      <c r="A103" s="0" t="n">
        <v>19</v>
      </c>
      <c r="B103" s="188" t="n">
        <v>46123.874774073</v>
      </c>
      <c r="C103" s="188" t="n">
        <v>46123.88181111</v>
      </c>
      <c r="D103" s="189" t="s">
        <v>322</v>
      </c>
      <c r="E103" s="189" t="s">
        <v>323</v>
      </c>
      <c r="F103" s="189" t="s">
        <v>323</v>
      </c>
      <c r="G103" s="189" t="s">
        <v>324</v>
      </c>
      <c r="H103" s="188" t="n">
        <v>46120</v>
      </c>
      <c r="I103" s="189" t="s">
        <v>325</v>
      </c>
      <c r="J103" s="189" t="s">
        <v>108</v>
      </c>
      <c r="K103" s="189" t="s">
        <v>257</v>
      </c>
      <c r="L103" s="189" t="s">
        <v>268</v>
      </c>
      <c r="M103" s="189" t="s">
        <v>326</v>
      </c>
      <c r="N103" s="189" t="s">
        <v>259</v>
      </c>
      <c r="O103" s="189" t="s">
        <v>244</v>
      </c>
      <c r="P103" s="189" t="s">
        <v>111</v>
      </c>
      <c r="Q103" s="189" t="s">
        <v>247</v>
      </c>
      <c r="R103" s="189" t="s">
        <v>25</v>
      </c>
      <c r="S103" s="189" t="s">
        <v>120</v>
      </c>
      <c r="T103" s="189" t="s">
        <v>180</v>
      </c>
      <c r="U103" s="189" t="s">
        <v>122</v>
      </c>
      <c r="V103" s="189" t="s">
        <v>167</v>
      </c>
      <c r="W103" s="189" t="s">
        <v>124</v>
      </c>
      <c r="X103" s="189" t="s">
        <v>327</v>
      </c>
      <c r="Y103" s="189" t="s">
        <v>2110</v>
      </c>
      <c r="Z103" s="0" t="n">
        <v>1</v>
      </c>
      <c r="AA103" s="189" t="s">
        <v>2112</v>
      </c>
    </row>
    <row r="104" customFormat="false" ht="15" hidden="false" customHeight="true" outlineLevel="0" collapsed="false">
      <c r="A104" s="0" t="n">
        <v>19</v>
      </c>
      <c r="B104" s="188" t="n">
        <v>46123.874774073</v>
      </c>
      <c r="C104" s="188" t="n">
        <v>46123.88181111</v>
      </c>
      <c r="D104" s="189" t="s">
        <v>322</v>
      </c>
      <c r="E104" s="189" t="s">
        <v>323</v>
      </c>
      <c r="F104" s="189" t="s">
        <v>323</v>
      </c>
      <c r="G104" s="189" t="s">
        <v>324</v>
      </c>
      <c r="H104" s="188" t="n">
        <v>46120</v>
      </c>
      <c r="I104" s="189" t="s">
        <v>325</v>
      </c>
      <c r="J104" s="189" t="s">
        <v>108</v>
      </c>
      <c r="K104" s="189" t="s">
        <v>257</v>
      </c>
      <c r="L104" s="189" t="s">
        <v>268</v>
      </c>
      <c r="M104" s="189" t="s">
        <v>326</v>
      </c>
      <c r="N104" s="189" t="s">
        <v>259</v>
      </c>
      <c r="O104" s="189" t="s">
        <v>244</v>
      </c>
      <c r="P104" s="189" t="s">
        <v>111</v>
      </c>
      <c r="Q104" s="189" t="s">
        <v>247</v>
      </c>
      <c r="R104" s="189" t="s">
        <v>25</v>
      </c>
      <c r="S104" s="189" t="s">
        <v>120</v>
      </c>
      <c r="T104" s="189" t="s">
        <v>180</v>
      </c>
      <c r="U104" s="189" t="s">
        <v>122</v>
      </c>
      <c r="V104" s="189" t="s">
        <v>167</v>
      </c>
      <c r="W104" s="189" t="s">
        <v>124</v>
      </c>
      <c r="X104" s="189" t="s">
        <v>327</v>
      </c>
      <c r="Y104" s="189" t="s">
        <v>2110</v>
      </c>
      <c r="Z104" s="0" t="n">
        <v>2</v>
      </c>
      <c r="AA104" s="189" t="s">
        <v>2111</v>
      </c>
    </row>
    <row r="105" customFormat="false" ht="15" hidden="false" customHeight="true" outlineLevel="0" collapsed="false">
      <c r="A105" s="0" t="n">
        <v>19</v>
      </c>
      <c r="B105" s="188" t="n">
        <v>46123.874774073</v>
      </c>
      <c r="C105" s="188" t="n">
        <v>46123.88181111</v>
      </c>
      <c r="D105" s="189" t="s">
        <v>322</v>
      </c>
      <c r="E105" s="189" t="s">
        <v>323</v>
      </c>
      <c r="F105" s="189" t="s">
        <v>323</v>
      </c>
      <c r="G105" s="189" t="s">
        <v>324</v>
      </c>
      <c r="H105" s="188" t="n">
        <v>46120</v>
      </c>
      <c r="I105" s="189" t="s">
        <v>325</v>
      </c>
      <c r="J105" s="189" t="s">
        <v>108</v>
      </c>
      <c r="K105" s="189" t="s">
        <v>257</v>
      </c>
      <c r="L105" s="189" t="s">
        <v>268</v>
      </c>
      <c r="M105" s="189" t="s">
        <v>326</v>
      </c>
      <c r="N105" s="189" t="s">
        <v>259</v>
      </c>
      <c r="O105" s="189" t="s">
        <v>244</v>
      </c>
      <c r="P105" s="189" t="s">
        <v>111</v>
      </c>
      <c r="Q105" s="189" t="s">
        <v>247</v>
      </c>
      <c r="R105" s="189" t="s">
        <v>25</v>
      </c>
      <c r="S105" s="189" t="s">
        <v>120</v>
      </c>
      <c r="T105" s="189" t="s">
        <v>180</v>
      </c>
      <c r="U105" s="189" t="s">
        <v>122</v>
      </c>
      <c r="V105" s="189" t="s">
        <v>167</v>
      </c>
      <c r="W105" s="189" t="s">
        <v>124</v>
      </c>
      <c r="X105" s="189" t="s">
        <v>327</v>
      </c>
      <c r="Y105" s="189" t="s">
        <v>2113</v>
      </c>
      <c r="Z105" s="0" t="n">
        <v>1</v>
      </c>
      <c r="AA105" s="189" t="s">
        <v>2184</v>
      </c>
    </row>
    <row r="106" customFormat="false" ht="15" hidden="false" customHeight="true" outlineLevel="0" collapsed="false">
      <c r="A106" s="0" t="n">
        <v>20</v>
      </c>
      <c r="B106" s="188" t="n">
        <v>46148.3197154205</v>
      </c>
      <c r="C106" s="188" t="n">
        <v>46148.3293334761</v>
      </c>
      <c r="D106" s="189" t="s">
        <v>332</v>
      </c>
      <c r="E106" s="189" t="s">
        <v>333</v>
      </c>
      <c r="F106" s="189" t="s">
        <v>333</v>
      </c>
      <c r="G106" s="189" t="s">
        <v>334</v>
      </c>
      <c r="H106" s="188" t="n">
        <v>46137</v>
      </c>
      <c r="I106" s="189" t="s">
        <v>336</v>
      </c>
      <c r="J106" s="189" t="s">
        <v>295</v>
      </c>
      <c r="K106" s="189" t="s">
        <v>335</v>
      </c>
      <c r="L106" s="189" t="s">
        <v>159</v>
      </c>
      <c r="M106" s="189" t="s">
        <v>337</v>
      </c>
      <c r="N106" s="189" t="s">
        <v>338</v>
      </c>
      <c r="O106" s="189" t="s">
        <v>107</v>
      </c>
      <c r="P106" s="189" t="s">
        <v>131</v>
      </c>
      <c r="Q106" s="189" t="s">
        <v>112</v>
      </c>
      <c r="R106" s="189" t="s">
        <v>22</v>
      </c>
      <c r="S106" s="189" t="s">
        <v>120</v>
      </c>
      <c r="T106" s="189" t="s">
        <v>180</v>
      </c>
      <c r="V106" s="189" t="s">
        <v>167</v>
      </c>
      <c r="W106" s="189" t="s">
        <v>124</v>
      </c>
      <c r="X106" s="189" t="s">
        <v>339</v>
      </c>
      <c r="Y106" s="189" t="s">
        <v>2108</v>
      </c>
      <c r="Z106" s="0" t="n">
        <v>1</v>
      </c>
      <c r="AA106" s="189" t="s">
        <v>2185</v>
      </c>
    </row>
    <row r="107" customFormat="false" ht="15" hidden="false" customHeight="true" outlineLevel="0" collapsed="false">
      <c r="A107" s="0" t="n">
        <v>20</v>
      </c>
      <c r="B107" s="188" t="n">
        <v>46148.3197154205</v>
      </c>
      <c r="C107" s="188" t="n">
        <v>46148.3293334761</v>
      </c>
      <c r="D107" s="189" t="s">
        <v>332</v>
      </c>
      <c r="E107" s="189" t="s">
        <v>333</v>
      </c>
      <c r="F107" s="189" t="s">
        <v>333</v>
      </c>
      <c r="G107" s="189" t="s">
        <v>334</v>
      </c>
      <c r="H107" s="188" t="n">
        <v>46137</v>
      </c>
      <c r="I107" s="189" t="s">
        <v>336</v>
      </c>
      <c r="J107" s="189" t="s">
        <v>295</v>
      </c>
      <c r="K107" s="189" t="s">
        <v>335</v>
      </c>
      <c r="L107" s="189" t="s">
        <v>159</v>
      </c>
      <c r="M107" s="189" t="s">
        <v>337</v>
      </c>
      <c r="N107" s="189" t="s">
        <v>338</v>
      </c>
      <c r="O107" s="189" t="s">
        <v>107</v>
      </c>
      <c r="P107" s="189" t="s">
        <v>131</v>
      </c>
      <c r="Q107" s="189" t="s">
        <v>112</v>
      </c>
      <c r="R107" s="189" t="s">
        <v>22</v>
      </c>
      <c r="S107" s="189" t="s">
        <v>120</v>
      </c>
      <c r="T107" s="189" t="s">
        <v>180</v>
      </c>
      <c r="V107" s="189" t="s">
        <v>167</v>
      </c>
      <c r="W107" s="189" t="s">
        <v>124</v>
      </c>
      <c r="X107" s="189" t="s">
        <v>339</v>
      </c>
      <c r="Y107" s="189" t="s">
        <v>2110</v>
      </c>
      <c r="Z107" s="0" t="n">
        <v>1</v>
      </c>
      <c r="AA107" s="189" t="s">
        <v>2186</v>
      </c>
    </row>
    <row r="108" customFormat="false" ht="27.75" hidden="false" customHeight="true" outlineLevel="0" collapsed="false">
      <c r="A108" s="0" t="n">
        <v>20</v>
      </c>
      <c r="B108" s="188" t="n">
        <v>46148.3197154205</v>
      </c>
      <c r="C108" s="188" t="n">
        <v>46148.3293334761</v>
      </c>
      <c r="D108" s="189" t="s">
        <v>332</v>
      </c>
      <c r="E108" s="189" t="s">
        <v>333</v>
      </c>
      <c r="F108" s="189" t="s">
        <v>333</v>
      </c>
      <c r="G108" s="189" t="s">
        <v>334</v>
      </c>
      <c r="H108" s="188" t="n">
        <v>46137</v>
      </c>
      <c r="I108" s="189" t="s">
        <v>336</v>
      </c>
      <c r="J108" s="189" t="s">
        <v>295</v>
      </c>
      <c r="K108" s="189" t="s">
        <v>335</v>
      </c>
      <c r="L108" s="189" t="s">
        <v>159</v>
      </c>
      <c r="M108" s="189" t="s">
        <v>337</v>
      </c>
      <c r="N108" s="189" t="s">
        <v>338</v>
      </c>
      <c r="O108" s="189" t="s">
        <v>107</v>
      </c>
      <c r="P108" s="189" t="s">
        <v>131</v>
      </c>
      <c r="Q108" s="189" t="s">
        <v>112</v>
      </c>
      <c r="R108" s="189" t="s">
        <v>22</v>
      </c>
      <c r="S108" s="189" t="s">
        <v>120</v>
      </c>
      <c r="T108" s="189" t="s">
        <v>180</v>
      </c>
      <c r="V108" s="189" t="s">
        <v>167</v>
      </c>
      <c r="W108" s="189" t="s">
        <v>124</v>
      </c>
      <c r="X108" s="189" t="s">
        <v>339</v>
      </c>
      <c r="Y108" s="189" t="s">
        <v>2110</v>
      </c>
      <c r="Z108" s="0" t="n">
        <v>2</v>
      </c>
      <c r="AA108" s="189" t="s">
        <v>2187</v>
      </c>
    </row>
    <row r="109" customFormat="false" ht="27.75" hidden="false" customHeight="true" outlineLevel="0" collapsed="false">
      <c r="A109" s="0" t="n">
        <v>20</v>
      </c>
      <c r="B109" s="188" t="n">
        <v>46148.3197154205</v>
      </c>
      <c r="C109" s="188" t="n">
        <v>46148.3293334761</v>
      </c>
      <c r="D109" s="189" t="s">
        <v>332</v>
      </c>
      <c r="E109" s="189" t="s">
        <v>333</v>
      </c>
      <c r="F109" s="189" t="s">
        <v>333</v>
      </c>
      <c r="G109" s="189" t="s">
        <v>334</v>
      </c>
      <c r="H109" s="188" t="n">
        <v>46137</v>
      </c>
      <c r="I109" s="189" t="s">
        <v>336</v>
      </c>
      <c r="J109" s="189" t="s">
        <v>295</v>
      </c>
      <c r="K109" s="189" t="s">
        <v>335</v>
      </c>
      <c r="L109" s="189" t="s">
        <v>159</v>
      </c>
      <c r="M109" s="189" t="s">
        <v>337</v>
      </c>
      <c r="N109" s="189" t="s">
        <v>338</v>
      </c>
      <c r="O109" s="189" t="s">
        <v>107</v>
      </c>
      <c r="P109" s="189" t="s">
        <v>131</v>
      </c>
      <c r="Q109" s="189" t="s">
        <v>112</v>
      </c>
      <c r="R109" s="189" t="s">
        <v>22</v>
      </c>
      <c r="S109" s="189" t="s">
        <v>120</v>
      </c>
      <c r="T109" s="189" t="s">
        <v>180</v>
      </c>
      <c r="V109" s="189" t="s">
        <v>167</v>
      </c>
      <c r="W109" s="189" t="s">
        <v>124</v>
      </c>
      <c r="X109" s="189" t="s">
        <v>339</v>
      </c>
      <c r="Y109" s="189" t="s">
        <v>2113</v>
      </c>
      <c r="Z109" s="0" t="n">
        <v>1</v>
      </c>
      <c r="AA109" s="189" t="s">
        <v>2188</v>
      </c>
    </row>
    <row r="110" customFormat="false" ht="27.75" hidden="false" customHeight="true" outlineLevel="0" collapsed="false">
      <c r="A110" s="0" t="n">
        <v>20</v>
      </c>
      <c r="B110" s="188" t="n">
        <v>46148.3197154205</v>
      </c>
      <c r="C110" s="188" t="n">
        <v>46148.3293334761</v>
      </c>
      <c r="D110" s="189" t="s">
        <v>332</v>
      </c>
      <c r="E110" s="189" t="s">
        <v>333</v>
      </c>
      <c r="F110" s="189" t="s">
        <v>333</v>
      </c>
      <c r="G110" s="189" t="s">
        <v>334</v>
      </c>
      <c r="H110" s="188" t="n">
        <v>46137</v>
      </c>
      <c r="I110" s="189" t="s">
        <v>336</v>
      </c>
      <c r="J110" s="189" t="s">
        <v>295</v>
      </c>
      <c r="K110" s="189" t="s">
        <v>335</v>
      </c>
      <c r="L110" s="189" t="s">
        <v>159</v>
      </c>
      <c r="M110" s="189" t="s">
        <v>337</v>
      </c>
      <c r="N110" s="189" t="s">
        <v>338</v>
      </c>
      <c r="O110" s="189" t="s">
        <v>107</v>
      </c>
      <c r="P110" s="189" t="s">
        <v>131</v>
      </c>
      <c r="Q110" s="189" t="s">
        <v>112</v>
      </c>
      <c r="R110" s="189" t="s">
        <v>22</v>
      </c>
      <c r="S110" s="189" t="s">
        <v>120</v>
      </c>
      <c r="T110" s="189" t="s">
        <v>180</v>
      </c>
      <c r="V110" s="189" t="s">
        <v>167</v>
      </c>
      <c r="W110" s="189" t="s">
        <v>124</v>
      </c>
      <c r="X110" s="189" t="s">
        <v>339</v>
      </c>
      <c r="Y110" s="189" t="s">
        <v>2113</v>
      </c>
      <c r="Z110" s="0" t="n">
        <v>2</v>
      </c>
      <c r="AA110" s="189" t="s">
        <v>2189</v>
      </c>
    </row>
    <row r="111" customFormat="false" ht="15" hidden="false" customHeight="true" outlineLevel="0" collapsed="false">
      <c r="A111" s="0" t="n">
        <v>21</v>
      </c>
      <c r="B111" s="188" t="n">
        <v>46215.6103382103</v>
      </c>
      <c r="C111" s="188" t="n">
        <v>46215.6275604325</v>
      </c>
      <c r="D111" s="189" t="s">
        <v>343</v>
      </c>
      <c r="E111" s="189" t="s">
        <v>344</v>
      </c>
      <c r="F111" s="189" t="s">
        <v>344</v>
      </c>
      <c r="G111" s="189" t="s">
        <v>345</v>
      </c>
      <c r="H111" s="188" t="n">
        <v>46200</v>
      </c>
      <c r="I111" s="189" t="s">
        <v>325</v>
      </c>
      <c r="J111" s="189" t="s">
        <v>108</v>
      </c>
      <c r="K111" s="189" t="s">
        <v>158</v>
      </c>
      <c r="L111" s="189" t="s">
        <v>346</v>
      </c>
      <c r="M111" s="189" t="s">
        <v>258</v>
      </c>
      <c r="N111" s="189" t="s">
        <v>347</v>
      </c>
      <c r="O111" s="189" t="s">
        <v>157</v>
      </c>
      <c r="P111" s="189" t="s">
        <v>111</v>
      </c>
      <c r="Q111" s="189" t="s">
        <v>145</v>
      </c>
      <c r="R111" s="189" t="s">
        <v>21</v>
      </c>
      <c r="S111" s="189" t="s">
        <v>152</v>
      </c>
      <c r="T111" s="189" t="s">
        <v>352</v>
      </c>
      <c r="V111" s="189" t="s">
        <v>123</v>
      </c>
      <c r="W111" s="189" t="s">
        <v>124</v>
      </c>
      <c r="X111" s="189" t="s">
        <v>348</v>
      </c>
      <c r="Y111" s="189" t="s">
        <v>2108</v>
      </c>
      <c r="Z111" s="0" t="n">
        <v>1</v>
      </c>
      <c r="AA111" s="189" t="s">
        <v>2190</v>
      </c>
    </row>
    <row r="112" customFormat="false" ht="15" hidden="false" customHeight="true" outlineLevel="0" collapsed="false">
      <c r="A112" s="0" t="n">
        <v>21</v>
      </c>
      <c r="B112" s="188" t="n">
        <v>46215.6103382103</v>
      </c>
      <c r="C112" s="188" t="n">
        <v>46215.6275604325</v>
      </c>
      <c r="D112" s="189" t="s">
        <v>343</v>
      </c>
      <c r="E112" s="189" t="s">
        <v>344</v>
      </c>
      <c r="F112" s="189" t="s">
        <v>344</v>
      </c>
      <c r="G112" s="189" t="s">
        <v>345</v>
      </c>
      <c r="H112" s="188" t="n">
        <v>46200</v>
      </c>
      <c r="I112" s="189" t="s">
        <v>325</v>
      </c>
      <c r="J112" s="189" t="s">
        <v>108</v>
      </c>
      <c r="K112" s="189" t="s">
        <v>158</v>
      </c>
      <c r="L112" s="189" t="s">
        <v>346</v>
      </c>
      <c r="M112" s="189" t="s">
        <v>258</v>
      </c>
      <c r="N112" s="189" t="s">
        <v>347</v>
      </c>
      <c r="O112" s="189" t="s">
        <v>157</v>
      </c>
      <c r="P112" s="189" t="s">
        <v>111</v>
      </c>
      <c r="Q112" s="189" t="s">
        <v>145</v>
      </c>
      <c r="R112" s="189" t="s">
        <v>21</v>
      </c>
      <c r="S112" s="189" t="s">
        <v>152</v>
      </c>
      <c r="T112" s="189" t="s">
        <v>352</v>
      </c>
      <c r="V112" s="189" t="s">
        <v>123</v>
      </c>
      <c r="W112" s="189" t="s">
        <v>124</v>
      </c>
      <c r="X112" s="189" t="s">
        <v>348</v>
      </c>
      <c r="Y112" s="189" t="s">
        <v>2110</v>
      </c>
      <c r="Z112" s="0" t="n">
        <v>1</v>
      </c>
      <c r="AA112" s="189" t="s">
        <v>2191</v>
      </c>
    </row>
    <row r="113" customFormat="false" ht="15" hidden="false" customHeight="true" outlineLevel="0" collapsed="false">
      <c r="A113" s="0" t="n">
        <v>21</v>
      </c>
      <c r="B113" s="188" t="n">
        <v>46215.6103382103</v>
      </c>
      <c r="C113" s="188" t="n">
        <v>46215.6275604325</v>
      </c>
      <c r="D113" s="189" t="s">
        <v>343</v>
      </c>
      <c r="E113" s="189" t="s">
        <v>344</v>
      </c>
      <c r="F113" s="189" t="s">
        <v>344</v>
      </c>
      <c r="G113" s="189" t="s">
        <v>345</v>
      </c>
      <c r="H113" s="188" t="n">
        <v>46200</v>
      </c>
      <c r="I113" s="189" t="s">
        <v>325</v>
      </c>
      <c r="J113" s="189" t="s">
        <v>108</v>
      </c>
      <c r="K113" s="189" t="s">
        <v>158</v>
      </c>
      <c r="L113" s="189" t="s">
        <v>346</v>
      </c>
      <c r="M113" s="189" t="s">
        <v>258</v>
      </c>
      <c r="N113" s="189" t="s">
        <v>347</v>
      </c>
      <c r="O113" s="189" t="s">
        <v>157</v>
      </c>
      <c r="P113" s="189" t="s">
        <v>111</v>
      </c>
      <c r="Q113" s="189" t="s">
        <v>145</v>
      </c>
      <c r="R113" s="189" t="s">
        <v>21</v>
      </c>
      <c r="S113" s="189" t="s">
        <v>152</v>
      </c>
      <c r="T113" s="189" t="s">
        <v>352</v>
      </c>
      <c r="V113" s="189" t="s">
        <v>123</v>
      </c>
      <c r="W113" s="189" t="s">
        <v>124</v>
      </c>
      <c r="X113" s="189" t="s">
        <v>348</v>
      </c>
      <c r="Y113" s="189" t="s">
        <v>2113</v>
      </c>
      <c r="Z113" s="0" t="n">
        <v>1</v>
      </c>
      <c r="AA113" s="189" t="s">
        <v>2192</v>
      </c>
    </row>
    <row r="114" customFormat="false" ht="15" hidden="false" customHeight="true" outlineLevel="0" collapsed="false">
      <c r="A114" s="0" t="n">
        <v>22</v>
      </c>
      <c r="B114" s="188" t="n">
        <v>46054.1587666136</v>
      </c>
      <c r="C114" s="188" t="n">
        <v>46054.1732689284</v>
      </c>
      <c r="D114" s="189" t="s">
        <v>353</v>
      </c>
      <c r="E114" s="189" t="s">
        <v>354</v>
      </c>
      <c r="F114" s="189" t="s">
        <v>354</v>
      </c>
      <c r="G114" s="189" t="s">
        <v>355</v>
      </c>
      <c r="H114" s="188" t="n">
        <v>46037</v>
      </c>
      <c r="I114" s="189" t="s">
        <v>113</v>
      </c>
      <c r="J114" s="189" t="s">
        <v>295</v>
      </c>
      <c r="K114" s="189" t="s">
        <v>356</v>
      </c>
      <c r="L114" s="189" t="s">
        <v>346</v>
      </c>
      <c r="M114" s="189" t="s">
        <v>357</v>
      </c>
      <c r="N114" s="189" t="s">
        <v>219</v>
      </c>
      <c r="O114" s="189" t="s">
        <v>172</v>
      </c>
      <c r="P114" s="189" t="s">
        <v>111</v>
      </c>
      <c r="Q114" s="189" t="s">
        <v>145</v>
      </c>
      <c r="R114" s="189" t="s">
        <v>24</v>
      </c>
      <c r="S114" s="189" t="s">
        <v>152</v>
      </c>
      <c r="T114" s="189" t="s">
        <v>121</v>
      </c>
      <c r="U114" s="189" t="s">
        <v>122</v>
      </c>
      <c r="V114" s="189" t="s">
        <v>123</v>
      </c>
      <c r="W114" s="189" t="s">
        <v>124</v>
      </c>
      <c r="X114" s="189" t="s">
        <v>223</v>
      </c>
      <c r="Y114" s="189" t="s">
        <v>2108</v>
      </c>
      <c r="Z114" s="0" t="n">
        <v>1</v>
      </c>
      <c r="AA114" s="189" t="s">
        <v>2142</v>
      </c>
    </row>
    <row r="115" customFormat="false" ht="15" hidden="false" customHeight="true" outlineLevel="0" collapsed="false">
      <c r="A115" s="0" t="n">
        <v>22</v>
      </c>
      <c r="B115" s="188" t="n">
        <v>46054.1587666136</v>
      </c>
      <c r="C115" s="188" t="n">
        <v>46054.1732689284</v>
      </c>
      <c r="D115" s="189" t="s">
        <v>353</v>
      </c>
      <c r="E115" s="189" t="s">
        <v>354</v>
      </c>
      <c r="F115" s="189" t="s">
        <v>354</v>
      </c>
      <c r="G115" s="189" t="s">
        <v>355</v>
      </c>
      <c r="H115" s="188" t="n">
        <v>46037</v>
      </c>
      <c r="I115" s="189" t="s">
        <v>113</v>
      </c>
      <c r="J115" s="189" t="s">
        <v>295</v>
      </c>
      <c r="K115" s="189" t="s">
        <v>356</v>
      </c>
      <c r="L115" s="189" t="s">
        <v>346</v>
      </c>
      <c r="M115" s="189" t="s">
        <v>357</v>
      </c>
      <c r="N115" s="189" t="s">
        <v>219</v>
      </c>
      <c r="O115" s="189" t="s">
        <v>172</v>
      </c>
      <c r="P115" s="189" t="s">
        <v>111</v>
      </c>
      <c r="Q115" s="189" t="s">
        <v>145</v>
      </c>
      <c r="R115" s="189" t="s">
        <v>24</v>
      </c>
      <c r="S115" s="189" t="s">
        <v>152</v>
      </c>
      <c r="T115" s="189" t="s">
        <v>121</v>
      </c>
      <c r="U115" s="189" t="s">
        <v>122</v>
      </c>
      <c r="V115" s="189" t="s">
        <v>123</v>
      </c>
      <c r="W115" s="189" t="s">
        <v>124</v>
      </c>
      <c r="X115" s="189" t="s">
        <v>223</v>
      </c>
      <c r="Y115" s="189" t="s">
        <v>2110</v>
      </c>
      <c r="Z115" s="0" t="n">
        <v>1</v>
      </c>
      <c r="AA115" s="189" t="s">
        <v>2149</v>
      </c>
    </row>
    <row r="116" customFormat="false" ht="15" hidden="false" customHeight="true" outlineLevel="0" collapsed="false">
      <c r="A116" s="0" t="n">
        <v>22</v>
      </c>
      <c r="B116" s="188" t="n">
        <v>46054.1587666136</v>
      </c>
      <c r="C116" s="188" t="n">
        <v>46054.1732689284</v>
      </c>
      <c r="D116" s="189" t="s">
        <v>353</v>
      </c>
      <c r="E116" s="189" t="s">
        <v>354</v>
      </c>
      <c r="F116" s="189" t="s">
        <v>354</v>
      </c>
      <c r="G116" s="189" t="s">
        <v>355</v>
      </c>
      <c r="H116" s="188" t="n">
        <v>46037</v>
      </c>
      <c r="I116" s="189" t="s">
        <v>113</v>
      </c>
      <c r="J116" s="189" t="s">
        <v>295</v>
      </c>
      <c r="K116" s="189" t="s">
        <v>356</v>
      </c>
      <c r="L116" s="189" t="s">
        <v>346</v>
      </c>
      <c r="M116" s="189" t="s">
        <v>357</v>
      </c>
      <c r="N116" s="189" t="s">
        <v>219</v>
      </c>
      <c r="O116" s="189" t="s">
        <v>172</v>
      </c>
      <c r="P116" s="189" t="s">
        <v>111</v>
      </c>
      <c r="Q116" s="189" t="s">
        <v>145</v>
      </c>
      <c r="R116" s="189" t="s">
        <v>24</v>
      </c>
      <c r="S116" s="189" t="s">
        <v>152</v>
      </c>
      <c r="T116" s="189" t="s">
        <v>121</v>
      </c>
      <c r="U116" s="189" t="s">
        <v>122</v>
      </c>
      <c r="V116" s="189" t="s">
        <v>123</v>
      </c>
      <c r="W116" s="189" t="s">
        <v>124</v>
      </c>
      <c r="X116" s="189" t="s">
        <v>223</v>
      </c>
      <c r="Y116" s="189" t="s">
        <v>2110</v>
      </c>
      <c r="Z116" s="0" t="n">
        <v>2</v>
      </c>
      <c r="AA116" s="189" t="s">
        <v>2193</v>
      </c>
    </row>
    <row r="117" customFormat="false" ht="15" hidden="false" customHeight="true" outlineLevel="0" collapsed="false">
      <c r="A117" s="0" t="n">
        <v>22</v>
      </c>
      <c r="B117" s="188" t="n">
        <v>46054.1587666136</v>
      </c>
      <c r="C117" s="188" t="n">
        <v>46054.1732689284</v>
      </c>
      <c r="D117" s="189" t="s">
        <v>353</v>
      </c>
      <c r="E117" s="189" t="s">
        <v>354</v>
      </c>
      <c r="F117" s="189" t="s">
        <v>354</v>
      </c>
      <c r="G117" s="189" t="s">
        <v>355</v>
      </c>
      <c r="H117" s="188" t="n">
        <v>46037</v>
      </c>
      <c r="I117" s="189" t="s">
        <v>113</v>
      </c>
      <c r="J117" s="189" t="s">
        <v>295</v>
      </c>
      <c r="K117" s="189" t="s">
        <v>356</v>
      </c>
      <c r="L117" s="189" t="s">
        <v>346</v>
      </c>
      <c r="M117" s="189" t="s">
        <v>357</v>
      </c>
      <c r="N117" s="189" t="s">
        <v>219</v>
      </c>
      <c r="O117" s="189" t="s">
        <v>172</v>
      </c>
      <c r="P117" s="189" t="s">
        <v>111</v>
      </c>
      <c r="Q117" s="189" t="s">
        <v>145</v>
      </c>
      <c r="R117" s="189" t="s">
        <v>24</v>
      </c>
      <c r="S117" s="189" t="s">
        <v>152</v>
      </c>
      <c r="T117" s="189" t="s">
        <v>121</v>
      </c>
      <c r="U117" s="189" t="s">
        <v>122</v>
      </c>
      <c r="V117" s="189" t="s">
        <v>123</v>
      </c>
      <c r="W117" s="189" t="s">
        <v>124</v>
      </c>
      <c r="X117" s="189" t="s">
        <v>223</v>
      </c>
      <c r="Y117" s="189" t="s">
        <v>2113</v>
      </c>
      <c r="Z117" s="0" t="n">
        <v>1</v>
      </c>
      <c r="AA117" s="189" t="s">
        <v>2194</v>
      </c>
    </row>
    <row r="118" customFormat="false" ht="15" hidden="false" customHeight="true" outlineLevel="0" collapsed="false">
      <c r="A118" s="0" t="n">
        <v>22</v>
      </c>
      <c r="B118" s="188" t="n">
        <v>46054.1587666136</v>
      </c>
      <c r="C118" s="188" t="n">
        <v>46054.1732689284</v>
      </c>
      <c r="D118" s="189" t="s">
        <v>353</v>
      </c>
      <c r="E118" s="189" t="s">
        <v>354</v>
      </c>
      <c r="F118" s="189" t="s">
        <v>354</v>
      </c>
      <c r="G118" s="189" t="s">
        <v>355</v>
      </c>
      <c r="H118" s="188" t="n">
        <v>46037</v>
      </c>
      <c r="I118" s="189" t="s">
        <v>113</v>
      </c>
      <c r="J118" s="189" t="s">
        <v>295</v>
      </c>
      <c r="K118" s="189" t="s">
        <v>356</v>
      </c>
      <c r="L118" s="189" t="s">
        <v>346</v>
      </c>
      <c r="M118" s="189" t="s">
        <v>357</v>
      </c>
      <c r="N118" s="189" t="s">
        <v>219</v>
      </c>
      <c r="O118" s="189" t="s">
        <v>172</v>
      </c>
      <c r="P118" s="189" t="s">
        <v>111</v>
      </c>
      <c r="Q118" s="189" t="s">
        <v>145</v>
      </c>
      <c r="R118" s="189" t="s">
        <v>24</v>
      </c>
      <c r="S118" s="189" t="s">
        <v>152</v>
      </c>
      <c r="T118" s="189" t="s">
        <v>121</v>
      </c>
      <c r="U118" s="189" t="s">
        <v>122</v>
      </c>
      <c r="V118" s="189" t="s">
        <v>123</v>
      </c>
      <c r="W118" s="189" t="s">
        <v>124</v>
      </c>
      <c r="X118" s="189" t="s">
        <v>223</v>
      </c>
      <c r="Y118" s="189" t="s">
        <v>2113</v>
      </c>
      <c r="Z118" s="0" t="n">
        <v>2</v>
      </c>
      <c r="AA118" s="189" t="s">
        <v>2145</v>
      </c>
    </row>
    <row r="119" customFormat="false" ht="15" hidden="false" customHeight="true" outlineLevel="0" collapsed="false">
      <c r="A119" s="0" t="n">
        <v>23</v>
      </c>
      <c r="B119" s="188" t="n">
        <v>46211.1872796947</v>
      </c>
      <c r="C119" s="188" t="n">
        <v>46211.2037843243</v>
      </c>
      <c r="D119" s="189" t="s">
        <v>361</v>
      </c>
      <c r="E119" s="189" t="s">
        <v>362</v>
      </c>
      <c r="F119" s="189" t="s">
        <v>362</v>
      </c>
      <c r="G119" s="189" t="s">
        <v>363</v>
      </c>
      <c r="H119" s="188" t="n">
        <v>46211</v>
      </c>
      <c r="I119" s="189" t="s">
        <v>113</v>
      </c>
      <c r="J119" s="189" t="s">
        <v>108</v>
      </c>
      <c r="K119" s="189" t="s">
        <v>364</v>
      </c>
      <c r="L119" s="189" t="s">
        <v>197</v>
      </c>
      <c r="M119" s="189" t="s">
        <v>365</v>
      </c>
      <c r="N119" s="189" t="s">
        <v>174</v>
      </c>
      <c r="O119" s="189" t="s">
        <v>244</v>
      </c>
      <c r="P119" s="189" t="s">
        <v>111</v>
      </c>
      <c r="Q119" s="189" t="s">
        <v>145</v>
      </c>
      <c r="R119" s="189" t="s">
        <v>22</v>
      </c>
      <c r="S119" s="189" t="s">
        <v>120</v>
      </c>
      <c r="T119" s="189" t="s">
        <v>180</v>
      </c>
      <c r="U119" s="189" t="s">
        <v>369</v>
      </c>
      <c r="V119" s="189" t="s">
        <v>192</v>
      </c>
      <c r="W119" s="189" t="s">
        <v>124</v>
      </c>
      <c r="X119" s="189" t="s">
        <v>135</v>
      </c>
      <c r="Y119" s="189" t="s">
        <v>2108</v>
      </c>
      <c r="Z119" s="0" t="n">
        <v>1</v>
      </c>
      <c r="AA119" s="189" t="s">
        <v>2115</v>
      </c>
    </row>
    <row r="120" customFormat="false" ht="15" hidden="false" customHeight="true" outlineLevel="0" collapsed="false">
      <c r="A120" s="0" t="n">
        <v>23</v>
      </c>
      <c r="B120" s="188" t="n">
        <v>46211.1872796947</v>
      </c>
      <c r="C120" s="188" t="n">
        <v>46211.2037843243</v>
      </c>
      <c r="D120" s="189" t="s">
        <v>361</v>
      </c>
      <c r="E120" s="189" t="s">
        <v>362</v>
      </c>
      <c r="F120" s="189" t="s">
        <v>362</v>
      </c>
      <c r="G120" s="189" t="s">
        <v>363</v>
      </c>
      <c r="H120" s="188" t="n">
        <v>46211</v>
      </c>
      <c r="I120" s="189" t="s">
        <v>113</v>
      </c>
      <c r="J120" s="189" t="s">
        <v>108</v>
      </c>
      <c r="K120" s="189" t="s">
        <v>364</v>
      </c>
      <c r="L120" s="189" t="s">
        <v>197</v>
      </c>
      <c r="M120" s="189" t="s">
        <v>365</v>
      </c>
      <c r="N120" s="189" t="s">
        <v>174</v>
      </c>
      <c r="O120" s="189" t="s">
        <v>244</v>
      </c>
      <c r="P120" s="189" t="s">
        <v>111</v>
      </c>
      <c r="Q120" s="189" t="s">
        <v>145</v>
      </c>
      <c r="R120" s="189" t="s">
        <v>22</v>
      </c>
      <c r="S120" s="189" t="s">
        <v>120</v>
      </c>
      <c r="T120" s="189" t="s">
        <v>180</v>
      </c>
      <c r="U120" s="189" t="s">
        <v>369</v>
      </c>
      <c r="V120" s="189" t="s">
        <v>192</v>
      </c>
      <c r="W120" s="189" t="s">
        <v>124</v>
      </c>
      <c r="X120" s="189" t="s">
        <v>135</v>
      </c>
      <c r="Y120" s="189" t="s">
        <v>2110</v>
      </c>
      <c r="Z120" s="0" t="n">
        <v>1</v>
      </c>
      <c r="AA120" s="189" t="s">
        <v>2118</v>
      </c>
    </row>
    <row r="121" customFormat="false" ht="15" hidden="false" customHeight="true" outlineLevel="0" collapsed="false">
      <c r="A121" s="0" t="n">
        <v>23</v>
      </c>
      <c r="B121" s="188" t="n">
        <v>46211.1872796947</v>
      </c>
      <c r="C121" s="188" t="n">
        <v>46211.2037843243</v>
      </c>
      <c r="D121" s="189" t="s">
        <v>361</v>
      </c>
      <c r="E121" s="189" t="s">
        <v>362</v>
      </c>
      <c r="F121" s="189" t="s">
        <v>362</v>
      </c>
      <c r="G121" s="189" t="s">
        <v>363</v>
      </c>
      <c r="H121" s="188" t="n">
        <v>46211</v>
      </c>
      <c r="I121" s="189" t="s">
        <v>113</v>
      </c>
      <c r="J121" s="189" t="s">
        <v>108</v>
      </c>
      <c r="K121" s="189" t="s">
        <v>364</v>
      </c>
      <c r="L121" s="189" t="s">
        <v>197</v>
      </c>
      <c r="M121" s="189" t="s">
        <v>365</v>
      </c>
      <c r="N121" s="189" t="s">
        <v>174</v>
      </c>
      <c r="O121" s="189" t="s">
        <v>244</v>
      </c>
      <c r="P121" s="189" t="s">
        <v>111</v>
      </c>
      <c r="Q121" s="189" t="s">
        <v>145</v>
      </c>
      <c r="R121" s="189" t="s">
        <v>22</v>
      </c>
      <c r="S121" s="189" t="s">
        <v>120</v>
      </c>
      <c r="T121" s="189" t="s">
        <v>180</v>
      </c>
      <c r="U121" s="189" t="s">
        <v>369</v>
      </c>
      <c r="V121" s="189" t="s">
        <v>192</v>
      </c>
      <c r="W121" s="189" t="s">
        <v>124</v>
      </c>
      <c r="X121" s="189" t="s">
        <v>135</v>
      </c>
      <c r="Y121" s="189" t="s">
        <v>2110</v>
      </c>
      <c r="Z121" s="0" t="n">
        <v>2</v>
      </c>
      <c r="AA121" s="189" t="s">
        <v>2195</v>
      </c>
    </row>
    <row r="122" customFormat="false" ht="15" hidden="false" customHeight="true" outlineLevel="0" collapsed="false">
      <c r="A122" s="0" t="n">
        <v>23</v>
      </c>
      <c r="B122" s="188" t="n">
        <v>46211.1872796947</v>
      </c>
      <c r="C122" s="188" t="n">
        <v>46211.2037843243</v>
      </c>
      <c r="D122" s="189" t="s">
        <v>361</v>
      </c>
      <c r="E122" s="189" t="s">
        <v>362</v>
      </c>
      <c r="F122" s="189" t="s">
        <v>362</v>
      </c>
      <c r="G122" s="189" t="s">
        <v>363</v>
      </c>
      <c r="H122" s="188" t="n">
        <v>46211</v>
      </c>
      <c r="I122" s="189" t="s">
        <v>113</v>
      </c>
      <c r="J122" s="189" t="s">
        <v>108</v>
      </c>
      <c r="K122" s="189" t="s">
        <v>364</v>
      </c>
      <c r="L122" s="189" t="s">
        <v>197</v>
      </c>
      <c r="M122" s="189" t="s">
        <v>365</v>
      </c>
      <c r="N122" s="189" t="s">
        <v>174</v>
      </c>
      <c r="O122" s="189" t="s">
        <v>244</v>
      </c>
      <c r="P122" s="189" t="s">
        <v>111</v>
      </c>
      <c r="Q122" s="189" t="s">
        <v>145</v>
      </c>
      <c r="R122" s="189" t="s">
        <v>22</v>
      </c>
      <c r="S122" s="189" t="s">
        <v>120</v>
      </c>
      <c r="T122" s="189" t="s">
        <v>180</v>
      </c>
      <c r="U122" s="189" t="s">
        <v>369</v>
      </c>
      <c r="V122" s="189" t="s">
        <v>192</v>
      </c>
      <c r="W122" s="189" t="s">
        <v>124</v>
      </c>
      <c r="X122" s="189" t="s">
        <v>135</v>
      </c>
      <c r="Y122" s="189" t="s">
        <v>2113</v>
      </c>
      <c r="Z122" s="0" t="n">
        <v>1</v>
      </c>
      <c r="AA122" s="189" t="s">
        <v>2196</v>
      </c>
    </row>
    <row r="123" customFormat="false" ht="15" hidden="false" customHeight="true" outlineLevel="0" collapsed="false">
      <c r="A123" s="0" t="n">
        <v>24</v>
      </c>
      <c r="B123" s="188" t="n">
        <v>46192.6853132555</v>
      </c>
      <c r="C123" s="188" t="n">
        <v>46192.6939359407</v>
      </c>
      <c r="D123" s="189" t="s">
        <v>371</v>
      </c>
      <c r="E123" s="189" t="s">
        <v>372</v>
      </c>
      <c r="F123" s="189" t="s">
        <v>372</v>
      </c>
      <c r="G123" s="189" t="s">
        <v>373</v>
      </c>
      <c r="H123" s="188" t="n">
        <v>46173</v>
      </c>
      <c r="I123" s="189" t="s">
        <v>113</v>
      </c>
      <c r="J123" s="189" t="s">
        <v>108</v>
      </c>
      <c r="K123" s="189" t="s">
        <v>143</v>
      </c>
      <c r="L123" s="189" t="s">
        <v>346</v>
      </c>
      <c r="M123" s="189" t="s">
        <v>365</v>
      </c>
      <c r="N123" s="189" t="s">
        <v>259</v>
      </c>
      <c r="O123" s="189" t="s">
        <v>260</v>
      </c>
      <c r="P123" s="189" t="s">
        <v>111</v>
      </c>
      <c r="Q123" s="189" t="s">
        <v>112</v>
      </c>
      <c r="R123" s="189" t="s">
        <v>21</v>
      </c>
      <c r="S123" s="189" t="s">
        <v>152</v>
      </c>
      <c r="T123" s="189" t="s">
        <v>121</v>
      </c>
      <c r="U123" s="189" t="s">
        <v>122</v>
      </c>
      <c r="V123" s="189" t="s">
        <v>192</v>
      </c>
      <c r="W123" s="189" t="s">
        <v>168</v>
      </c>
      <c r="X123" s="189" t="s">
        <v>374</v>
      </c>
      <c r="Y123" s="189" t="s">
        <v>2108</v>
      </c>
      <c r="Z123" s="0" t="n">
        <v>1</v>
      </c>
      <c r="AA123" s="189" t="s">
        <v>2197</v>
      </c>
    </row>
    <row r="124" customFormat="false" ht="15" hidden="false" customHeight="true" outlineLevel="0" collapsed="false">
      <c r="A124" s="0" t="n">
        <v>24</v>
      </c>
      <c r="B124" s="188" t="n">
        <v>46192.6853132555</v>
      </c>
      <c r="C124" s="188" t="n">
        <v>46192.6939359407</v>
      </c>
      <c r="D124" s="189" t="s">
        <v>371</v>
      </c>
      <c r="E124" s="189" t="s">
        <v>372</v>
      </c>
      <c r="F124" s="189" t="s">
        <v>372</v>
      </c>
      <c r="G124" s="189" t="s">
        <v>373</v>
      </c>
      <c r="H124" s="188" t="n">
        <v>46173</v>
      </c>
      <c r="I124" s="189" t="s">
        <v>113</v>
      </c>
      <c r="J124" s="189" t="s">
        <v>108</v>
      </c>
      <c r="K124" s="189" t="s">
        <v>143</v>
      </c>
      <c r="L124" s="189" t="s">
        <v>346</v>
      </c>
      <c r="M124" s="189" t="s">
        <v>365</v>
      </c>
      <c r="N124" s="189" t="s">
        <v>259</v>
      </c>
      <c r="O124" s="189" t="s">
        <v>260</v>
      </c>
      <c r="P124" s="189" t="s">
        <v>111</v>
      </c>
      <c r="Q124" s="189" t="s">
        <v>112</v>
      </c>
      <c r="R124" s="189" t="s">
        <v>21</v>
      </c>
      <c r="S124" s="189" t="s">
        <v>152</v>
      </c>
      <c r="T124" s="189" t="s">
        <v>121</v>
      </c>
      <c r="U124" s="189" t="s">
        <v>122</v>
      </c>
      <c r="V124" s="189" t="s">
        <v>192</v>
      </c>
      <c r="W124" s="189" t="s">
        <v>168</v>
      </c>
      <c r="X124" s="189" t="s">
        <v>374</v>
      </c>
      <c r="Y124" s="189" t="s">
        <v>2108</v>
      </c>
      <c r="Z124" s="0" t="n">
        <v>2</v>
      </c>
      <c r="AA124" s="189" t="s">
        <v>2198</v>
      </c>
    </row>
    <row r="125" customFormat="false" ht="15" hidden="false" customHeight="true" outlineLevel="0" collapsed="false">
      <c r="A125" s="0" t="n">
        <v>24</v>
      </c>
      <c r="B125" s="188" t="n">
        <v>46192.6853132555</v>
      </c>
      <c r="C125" s="188" t="n">
        <v>46192.6939359407</v>
      </c>
      <c r="D125" s="189" t="s">
        <v>371</v>
      </c>
      <c r="E125" s="189" t="s">
        <v>372</v>
      </c>
      <c r="F125" s="189" t="s">
        <v>372</v>
      </c>
      <c r="G125" s="189" t="s">
        <v>373</v>
      </c>
      <c r="H125" s="188" t="n">
        <v>46173</v>
      </c>
      <c r="I125" s="189" t="s">
        <v>113</v>
      </c>
      <c r="J125" s="189" t="s">
        <v>108</v>
      </c>
      <c r="K125" s="189" t="s">
        <v>143</v>
      </c>
      <c r="L125" s="189" t="s">
        <v>346</v>
      </c>
      <c r="M125" s="189" t="s">
        <v>365</v>
      </c>
      <c r="N125" s="189" t="s">
        <v>259</v>
      </c>
      <c r="O125" s="189" t="s">
        <v>260</v>
      </c>
      <c r="P125" s="189" t="s">
        <v>111</v>
      </c>
      <c r="Q125" s="189" t="s">
        <v>112</v>
      </c>
      <c r="R125" s="189" t="s">
        <v>21</v>
      </c>
      <c r="S125" s="189" t="s">
        <v>152</v>
      </c>
      <c r="T125" s="189" t="s">
        <v>121</v>
      </c>
      <c r="U125" s="189" t="s">
        <v>122</v>
      </c>
      <c r="V125" s="189" t="s">
        <v>192</v>
      </c>
      <c r="W125" s="189" t="s">
        <v>168</v>
      </c>
      <c r="X125" s="189" t="s">
        <v>374</v>
      </c>
      <c r="Y125" s="189" t="s">
        <v>2108</v>
      </c>
      <c r="Z125" s="0" t="n">
        <v>3</v>
      </c>
      <c r="AA125" s="189" t="s">
        <v>2199</v>
      </c>
    </row>
    <row r="126" customFormat="false" ht="15" hidden="false" customHeight="true" outlineLevel="0" collapsed="false">
      <c r="A126" s="0" t="n">
        <v>24</v>
      </c>
      <c r="B126" s="188" t="n">
        <v>46192.6853132555</v>
      </c>
      <c r="C126" s="188" t="n">
        <v>46192.6939359407</v>
      </c>
      <c r="D126" s="189" t="s">
        <v>371</v>
      </c>
      <c r="E126" s="189" t="s">
        <v>372</v>
      </c>
      <c r="F126" s="189" t="s">
        <v>372</v>
      </c>
      <c r="G126" s="189" t="s">
        <v>373</v>
      </c>
      <c r="H126" s="188" t="n">
        <v>46173</v>
      </c>
      <c r="I126" s="189" t="s">
        <v>113</v>
      </c>
      <c r="J126" s="189" t="s">
        <v>108</v>
      </c>
      <c r="K126" s="189" t="s">
        <v>143</v>
      </c>
      <c r="L126" s="189" t="s">
        <v>346</v>
      </c>
      <c r="M126" s="189" t="s">
        <v>365</v>
      </c>
      <c r="N126" s="189" t="s">
        <v>259</v>
      </c>
      <c r="O126" s="189" t="s">
        <v>260</v>
      </c>
      <c r="P126" s="189" t="s">
        <v>111</v>
      </c>
      <c r="Q126" s="189" t="s">
        <v>112</v>
      </c>
      <c r="R126" s="189" t="s">
        <v>21</v>
      </c>
      <c r="S126" s="189" t="s">
        <v>152</v>
      </c>
      <c r="T126" s="189" t="s">
        <v>121</v>
      </c>
      <c r="U126" s="189" t="s">
        <v>122</v>
      </c>
      <c r="V126" s="189" t="s">
        <v>192</v>
      </c>
      <c r="W126" s="189" t="s">
        <v>168</v>
      </c>
      <c r="X126" s="189" t="s">
        <v>374</v>
      </c>
      <c r="Y126" s="189" t="s">
        <v>2110</v>
      </c>
      <c r="Z126" s="0" t="n">
        <v>1</v>
      </c>
      <c r="AA126" s="189" t="s">
        <v>2200</v>
      </c>
    </row>
    <row r="127" customFormat="false" ht="15" hidden="false" customHeight="true" outlineLevel="0" collapsed="false">
      <c r="A127" s="0" t="n">
        <v>24</v>
      </c>
      <c r="B127" s="188" t="n">
        <v>46192.6853132555</v>
      </c>
      <c r="C127" s="188" t="n">
        <v>46192.6939359407</v>
      </c>
      <c r="D127" s="189" t="s">
        <v>371</v>
      </c>
      <c r="E127" s="189" t="s">
        <v>372</v>
      </c>
      <c r="F127" s="189" t="s">
        <v>372</v>
      </c>
      <c r="G127" s="189" t="s">
        <v>373</v>
      </c>
      <c r="H127" s="188" t="n">
        <v>46173</v>
      </c>
      <c r="I127" s="189" t="s">
        <v>113</v>
      </c>
      <c r="J127" s="189" t="s">
        <v>108</v>
      </c>
      <c r="K127" s="189" t="s">
        <v>143</v>
      </c>
      <c r="L127" s="189" t="s">
        <v>346</v>
      </c>
      <c r="M127" s="189" t="s">
        <v>365</v>
      </c>
      <c r="N127" s="189" t="s">
        <v>259</v>
      </c>
      <c r="O127" s="189" t="s">
        <v>260</v>
      </c>
      <c r="P127" s="189" t="s">
        <v>111</v>
      </c>
      <c r="Q127" s="189" t="s">
        <v>112</v>
      </c>
      <c r="R127" s="189" t="s">
        <v>21</v>
      </c>
      <c r="S127" s="189" t="s">
        <v>152</v>
      </c>
      <c r="T127" s="189" t="s">
        <v>121</v>
      </c>
      <c r="U127" s="189" t="s">
        <v>122</v>
      </c>
      <c r="V127" s="189" t="s">
        <v>192</v>
      </c>
      <c r="W127" s="189" t="s">
        <v>168</v>
      </c>
      <c r="X127" s="189" t="s">
        <v>374</v>
      </c>
      <c r="Y127" s="189" t="s">
        <v>2113</v>
      </c>
      <c r="Z127" s="0" t="n">
        <v>1</v>
      </c>
      <c r="AA127" s="189" t="s">
        <v>2201</v>
      </c>
    </row>
    <row r="128" customFormat="false" ht="15" hidden="false" customHeight="true" outlineLevel="0" collapsed="false">
      <c r="A128" s="0" t="n">
        <v>24</v>
      </c>
      <c r="B128" s="188" t="n">
        <v>46192.6853132555</v>
      </c>
      <c r="C128" s="188" t="n">
        <v>46192.6939359407</v>
      </c>
      <c r="D128" s="189" t="s">
        <v>371</v>
      </c>
      <c r="E128" s="189" t="s">
        <v>372</v>
      </c>
      <c r="F128" s="189" t="s">
        <v>372</v>
      </c>
      <c r="G128" s="189" t="s">
        <v>373</v>
      </c>
      <c r="H128" s="188" t="n">
        <v>46173</v>
      </c>
      <c r="I128" s="189" t="s">
        <v>113</v>
      </c>
      <c r="J128" s="189" t="s">
        <v>108</v>
      </c>
      <c r="K128" s="189" t="s">
        <v>143</v>
      </c>
      <c r="L128" s="189" t="s">
        <v>346</v>
      </c>
      <c r="M128" s="189" t="s">
        <v>365</v>
      </c>
      <c r="N128" s="189" t="s">
        <v>259</v>
      </c>
      <c r="O128" s="189" t="s">
        <v>260</v>
      </c>
      <c r="P128" s="189" t="s">
        <v>111</v>
      </c>
      <c r="Q128" s="189" t="s">
        <v>112</v>
      </c>
      <c r="R128" s="189" t="s">
        <v>21</v>
      </c>
      <c r="S128" s="189" t="s">
        <v>152</v>
      </c>
      <c r="T128" s="189" t="s">
        <v>121</v>
      </c>
      <c r="U128" s="189" t="s">
        <v>122</v>
      </c>
      <c r="V128" s="189" t="s">
        <v>192</v>
      </c>
      <c r="W128" s="189" t="s">
        <v>168</v>
      </c>
      <c r="X128" s="189" t="s">
        <v>374</v>
      </c>
      <c r="Y128" s="189" t="s">
        <v>2113</v>
      </c>
      <c r="Z128" s="0" t="n">
        <v>2</v>
      </c>
      <c r="AA128" s="189" t="s">
        <v>2202</v>
      </c>
    </row>
    <row r="129" customFormat="false" ht="15" hidden="false" customHeight="true" outlineLevel="0" collapsed="false">
      <c r="A129" s="0" t="n">
        <v>25</v>
      </c>
      <c r="B129" s="188" t="n">
        <v>46061.6944871846</v>
      </c>
      <c r="C129" s="188" t="n">
        <v>46061.6994061661</v>
      </c>
      <c r="D129" s="189" t="s">
        <v>378</v>
      </c>
      <c r="E129" s="189" t="s">
        <v>379</v>
      </c>
      <c r="F129" s="189" t="s">
        <v>379</v>
      </c>
      <c r="G129" s="189" t="s">
        <v>380</v>
      </c>
      <c r="H129" s="188" t="n">
        <v>46059</v>
      </c>
      <c r="I129" s="189" t="s">
        <v>325</v>
      </c>
      <c r="J129" s="189" t="s">
        <v>295</v>
      </c>
      <c r="K129" s="189" t="s">
        <v>232</v>
      </c>
      <c r="L129" s="189" t="s">
        <v>296</v>
      </c>
      <c r="M129" s="189" t="s">
        <v>258</v>
      </c>
      <c r="N129" s="189" t="s">
        <v>115</v>
      </c>
      <c r="O129" s="189" t="s">
        <v>107</v>
      </c>
      <c r="P129" s="189" t="s">
        <v>111</v>
      </c>
      <c r="Q129" s="189" t="s">
        <v>145</v>
      </c>
      <c r="R129" s="189" t="s">
        <v>22</v>
      </c>
      <c r="S129" s="189" t="s">
        <v>152</v>
      </c>
      <c r="T129" s="189" t="s">
        <v>180</v>
      </c>
      <c r="U129" s="189" t="s">
        <v>385</v>
      </c>
      <c r="V129" s="189" t="s">
        <v>167</v>
      </c>
      <c r="W129" s="189" t="s">
        <v>139</v>
      </c>
      <c r="X129" s="189" t="s">
        <v>381</v>
      </c>
      <c r="Y129" s="189" t="s">
        <v>2108</v>
      </c>
      <c r="Z129" s="0" t="n">
        <v>1</v>
      </c>
      <c r="AA129" s="189" t="s">
        <v>2203</v>
      </c>
    </row>
    <row r="130" customFormat="false" ht="15" hidden="false" customHeight="true" outlineLevel="0" collapsed="false">
      <c r="A130" s="0" t="n">
        <v>25</v>
      </c>
      <c r="B130" s="188" t="n">
        <v>46061.6944871846</v>
      </c>
      <c r="C130" s="188" t="n">
        <v>46061.6994061661</v>
      </c>
      <c r="D130" s="189" t="s">
        <v>378</v>
      </c>
      <c r="E130" s="189" t="s">
        <v>379</v>
      </c>
      <c r="F130" s="189" t="s">
        <v>379</v>
      </c>
      <c r="G130" s="189" t="s">
        <v>380</v>
      </c>
      <c r="H130" s="188" t="n">
        <v>46059</v>
      </c>
      <c r="I130" s="189" t="s">
        <v>325</v>
      </c>
      <c r="J130" s="189" t="s">
        <v>295</v>
      </c>
      <c r="K130" s="189" t="s">
        <v>232</v>
      </c>
      <c r="L130" s="189" t="s">
        <v>296</v>
      </c>
      <c r="M130" s="189" t="s">
        <v>258</v>
      </c>
      <c r="N130" s="189" t="s">
        <v>115</v>
      </c>
      <c r="O130" s="189" t="s">
        <v>107</v>
      </c>
      <c r="P130" s="189" t="s">
        <v>111</v>
      </c>
      <c r="Q130" s="189" t="s">
        <v>145</v>
      </c>
      <c r="R130" s="189" t="s">
        <v>22</v>
      </c>
      <c r="S130" s="189" t="s">
        <v>152</v>
      </c>
      <c r="T130" s="189" t="s">
        <v>180</v>
      </c>
      <c r="U130" s="189" t="s">
        <v>385</v>
      </c>
      <c r="V130" s="189" t="s">
        <v>167</v>
      </c>
      <c r="W130" s="189" t="s">
        <v>139</v>
      </c>
      <c r="X130" s="189" t="s">
        <v>381</v>
      </c>
      <c r="Y130" s="189" t="s">
        <v>2110</v>
      </c>
      <c r="Z130" s="0" t="n">
        <v>1</v>
      </c>
      <c r="AA130" s="189" t="s">
        <v>2204</v>
      </c>
    </row>
    <row r="131" customFormat="false" ht="15" hidden="false" customHeight="true" outlineLevel="0" collapsed="false">
      <c r="A131" s="0" t="n">
        <v>25</v>
      </c>
      <c r="B131" s="188" t="n">
        <v>46061.6944871846</v>
      </c>
      <c r="C131" s="188" t="n">
        <v>46061.6994061661</v>
      </c>
      <c r="D131" s="189" t="s">
        <v>378</v>
      </c>
      <c r="E131" s="189" t="s">
        <v>379</v>
      </c>
      <c r="F131" s="189" t="s">
        <v>379</v>
      </c>
      <c r="G131" s="189" t="s">
        <v>380</v>
      </c>
      <c r="H131" s="188" t="n">
        <v>46059</v>
      </c>
      <c r="I131" s="189" t="s">
        <v>325</v>
      </c>
      <c r="J131" s="189" t="s">
        <v>295</v>
      </c>
      <c r="K131" s="189" t="s">
        <v>232</v>
      </c>
      <c r="L131" s="189" t="s">
        <v>296</v>
      </c>
      <c r="M131" s="189" t="s">
        <v>258</v>
      </c>
      <c r="N131" s="189" t="s">
        <v>115</v>
      </c>
      <c r="O131" s="189" t="s">
        <v>107</v>
      </c>
      <c r="P131" s="189" t="s">
        <v>111</v>
      </c>
      <c r="Q131" s="189" t="s">
        <v>145</v>
      </c>
      <c r="R131" s="189" t="s">
        <v>22</v>
      </c>
      <c r="S131" s="189" t="s">
        <v>152</v>
      </c>
      <c r="T131" s="189" t="s">
        <v>180</v>
      </c>
      <c r="U131" s="189" t="s">
        <v>385</v>
      </c>
      <c r="V131" s="189" t="s">
        <v>167</v>
      </c>
      <c r="W131" s="189" t="s">
        <v>139</v>
      </c>
      <c r="X131" s="189" t="s">
        <v>381</v>
      </c>
      <c r="Y131" s="189" t="s">
        <v>2110</v>
      </c>
      <c r="Z131" s="0" t="n">
        <v>2</v>
      </c>
      <c r="AA131" s="189" t="s">
        <v>2205</v>
      </c>
    </row>
    <row r="132" customFormat="false" ht="15" hidden="false" customHeight="true" outlineLevel="0" collapsed="false">
      <c r="A132" s="0" t="n">
        <v>25</v>
      </c>
      <c r="B132" s="188" t="n">
        <v>46061.6944871846</v>
      </c>
      <c r="C132" s="188" t="n">
        <v>46061.6994061661</v>
      </c>
      <c r="D132" s="189" t="s">
        <v>378</v>
      </c>
      <c r="E132" s="189" t="s">
        <v>379</v>
      </c>
      <c r="F132" s="189" t="s">
        <v>379</v>
      </c>
      <c r="G132" s="189" t="s">
        <v>380</v>
      </c>
      <c r="H132" s="188" t="n">
        <v>46059</v>
      </c>
      <c r="I132" s="189" t="s">
        <v>325</v>
      </c>
      <c r="J132" s="189" t="s">
        <v>295</v>
      </c>
      <c r="K132" s="189" t="s">
        <v>232</v>
      </c>
      <c r="L132" s="189" t="s">
        <v>296</v>
      </c>
      <c r="M132" s="189" t="s">
        <v>258</v>
      </c>
      <c r="N132" s="189" t="s">
        <v>115</v>
      </c>
      <c r="O132" s="189" t="s">
        <v>107</v>
      </c>
      <c r="P132" s="189" t="s">
        <v>111</v>
      </c>
      <c r="Q132" s="189" t="s">
        <v>145</v>
      </c>
      <c r="R132" s="189" t="s">
        <v>22</v>
      </c>
      <c r="S132" s="189" t="s">
        <v>152</v>
      </c>
      <c r="T132" s="189" t="s">
        <v>180</v>
      </c>
      <c r="U132" s="189" t="s">
        <v>385</v>
      </c>
      <c r="V132" s="189" t="s">
        <v>167</v>
      </c>
      <c r="W132" s="189" t="s">
        <v>139</v>
      </c>
      <c r="X132" s="189" t="s">
        <v>381</v>
      </c>
      <c r="Y132" s="189" t="s">
        <v>2113</v>
      </c>
      <c r="Z132" s="0" t="n">
        <v>1</v>
      </c>
      <c r="AA132" s="189" t="s">
        <v>2206</v>
      </c>
    </row>
    <row r="133" customFormat="false" ht="15" hidden="false" customHeight="true" outlineLevel="0" collapsed="false">
      <c r="A133" s="0" t="n">
        <v>25</v>
      </c>
      <c r="B133" s="188" t="n">
        <v>46061.6944871846</v>
      </c>
      <c r="C133" s="188" t="n">
        <v>46061.6994061661</v>
      </c>
      <c r="D133" s="189" t="s">
        <v>378</v>
      </c>
      <c r="E133" s="189" t="s">
        <v>379</v>
      </c>
      <c r="F133" s="189" t="s">
        <v>379</v>
      </c>
      <c r="G133" s="189" t="s">
        <v>380</v>
      </c>
      <c r="H133" s="188" t="n">
        <v>46059</v>
      </c>
      <c r="I133" s="189" t="s">
        <v>325</v>
      </c>
      <c r="J133" s="189" t="s">
        <v>295</v>
      </c>
      <c r="K133" s="189" t="s">
        <v>232</v>
      </c>
      <c r="L133" s="189" t="s">
        <v>296</v>
      </c>
      <c r="M133" s="189" t="s">
        <v>258</v>
      </c>
      <c r="N133" s="189" t="s">
        <v>115</v>
      </c>
      <c r="O133" s="189" t="s">
        <v>107</v>
      </c>
      <c r="P133" s="189" t="s">
        <v>111</v>
      </c>
      <c r="Q133" s="189" t="s">
        <v>145</v>
      </c>
      <c r="R133" s="189" t="s">
        <v>22</v>
      </c>
      <c r="S133" s="189" t="s">
        <v>152</v>
      </c>
      <c r="T133" s="189" t="s">
        <v>180</v>
      </c>
      <c r="U133" s="189" t="s">
        <v>385</v>
      </c>
      <c r="V133" s="189" t="s">
        <v>167</v>
      </c>
      <c r="W133" s="189" t="s">
        <v>139</v>
      </c>
      <c r="X133" s="189" t="s">
        <v>381</v>
      </c>
      <c r="Y133" s="189" t="s">
        <v>2113</v>
      </c>
      <c r="Z133" s="0" t="n">
        <v>2</v>
      </c>
      <c r="AA133" s="189" t="s">
        <v>2207</v>
      </c>
    </row>
    <row r="134" customFormat="false" ht="15" hidden="false" customHeight="true" outlineLevel="0" collapsed="false">
      <c r="A134" s="0" t="n">
        <v>26</v>
      </c>
      <c r="B134" s="188" t="n">
        <v>46122.9785777183</v>
      </c>
      <c r="C134" s="188" t="n">
        <v>46122.9978832739</v>
      </c>
      <c r="D134" s="189" t="s">
        <v>386</v>
      </c>
      <c r="E134" s="189" t="s">
        <v>387</v>
      </c>
      <c r="F134" s="189" t="s">
        <v>387</v>
      </c>
      <c r="G134" s="189" t="s">
        <v>388</v>
      </c>
      <c r="H134" s="188" t="n">
        <v>46102</v>
      </c>
      <c r="I134" s="189" t="s">
        <v>113</v>
      </c>
      <c r="J134" s="189" t="s">
        <v>108</v>
      </c>
      <c r="K134" s="189" t="s">
        <v>245</v>
      </c>
      <c r="L134" s="189" t="s">
        <v>389</v>
      </c>
      <c r="M134" s="189" t="s">
        <v>391</v>
      </c>
      <c r="N134" s="189" t="s">
        <v>280</v>
      </c>
      <c r="O134" s="189" t="s">
        <v>172</v>
      </c>
      <c r="P134" s="189" t="s">
        <v>390</v>
      </c>
      <c r="Q134" s="189" t="s">
        <v>112</v>
      </c>
      <c r="R134" s="189" t="s">
        <v>21</v>
      </c>
      <c r="S134" s="189" t="s">
        <v>152</v>
      </c>
      <c r="T134" s="189" t="s">
        <v>121</v>
      </c>
      <c r="U134" s="189" t="s">
        <v>122</v>
      </c>
      <c r="V134" s="189" t="s">
        <v>167</v>
      </c>
      <c r="W134" s="189" t="s">
        <v>168</v>
      </c>
      <c r="X134" s="189" t="s">
        <v>348</v>
      </c>
      <c r="Y134" s="189" t="s">
        <v>2108</v>
      </c>
      <c r="Z134" s="0" t="n">
        <v>1</v>
      </c>
      <c r="AA134" s="189" t="s">
        <v>2208</v>
      </c>
    </row>
    <row r="135" customFormat="false" ht="15" hidden="false" customHeight="true" outlineLevel="0" collapsed="false">
      <c r="A135" s="0" t="n">
        <v>26</v>
      </c>
      <c r="B135" s="188" t="n">
        <v>46122.9785777183</v>
      </c>
      <c r="C135" s="188" t="n">
        <v>46122.9978832739</v>
      </c>
      <c r="D135" s="189" t="s">
        <v>386</v>
      </c>
      <c r="E135" s="189" t="s">
        <v>387</v>
      </c>
      <c r="F135" s="189" t="s">
        <v>387</v>
      </c>
      <c r="G135" s="189" t="s">
        <v>388</v>
      </c>
      <c r="H135" s="188" t="n">
        <v>46102</v>
      </c>
      <c r="I135" s="189" t="s">
        <v>113</v>
      </c>
      <c r="J135" s="189" t="s">
        <v>108</v>
      </c>
      <c r="K135" s="189" t="s">
        <v>245</v>
      </c>
      <c r="L135" s="189" t="s">
        <v>389</v>
      </c>
      <c r="M135" s="189" t="s">
        <v>391</v>
      </c>
      <c r="N135" s="189" t="s">
        <v>280</v>
      </c>
      <c r="O135" s="189" t="s">
        <v>172</v>
      </c>
      <c r="P135" s="189" t="s">
        <v>390</v>
      </c>
      <c r="Q135" s="189" t="s">
        <v>112</v>
      </c>
      <c r="R135" s="189" t="s">
        <v>21</v>
      </c>
      <c r="S135" s="189" t="s">
        <v>152</v>
      </c>
      <c r="T135" s="189" t="s">
        <v>121</v>
      </c>
      <c r="U135" s="189" t="s">
        <v>122</v>
      </c>
      <c r="V135" s="189" t="s">
        <v>167</v>
      </c>
      <c r="W135" s="189" t="s">
        <v>168</v>
      </c>
      <c r="X135" s="189" t="s">
        <v>348</v>
      </c>
      <c r="Y135" s="189" t="s">
        <v>2108</v>
      </c>
      <c r="Z135" s="0" t="n">
        <v>2</v>
      </c>
      <c r="AA135" s="189" t="s">
        <v>2209</v>
      </c>
    </row>
    <row r="136" customFormat="false" ht="15" hidden="false" customHeight="true" outlineLevel="0" collapsed="false">
      <c r="A136" s="0" t="n">
        <v>26</v>
      </c>
      <c r="B136" s="188" t="n">
        <v>46122.9785777183</v>
      </c>
      <c r="C136" s="188" t="n">
        <v>46122.9978832739</v>
      </c>
      <c r="D136" s="189" t="s">
        <v>386</v>
      </c>
      <c r="E136" s="189" t="s">
        <v>387</v>
      </c>
      <c r="F136" s="189" t="s">
        <v>387</v>
      </c>
      <c r="G136" s="189" t="s">
        <v>388</v>
      </c>
      <c r="H136" s="188" t="n">
        <v>46102</v>
      </c>
      <c r="I136" s="189" t="s">
        <v>113</v>
      </c>
      <c r="J136" s="189" t="s">
        <v>108</v>
      </c>
      <c r="K136" s="189" t="s">
        <v>245</v>
      </c>
      <c r="L136" s="189" t="s">
        <v>389</v>
      </c>
      <c r="M136" s="189" t="s">
        <v>391</v>
      </c>
      <c r="N136" s="189" t="s">
        <v>280</v>
      </c>
      <c r="O136" s="189" t="s">
        <v>172</v>
      </c>
      <c r="P136" s="189" t="s">
        <v>390</v>
      </c>
      <c r="Q136" s="189" t="s">
        <v>112</v>
      </c>
      <c r="R136" s="189" t="s">
        <v>21</v>
      </c>
      <c r="S136" s="189" t="s">
        <v>152</v>
      </c>
      <c r="T136" s="189" t="s">
        <v>121</v>
      </c>
      <c r="U136" s="189" t="s">
        <v>122</v>
      </c>
      <c r="V136" s="189" t="s">
        <v>167</v>
      </c>
      <c r="W136" s="189" t="s">
        <v>168</v>
      </c>
      <c r="X136" s="189" t="s">
        <v>348</v>
      </c>
      <c r="Y136" s="189" t="s">
        <v>2110</v>
      </c>
      <c r="Z136" s="0" t="n">
        <v>1</v>
      </c>
      <c r="AA136" s="189" t="s">
        <v>2191</v>
      </c>
    </row>
    <row r="137" customFormat="false" ht="15" hidden="false" customHeight="true" outlineLevel="0" collapsed="false">
      <c r="A137" s="0" t="n">
        <v>26</v>
      </c>
      <c r="B137" s="188" t="n">
        <v>46122.9785777183</v>
      </c>
      <c r="C137" s="188" t="n">
        <v>46122.9978832739</v>
      </c>
      <c r="D137" s="189" t="s">
        <v>386</v>
      </c>
      <c r="E137" s="189" t="s">
        <v>387</v>
      </c>
      <c r="F137" s="189" t="s">
        <v>387</v>
      </c>
      <c r="G137" s="189" t="s">
        <v>388</v>
      </c>
      <c r="H137" s="188" t="n">
        <v>46102</v>
      </c>
      <c r="I137" s="189" t="s">
        <v>113</v>
      </c>
      <c r="J137" s="189" t="s">
        <v>108</v>
      </c>
      <c r="K137" s="189" t="s">
        <v>245</v>
      </c>
      <c r="L137" s="189" t="s">
        <v>389</v>
      </c>
      <c r="M137" s="189" t="s">
        <v>391</v>
      </c>
      <c r="N137" s="189" t="s">
        <v>280</v>
      </c>
      <c r="O137" s="189" t="s">
        <v>172</v>
      </c>
      <c r="P137" s="189" t="s">
        <v>390</v>
      </c>
      <c r="Q137" s="189" t="s">
        <v>112</v>
      </c>
      <c r="R137" s="189" t="s">
        <v>21</v>
      </c>
      <c r="S137" s="189" t="s">
        <v>152</v>
      </c>
      <c r="T137" s="189" t="s">
        <v>121</v>
      </c>
      <c r="U137" s="189" t="s">
        <v>122</v>
      </c>
      <c r="V137" s="189" t="s">
        <v>167</v>
      </c>
      <c r="W137" s="189" t="s">
        <v>168</v>
      </c>
      <c r="X137" s="189" t="s">
        <v>348</v>
      </c>
      <c r="Y137" s="189" t="s">
        <v>2113</v>
      </c>
      <c r="Z137" s="0" t="n">
        <v>1</v>
      </c>
      <c r="AA137" s="189" t="s">
        <v>2210</v>
      </c>
    </row>
    <row r="138" customFormat="false" ht="15" hidden="false" customHeight="true" outlineLevel="0" collapsed="false">
      <c r="A138" s="0" t="n">
        <v>27</v>
      </c>
      <c r="B138" s="188" t="n">
        <v>46077.5030995718</v>
      </c>
      <c r="C138" s="188" t="n">
        <v>46077.5057731829</v>
      </c>
      <c r="D138" s="189" t="s">
        <v>394</v>
      </c>
      <c r="E138" s="189" t="s">
        <v>395</v>
      </c>
      <c r="F138" s="189" t="s">
        <v>395</v>
      </c>
      <c r="G138" s="189" t="s">
        <v>396</v>
      </c>
      <c r="H138" s="188" t="n">
        <v>46058</v>
      </c>
      <c r="I138" s="189" t="s">
        <v>113</v>
      </c>
      <c r="J138" s="189" t="s">
        <v>108</v>
      </c>
      <c r="K138" s="189" t="s">
        <v>143</v>
      </c>
      <c r="L138" s="189" t="s">
        <v>346</v>
      </c>
      <c r="M138" s="189" t="s">
        <v>397</v>
      </c>
      <c r="N138" s="189" t="s">
        <v>398</v>
      </c>
      <c r="O138" s="189" t="s">
        <v>278</v>
      </c>
      <c r="P138" s="189" t="s">
        <v>111</v>
      </c>
      <c r="Q138" s="189" t="s">
        <v>247</v>
      </c>
      <c r="R138" s="189" t="s">
        <v>21</v>
      </c>
      <c r="S138" s="189" t="s">
        <v>152</v>
      </c>
      <c r="T138" s="189" t="s">
        <v>400</v>
      </c>
      <c r="U138" s="189" t="s">
        <v>401</v>
      </c>
      <c r="V138" s="189" t="s">
        <v>167</v>
      </c>
      <c r="W138" s="189" t="s">
        <v>124</v>
      </c>
      <c r="X138" s="189" t="s">
        <v>187</v>
      </c>
      <c r="Y138" s="189" t="s">
        <v>2108</v>
      </c>
      <c r="Z138" s="0" t="n">
        <v>1</v>
      </c>
      <c r="AA138" s="189" t="s">
        <v>2133</v>
      </c>
    </row>
    <row r="139" customFormat="false" ht="15" hidden="false" customHeight="true" outlineLevel="0" collapsed="false">
      <c r="A139" s="0" t="n">
        <v>27</v>
      </c>
      <c r="B139" s="188" t="n">
        <v>46077.5030995718</v>
      </c>
      <c r="C139" s="188" t="n">
        <v>46077.5057731829</v>
      </c>
      <c r="D139" s="189" t="s">
        <v>394</v>
      </c>
      <c r="E139" s="189" t="s">
        <v>395</v>
      </c>
      <c r="F139" s="189" t="s">
        <v>395</v>
      </c>
      <c r="G139" s="189" t="s">
        <v>396</v>
      </c>
      <c r="H139" s="188" t="n">
        <v>46058</v>
      </c>
      <c r="I139" s="189" t="s">
        <v>113</v>
      </c>
      <c r="J139" s="189" t="s">
        <v>108</v>
      </c>
      <c r="K139" s="189" t="s">
        <v>143</v>
      </c>
      <c r="L139" s="189" t="s">
        <v>346</v>
      </c>
      <c r="M139" s="189" t="s">
        <v>397</v>
      </c>
      <c r="N139" s="189" t="s">
        <v>398</v>
      </c>
      <c r="O139" s="189" t="s">
        <v>278</v>
      </c>
      <c r="P139" s="189" t="s">
        <v>111</v>
      </c>
      <c r="Q139" s="189" t="s">
        <v>247</v>
      </c>
      <c r="R139" s="189" t="s">
        <v>21</v>
      </c>
      <c r="S139" s="189" t="s">
        <v>152</v>
      </c>
      <c r="T139" s="189" t="s">
        <v>400</v>
      </c>
      <c r="U139" s="189" t="s">
        <v>401</v>
      </c>
      <c r="V139" s="189" t="s">
        <v>167</v>
      </c>
      <c r="W139" s="189" t="s">
        <v>124</v>
      </c>
      <c r="X139" s="189" t="s">
        <v>187</v>
      </c>
      <c r="Y139" s="189" t="s">
        <v>2110</v>
      </c>
      <c r="Z139" s="0" t="n">
        <v>1</v>
      </c>
      <c r="AA139" s="189" t="s">
        <v>2211</v>
      </c>
    </row>
    <row r="140" s="190" customFormat="true" ht="15" hidden="false" customHeight="true" outlineLevel="0" collapsed="false">
      <c r="A140" s="190" t="n">
        <v>27</v>
      </c>
      <c r="B140" s="188" t="n">
        <v>46077.5030995718</v>
      </c>
      <c r="C140" s="188" t="n">
        <v>46077.5057731829</v>
      </c>
      <c r="D140" s="190" t="s">
        <v>394</v>
      </c>
      <c r="E140" s="190" t="s">
        <v>395</v>
      </c>
      <c r="F140" s="190" t="s">
        <v>395</v>
      </c>
      <c r="G140" s="190" t="s">
        <v>396</v>
      </c>
      <c r="H140" s="188" t="n">
        <v>46058</v>
      </c>
      <c r="I140" s="190" t="s">
        <v>113</v>
      </c>
      <c r="J140" s="190" t="s">
        <v>108</v>
      </c>
      <c r="K140" s="190" t="s">
        <v>143</v>
      </c>
      <c r="L140" s="190" t="s">
        <v>346</v>
      </c>
      <c r="M140" s="190" t="s">
        <v>397</v>
      </c>
      <c r="N140" s="190" t="s">
        <v>398</v>
      </c>
      <c r="O140" s="190" t="s">
        <v>278</v>
      </c>
      <c r="P140" s="190" t="s">
        <v>111</v>
      </c>
      <c r="Q140" s="190" t="s">
        <v>247</v>
      </c>
      <c r="R140" s="190" t="s">
        <v>21</v>
      </c>
      <c r="S140" s="190" t="s">
        <v>152</v>
      </c>
      <c r="T140" s="190" t="s">
        <v>400</v>
      </c>
      <c r="U140" s="190" t="s">
        <v>401</v>
      </c>
      <c r="V140" s="190" t="s">
        <v>167</v>
      </c>
      <c r="W140" s="190" t="s">
        <v>124</v>
      </c>
      <c r="X140" s="190" t="s">
        <v>187</v>
      </c>
      <c r="Y140" s="190" t="s">
        <v>2113</v>
      </c>
      <c r="Z140" s="190" t="n">
        <v>1</v>
      </c>
      <c r="AA140" s="190" t="s">
        <v>2135</v>
      </c>
    </row>
    <row r="141" s="190" customFormat="true" ht="15" hidden="false" customHeight="true" outlineLevel="0" collapsed="false">
      <c r="A141" s="190" t="n">
        <v>28</v>
      </c>
      <c r="B141" s="188" t="n">
        <v>46167.3860380999</v>
      </c>
      <c r="C141" s="188" t="n">
        <v>46167.4041399518</v>
      </c>
      <c r="D141" s="190" t="s">
        <v>402</v>
      </c>
      <c r="E141" s="190" t="s">
        <v>403</v>
      </c>
      <c r="F141" s="190" t="s">
        <v>403</v>
      </c>
      <c r="G141" s="190" t="s">
        <v>404</v>
      </c>
      <c r="H141" s="188" t="n">
        <v>46152</v>
      </c>
      <c r="I141" s="190" t="s">
        <v>305</v>
      </c>
      <c r="J141" s="190" t="s">
        <v>108</v>
      </c>
      <c r="K141" s="190" t="s">
        <v>245</v>
      </c>
      <c r="L141" s="190" t="s">
        <v>286</v>
      </c>
      <c r="M141" s="190" t="s">
        <v>406</v>
      </c>
      <c r="N141" s="190" t="s">
        <v>407</v>
      </c>
      <c r="O141" s="190" t="s">
        <v>405</v>
      </c>
      <c r="P141" s="190" t="s">
        <v>211</v>
      </c>
      <c r="Q141" s="190" t="s">
        <v>112</v>
      </c>
      <c r="R141" s="190" t="s">
        <v>22</v>
      </c>
      <c r="S141" s="190" t="s">
        <v>320</v>
      </c>
      <c r="T141" s="190" t="s">
        <v>121</v>
      </c>
      <c r="U141" s="190" t="s">
        <v>122</v>
      </c>
      <c r="V141" s="190" t="s">
        <v>123</v>
      </c>
      <c r="W141" s="190" t="s">
        <v>124</v>
      </c>
      <c r="X141" s="190" t="s">
        <v>339</v>
      </c>
      <c r="Y141" s="190" t="s">
        <v>2108</v>
      </c>
      <c r="Z141" s="190" t="n">
        <v>1</v>
      </c>
      <c r="AA141" s="190" t="s">
        <v>2212</v>
      </c>
    </row>
    <row r="142" s="190" customFormat="true" ht="15" hidden="false" customHeight="true" outlineLevel="0" collapsed="false">
      <c r="A142" s="190" t="n">
        <v>28</v>
      </c>
      <c r="B142" s="188" t="n">
        <v>46167.3860380999</v>
      </c>
      <c r="C142" s="188" t="n">
        <v>46167.4041399518</v>
      </c>
      <c r="D142" s="190" t="s">
        <v>402</v>
      </c>
      <c r="E142" s="190" t="s">
        <v>403</v>
      </c>
      <c r="F142" s="190" t="s">
        <v>403</v>
      </c>
      <c r="G142" s="190" t="s">
        <v>404</v>
      </c>
      <c r="H142" s="188" t="n">
        <v>46152</v>
      </c>
      <c r="I142" s="190" t="s">
        <v>305</v>
      </c>
      <c r="J142" s="190" t="s">
        <v>108</v>
      </c>
      <c r="K142" s="190" t="s">
        <v>245</v>
      </c>
      <c r="L142" s="190" t="s">
        <v>286</v>
      </c>
      <c r="M142" s="190" t="s">
        <v>406</v>
      </c>
      <c r="N142" s="190" t="s">
        <v>407</v>
      </c>
      <c r="O142" s="190" t="s">
        <v>405</v>
      </c>
      <c r="P142" s="190" t="s">
        <v>211</v>
      </c>
      <c r="Q142" s="190" t="s">
        <v>112</v>
      </c>
      <c r="R142" s="190" t="s">
        <v>22</v>
      </c>
      <c r="S142" s="190" t="s">
        <v>320</v>
      </c>
      <c r="T142" s="190" t="s">
        <v>121</v>
      </c>
      <c r="U142" s="190" t="s">
        <v>122</v>
      </c>
      <c r="V142" s="190" t="s">
        <v>123</v>
      </c>
      <c r="W142" s="190" t="s">
        <v>124</v>
      </c>
      <c r="X142" s="190" t="s">
        <v>339</v>
      </c>
      <c r="Y142" s="190" t="s">
        <v>2108</v>
      </c>
      <c r="Z142" s="190" t="n">
        <v>2</v>
      </c>
      <c r="AA142" s="190" t="s">
        <v>2213</v>
      </c>
    </row>
    <row r="143" s="190" customFormat="true" ht="15" hidden="false" customHeight="true" outlineLevel="0" collapsed="false">
      <c r="A143" s="190" t="n">
        <v>28</v>
      </c>
      <c r="B143" s="188" t="n">
        <v>46167.3860380999</v>
      </c>
      <c r="C143" s="188" t="n">
        <v>46167.4041399518</v>
      </c>
      <c r="D143" s="190" t="s">
        <v>402</v>
      </c>
      <c r="E143" s="190" t="s">
        <v>403</v>
      </c>
      <c r="F143" s="190" t="s">
        <v>403</v>
      </c>
      <c r="G143" s="190" t="s">
        <v>404</v>
      </c>
      <c r="H143" s="188" t="n">
        <v>46152</v>
      </c>
      <c r="I143" s="190" t="s">
        <v>305</v>
      </c>
      <c r="J143" s="190" t="s">
        <v>108</v>
      </c>
      <c r="K143" s="190" t="s">
        <v>245</v>
      </c>
      <c r="L143" s="190" t="s">
        <v>286</v>
      </c>
      <c r="M143" s="190" t="s">
        <v>406</v>
      </c>
      <c r="N143" s="190" t="s">
        <v>407</v>
      </c>
      <c r="O143" s="190" t="s">
        <v>405</v>
      </c>
      <c r="P143" s="190" t="s">
        <v>211</v>
      </c>
      <c r="Q143" s="190" t="s">
        <v>112</v>
      </c>
      <c r="R143" s="190" t="s">
        <v>22</v>
      </c>
      <c r="S143" s="190" t="s">
        <v>320</v>
      </c>
      <c r="T143" s="190" t="s">
        <v>121</v>
      </c>
      <c r="U143" s="190" t="s">
        <v>122</v>
      </c>
      <c r="V143" s="190" t="s">
        <v>123</v>
      </c>
      <c r="W143" s="190" t="s">
        <v>124</v>
      </c>
      <c r="X143" s="190" t="s">
        <v>339</v>
      </c>
      <c r="Y143" s="190" t="s">
        <v>2110</v>
      </c>
      <c r="Z143" s="190" t="n">
        <v>1</v>
      </c>
      <c r="AA143" s="190" t="s">
        <v>122</v>
      </c>
    </row>
    <row r="144" s="190" customFormat="true" ht="15" hidden="false" customHeight="true" outlineLevel="0" collapsed="false">
      <c r="A144" s="190" t="n">
        <v>28</v>
      </c>
      <c r="B144" s="188" t="n">
        <v>46167.3860380999</v>
      </c>
      <c r="C144" s="188" t="n">
        <v>46167.4041399518</v>
      </c>
      <c r="D144" s="190" t="s">
        <v>402</v>
      </c>
      <c r="E144" s="190" t="s">
        <v>403</v>
      </c>
      <c r="F144" s="190" t="s">
        <v>403</v>
      </c>
      <c r="G144" s="190" t="s">
        <v>404</v>
      </c>
      <c r="H144" s="188" t="n">
        <v>46152</v>
      </c>
      <c r="I144" s="190" t="s">
        <v>305</v>
      </c>
      <c r="J144" s="190" t="s">
        <v>108</v>
      </c>
      <c r="K144" s="190" t="s">
        <v>245</v>
      </c>
      <c r="L144" s="190" t="s">
        <v>286</v>
      </c>
      <c r="M144" s="190" t="s">
        <v>406</v>
      </c>
      <c r="N144" s="190" t="s">
        <v>407</v>
      </c>
      <c r="O144" s="190" t="s">
        <v>405</v>
      </c>
      <c r="P144" s="190" t="s">
        <v>211</v>
      </c>
      <c r="Q144" s="190" t="s">
        <v>112</v>
      </c>
      <c r="R144" s="190" t="s">
        <v>22</v>
      </c>
      <c r="S144" s="190" t="s">
        <v>320</v>
      </c>
      <c r="T144" s="190" t="s">
        <v>121</v>
      </c>
      <c r="U144" s="190" t="s">
        <v>122</v>
      </c>
      <c r="V144" s="190" t="s">
        <v>123</v>
      </c>
      <c r="W144" s="190" t="s">
        <v>124</v>
      </c>
      <c r="X144" s="190" t="s">
        <v>339</v>
      </c>
      <c r="Y144" s="190" t="s">
        <v>2113</v>
      </c>
      <c r="Z144" s="190" t="n">
        <v>1</v>
      </c>
      <c r="AA144" s="190" t="s">
        <v>122</v>
      </c>
    </row>
    <row r="145" s="190" customFormat="true" ht="15" hidden="false" customHeight="true" outlineLevel="0" collapsed="false">
      <c r="A145" s="190" t="n">
        <v>28</v>
      </c>
      <c r="B145" s="188" t="n">
        <v>46167.3860380999</v>
      </c>
      <c r="C145" s="188" t="n">
        <v>46167.4041399518</v>
      </c>
      <c r="D145" s="190" t="s">
        <v>402</v>
      </c>
      <c r="E145" s="190" t="s">
        <v>403</v>
      </c>
      <c r="F145" s="190" t="s">
        <v>403</v>
      </c>
      <c r="G145" s="190" t="s">
        <v>404</v>
      </c>
      <c r="H145" s="188" t="n">
        <v>46152</v>
      </c>
      <c r="I145" s="190" t="s">
        <v>305</v>
      </c>
      <c r="J145" s="190" t="s">
        <v>108</v>
      </c>
      <c r="K145" s="190" t="s">
        <v>245</v>
      </c>
      <c r="L145" s="190" t="s">
        <v>286</v>
      </c>
      <c r="M145" s="190" t="s">
        <v>406</v>
      </c>
      <c r="N145" s="190" t="s">
        <v>407</v>
      </c>
      <c r="O145" s="190" t="s">
        <v>405</v>
      </c>
      <c r="P145" s="190" t="s">
        <v>211</v>
      </c>
      <c r="Q145" s="190" t="s">
        <v>112</v>
      </c>
      <c r="R145" s="190" t="s">
        <v>22</v>
      </c>
      <c r="S145" s="190" t="s">
        <v>320</v>
      </c>
      <c r="T145" s="190" t="s">
        <v>121</v>
      </c>
      <c r="U145" s="190" t="s">
        <v>122</v>
      </c>
      <c r="V145" s="190" t="s">
        <v>123</v>
      </c>
      <c r="W145" s="190" t="s">
        <v>124</v>
      </c>
      <c r="X145" s="190" t="s">
        <v>339</v>
      </c>
      <c r="Y145" s="190" t="s">
        <v>2113</v>
      </c>
      <c r="Z145" s="190" t="n">
        <v>2</v>
      </c>
      <c r="AA145" s="190" t="s">
        <v>2189</v>
      </c>
    </row>
    <row r="146" s="190" customFormat="true" ht="15" hidden="false" customHeight="true" outlineLevel="0" collapsed="false">
      <c r="A146" s="190" t="n">
        <v>29</v>
      </c>
      <c r="B146" s="188" t="n">
        <v>46154.2159840567</v>
      </c>
      <c r="C146" s="188" t="n">
        <v>46154.2218405382</v>
      </c>
      <c r="D146" s="190" t="s">
        <v>410</v>
      </c>
      <c r="E146" s="190" t="s">
        <v>411</v>
      </c>
      <c r="F146" s="190" t="s">
        <v>411</v>
      </c>
      <c r="G146" s="190" t="s">
        <v>412</v>
      </c>
      <c r="H146" s="188" t="n">
        <v>46142</v>
      </c>
      <c r="I146" s="190" t="s">
        <v>113</v>
      </c>
      <c r="J146" s="190" t="s">
        <v>295</v>
      </c>
      <c r="K146" s="190" t="s">
        <v>413</v>
      </c>
      <c r="L146" s="190" t="s">
        <v>389</v>
      </c>
      <c r="M146" s="190" t="s">
        <v>234</v>
      </c>
      <c r="N146" s="190" t="s">
        <v>414</v>
      </c>
      <c r="O146" s="190" t="s">
        <v>107</v>
      </c>
      <c r="P146" s="190" t="s">
        <v>111</v>
      </c>
      <c r="Q146" s="190" t="s">
        <v>145</v>
      </c>
      <c r="R146" s="190" t="s">
        <v>24</v>
      </c>
      <c r="S146" s="190" t="s">
        <v>120</v>
      </c>
      <c r="T146" s="190" t="s">
        <v>121</v>
      </c>
      <c r="U146" s="190" t="s">
        <v>122</v>
      </c>
      <c r="V146" s="190" t="s">
        <v>167</v>
      </c>
      <c r="W146" s="190" t="s">
        <v>124</v>
      </c>
      <c r="X146" s="190" t="s">
        <v>223</v>
      </c>
      <c r="Y146" s="190" t="s">
        <v>2108</v>
      </c>
      <c r="Z146" s="190" t="n">
        <v>1</v>
      </c>
      <c r="AA146" s="190" t="s">
        <v>2147</v>
      </c>
    </row>
    <row r="147" s="190" customFormat="true" ht="15" hidden="false" customHeight="true" outlineLevel="0" collapsed="false">
      <c r="A147" s="190" t="n">
        <v>29</v>
      </c>
      <c r="B147" s="188" t="n">
        <v>46154.2159840567</v>
      </c>
      <c r="C147" s="188" t="n">
        <v>46154.2218405382</v>
      </c>
      <c r="D147" s="190" t="s">
        <v>410</v>
      </c>
      <c r="E147" s="190" t="s">
        <v>411</v>
      </c>
      <c r="F147" s="190" t="s">
        <v>411</v>
      </c>
      <c r="G147" s="190" t="s">
        <v>412</v>
      </c>
      <c r="H147" s="188" t="n">
        <v>46142</v>
      </c>
      <c r="I147" s="190" t="s">
        <v>113</v>
      </c>
      <c r="J147" s="190" t="s">
        <v>295</v>
      </c>
      <c r="K147" s="190" t="s">
        <v>413</v>
      </c>
      <c r="L147" s="190" t="s">
        <v>389</v>
      </c>
      <c r="M147" s="190" t="s">
        <v>234</v>
      </c>
      <c r="N147" s="190" t="s">
        <v>414</v>
      </c>
      <c r="O147" s="190" t="s">
        <v>107</v>
      </c>
      <c r="P147" s="190" t="s">
        <v>111</v>
      </c>
      <c r="Q147" s="190" t="s">
        <v>145</v>
      </c>
      <c r="R147" s="190" t="s">
        <v>24</v>
      </c>
      <c r="S147" s="190" t="s">
        <v>120</v>
      </c>
      <c r="T147" s="190" t="s">
        <v>121</v>
      </c>
      <c r="U147" s="190" t="s">
        <v>122</v>
      </c>
      <c r="V147" s="190" t="s">
        <v>167</v>
      </c>
      <c r="W147" s="190" t="s">
        <v>124</v>
      </c>
      <c r="X147" s="190" t="s">
        <v>223</v>
      </c>
      <c r="Y147" s="190" t="s">
        <v>2108</v>
      </c>
      <c r="Z147" s="190" t="n">
        <v>2</v>
      </c>
      <c r="AA147" s="190" t="s">
        <v>2142</v>
      </c>
    </row>
    <row r="148" s="190" customFormat="true" ht="15" hidden="false" customHeight="true" outlineLevel="0" collapsed="false">
      <c r="A148" s="190" t="n">
        <v>29</v>
      </c>
      <c r="B148" s="188" t="n">
        <v>46154.2159840567</v>
      </c>
      <c r="C148" s="188" t="n">
        <v>46154.2218405382</v>
      </c>
      <c r="D148" s="190" t="s">
        <v>410</v>
      </c>
      <c r="E148" s="190" t="s">
        <v>411</v>
      </c>
      <c r="F148" s="190" t="s">
        <v>411</v>
      </c>
      <c r="G148" s="190" t="s">
        <v>412</v>
      </c>
      <c r="H148" s="188" t="n">
        <v>46142</v>
      </c>
      <c r="I148" s="190" t="s">
        <v>113</v>
      </c>
      <c r="J148" s="190" t="s">
        <v>295</v>
      </c>
      <c r="K148" s="190" t="s">
        <v>413</v>
      </c>
      <c r="L148" s="190" t="s">
        <v>389</v>
      </c>
      <c r="M148" s="190" t="s">
        <v>234</v>
      </c>
      <c r="N148" s="190" t="s">
        <v>414</v>
      </c>
      <c r="O148" s="190" t="s">
        <v>107</v>
      </c>
      <c r="P148" s="190" t="s">
        <v>111</v>
      </c>
      <c r="Q148" s="190" t="s">
        <v>145</v>
      </c>
      <c r="R148" s="190" t="s">
        <v>24</v>
      </c>
      <c r="S148" s="190" t="s">
        <v>120</v>
      </c>
      <c r="T148" s="190" t="s">
        <v>121</v>
      </c>
      <c r="U148" s="190" t="s">
        <v>122</v>
      </c>
      <c r="V148" s="190" t="s">
        <v>167</v>
      </c>
      <c r="W148" s="190" t="s">
        <v>124</v>
      </c>
      <c r="X148" s="190" t="s">
        <v>223</v>
      </c>
      <c r="Y148" s="190" t="s">
        <v>2110</v>
      </c>
      <c r="Z148" s="190" t="n">
        <v>1</v>
      </c>
      <c r="AA148" s="190" t="s">
        <v>2214</v>
      </c>
    </row>
    <row r="149" s="190" customFormat="true" ht="15" hidden="false" customHeight="true" outlineLevel="0" collapsed="false">
      <c r="A149" s="190" t="n">
        <v>29</v>
      </c>
      <c r="B149" s="188" t="n">
        <v>46154.2159840567</v>
      </c>
      <c r="C149" s="188" t="n">
        <v>46154.2218405382</v>
      </c>
      <c r="D149" s="190" t="s">
        <v>410</v>
      </c>
      <c r="E149" s="190" t="s">
        <v>411</v>
      </c>
      <c r="F149" s="190" t="s">
        <v>411</v>
      </c>
      <c r="G149" s="190" t="s">
        <v>412</v>
      </c>
      <c r="H149" s="188" t="n">
        <v>46142</v>
      </c>
      <c r="I149" s="190" t="s">
        <v>113</v>
      </c>
      <c r="J149" s="190" t="s">
        <v>295</v>
      </c>
      <c r="K149" s="190" t="s">
        <v>413</v>
      </c>
      <c r="L149" s="190" t="s">
        <v>389</v>
      </c>
      <c r="M149" s="190" t="s">
        <v>234</v>
      </c>
      <c r="N149" s="190" t="s">
        <v>414</v>
      </c>
      <c r="O149" s="190" t="s">
        <v>107</v>
      </c>
      <c r="P149" s="190" t="s">
        <v>111</v>
      </c>
      <c r="Q149" s="190" t="s">
        <v>145</v>
      </c>
      <c r="R149" s="190" t="s">
        <v>24</v>
      </c>
      <c r="S149" s="190" t="s">
        <v>120</v>
      </c>
      <c r="T149" s="190" t="s">
        <v>121</v>
      </c>
      <c r="U149" s="190" t="s">
        <v>122</v>
      </c>
      <c r="V149" s="190" t="s">
        <v>167</v>
      </c>
      <c r="W149" s="190" t="s">
        <v>124</v>
      </c>
      <c r="X149" s="190" t="s">
        <v>223</v>
      </c>
      <c r="Y149" s="190" t="s">
        <v>2110</v>
      </c>
      <c r="Z149" s="190" t="n">
        <v>2</v>
      </c>
      <c r="AA149" s="190" t="s">
        <v>2215</v>
      </c>
    </row>
    <row r="150" s="190" customFormat="true" ht="15" hidden="false" customHeight="true" outlineLevel="0" collapsed="false">
      <c r="A150" s="190" t="n">
        <v>29</v>
      </c>
      <c r="B150" s="188" t="n">
        <v>46154.2159840567</v>
      </c>
      <c r="C150" s="188" t="n">
        <v>46154.2218405382</v>
      </c>
      <c r="D150" s="190" t="s">
        <v>410</v>
      </c>
      <c r="E150" s="190" t="s">
        <v>411</v>
      </c>
      <c r="F150" s="190" t="s">
        <v>411</v>
      </c>
      <c r="G150" s="190" t="s">
        <v>412</v>
      </c>
      <c r="H150" s="188" t="n">
        <v>46142</v>
      </c>
      <c r="I150" s="190" t="s">
        <v>113</v>
      </c>
      <c r="J150" s="190" t="s">
        <v>295</v>
      </c>
      <c r="K150" s="190" t="s">
        <v>413</v>
      </c>
      <c r="L150" s="190" t="s">
        <v>389</v>
      </c>
      <c r="M150" s="190" t="s">
        <v>234</v>
      </c>
      <c r="N150" s="190" t="s">
        <v>414</v>
      </c>
      <c r="O150" s="190" t="s">
        <v>107</v>
      </c>
      <c r="P150" s="190" t="s">
        <v>111</v>
      </c>
      <c r="Q150" s="190" t="s">
        <v>145</v>
      </c>
      <c r="R150" s="190" t="s">
        <v>24</v>
      </c>
      <c r="S150" s="190" t="s">
        <v>120</v>
      </c>
      <c r="T150" s="190" t="s">
        <v>121</v>
      </c>
      <c r="U150" s="190" t="s">
        <v>122</v>
      </c>
      <c r="V150" s="190" t="s">
        <v>167</v>
      </c>
      <c r="W150" s="190" t="s">
        <v>124</v>
      </c>
      <c r="X150" s="190" t="s">
        <v>223</v>
      </c>
      <c r="Y150" s="190" t="s">
        <v>2113</v>
      </c>
      <c r="Z150" s="190" t="n">
        <v>1</v>
      </c>
      <c r="AA150" s="190" t="s">
        <v>2194</v>
      </c>
    </row>
    <row r="151" s="190" customFormat="true" ht="15" hidden="false" customHeight="true" outlineLevel="0" collapsed="false">
      <c r="A151" s="190" t="n">
        <v>29</v>
      </c>
      <c r="B151" s="188" t="n">
        <v>46154.2159840567</v>
      </c>
      <c r="C151" s="188" t="n">
        <v>46154.2218405382</v>
      </c>
      <c r="D151" s="190" t="s">
        <v>410</v>
      </c>
      <c r="E151" s="190" t="s">
        <v>411</v>
      </c>
      <c r="F151" s="190" t="s">
        <v>411</v>
      </c>
      <c r="G151" s="190" t="s">
        <v>412</v>
      </c>
      <c r="H151" s="188" t="n">
        <v>46142</v>
      </c>
      <c r="I151" s="190" t="s">
        <v>113</v>
      </c>
      <c r="J151" s="190" t="s">
        <v>295</v>
      </c>
      <c r="K151" s="190" t="s">
        <v>413</v>
      </c>
      <c r="L151" s="190" t="s">
        <v>389</v>
      </c>
      <c r="M151" s="190" t="s">
        <v>234</v>
      </c>
      <c r="N151" s="190" t="s">
        <v>414</v>
      </c>
      <c r="O151" s="190" t="s">
        <v>107</v>
      </c>
      <c r="P151" s="190" t="s">
        <v>111</v>
      </c>
      <c r="Q151" s="190" t="s">
        <v>145</v>
      </c>
      <c r="R151" s="190" t="s">
        <v>24</v>
      </c>
      <c r="S151" s="190" t="s">
        <v>120</v>
      </c>
      <c r="T151" s="190" t="s">
        <v>121</v>
      </c>
      <c r="U151" s="190" t="s">
        <v>122</v>
      </c>
      <c r="V151" s="190" t="s">
        <v>167</v>
      </c>
      <c r="W151" s="190" t="s">
        <v>124</v>
      </c>
      <c r="X151" s="190" t="s">
        <v>223</v>
      </c>
      <c r="Y151" s="190" t="s">
        <v>2113</v>
      </c>
      <c r="Z151" s="190" t="n">
        <v>2</v>
      </c>
      <c r="AA151" s="190" t="s">
        <v>2150</v>
      </c>
    </row>
    <row r="152" s="190" customFormat="true" ht="15" hidden="false" customHeight="true" outlineLevel="0" collapsed="false">
      <c r="A152" s="190" t="n">
        <v>30</v>
      </c>
      <c r="B152" s="188" t="n">
        <v>46203.3435546317</v>
      </c>
      <c r="C152" s="188" t="n">
        <v>46203.3543648168</v>
      </c>
      <c r="D152" s="190" t="s">
        <v>418</v>
      </c>
      <c r="E152" s="190" t="s">
        <v>419</v>
      </c>
      <c r="F152" s="190" t="s">
        <v>420</v>
      </c>
      <c r="G152" s="190" t="s">
        <v>421</v>
      </c>
      <c r="H152" s="188" t="n">
        <v>46193</v>
      </c>
      <c r="I152" s="190" t="s">
        <v>113</v>
      </c>
      <c r="J152" s="190" t="s">
        <v>128</v>
      </c>
      <c r="K152" s="190" t="s">
        <v>257</v>
      </c>
      <c r="L152" s="190" t="s">
        <v>389</v>
      </c>
      <c r="M152" s="190" t="s">
        <v>337</v>
      </c>
      <c r="N152" s="190" t="s">
        <v>422</v>
      </c>
      <c r="O152" s="190" t="s">
        <v>157</v>
      </c>
      <c r="P152" s="190" t="s">
        <v>131</v>
      </c>
      <c r="Q152" s="190" t="s">
        <v>112</v>
      </c>
      <c r="R152" s="190" t="s">
        <v>24</v>
      </c>
      <c r="S152" s="190" t="s">
        <v>120</v>
      </c>
      <c r="T152" s="190" t="s">
        <v>121</v>
      </c>
      <c r="U152" s="190" t="s">
        <v>426</v>
      </c>
      <c r="V152" s="190" t="s">
        <v>123</v>
      </c>
      <c r="W152" s="190" t="s">
        <v>124</v>
      </c>
      <c r="X152" s="190" t="s">
        <v>223</v>
      </c>
      <c r="Y152" s="190" t="s">
        <v>2108</v>
      </c>
      <c r="Z152" s="190" t="n">
        <v>1</v>
      </c>
      <c r="AA152" s="190" t="s">
        <v>2147</v>
      </c>
    </row>
    <row r="153" s="190" customFormat="true" ht="15" hidden="false" customHeight="true" outlineLevel="0" collapsed="false">
      <c r="A153" s="190" t="n">
        <v>30</v>
      </c>
      <c r="B153" s="188" t="n">
        <v>46203.3435546317</v>
      </c>
      <c r="C153" s="188" t="n">
        <v>46203.3543648168</v>
      </c>
      <c r="D153" s="190" t="s">
        <v>418</v>
      </c>
      <c r="E153" s="190" t="s">
        <v>419</v>
      </c>
      <c r="F153" s="190" t="s">
        <v>420</v>
      </c>
      <c r="G153" s="190" t="s">
        <v>421</v>
      </c>
      <c r="H153" s="188" t="n">
        <v>46193</v>
      </c>
      <c r="I153" s="190" t="s">
        <v>113</v>
      </c>
      <c r="J153" s="190" t="s">
        <v>128</v>
      </c>
      <c r="K153" s="190" t="s">
        <v>257</v>
      </c>
      <c r="L153" s="190" t="s">
        <v>389</v>
      </c>
      <c r="M153" s="190" t="s">
        <v>337</v>
      </c>
      <c r="N153" s="190" t="s">
        <v>422</v>
      </c>
      <c r="O153" s="190" t="s">
        <v>157</v>
      </c>
      <c r="P153" s="190" t="s">
        <v>131</v>
      </c>
      <c r="Q153" s="190" t="s">
        <v>112</v>
      </c>
      <c r="R153" s="190" t="s">
        <v>24</v>
      </c>
      <c r="S153" s="190" t="s">
        <v>120</v>
      </c>
      <c r="T153" s="190" t="s">
        <v>121</v>
      </c>
      <c r="U153" s="190" t="s">
        <v>426</v>
      </c>
      <c r="V153" s="190" t="s">
        <v>123</v>
      </c>
      <c r="W153" s="190" t="s">
        <v>124</v>
      </c>
      <c r="X153" s="190" t="s">
        <v>223</v>
      </c>
      <c r="Y153" s="190" t="s">
        <v>2108</v>
      </c>
      <c r="Z153" s="190" t="n">
        <v>2</v>
      </c>
      <c r="AA153" s="190" t="s">
        <v>2165</v>
      </c>
    </row>
    <row r="154" s="190" customFormat="true" ht="15" hidden="false" customHeight="true" outlineLevel="0" collapsed="false">
      <c r="A154" s="190" t="n">
        <v>30</v>
      </c>
      <c r="B154" s="188" t="n">
        <v>46203.3435546317</v>
      </c>
      <c r="C154" s="188" t="n">
        <v>46203.3543648168</v>
      </c>
      <c r="D154" s="190" t="s">
        <v>418</v>
      </c>
      <c r="E154" s="190" t="s">
        <v>419</v>
      </c>
      <c r="F154" s="190" t="s">
        <v>420</v>
      </c>
      <c r="G154" s="190" t="s">
        <v>421</v>
      </c>
      <c r="H154" s="188" t="n">
        <v>46193</v>
      </c>
      <c r="I154" s="190" t="s">
        <v>113</v>
      </c>
      <c r="J154" s="190" t="s">
        <v>128</v>
      </c>
      <c r="K154" s="190" t="s">
        <v>257</v>
      </c>
      <c r="L154" s="190" t="s">
        <v>389</v>
      </c>
      <c r="M154" s="190" t="s">
        <v>337</v>
      </c>
      <c r="N154" s="190" t="s">
        <v>422</v>
      </c>
      <c r="O154" s="190" t="s">
        <v>157</v>
      </c>
      <c r="P154" s="190" t="s">
        <v>131</v>
      </c>
      <c r="Q154" s="190" t="s">
        <v>112</v>
      </c>
      <c r="R154" s="190" t="s">
        <v>24</v>
      </c>
      <c r="S154" s="190" t="s">
        <v>120</v>
      </c>
      <c r="T154" s="190" t="s">
        <v>121</v>
      </c>
      <c r="U154" s="190" t="s">
        <v>426</v>
      </c>
      <c r="V154" s="190" t="s">
        <v>123</v>
      </c>
      <c r="W154" s="190" t="s">
        <v>124</v>
      </c>
      <c r="X154" s="190" t="s">
        <v>223</v>
      </c>
      <c r="Y154" s="190" t="s">
        <v>2108</v>
      </c>
      <c r="Z154" s="190" t="n">
        <v>3</v>
      </c>
      <c r="AA154" s="190" t="s">
        <v>2148</v>
      </c>
    </row>
    <row r="155" s="190" customFormat="true" ht="54.75" hidden="false" customHeight="true" outlineLevel="0" collapsed="false">
      <c r="A155" s="190" t="n">
        <v>30</v>
      </c>
      <c r="B155" s="188" t="n">
        <v>46203.3435546317</v>
      </c>
      <c r="C155" s="188" t="n">
        <v>46203.3543648168</v>
      </c>
      <c r="D155" s="190" t="s">
        <v>418</v>
      </c>
      <c r="E155" s="190" t="s">
        <v>419</v>
      </c>
      <c r="F155" s="190" t="s">
        <v>420</v>
      </c>
      <c r="G155" s="190" t="s">
        <v>421</v>
      </c>
      <c r="H155" s="188" t="n">
        <v>46193</v>
      </c>
      <c r="I155" s="190" t="s">
        <v>113</v>
      </c>
      <c r="J155" s="190" t="s">
        <v>128</v>
      </c>
      <c r="K155" s="190" t="s">
        <v>257</v>
      </c>
      <c r="L155" s="190" t="s">
        <v>389</v>
      </c>
      <c r="M155" s="190" t="s">
        <v>337</v>
      </c>
      <c r="N155" s="190" t="s">
        <v>422</v>
      </c>
      <c r="O155" s="190" t="s">
        <v>157</v>
      </c>
      <c r="P155" s="190" t="s">
        <v>131</v>
      </c>
      <c r="Q155" s="190" t="s">
        <v>112</v>
      </c>
      <c r="R155" s="190" t="s">
        <v>24</v>
      </c>
      <c r="S155" s="190" t="s">
        <v>120</v>
      </c>
      <c r="T155" s="190" t="s">
        <v>121</v>
      </c>
      <c r="U155" s="190" t="s">
        <v>426</v>
      </c>
      <c r="V155" s="190" t="s">
        <v>123</v>
      </c>
      <c r="W155" s="190" t="s">
        <v>124</v>
      </c>
      <c r="X155" s="190" t="s">
        <v>223</v>
      </c>
      <c r="Y155" s="190" t="s">
        <v>2110</v>
      </c>
      <c r="Z155" s="190" t="n">
        <v>1</v>
      </c>
      <c r="AA155" s="190" t="s">
        <v>2143</v>
      </c>
    </row>
    <row r="156" s="190" customFormat="true" ht="54.75" hidden="false" customHeight="true" outlineLevel="0" collapsed="false">
      <c r="A156" s="190" t="n">
        <v>30</v>
      </c>
      <c r="B156" s="188" t="n">
        <v>46203.3435546317</v>
      </c>
      <c r="C156" s="188" t="n">
        <v>46203.3543648168</v>
      </c>
      <c r="D156" s="190" t="s">
        <v>418</v>
      </c>
      <c r="E156" s="190" t="s">
        <v>419</v>
      </c>
      <c r="F156" s="190" t="s">
        <v>420</v>
      </c>
      <c r="G156" s="190" t="s">
        <v>421</v>
      </c>
      <c r="H156" s="188" t="n">
        <v>46193</v>
      </c>
      <c r="I156" s="190" t="s">
        <v>113</v>
      </c>
      <c r="J156" s="190" t="s">
        <v>128</v>
      </c>
      <c r="K156" s="190" t="s">
        <v>257</v>
      </c>
      <c r="L156" s="190" t="s">
        <v>389</v>
      </c>
      <c r="M156" s="190" t="s">
        <v>337</v>
      </c>
      <c r="N156" s="190" t="s">
        <v>422</v>
      </c>
      <c r="O156" s="190" t="s">
        <v>157</v>
      </c>
      <c r="P156" s="190" t="s">
        <v>131</v>
      </c>
      <c r="Q156" s="190" t="s">
        <v>112</v>
      </c>
      <c r="R156" s="190" t="s">
        <v>24</v>
      </c>
      <c r="S156" s="190" t="s">
        <v>120</v>
      </c>
      <c r="T156" s="190" t="s">
        <v>121</v>
      </c>
      <c r="U156" s="190" t="s">
        <v>426</v>
      </c>
      <c r="V156" s="190" t="s">
        <v>123</v>
      </c>
      <c r="W156" s="190" t="s">
        <v>124</v>
      </c>
      <c r="X156" s="190" t="s">
        <v>223</v>
      </c>
      <c r="Y156" s="190" t="s">
        <v>2113</v>
      </c>
      <c r="Z156" s="190" t="n">
        <v>1</v>
      </c>
      <c r="AA156" s="190" t="s">
        <v>2150</v>
      </c>
    </row>
    <row r="157" s="190" customFormat="true" ht="54.75" hidden="false" customHeight="true" outlineLevel="0" collapsed="false">
      <c r="A157" s="190" t="n">
        <v>31</v>
      </c>
      <c r="B157" s="188" t="n">
        <v>46116.2035144156</v>
      </c>
      <c r="C157" s="188" t="n">
        <v>46116.2091625638</v>
      </c>
      <c r="D157" s="190" t="s">
        <v>427</v>
      </c>
      <c r="E157" s="190" t="s">
        <v>428</v>
      </c>
      <c r="F157" s="190" t="s">
        <v>428</v>
      </c>
      <c r="G157" s="190" t="s">
        <v>429</v>
      </c>
      <c r="H157" s="188" t="n">
        <v>46097</v>
      </c>
      <c r="I157" s="190" t="s">
        <v>113</v>
      </c>
      <c r="J157" s="190" t="s">
        <v>108</v>
      </c>
      <c r="K157" s="190" t="s">
        <v>430</v>
      </c>
      <c r="L157" s="190" t="s">
        <v>431</v>
      </c>
      <c r="M157" s="190" t="s">
        <v>234</v>
      </c>
      <c r="N157" s="190" t="s">
        <v>432</v>
      </c>
      <c r="O157" s="190" t="s">
        <v>157</v>
      </c>
      <c r="P157" s="190" t="s">
        <v>111</v>
      </c>
      <c r="Q157" s="190" t="s">
        <v>112</v>
      </c>
      <c r="R157" s="190" t="s">
        <v>24</v>
      </c>
      <c r="S157" s="190" t="s">
        <v>120</v>
      </c>
      <c r="T157" s="190" t="s">
        <v>121</v>
      </c>
      <c r="U157" s="190" t="s">
        <v>122</v>
      </c>
      <c r="V157" s="190" t="s">
        <v>123</v>
      </c>
      <c r="W157" s="190" t="s">
        <v>124</v>
      </c>
      <c r="X157" s="190" t="s">
        <v>214</v>
      </c>
      <c r="Y157" s="190" t="s">
        <v>2108</v>
      </c>
      <c r="Z157" s="190" t="n">
        <v>1</v>
      </c>
      <c r="AA157" s="190" t="s">
        <v>2109</v>
      </c>
    </row>
    <row r="158" s="190" customFormat="true" ht="15" hidden="false" customHeight="true" outlineLevel="0" collapsed="false">
      <c r="A158" s="190" t="n">
        <v>31</v>
      </c>
      <c r="B158" s="188" t="n">
        <v>46116.2035144156</v>
      </c>
      <c r="C158" s="188" t="n">
        <v>46116.2091625638</v>
      </c>
      <c r="D158" s="190" t="s">
        <v>427</v>
      </c>
      <c r="E158" s="190" t="s">
        <v>428</v>
      </c>
      <c r="F158" s="190" t="s">
        <v>428</v>
      </c>
      <c r="G158" s="190" t="s">
        <v>429</v>
      </c>
      <c r="H158" s="188" t="n">
        <v>46097</v>
      </c>
      <c r="I158" s="190" t="s">
        <v>113</v>
      </c>
      <c r="J158" s="190" t="s">
        <v>108</v>
      </c>
      <c r="K158" s="190" t="s">
        <v>430</v>
      </c>
      <c r="L158" s="190" t="s">
        <v>431</v>
      </c>
      <c r="M158" s="190" t="s">
        <v>234</v>
      </c>
      <c r="N158" s="190" t="s">
        <v>432</v>
      </c>
      <c r="O158" s="190" t="s">
        <v>157</v>
      </c>
      <c r="P158" s="190" t="s">
        <v>111</v>
      </c>
      <c r="Q158" s="190" t="s">
        <v>112</v>
      </c>
      <c r="R158" s="190" t="s">
        <v>24</v>
      </c>
      <c r="S158" s="190" t="s">
        <v>120</v>
      </c>
      <c r="T158" s="190" t="s">
        <v>121</v>
      </c>
      <c r="U158" s="190" t="s">
        <v>122</v>
      </c>
      <c r="V158" s="190" t="s">
        <v>123</v>
      </c>
      <c r="W158" s="190" t="s">
        <v>124</v>
      </c>
      <c r="X158" s="190" t="s">
        <v>214</v>
      </c>
      <c r="Y158" s="190" t="s">
        <v>2108</v>
      </c>
      <c r="Z158" s="190" t="n">
        <v>2</v>
      </c>
      <c r="AA158" s="190" t="s">
        <v>2151</v>
      </c>
    </row>
    <row r="159" s="190" customFormat="true" ht="15" hidden="false" customHeight="true" outlineLevel="0" collapsed="false">
      <c r="A159" s="190" t="n">
        <v>31</v>
      </c>
      <c r="B159" s="188" t="n">
        <v>46116.2035144156</v>
      </c>
      <c r="C159" s="188" t="n">
        <v>46116.2091625638</v>
      </c>
      <c r="D159" s="190" t="s">
        <v>427</v>
      </c>
      <c r="E159" s="190" t="s">
        <v>428</v>
      </c>
      <c r="F159" s="190" t="s">
        <v>428</v>
      </c>
      <c r="G159" s="190" t="s">
        <v>429</v>
      </c>
      <c r="H159" s="188" t="n">
        <v>46097</v>
      </c>
      <c r="I159" s="190" t="s">
        <v>113</v>
      </c>
      <c r="J159" s="190" t="s">
        <v>108</v>
      </c>
      <c r="K159" s="190" t="s">
        <v>430</v>
      </c>
      <c r="L159" s="190" t="s">
        <v>431</v>
      </c>
      <c r="M159" s="190" t="s">
        <v>234</v>
      </c>
      <c r="N159" s="190" t="s">
        <v>432</v>
      </c>
      <c r="O159" s="190" t="s">
        <v>157</v>
      </c>
      <c r="P159" s="190" t="s">
        <v>111</v>
      </c>
      <c r="Q159" s="190" t="s">
        <v>112</v>
      </c>
      <c r="R159" s="190" t="s">
        <v>24</v>
      </c>
      <c r="S159" s="190" t="s">
        <v>120</v>
      </c>
      <c r="T159" s="190" t="s">
        <v>121</v>
      </c>
      <c r="U159" s="190" t="s">
        <v>122</v>
      </c>
      <c r="V159" s="190" t="s">
        <v>123</v>
      </c>
      <c r="W159" s="190" t="s">
        <v>124</v>
      </c>
      <c r="X159" s="190" t="s">
        <v>214</v>
      </c>
      <c r="Y159" s="190" t="s">
        <v>2110</v>
      </c>
      <c r="Z159" s="190" t="n">
        <v>1</v>
      </c>
      <c r="AA159" s="190" t="s">
        <v>2112</v>
      </c>
    </row>
    <row r="160" s="190" customFormat="true" ht="15" hidden="false" customHeight="true" outlineLevel="0" collapsed="false">
      <c r="A160" s="190" t="n">
        <v>31</v>
      </c>
      <c r="B160" s="188" t="n">
        <v>46116.2035144156</v>
      </c>
      <c r="C160" s="188" t="n">
        <v>46116.2091625638</v>
      </c>
      <c r="D160" s="190" t="s">
        <v>427</v>
      </c>
      <c r="E160" s="190" t="s">
        <v>428</v>
      </c>
      <c r="F160" s="190" t="s">
        <v>428</v>
      </c>
      <c r="G160" s="190" t="s">
        <v>429</v>
      </c>
      <c r="H160" s="188" t="n">
        <v>46097</v>
      </c>
      <c r="I160" s="190" t="s">
        <v>113</v>
      </c>
      <c r="J160" s="190" t="s">
        <v>108</v>
      </c>
      <c r="K160" s="190" t="s">
        <v>430</v>
      </c>
      <c r="L160" s="190" t="s">
        <v>431</v>
      </c>
      <c r="M160" s="190" t="s">
        <v>234</v>
      </c>
      <c r="N160" s="190" t="s">
        <v>432</v>
      </c>
      <c r="O160" s="190" t="s">
        <v>157</v>
      </c>
      <c r="P160" s="190" t="s">
        <v>111</v>
      </c>
      <c r="Q160" s="190" t="s">
        <v>112</v>
      </c>
      <c r="R160" s="190" t="s">
        <v>24</v>
      </c>
      <c r="S160" s="190" t="s">
        <v>120</v>
      </c>
      <c r="T160" s="190" t="s">
        <v>121</v>
      </c>
      <c r="U160" s="190" t="s">
        <v>122</v>
      </c>
      <c r="V160" s="190" t="s">
        <v>123</v>
      </c>
      <c r="W160" s="190" t="s">
        <v>124</v>
      </c>
      <c r="X160" s="190" t="s">
        <v>214</v>
      </c>
      <c r="Y160" s="190" t="s">
        <v>2113</v>
      </c>
      <c r="Z160" s="190" t="n">
        <v>1</v>
      </c>
      <c r="AA160" s="190" t="s">
        <v>2184</v>
      </c>
    </row>
    <row r="161" s="190" customFormat="true" ht="81.75" hidden="false" customHeight="true" outlineLevel="0" collapsed="false">
      <c r="A161" s="190" t="n">
        <v>31</v>
      </c>
      <c r="B161" s="188" t="n">
        <v>46116.2035144156</v>
      </c>
      <c r="C161" s="188" t="n">
        <v>46116.2091625638</v>
      </c>
      <c r="D161" s="190" t="s">
        <v>427</v>
      </c>
      <c r="E161" s="190" t="s">
        <v>428</v>
      </c>
      <c r="F161" s="190" t="s">
        <v>428</v>
      </c>
      <c r="G161" s="190" t="s">
        <v>429</v>
      </c>
      <c r="H161" s="188" t="n">
        <v>46097</v>
      </c>
      <c r="I161" s="190" t="s">
        <v>113</v>
      </c>
      <c r="J161" s="190" t="s">
        <v>108</v>
      </c>
      <c r="K161" s="190" t="s">
        <v>430</v>
      </c>
      <c r="L161" s="190" t="s">
        <v>431</v>
      </c>
      <c r="M161" s="190" t="s">
        <v>234</v>
      </c>
      <c r="N161" s="190" t="s">
        <v>432</v>
      </c>
      <c r="O161" s="190" t="s">
        <v>157</v>
      </c>
      <c r="P161" s="190" t="s">
        <v>111</v>
      </c>
      <c r="Q161" s="190" t="s">
        <v>112</v>
      </c>
      <c r="R161" s="190" t="s">
        <v>24</v>
      </c>
      <c r="S161" s="190" t="s">
        <v>120</v>
      </c>
      <c r="T161" s="190" t="s">
        <v>121</v>
      </c>
      <c r="U161" s="190" t="s">
        <v>122</v>
      </c>
      <c r="V161" s="190" t="s">
        <v>123</v>
      </c>
      <c r="W161" s="190" t="s">
        <v>124</v>
      </c>
      <c r="X161" s="190" t="s">
        <v>214</v>
      </c>
      <c r="Y161" s="190" t="s">
        <v>2113</v>
      </c>
      <c r="Z161" s="190" t="n">
        <v>2</v>
      </c>
      <c r="AA161" s="190" t="s">
        <v>2152</v>
      </c>
    </row>
    <row r="162" s="190" customFormat="true" ht="15" hidden="false" customHeight="true" outlineLevel="0" collapsed="false">
      <c r="A162" s="190" t="n">
        <v>32</v>
      </c>
      <c r="B162" s="188" t="n">
        <v>46141.1763711817</v>
      </c>
      <c r="C162" s="188" t="n">
        <v>46141.1913827558</v>
      </c>
      <c r="D162" s="190" t="s">
        <v>436</v>
      </c>
      <c r="E162" s="190" t="s">
        <v>437</v>
      </c>
      <c r="F162" s="190" t="s">
        <v>437</v>
      </c>
      <c r="G162" s="190" t="s">
        <v>438</v>
      </c>
      <c r="H162" s="188" t="n">
        <v>46132</v>
      </c>
      <c r="I162" s="190" t="s">
        <v>132</v>
      </c>
      <c r="J162" s="190" t="s">
        <v>295</v>
      </c>
      <c r="K162" s="190" t="s">
        <v>173</v>
      </c>
      <c r="L162" s="190" t="s">
        <v>197</v>
      </c>
      <c r="M162" s="190" t="s">
        <v>439</v>
      </c>
      <c r="N162" s="190" t="s">
        <v>440</v>
      </c>
      <c r="O162" s="190" t="s">
        <v>107</v>
      </c>
      <c r="P162" s="190" t="s">
        <v>211</v>
      </c>
      <c r="Q162" s="190" t="s">
        <v>145</v>
      </c>
      <c r="R162" s="190" t="s">
        <v>23</v>
      </c>
      <c r="S162" s="190" t="s">
        <v>152</v>
      </c>
      <c r="T162" s="190" t="s">
        <v>121</v>
      </c>
      <c r="U162" s="190" t="s">
        <v>122</v>
      </c>
      <c r="V162" s="190" t="s">
        <v>192</v>
      </c>
      <c r="W162" s="190" t="s">
        <v>124</v>
      </c>
      <c r="X162" s="190" t="s">
        <v>442</v>
      </c>
      <c r="Y162" s="190" t="s">
        <v>2216</v>
      </c>
      <c r="Z162" s="190" t="n">
        <v>1</v>
      </c>
      <c r="AA162" s="190" t="s">
        <v>441</v>
      </c>
    </row>
    <row r="163" s="190" customFormat="true" ht="15" hidden="false" customHeight="true" outlineLevel="0" collapsed="false">
      <c r="A163" s="190" t="n">
        <v>33</v>
      </c>
      <c r="B163" s="188" t="n">
        <v>46046.7559219473</v>
      </c>
      <c r="C163" s="188" t="n">
        <v>46046.7582367621</v>
      </c>
      <c r="D163" s="190" t="s">
        <v>443</v>
      </c>
      <c r="E163" s="190" t="s">
        <v>444</v>
      </c>
      <c r="F163" s="190" t="s">
        <v>444</v>
      </c>
      <c r="G163" s="190" t="s">
        <v>445</v>
      </c>
      <c r="H163" s="188" t="n">
        <v>46045</v>
      </c>
      <c r="I163" s="190" t="s">
        <v>113</v>
      </c>
      <c r="J163" s="190" t="s">
        <v>295</v>
      </c>
      <c r="K163" s="190" t="s">
        <v>446</v>
      </c>
      <c r="L163" s="190" t="s">
        <v>130</v>
      </c>
      <c r="M163" s="190" t="s">
        <v>447</v>
      </c>
      <c r="N163" s="190" t="s">
        <v>249</v>
      </c>
      <c r="O163" s="190" t="s">
        <v>244</v>
      </c>
      <c r="P163" s="190" t="s">
        <v>111</v>
      </c>
      <c r="Q163" s="190" t="s">
        <v>112</v>
      </c>
      <c r="R163" s="190" t="s">
        <v>24</v>
      </c>
      <c r="S163" s="190" t="s">
        <v>227</v>
      </c>
      <c r="T163" s="190" t="s">
        <v>121</v>
      </c>
      <c r="U163" s="190" t="s">
        <v>452</v>
      </c>
      <c r="V163" s="190" t="s">
        <v>192</v>
      </c>
      <c r="W163" s="190" t="s">
        <v>139</v>
      </c>
      <c r="X163" s="190" t="s">
        <v>448</v>
      </c>
      <c r="Y163" s="190" t="s">
        <v>2108</v>
      </c>
      <c r="Z163" s="190" t="n">
        <v>1</v>
      </c>
      <c r="AA163" s="190" t="s">
        <v>2217</v>
      </c>
    </row>
    <row r="164" s="190" customFormat="true" ht="15" hidden="false" customHeight="true" outlineLevel="0" collapsed="false">
      <c r="A164" s="190" t="n">
        <v>33</v>
      </c>
      <c r="B164" s="188" t="n">
        <v>46046.7559219473</v>
      </c>
      <c r="C164" s="188" t="n">
        <v>46046.7582367621</v>
      </c>
      <c r="D164" s="190" t="s">
        <v>443</v>
      </c>
      <c r="E164" s="190" t="s">
        <v>444</v>
      </c>
      <c r="F164" s="190" t="s">
        <v>444</v>
      </c>
      <c r="G164" s="190" t="s">
        <v>445</v>
      </c>
      <c r="H164" s="188" t="n">
        <v>46045</v>
      </c>
      <c r="I164" s="190" t="s">
        <v>113</v>
      </c>
      <c r="J164" s="190" t="s">
        <v>295</v>
      </c>
      <c r="K164" s="190" t="s">
        <v>446</v>
      </c>
      <c r="L164" s="190" t="s">
        <v>130</v>
      </c>
      <c r="M164" s="190" t="s">
        <v>447</v>
      </c>
      <c r="N164" s="190" t="s">
        <v>249</v>
      </c>
      <c r="O164" s="190" t="s">
        <v>244</v>
      </c>
      <c r="P164" s="190" t="s">
        <v>111</v>
      </c>
      <c r="Q164" s="190" t="s">
        <v>112</v>
      </c>
      <c r="R164" s="190" t="s">
        <v>24</v>
      </c>
      <c r="S164" s="190" t="s">
        <v>227</v>
      </c>
      <c r="T164" s="190" t="s">
        <v>121</v>
      </c>
      <c r="U164" s="190" t="s">
        <v>452</v>
      </c>
      <c r="V164" s="190" t="s">
        <v>192</v>
      </c>
      <c r="W164" s="190" t="s">
        <v>139</v>
      </c>
      <c r="X164" s="190" t="s">
        <v>448</v>
      </c>
      <c r="Y164" s="190" t="s">
        <v>2108</v>
      </c>
      <c r="Z164" s="190" t="n">
        <v>2</v>
      </c>
      <c r="AA164" s="190" t="s">
        <v>2218</v>
      </c>
    </row>
    <row r="165" customFormat="false" ht="15" hidden="false" customHeight="true" outlineLevel="0" collapsed="false">
      <c r="A165" s="0" t="n">
        <v>33</v>
      </c>
      <c r="B165" s="188" t="n">
        <v>46046.7559219473</v>
      </c>
      <c r="C165" s="188" t="n">
        <v>46046.7582367621</v>
      </c>
      <c r="D165" s="189" t="s">
        <v>443</v>
      </c>
      <c r="E165" s="189" t="s">
        <v>444</v>
      </c>
      <c r="F165" s="189" t="s">
        <v>444</v>
      </c>
      <c r="G165" s="189" t="s">
        <v>445</v>
      </c>
      <c r="H165" s="188" t="n">
        <v>46045</v>
      </c>
      <c r="I165" s="189" t="s">
        <v>113</v>
      </c>
      <c r="J165" s="189" t="s">
        <v>295</v>
      </c>
      <c r="K165" s="189" t="s">
        <v>446</v>
      </c>
      <c r="L165" s="189" t="s">
        <v>130</v>
      </c>
      <c r="M165" s="189" t="s">
        <v>447</v>
      </c>
      <c r="N165" s="189" t="s">
        <v>249</v>
      </c>
      <c r="O165" s="189" t="s">
        <v>244</v>
      </c>
      <c r="P165" s="189" t="s">
        <v>111</v>
      </c>
      <c r="Q165" s="189" t="s">
        <v>112</v>
      </c>
      <c r="R165" s="189" t="s">
        <v>24</v>
      </c>
      <c r="S165" s="189" t="s">
        <v>227</v>
      </c>
      <c r="T165" s="189" t="s">
        <v>121</v>
      </c>
      <c r="U165" s="189" t="s">
        <v>452</v>
      </c>
      <c r="V165" s="189" t="s">
        <v>192</v>
      </c>
      <c r="W165" s="189" t="s">
        <v>139</v>
      </c>
      <c r="X165" s="189" t="s">
        <v>448</v>
      </c>
      <c r="Y165" s="189" t="s">
        <v>2108</v>
      </c>
      <c r="Z165" s="0" t="n">
        <v>3</v>
      </c>
      <c r="AA165" s="189" t="s">
        <v>2219</v>
      </c>
    </row>
    <row r="166" customFormat="false" ht="15" hidden="false" customHeight="true" outlineLevel="0" collapsed="false">
      <c r="A166" s="0" t="n">
        <v>33</v>
      </c>
      <c r="B166" s="188" t="n">
        <v>46046.7559219473</v>
      </c>
      <c r="C166" s="188" t="n">
        <v>46046.7582367621</v>
      </c>
      <c r="D166" s="189" t="s">
        <v>443</v>
      </c>
      <c r="E166" s="189" t="s">
        <v>444</v>
      </c>
      <c r="F166" s="189" t="s">
        <v>444</v>
      </c>
      <c r="G166" s="189" t="s">
        <v>445</v>
      </c>
      <c r="H166" s="188" t="n">
        <v>46045</v>
      </c>
      <c r="I166" s="189" t="s">
        <v>113</v>
      </c>
      <c r="J166" s="189" t="s">
        <v>295</v>
      </c>
      <c r="K166" s="189" t="s">
        <v>446</v>
      </c>
      <c r="L166" s="189" t="s">
        <v>130</v>
      </c>
      <c r="M166" s="189" t="s">
        <v>447</v>
      </c>
      <c r="N166" s="189" t="s">
        <v>249</v>
      </c>
      <c r="O166" s="189" t="s">
        <v>244</v>
      </c>
      <c r="P166" s="189" t="s">
        <v>111</v>
      </c>
      <c r="Q166" s="189" t="s">
        <v>112</v>
      </c>
      <c r="R166" s="189" t="s">
        <v>24</v>
      </c>
      <c r="S166" s="189" t="s">
        <v>227</v>
      </c>
      <c r="T166" s="189" t="s">
        <v>121</v>
      </c>
      <c r="U166" s="189" t="s">
        <v>452</v>
      </c>
      <c r="V166" s="189" t="s">
        <v>192</v>
      </c>
      <c r="W166" s="189" t="s">
        <v>139</v>
      </c>
      <c r="X166" s="189" t="s">
        <v>448</v>
      </c>
      <c r="Y166" s="189" t="s">
        <v>2110</v>
      </c>
      <c r="Z166" s="0" t="n">
        <v>1</v>
      </c>
      <c r="AA166" s="189" t="s">
        <v>2220</v>
      </c>
    </row>
    <row r="167" customFormat="false" ht="15" hidden="false" customHeight="true" outlineLevel="0" collapsed="false">
      <c r="A167" s="0" t="n">
        <v>33</v>
      </c>
      <c r="B167" s="188" t="n">
        <v>46046.7559219473</v>
      </c>
      <c r="C167" s="188" t="n">
        <v>46046.7582367621</v>
      </c>
      <c r="D167" s="189" t="s">
        <v>443</v>
      </c>
      <c r="E167" s="189" t="s">
        <v>444</v>
      </c>
      <c r="F167" s="189" t="s">
        <v>444</v>
      </c>
      <c r="G167" s="189" t="s">
        <v>445</v>
      </c>
      <c r="H167" s="188" t="n">
        <v>46045</v>
      </c>
      <c r="I167" s="189" t="s">
        <v>113</v>
      </c>
      <c r="J167" s="189" t="s">
        <v>295</v>
      </c>
      <c r="K167" s="189" t="s">
        <v>446</v>
      </c>
      <c r="L167" s="189" t="s">
        <v>130</v>
      </c>
      <c r="M167" s="189" t="s">
        <v>447</v>
      </c>
      <c r="N167" s="189" t="s">
        <v>249</v>
      </c>
      <c r="O167" s="189" t="s">
        <v>244</v>
      </c>
      <c r="P167" s="189" t="s">
        <v>111</v>
      </c>
      <c r="Q167" s="189" t="s">
        <v>112</v>
      </c>
      <c r="R167" s="189" t="s">
        <v>24</v>
      </c>
      <c r="S167" s="189" t="s">
        <v>227</v>
      </c>
      <c r="T167" s="189" t="s">
        <v>121</v>
      </c>
      <c r="U167" s="189" t="s">
        <v>452</v>
      </c>
      <c r="V167" s="189" t="s">
        <v>192</v>
      </c>
      <c r="W167" s="189" t="s">
        <v>139</v>
      </c>
      <c r="X167" s="189" t="s">
        <v>448</v>
      </c>
      <c r="Y167" s="189" t="s">
        <v>2110</v>
      </c>
      <c r="Z167" s="0" t="n">
        <v>2</v>
      </c>
      <c r="AA167" s="189" t="s">
        <v>2221</v>
      </c>
    </row>
    <row r="168" customFormat="false" ht="15" hidden="false" customHeight="true" outlineLevel="0" collapsed="false">
      <c r="A168" s="0" t="n">
        <v>33</v>
      </c>
      <c r="B168" s="188" t="n">
        <v>46046.7559219473</v>
      </c>
      <c r="C168" s="188" t="n">
        <v>46046.7582367621</v>
      </c>
      <c r="D168" s="189" t="s">
        <v>443</v>
      </c>
      <c r="E168" s="189" t="s">
        <v>444</v>
      </c>
      <c r="F168" s="189" t="s">
        <v>444</v>
      </c>
      <c r="G168" s="189" t="s">
        <v>445</v>
      </c>
      <c r="H168" s="188" t="n">
        <v>46045</v>
      </c>
      <c r="I168" s="189" t="s">
        <v>113</v>
      </c>
      <c r="J168" s="189" t="s">
        <v>295</v>
      </c>
      <c r="K168" s="189" t="s">
        <v>446</v>
      </c>
      <c r="L168" s="189" t="s">
        <v>130</v>
      </c>
      <c r="M168" s="189" t="s">
        <v>447</v>
      </c>
      <c r="N168" s="189" t="s">
        <v>249</v>
      </c>
      <c r="O168" s="189" t="s">
        <v>244</v>
      </c>
      <c r="P168" s="189" t="s">
        <v>111</v>
      </c>
      <c r="Q168" s="189" t="s">
        <v>112</v>
      </c>
      <c r="R168" s="189" t="s">
        <v>24</v>
      </c>
      <c r="S168" s="189" t="s">
        <v>227</v>
      </c>
      <c r="T168" s="189" t="s">
        <v>121</v>
      </c>
      <c r="U168" s="189" t="s">
        <v>452</v>
      </c>
      <c r="V168" s="189" t="s">
        <v>192</v>
      </c>
      <c r="W168" s="189" t="s">
        <v>139</v>
      </c>
      <c r="X168" s="189" t="s">
        <v>448</v>
      </c>
      <c r="Y168" s="189" t="s">
        <v>2113</v>
      </c>
      <c r="Z168" s="0" t="n">
        <v>1</v>
      </c>
      <c r="AA168" s="189" t="s">
        <v>2222</v>
      </c>
    </row>
    <row r="169" customFormat="false" ht="15" hidden="false" customHeight="true" outlineLevel="0" collapsed="false">
      <c r="A169" s="0" t="n">
        <v>33</v>
      </c>
      <c r="B169" s="188" t="n">
        <v>46046.7559219473</v>
      </c>
      <c r="C169" s="188" t="n">
        <v>46046.7582367621</v>
      </c>
      <c r="D169" s="189" t="s">
        <v>443</v>
      </c>
      <c r="E169" s="189" t="s">
        <v>444</v>
      </c>
      <c r="F169" s="189" t="s">
        <v>444</v>
      </c>
      <c r="G169" s="189" t="s">
        <v>445</v>
      </c>
      <c r="H169" s="188" t="n">
        <v>46045</v>
      </c>
      <c r="I169" s="189" t="s">
        <v>113</v>
      </c>
      <c r="J169" s="189" t="s">
        <v>295</v>
      </c>
      <c r="K169" s="189" t="s">
        <v>446</v>
      </c>
      <c r="L169" s="189" t="s">
        <v>130</v>
      </c>
      <c r="M169" s="189" t="s">
        <v>447</v>
      </c>
      <c r="N169" s="189" t="s">
        <v>249</v>
      </c>
      <c r="O169" s="189" t="s">
        <v>244</v>
      </c>
      <c r="P169" s="189" t="s">
        <v>111</v>
      </c>
      <c r="Q169" s="189" t="s">
        <v>112</v>
      </c>
      <c r="R169" s="189" t="s">
        <v>24</v>
      </c>
      <c r="S169" s="189" t="s">
        <v>227</v>
      </c>
      <c r="T169" s="189" t="s">
        <v>121</v>
      </c>
      <c r="U169" s="189" t="s">
        <v>452</v>
      </c>
      <c r="V169" s="189" t="s">
        <v>192</v>
      </c>
      <c r="W169" s="189" t="s">
        <v>139</v>
      </c>
      <c r="X169" s="189" t="s">
        <v>448</v>
      </c>
      <c r="Y169" s="189" t="s">
        <v>2113</v>
      </c>
      <c r="Z169" s="0" t="n">
        <v>2</v>
      </c>
      <c r="AA169" s="189" t="s">
        <v>2223</v>
      </c>
    </row>
    <row r="170" customFormat="false" ht="15" hidden="false" customHeight="true" outlineLevel="0" collapsed="false">
      <c r="A170" s="0" t="n">
        <v>34</v>
      </c>
      <c r="B170" s="188" t="n">
        <v>46046.7311473906</v>
      </c>
      <c r="C170" s="188" t="n">
        <v>46046.7328603535</v>
      </c>
      <c r="D170" s="189" t="s">
        <v>453</v>
      </c>
      <c r="E170" s="189" t="s">
        <v>454</v>
      </c>
      <c r="F170" s="189" t="s">
        <v>454</v>
      </c>
      <c r="G170" s="189" t="s">
        <v>455</v>
      </c>
      <c r="H170" s="188" t="n">
        <v>46032</v>
      </c>
      <c r="I170" s="189" t="s">
        <v>113</v>
      </c>
      <c r="J170" s="189" t="s">
        <v>295</v>
      </c>
      <c r="K170" s="189" t="s">
        <v>456</v>
      </c>
      <c r="L170" s="189" t="s">
        <v>210</v>
      </c>
      <c r="M170" s="189" t="s">
        <v>114</v>
      </c>
      <c r="N170" s="189" t="s">
        <v>287</v>
      </c>
      <c r="O170" s="189" t="s">
        <v>172</v>
      </c>
      <c r="P170" s="189" t="s">
        <v>131</v>
      </c>
      <c r="Q170" s="189" t="s">
        <v>247</v>
      </c>
      <c r="R170" s="189" t="s">
        <v>21</v>
      </c>
      <c r="S170" s="189" t="s">
        <v>152</v>
      </c>
      <c r="T170" s="189" t="s">
        <v>228</v>
      </c>
      <c r="V170" s="189" t="s">
        <v>123</v>
      </c>
      <c r="W170" s="189" t="s">
        <v>168</v>
      </c>
      <c r="X170" s="189" t="s">
        <v>457</v>
      </c>
      <c r="Y170" s="189" t="s">
        <v>2108</v>
      </c>
      <c r="Z170" s="0" t="n">
        <v>1</v>
      </c>
      <c r="AA170" s="189" t="s">
        <v>2109</v>
      </c>
    </row>
    <row r="171" customFormat="false" ht="15" hidden="false" customHeight="true" outlineLevel="0" collapsed="false">
      <c r="A171" s="0" t="n">
        <v>34</v>
      </c>
      <c r="B171" s="188" t="n">
        <v>46046.7311473906</v>
      </c>
      <c r="C171" s="188" t="n">
        <v>46046.7328603535</v>
      </c>
      <c r="D171" s="189" t="s">
        <v>453</v>
      </c>
      <c r="E171" s="189" t="s">
        <v>454</v>
      </c>
      <c r="F171" s="189" t="s">
        <v>454</v>
      </c>
      <c r="G171" s="189" t="s">
        <v>455</v>
      </c>
      <c r="H171" s="188" t="n">
        <v>46032</v>
      </c>
      <c r="I171" s="189" t="s">
        <v>113</v>
      </c>
      <c r="J171" s="189" t="s">
        <v>295</v>
      </c>
      <c r="K171" s="189" t="s">
        <v>456</v>
      </c>
      <c r="L171" s="189" t="s">
        <v>210</v>
      </c>
      <c r="M171" s="189" t="s">
        <v>114</v>
      </c>
      <c r="N171" s="189" t="s">
        <v>287</v>
      </c>
      <c r="O171" s="189" t="s">
        <v>172</v>
      </c>
      <c r="P171" s="189" t="s">
        <v>131</v>
      </c>
      <c r="Q171" s="189" t="s">
        <v>247</v>
      </c>
      <c r="R171" s="189" t="s">
        <v>21</v>
      </c>
      <c r="S171" s="189" t="s">
        <v>152</v>
      </c>
      <c r="T171" s="189" t="s">
        <v>228</v>
      </c>
      <c r="V171" s="189" t="s">
        <v>123</v>
      </c>
      <c r="W171" s="189" t="s">
        <v>168</v>
      </c>
      <c r="X171" s="189" t="s">
        <v>457</v>
      </c>
      <c r="Y171" s="189" t="s">
        <v>2108</v>
      </c>
      <c r="Z171" s="0" t="n">
        <v>2</v>
      </c>
      <c r="AA171" s="189" t="s">
        <v>2151</v>
      </c>
    </row>
    <row r="172" customFormat="false" ht="15" hidden="false" customHeight="true" outlineLevel="0" collapsed="false">
      <c r="A172" s="0" t="n">
        <v>34</v>
      </c>
      <c r="B172" s="188" t="n">
        <v>46046.7311473906</v>
      </c>
      <c r="C172" s="188" t="n">
        <v>46046.7328603535</v>
      </c>
      <c r="D172" s="189" t="s">
        <v>453</v>
      </c>
      <c r="E172" s="189" t="s">
        <v>454</v>
      </c>
      <c r="F172" s="189" t="s">
        <v>454</v>
      </c>
      <c r="G172" s="189" t="s">
        <v>455</v>
      </c>
      <c r="H172" s="188" t="n">
        <v>46032</v>
      </c>
      <c r="I172" s="189" t="s">
        <v>113</v>
      </c>
      <c r="J172" s="189" t="s">
        <v>295</v>
      </c>
      <c r="K172" s="189" t="s">
        <v>456</v>
      </c>
      <c r="L172" s="189" t="s">
        <v>210</v>
      </c>
      <c r="M172" s="189" t="s">
        <v>114</v>
      </c>
      <c r="N172" s="189" t="s">
        <v>287</v>
      </c>
      <c r="O172" s="189" t="s">
        <v>172</v>
      </c>
      <c r="P172" s="189" t="s">
        <v>131</v>
      </c>
      <c r="Q172" s="189" t="s">
        <v>247</v>
      </c>
      <c r="R172" s="189" t="s">
        <v>21</v>
      </c>
      <c r="S172" s="189" t="s">
        <v>152</v>
      </c>
      <c r="T172" s="189" t="s">
        <v>228</v>
      </c>
      <c r="V172" s="189" t="s">
        <v>123</v>
      </c>
      <c r="W172" s="189" t="s">
        <v>168</v>
      </c>
      <c r="X172" s="189" t="s">
        <v>457</v>
      </c>
      <c r="Y172" s="189" t="s">
        <v>2110</v>
      </c>
      <c r="Z172" s="0" t="n">
        <v>1</v>
      </c>
      <c r="AA172" s="189" t="s">
        <v>2112</v>
      </c>
    </row>
    <row r="173" customFormat="false" ht="15" hidden="false" customHeight="true" outlineLevel="0" collapsed="false">
      <c r="A173" s="0" t="n">
        <v>34</v>
      </c>
      <c r="B173" s="188" t="n">
        <v>46046.7311473906</v>
      </c>
      <c r="C173" s="188" t="n">
        <v>46046.7328603535</v>
      </c>
      <c r="D173" s="189" t="s">
        <v>453</v>
      </c>
      <c r="E173" s="189" t="s">
        <v>454</v>
      </c>
      <c r="F173" s="189" t="s">
        <v>454</v>
      </c>
      <c r="G173" s="189" t="s">
        <v>455</v>
      </c>
      <c r="H173" s="188" t="n">
        <v>46032</v>
      </c>
      <c r="I173" s="189" t="s">
        <v>113</v>
      </c>
      <c r="J173" s="189" t="s">
        <v>295</v>
      </c>
      <c r="K173" s="189" t="s">
        <v>456</v>
      </c>
      <c r="L173" s="189" t="s">
        <v>210</v>
      </c>
      <c r="M173" s="189" t="s">
        <v>114</v>
      </c>
      <c r="N173" s="189" t="s">
        <v>287</v>
      </c>
      <c r="O173" s="189" t="s">
        <v>172</v>
      </c>
      <c r="P173" s="189" t="s">
        <v>131</v>
      </c>
      <c r="Q173" s="189" t="s">
        <v>247</v>
      </c>
      <c r="R173" s="189" t="s">
        <v>21</v>
      </c>
      <c r="S173" s="189" t="s">
        <v>152</v>
      </c>
      <c r="T173" s="189" t="s">
        <v>228</v>
      </c>
      <c r="V173" s="189" t="s">
        <v>123</v>
      </c>
      <c r="W173" s="189" t="s">
        <v>168</v>
      </c>
      <c r="X173" s="189" t="s">
        <v>457</v>
      </c>
      <c r="Y173" s="189" t="s">
        <v>2113</v>
      </c>
      <c r="Z173" s="0" t="n">
        <v>1</v>
      </c>
      <c r="AA173" s="189" t="s">
        <v>2127</v>
      </c>
    </row>
    <row r="174" customFormat="false" ht="15" hidden="false" customHeight="true" outlineLevel="0" collapsed="false">
      <c r="A174" s="0" t="n">
        <v>34</v>
      </c>
      <c r="B174" s="188" t="n">
        <v>46046.7311473906</v>
      </c>
      <c r="C174" s="188" t="n">
        <v>46046.7328603535</v>
      </c>
      <c r="D174" s="189" t="s">
        <v>453</v>
      </c>
      <c r="E174" s="189" t="s">
        <v>454</v>
      </c>
      <c r="F174" s="189" t="s">
        <v>454</v>
      </c>
      <c r="G174" s="189" t="s">
        <v>455</v>
      </c>
      <c r="H174" s="188" t="n">
        <v>46032</v>
      </c>
      <c r="I174" s="189" t="s">
        <v>113</v>
      </c>
      <c r="J174" s="189" t="s">
        <v>295</v>
      </c>
      <c r="K174" s="189" t="s">
        <v>456</v>
      </c>
      <c r="L174" s="189" t="s">
        <v>210</v>
      </c>
      <c r="M174" s="189" t="s">
        <v>114</v>
      </c>
      <c r="N174" s="189" t="s">
        <v>287</v>
      </c>
      <c r="O174" s="189" t="s">
        <v>172</v>
      </c>
      <c r="P174" s="189" t="s">
        <v>131</v>
      </c>
      <c r="Q174" s="189" t="s">
        <v>247</v>
      </c>
      <c r="R174" s="189" t="s">
        <v>21</v>
      </c>
      <c r="S174" s="189" t="s">
        <v>152</v>
      </c>
      <c r="T174" s="189" t="s">
        <v>228</v>
      </c>
      <c r="V174" s="189" t="s">
        <v>123</v>
      </c>
      <c r="W174" s="189" t="s">
        <v>168</v>
      </c>
      <c r="X174" s="189" t="s">
        <v>457</v>
      </c>
      <c r="Y174" s="189" t="s">
        <v>2113</v>
      </c>
      <c r="Z174" s="0" t="n">
        <v>2</v>
      </c>
      <c r="AA174" s="189" t="s">
        <v>122</v>
      </c>
    </row>
    <row r="175" s="190" customFormat="true" ht="15" hidden="false" customHeight="true" outlineLevel="0" collapsed="false">
      <c r="A175" s="190" t="n">
        <v>35</v>
      </c>
      <c r="B175" s="188" t="n">
        <v>46057.9478225182</v>
      </c>
      <c r="C175" s="188" t="n">
        <v>46057.9668155737</v>
      </c>
      <c r="D175" s="190" t="s">
        <v>459</v>
      </c>
      <c r="E175" s="190" t="s">
        <v>460</v>
      </c>
      <c r="F175" s="190" t="s">
        <v>460</v>
      </c>
      <c r="G175" s="190" t="s">
        <v>461</v>
      </c>
      <c r="H175" s="188" t="n">
        <v>46044</v>
      </c>
      <c r="I175" s="190" t="s">
        <v>113</v>
      </c>
      <c r="J175" s="190" t="s">
        <v>295</v>
      </c>
      <c r="K175" s="190" t="s">
        <v>462</v>
      </c>
      <c r="L175" s="190" t="s">
        <v>389</v>
      </c>
      <c r="M175" s="190" t="s">
        <v>397</v>
      </c>
      <c r="N175" s="190" t="s">
        <v>227</v>
      </c>
      <c r="O175" s="190" t="s">
        <v>244</v>
      </c>
      <c r="P175" s="190" t="s">
        <v>111</v>
      </c>
      <c r="Q175" s="190" t="s">
        <v>247</v>
      </c>
      <c r="R175" s="190" t="s">
        <v>22</v>
      </c>
      <c r="S175" s="190" t="s">
        <v>152</v>
      </c>
      <c r="T175" s="190" t="s">
        <v>121</v>
      </c>
      <c r="U175" s="190" t="s">
        <v>122</v>
      </c>
      <c r="V175" s="190" t="s">
        <v>192</v>
      </c>
      <c r="W175" s="190" t="s">
        <v>124</v>
      </c>
      <c r="X175" s="190" t="s">
        <v>381</v>
      </c>
      <c r="Y175" s="190" t="s">
        <v>2108</v>
      </c>
      <c r="Z175" s="190" t="n">
        <v>1</v>
      </c>
      <c r="AA175" s="190" t="s">
        <v>2224</v>
      </c>
    </row>
    <row r="176" s="190" customFormat="true" ht="95.25" hidden="false" customHeight="true" outlineLevel="0" collapsed="false">
      <c r="A176" s="190" t="n">
        <v>35</v>
      </c>
      <c r="B176" s="188" t="n">
        <v>46057.9478225182</v>
      </c>
      <c r="C176" s="188" t="n">
        <v>46057.9668155737</v>
      </c>
      <c r="D176" s="190" t="s">
        <v>459</v>
      </c>
      <c r="E176" s="190" t="s">
        <v>460</v>
      </c>
      <c r="F176" s="190" t="s">
        <v>460</v>
      </c>
      <c r="G176" s="190" t="s">
        <v>461</v>
      </c>
      <c r="H176" s="188" t="n">
        <v>46044</v>
      </c>
      <c r="I176" s="190" t="s">
        <v>113</v>
      </c>
      <c r="J176" s="190" t="s">
        <v>295</v>
      </c>
      <c r="K176" s="190" t="s">
        <v>462</v>
      </c>
      <c r="L176" s="190" t="s">
        <v>389</v>
      </c>
      <c r="M176" s="190" t="s">
        <v>397</v>
      </c>
      <c r="N176" s="190" t="s">
        <v>227</v>
      </c>
      <c r="O176" s="190" t="s">
        <v>244</v>
      </c>
      <c r="P176" s="190" t="s">
        <v>111</v>
      </c>
      <c r="Q176" s="190" t="s">
        <v>247</v>
      </c>
      <c r="R176" s="190" t="s">
        <v>22</v>
      </c>
      <c r="S176" s="190" t="s">
        <v>152</v>
      </c>
      <c r="T176" s="190" t="s">
        <v>121</v>
      </c>
      <c r="U176" s="190" t="s">
        <v>122</v>
      </c>
      <c r="V176" s="190" t="s">
        <v>192</v>
      </c>
      <c r="W176" s="190" t="s">
        <v>124</v>
      </c>
      <c r="X176" s="190" t="s">
        <v>381</v>
      </c>
      <c r="Y176" s="190" t="s">
        <v>2110</v>
      </c>
      <c r="Z176" s="190" t="n">
        <v>1</v>
      </c>
      <c r="AA176" s="190" t="s">
        <v>2204</v>
      </c>
    </row>
    <row r="177" s="190" customFormat="true" ht="15" hidden="false" customHeight="true" outlineLevel="0" collapsed="false">
      <c r="A177" s="190" t="n">
        <v>35</v>
      </c>
      <c r="B177" s="188" t="n">
        <v>46057.9478225182</v>
      </c>
      <c r="C177" s="188" t="n">
        <v>46057.9668155737</v>
      </c>
      <c r="D177" s="190" t="s">
        <v>459</v>
      </c>
      <c r="E177" s="190" t="s">
        <v>460</v>
      </c>
      <c r="F177" s="190" t="s">
        <v>460</v>
      </c>
      <c r="G177" s="190" t="s">
        <v>461</v>
      </c>
      <c r="H177" s="188" t="n">
        <v>46044</v>
      </c>
      <c r="I177" s="190" t="s">
        <v>113</v>
      </c>
      <c r="J177" s="190" t="s">
        <v>295</v>
      </c>
      <c r="K177" s="190" t="s">
        <v>462</v>
      </c>
      <c r="L177" s="190" t="s">
        <v>389</v>
      </c>
      <c r="M177" s="190" t="s">
        <v>397</v>
      </c>
      <c r="N177" s="190" t="s">
        <v>227</v>
      </c>
      <c r="O177" s="190" t="s">
        <v>244</v>
      </c>
      <c r="P177" s="190" t="s">
        <v>111</v>
      </c>
      <c r="Q177" s="190" t="s">
        <v>247</v>
      </c>
      <c r="R177" s="190" t="s">
        <v>22</v>
      </c>
      <c r="S177" s="190" t="s">
        <v>152</v>
      </c>
      <c r="T177" s="190" t="s">
        <v>121</v>
      </c>
      <c r="U177" s="190" t="s">
        <v>122</v>
      </c>
      <c r="V177" s="190" t="s">
        <v>192</v>
      </c>
      <c r="W177" s="190" t="s">
        <v>124</v>
      </c>
      <c r="X177" s="190" t="s">
        <v>381</v>
      </c>
      <c r="Y177" s="190" t="s">
        <v>2113</v>
      </c>
      <c r="Z177" s="190" t="n">
        <v>1</v>
      </c>
      <c r="AA177" s="190" t="s">
        <v>2225</v>
      </c>
    </row>
    <row r="178" s="190" customFormat="true" ht="15" hidden="false" customHeight="true" outlineLevel="0" collapsed="false">
      <c r="A178" s="190" t="n">
        <v>35</v>
      </c>
      <c r="B178" s="188" t="n">
        <v>46057.9478225182</v>
      </c>
      <c r="C178" s="188" t="n">
        <v>46057.9668155737</v>
      </c>
      <c r="D178" s="190" t="s">
        <v>459</v>
      </c>
      <c r="E178" s="190" t="s">
        <v>460</v>
      </c>
      <c r="F178" s="190" t="s">
        <v>460</v>
      </c>
      <c r="G178" s="190" t="s">
        <v>461</v>
      </c>
      <c r="H178" s="188" t="n">
        <v>46044</v>
      </c>
      <c r="I178" s="190" t="s">
        <v>113</v>
      </c>
      <c r="J178" s="190" t="s">
        <v>295</v>
      </c>
      <c r="K178" s="190" t="s">
        <v>462</v>
      </c>
      <c r="L178" s="190" t="s">
        <v>389</v>
      </c>
      <c r="M178" s="190" t="s">
        <v>397</v>
      </c>
      <c r="N178" s="190" t="s">
        <v>227</v>
      </c>
      <c r="O178" s="190" t="s">
        <v>244</v>
      </c>
      <c r="P178" s="190" t="s">
        <v>111</v>
      </c>
      <c r="Q178" s="190" t="s">
        <v>247</v>
      </c>
      <c r="R178" s="190" t="s">
        <v>22</v>
      </c>
      <c r="S178" s="190" t="s">
        <v>152</v>
      </c>
      <c r="T178" s="190" t="s">
        <v>121</v>
      </c>
      <c r="U178" s="190" t="s">
        <v>122</v>
      </c>
      <c r="V178" s="190" t="s">
        <v>192</v>
      </c>
      <c r="W178" s="190" t="s">
        <v>124</v>
      </c>
      <c r="X178" s="190" t="s">
        <v>381</v>
      </c>
      <c r="Y178" s="190" t="s">
        <v>2113</v>
      </c>
      <c r="Z178" s="190" t="n">
        <v>2</v>
      </c>
      <c r="AA178" s="190" t="s">
        <v>2206</v>
      </c>
    </row>
    <row r="179" s="190" customFormat="true" ht="15" hidden="false" customHeight="true" outlineLevel="0" collapsed="false">
      <c r="A179" s="190" t="n">
        <v>36</v>
      </c>
      <c r="B179" s="188" t="n">
        <v>46181.1826159213</v>
      </c>
      <c r="C179" s="188" t="n">
        <v>46181.2026506435</v>
      </c>
      <c r="D179" s="190" t="s">
        <v>466</v>
      </c>
      <c r="E179" s="190" t="s">
        <v>467</v>
      </c>
      <c r="F179" s="190" t="s">
        <v>467</v>
      </c>
      <c r="G179" s="190" t="s">
        <v>468</v>
      </c>
      <c r="H179" s="188" t="n">
        <v>46177</v>
      </c>
      <c r="I179" s="190" t="s">
        <v>325</v>
      </c>
      <c r="J179" s="190" t="s">
        <v>108</v>
      </c>
      <c r="K179" s="190" t="s">
        <v>143</v>
      </c>
      <c r="L179" s="190" t="s">
        <v>286</v>
      </c>
      <c r="M179" s="190" t="s">
        <v>447</v>
      </c>
      <c r="N179" s="190" t="s">
        <v>469</v>
      </c>
      <c r="O179" s="190" t="s">
        <v>278</v>
      </c>
      <c r="P179" s="190" t="s">
        <v>131</v>
      </c>
      <c r="Q179" s="190" t="s">
        <v>112</v>
      </c>
      <c r="R179" s="190" t="s">
        <v>21</v>
      </c>
      <c r="S179" s="190" t="s">
        <v>152</v>
      </c>
      <c r="T179" s="190" t="s">
        <v>352</v>
      </c>
      <c r="V179" s="190" t="s">
        <v>123</v>
      </c>
      <c r="W179" s="190" t="s">
        <v>124</v>
      </c>
      <c r="X179" s="190" t="s">
        <v>307</v>
      </c>
      <c r="Y179" s="190" t="s">
        <v>2108</v>
      </c>
      <c r="Z179" s="190" t="n">
        <v>1</v>
      </c>
      <c r="AA179" s="190" t="s">
        <v>2175</v>
      </c>
    </row>
    <row r="180" s="190" customFormat="true" ht="95.25" hidden="false" customHeight="true" outlineLevel="0" collapsed="false">
      <c r="A180" s="190" t="n">
        <v>36</v>
      </c>
      <c r="B180" s="188" t="n">
        <v>46181.1826159213</v>
      </c>
      <c r="C180" s="188" t="n">
        <v>46181.2026506435</v>
      </c>
      <c r="D180" s="190" t="s">
        <v>466</v>
      </c>
      <c r="E180" s="190" t="s">
        <v>467</v>
      </c>
      <c r="F180" s="190" t="s">
        <v>467</v>
      </c>
      <c r="G180" s="190" t="s">
        <v>468</v>
      </c>
      <c r="H180" s="188" t="n">
        <v>46177</v>
      </c>
      <c r="I180" s="190" t="s">
        <v>325</v>
      </c>
      <c r="J180" s="190" t="s">
        <v>108</v>
      </c>
      <c r="K180" s="190" t="s">
        <v>143</v>
      </c>
      <c r="L180" s="190" t="s">
        <v>286</v>
      </c>
      <c r="M180" s="190" t="s">
        <v>447</v>
      </c>
      <c r="N180" s="190" t="s">
        <v>469</v>
      </c>
      <c r="O180" s="190" t="s">
        <v>278</v>
      </c>
      <c r="P180" s="190" t="s">
        <v>131</v>
      </c>
      <c r="Q180" s="190" t="s">
        <v>112</v>
      </c>
      <c r="R180" s="190" t="s">
        <v>21</v>
      </c>
      <c r="S180" s="190" t="s">
        <v>152</v>
      </c>
      <c r="T180" s="190" t="s">
        <v>352</v>
      </c>
      <c r="V180" s="190" t="s">
        <v>123</v>
      </c>
      <c r="W180" s="190" t="s">
        <v>124</v>
      </c>
      <c r="X180" s="190" t="s">
        <v>307</v>
      </c>
      <c r="Y180" s="190" t="s">
        <v>2110</v>
      </c>
      <c r="Z180" s="190" t="n">
        <v>1</v>
      </c>
      <c r="AA180" s="190" t="s">
        <v>2226</v>
      </c>
    </row>
    <row r="181" s="190" customFormat="true" ht="15" hidden="false" customHeight="true" outlineLevel="0" collapsed="false">
      <c r="A181" s="190" t="n">
        <v>36</v>
      </c>
      <c r="B181" s="188" t="n">
        <v>46181.1826159213</v>
      </c>
      <c r="C181" s="188" t="n">
        <v>46181.2026506435</v>
      </c>
      <c r="D181" s="190" t="s">
        <v>466</v>
      </c>
      <c r="E181" s="190" t="s">
        <v>467</v>
      </c>
      <c r="F181" s="190" t="s">
        <v>467</v>
      </c>
      <c r="G181" s="190" t="s">
        <v>468</v>
      </c>
      <c r="H181" s="188" t="n">
        <v>46177</v>
      </c>
      <c r="I181" s="190" t="s">
        <v>325</v>
      </c>
      <c r="J181" s="190" t="s">
        <v>108</v>
      </c>
      <c r="K181" s="190" t="s">
        <v>143</v>
      </c>
      <c r="L181" s="190" t="s">
        <v>286</v>
      </c>
      <c r="M181" s="190" t="s">
        <v>447</v>
      </c>
      <c r="N181" s="190" t="s">
        <v>469</v>
      </c>
      <c r="O181" s="190" t="s">
        <v>278</v>
      </c>
      <c r="P181" s="190" t="s">
        <v>131</v>
      </c>
      <c r="Q181" s="190" t="s">
        <v>112</v>
      </c>
      <c r="R181" s="190" t="s">
        <v>21</v>
      </c>
      <c r="S181" s="190" t="s">
        <v>152</v>
      </c>
      <c r="T181" s="190" t="s">
        <v>352</v>
      </c>
      <c r="V181" s="190" t="s">
        <v>123</v>
      </c>
      <c r="W181" s="190" t="s">
        <v>124</v>
      </c>
      <c r="X181" s="190" t="s">
        <v>307</v>
      </c>
      <c r="Y181" s="190" t="s">
        <v>2110</v>
      </c>
      <c r="Z181" s="190" t="n">
        <v>2</v>
      </c>
      <c r="AA181" s="190" t="s">
        <v>1174</v>
      </c>
    </row>
    <row r="182" customFormat="false" ht="15" hidden="false" customHeight="true" outlineLevel="0" collapsed="false">
      <c r="A182" s="0" t="n">
        <v>36</v>
      </c>
      <c r="B182" s="188" t="n">
        <v>46181.1826159213</v>
      </c>
      <c r="C182" s="188" t="n">
        <v>46181.2026506435</v>
      </c>
      <c r="D182" s="189" t="s">
        <v>466</v>
      </c>
      <c r="E182" s="189" t="s">
        <v>467</v>
      </c>
      <c r="F182" s="189" t="s">
        <v>467</v>
      </c>
      <c r="G182" s="189" t="s">
        <v>468</v>
      </c>
      <c r="H182" s="188" t="n">
        <v>46177</v>
      </c>
      <c r="I182" s="189" t="s">
        <v>325</v>
      </c>
      <c r="J182" s="189" t="s">
        <v>108</v>
      </c>
      <c r="K182" s="189" t="s">
        <v>143</v>
      </c>
      <c r="L182" s="189" t="s">
        <v>286</v>
      </c>
      <c r="M182" s="189" t="s">
        <v>447</v>
      </c>
      <c r="N182" s="189" t="s">
        <v>469</v>
      </c>
      <c r="O182" s="189" t="s">
        <v>278</v>
      </c>
      <c r="P182" s="189" t="s">
        <v>131</v>
      </c>
      <c r="Q182" s="189" t="s">
        <v>112</v>
      </c>
      <c r="R182" s="189" t="s">
        <v>21</v>
      </c>
      <c r="S182" s="189" t="s">
        <v>152</v>
      </c>
      <c r="T182" s="189" t="s">
        <v>352</v>
      </c>
      <c r="V182" s="189" t="s">
        <v>123</v>
      </c>
      <c r="W182" s="189" t="s">
        <v>124</v>
      </c>
      <c r="X182" s="189" t="s">
        <v>307</v>
      </c>
      <c r="Y182" s="189" t="s">
        <v>2113</v>
      </c>
      <c r="Z182" s="0" t="n">
        <v>1</v>
      </c>
      <c r="AA182" s="189" t="s">
        <v>2177</v>
      </c>
    </row>
    <row r="183" customFormat="false" ht="15" hidden="false" customHeight="true" outlineLevel="0" collapsed="false">
      <c r="A183" s="0" t="n">
        <v>37</v>
      </c>
      <c r="B183" s="188" t="n">
        <v>46154.0757953303</v>
      </c>
      <c r="C183" s="188" t="n">
        <v>46154.0884689414</v>
      </c>
      <c r="D183" s="189" t="s">
        <v>473</v>
      </c>
      <c r="E183" s="189" t="s">
        <v>474</v>
      </c>
      <c r="F183" s="189" t="s">
        <v>474</v>
      </c>
      <c r="G183" s="189" t="s">
        <v>475</v>
      </c>
      <c r="H183" s="188" t="n">
        <v>46138</v>
      </c>
      <c r="I183" s="189" t="s">
        <v>113</v>
      </c>
      <c r="J183" s="189" t="s">
        <v>108</v>
      </c>
      <c r="K183" s="189" t="s">
        <v>476</v>
      </c>
      <c r="L183" s="189" t="s">
        <v>197</v>
      </c>
      <c r="M183" s="189" t="s">
        <v>477</v>
      </c>
      <c r="N183" s="189" t="s">
        <v>338</v>
      </c>
      <c r="O183" s="189" t="s">
        <v>244</v>
      </c>
      <c r="P183" s="189" t="s">
        <v>111</v>
      </c>
      <c r="Q183" s="189" t="s">
        <v>145</v>
      </c>
      <c r="R183" s="189" t="s">
        <v>22</v>
      </c>
      <c r="S183" s="189" t="s">
        <v>120</v>
      </c>
      <c r="T183" s="189" t="s">
        <v>121</v>
      </c>
      <c r="U183" s="189" t="s">
        <v>480</v>
      </c>
      <c r="V183" s="189" t="s">
        <v>192</v>
      </c>
      <c r="W183" s="189" t="s">
        <v>124</v>
      </c>
      <c r="X183" s="189" t="s">
        <v>135</v>
      </c>
      <c r="Y183" s="189" t="s">
        <v>2108</v>
      </c>
      <c r="Z183" s="0" t="n">
        <v>1</v>
      </c>
      <c r="AA183" s="189" t="s">
        <v>2227</v>
      </c>
    </row>
    <row r="184" customFormat="false" ht="15" hidden="false" customHeight="true" outlineLevel="0" collapsed="false">
      <c r="A184" s="0" t="n">
        <v>37</v>
      </c>
      <c r="B184" s="188" t="n">
        <v>46154.0757953303</v>
      </c>
      <c r="C184" s="188" t="n">
        <v>46154.0884689414</v>
      </c>
      <c r="D184" s="189" t="s">
        <v>473</v>
      </c>
      <c r="E184" s="189" t="s">
        <v>474</v>
      </c>
      <c r="F184" s="189" t="s">
        <v>474</v>
      </c>
      <c r="G184" s="189" t="s">
        <v>475</v>
      </c>
      <c r="H184" s="188" t="n">
        <v>46138</v>
      </c>
      <c r="I184" s="189" t="s">
        <v>113</v>
      </c>
      <c r="J184" s="189" t="s">
        <v>108</v>
      </c>
      <c r="K184" s="189" t="s">
        <v>476</v>
      </c>
      <c r="L184" s="189" t="s">
        <v>197</v>
      </c>
      <c r="M184" s="189" t="s">
        <v>477</v>
      </c>
      <c r="N184" s="189" t="s">
        <v>338</v>
      </c>
      <c r="O184" s="189" t="s">
        <v>244</v>
      </c>
      <c r="P184" s="189" t="s">
        <v>111</v>
      </c>
      <c r="Q184" s="189" t="s">
        <v>145</v>
      </c>
      <c r="R184" s="189" t="s">
        <v>22</v>
      </c>
      <c r="S184" s="189" t="s">
        <v>120</v>
      </c>
      <c r="T184" s="189" t="s">
        <v>121</v>
      </c>
      <c r="U184" s="189" t="s">
        <v>480</v>
      </c>
      <c r="V184" s="189" t="s">
        <v>192</v>
      </c>
      <c r="W184" s="189" t="s">
        <v>124</v>
      </c>
      <c r="X184" s="189" t="s">
        <v>135</v>
      </c>
      <c r="Y184" s="189" t="s">
        <v>2110</v>
      </c>
      <c r="Z184" s="0" t="n">
        <v>1</v>
      </c>
      <c r="AA184" s="189" t="s">
        <v>2228</v>
      </c>
    </row>
    <row r="185" customFormat="false" ht="15" hidden="false" customHeight="true" outlineLevel="0" collapsed="false">
      <c r="A185" s="0" t="n">
        <v>37</v>
      </c>
      <c r="B185" s="188" t="n">
        <v>46154.0757953303</v>
      </c>
      <c r="C185" s="188" t="n">
        <v>46154.0884689414</v>
      </c>
      <c r="D185" s="189" t="s">
        <v>473</v>
      </c>
      <c r="E185" s="189" t="s">
        <v>474</v>
      </c>
      <c r="F185" s="189" t="s">
        <v>474</v>
      </c>
      <c r="G185" s="189" t="s">
        <v>475</v>
      </c>
      <c r="H185" s="188" t="n">
        <v>46138</v>
      </c>
      <c r="I185" s="189" t="s">
        <v>113</v>
      </c>
      <c r="J185" s="189" t="s">
        <v>108</v>
      </c>
      <c r="K185" s="189" t="s">
        <v>476</v>
      </c>
      <c r="L185" s="189" t="s">
        <v>197</v>
      </c>
      <c r="M185" s="189" t="s">
        <v>477</v>
      </c>
      <c r="N185" s="189" t="s">
        <v>338</v>
      </c>
      <c r="O185" s="189" t="s">
        <v>244</v>
      </c>
      <c r="P185" s="189" t="s">
        <v>111</v>
      </c>
      <c r="Q185" s="189" t="s">
        <v>145</v>
      </c>
      <c r="R185" s="189" t="s">
        <v>22</v>
      </c>
      <c r="S185" s="189" t="s">
        <v>120</v>
      </c>
      <c r="T185" s="189" t="s">
        <v>121</v>
      </c>
      <c r="U185" s="189" t="s">
        <v>480</v>
      </c>
      <c r="V185" s="189" t="s">
        <v>192</v>
      </c>
      <c r="W185" s="189" t="s">
        <v>124</v>
      </c>
      <c r="X185" s="189" t="s">
        <v>135</v>
      </c>
      <c r="Y185" s="189" t="s">
        <v>2110</v>
      </c>
      <c r="Z185" s="0" t="n">
        <v>2</v>
      </c>
      <c r="AA185" s="189" t="s">
        <v>2229</v>
      </c>
    </row>
    <row r="186" customFormat="false" ht="15" hidden="false" customHeight="true" outlineLevel="0" collapsed="false">
      <c r="A186" s="0" t="n">
        <v>37</v>
      </c>
      <c r="B186" s="188" t="n">
        <v>46154.0757953303</v>
      </c>
      <c r="C186" s="188" t="n">
        <v>46154.0884689414</v>
      </c>
      <c r="D186" s="189" t="s">
        <v>473</v>
      </c>
      <c r="E186" s="189" t="s">
        <v>474</v>
      </c>
      <c r="F186" s="189" t="s">
        <v>474</v>
      </c>
      <c r="G186" s="189" t="s">
        <v>475</v>
      </c>
      <c r="H186" s="188" t="n">
        <v>46138</v>
      </c>
      <c r="I186" s="189" t="s">
        <v>113</v>
      </c>
      <c r="J186" s="189" t="s">
        <v>108</v>
      </c>
      <c r="K186" s="189" t="s">
        <v>476</v>
      </c>
      <c r="L186" s="189" t="s">
        <v>197</v>
      </c>
      <c r="M186" s="189" t="s">
        <v>477</v>
      </c>
      <c r="N186" s="189" t="s">
        <v>338</v>
      </c>
      <c r="O186" s="189" t="s">
        <v>244</v>
      </c>
      <c r="P186" s="189" t="s">
        <v>111</v>
      </c>
      <c r="Q186" s="189" t="s">
        <v>145</v>
      </c>
      <c r="R186" s="189" t="s">
        <v>22</v>
      </c>
      <c r="S186" s="189" t="s">
        <v>120</v>
      </c>
      <c r="T186" s="189" t="s">
        <v>121</v>
      </c>
      <c r="U186" s="189" t="s">
        <v>480</v>
      </c>
      <c r="V186" s="189" t="s">
        <v>192</v>
      </c>
      <c r="W186" s="189" t="s">
        <v>124</v>
      </c>
      <c r="X186" s="189" t="s">
        <v>135</v>
      </c>
      <c r="Y186" s="189" t="s">
        <v>2113</v>
      </c>
      <c r="Z186" s="0" t="n">
        <v>1</v>
      </c>
      <c r="AA186" s="189" t="s">
        <v>122</v>
      </c>
    </row>
    <row r="187" customFormat="false" ht="15" hidden="false" customHeight="true" outlineLevel="0" collapsed="false">
      <c r="A187" s="0" t="n">
        <v>38</v>
      </c>
      <c r="B187" s="188" t="n">
        <v>46156.7007610609</v>
      </c>
      <c r="C187" s="188" t="n">
        <v>46156.709846709</v>
      </c>
      <c r="D187" s="189" t="s">
        <v>481</v>
      </c>
      <c r="E187" s="189" t="s">
        <v>482</v>
      </c>
      <c r="F187" s="189" t="s">
        <v>482</v>
      </c>
      <c r="G187" s="189" t="s">
        <v>483</v>
      </c>
      <c r="H187" s="188" t="n">
        <v>46140</v>
      </c>
      <c r="I187" s="189" t="s">
        <v>113</v>
      </c>
      <c r="J187" s="189" t="s">
        <v>108</v>
      </c>
      <c r="K187" s="189" t="s">
        <v>462</v>
      </c>
      <c r="L187" s="189" t="s">
        <v>286</v>
      </c>
      <c r="M187" s="189" t="s">
        <v>484</v>
      </c>
      <c r="N187" s="189" t="s">
        <v>338</v>
      </c>
      <c r="O187" s="189" t="s">
        <v>172</v>
      </c>
      <c r="P187" s="189" t="s">
        <v>111</v>
      </c>
      <c r="Q187" s="189" t="s">
        <v>145</v>
      </c>
      <c r="R187" s="189" t="s">
        <v>22</v>
      </c>
      <c r="S187" s="189" t="s">
        <v>120</v>
      </c>
      <c r="T187" s="189" t="s">
        <v>121</v>
      </c>
      <c r="U187" s="189" t="s">
        <v>122</v>
      </c>
      <c r="V187" s="189" t="s">
        <v>167</v>
      </c>
      <c r="W187" s="189" t="s">
        <v>124</v>
      </c>
      <c r="X187" s="189" t="s">
        <v>148</v>
      </c>
      <c r="Y187" s="189" t="s">
        <v>2108</v>
      </c>
      <c r="Z187" s="0" t="n">
        <v>1</v>
      </c>
      <c r="AA187" s="189" t="s">
        <v>2166</v>
      </c>
    </row>
    <row r="188" customFormat="false" ht="15" hidden="false" customHeight="true" outlineLevel="0" collapsed="false">
      <c r="A188" s="0" t="n">
        <v>38</v>
      </c>
      <c r="B188" s="188" t="n">
        <v>46156.7007610609</v>
      </c>
      <c r="C188" s="188" t="n">
        <v>46156.709846709</v>
      </c>
      <c r="D188" s="189" t="s">
        <v>481</v>
      </c>
      <c r="E188" s="189" t="s">
        <v>482</v>
      </c>
      <c r="F188" s="189" t="s">
        <v>482</v>
      </c>
      <c r="G188" s="189" t="s">
        <v>483</v>
      </c>
      <c r="H188" s="188" t="n">
        <v>46140</v>
      </c>
      <c r="I188" s="189" t="s">
        <v>113</v>
      </c>
      <c r="J188" s="189" t="s">
        <v>108</v>
      </c>
      <c r="K188" s="189" t="s">
        <v>462</v>
      </c>
      <c r="L188" s="189" t="s">
        <v>286</v>
      </c>
      <c r="M188" s="189" t="s">
        <v>484</v>
      </c>
      <c r="N188" s="189" t="s">
        <v>338</v>
      </c>
      <c r="O188" s="189" t="s">
        <v>172</v>
      </c>
      <c r="P188" s="189" t="s">
        <v>111</v>
      </c>
      <c r="Q188" s="189" t="s">
        <v>145</v>
      </c>
      <c r="R188" s="189" t="s">
        <v>22</v>
      </c>
      <c r="S188" s="189" t="s">
        <v>120</v>
      </c>
      <c r="T188" s="189" t="s">
        <v>121</v>
      </c>
      <c r="U188" s="189" t="s">
        <v>122</v>
      </c>
      <c r="V188" s="189" t="s">
        <v>167</v>
      </c>
      <c r="W188" s="189" t="s">
        <v>124</v>
      </c>
      <c r="X188" s="189" t="s">
        <v>148</v>
      </c>
      <c r="Y188" s="189" t="s">
        <v>2108</v>
      </c>
      <c r="Z188" s="0" t="n">
        <v>2</v>
      </c>
      <c r="AA188" s="189" t="s">
        <v>2230</v>
      </c>
    </row>
    <row r="189" customFormat="false" ht="15" hidden="false" customHeight="true" outlineLevel="0" collapsed="false">
      <c r="A189" s="0" t="n">
        <v>38</v>
      </c>
      <c r="B189" s="188" t="n">
        <v>46156.7007610609</v>
      </c>
      <c r="C189" s="188" t="n">
        <v>46156.709846709</v>
      </c>
      <c r="D189" s="189" t="s">
        <v>481</v>
      </c>
      <c r="E189" s="189" t="s">
        <v>482</v>
      </c>
      <c r="F189" s="189" t="s">
        <v>482</v>
      </c>
      <c r="G189" s="189" t="s">
        <v>483</v>
      </c>
      <c r="H189" s="188" t="n">
        <v>46140</v>
      </c>
      <c r="I189" s="189" t="s">
        <v>113</v>
      </c>
      <c r="J189" s="189" t="s">
        <v>108</v>
      </c>
      <c r="K189" s="189" t="s">
        <v>462</v>
      </c>
      <c r="L189" s="189" t="s">
        <v>286</v>
      </c>
      <c r="M189" s="189" t="s">
        <v>484</v>
      </c>
      <c r="N189" s="189" t="s">
        <v>338</v>
      </c>
      <c r="O189" s="189" t="s">
        <v>172</v>
      </c>
      <c r="P189" s="189" t="s">
        <v>111</v>
      </c>
      <c r="Q189" s="189" t="s">
        <v>145</v>
      </c>
      <c r="R189" s="189" t="s">
        <v>22</v>
      </c>
      <c r="S189" s="189" t="s">
        <v>120</v>
      </c>
      <c r="T189" s="189" t="s">
        <v>121</v>
      </c>
      <c r="U189" s="189" t="s">
        <v>122</v>
      </c>
      <c r="V189" s="189" t="s">
        <v>167</v>
      </c>
      <c r="W189" s="189" t="s">
        <v>124</v>
      </c>
      <c r="X189" s="189" t="s">
        <v>148</v>
      </c>
      <c r="Y189" s="189" t="s">
        <v>2110</v>
      </c>
      <c r="Z189" s="0" t="n">
        <v>1</v>
      </c>
      <c r="AA189" s="189" t="s">
        <v>2231</v>
      </c>
    </row>
    <row r="190" customFormat="false" ht="15" hidden="false" customHeight="true" outlineLevel="0" collapsed="false">
      <c r="A190" s="0" t="n">
        <v>38</v>
      </c>
      <c r="B190" s="188" t="n">
        <v>46156.7007610609</v>
      </c>
      <c r="C190" s="188" t="n">
        <v>46156.709846709</v>
      </c>
      <c r="D190" s="189" t="s">
        <v>481</v>
      </c>
      <c r="E190" s="189" t="s">
        <v>482</v>
      </c>
      <c r="F190" s="189" t="s">
        <v>482</v>
      </c>
      <c r="G190" s="189" t="s">
        <v>483</v>
      </c>
      <c r="H190" s="188" t="n">
        <v>46140</v>
      </c>
      <c r="I190" s="189" t="s">
        <v>113</v>
      </c>
      <c r="J190" s="189" t="s">
        <v>108</v>
      </c>
      <c r="K190" s="189" t="s">
        <v>462</v>
      </c>
      <c r="L190" s="189" t="s">
        <v>286</v>
      </c>
      <c r="M190" s="189" t="s">
        <v>484</v>
      </c>
      <c r="N190" s="189" t="s">
        <v>338</v>
      </c>
      <c r="O190" s="189" t="s">
        <v>172</v>
      </c>
      <c r="P190" s="189" t="s">
        <v>111</v>
      </c>
      <c r="Q190" s="189" t="s">
        <v>145</v>
      </c>
      <c r="R190" s="189" t="s">
        <v>22</v>
      </c>
      <c r="S190" s="189" t="s">
        <v>120</v>
      </c>
      <c r="T190" s="189" t="s">
        <v>121</v>
      </c>
      <c r="U190" s="189" t="s">
        <v>122</v>
      </c>
      <c r="V190" s="189" t="s">
        <v>167</v>
      </c>
      <c r="W190" s="189" t="s">
        <v>124</v>
      </c>
      <c r="X190" s="189" t="s">
        <v>148</v>
      </c>
      <c r="Y190" s="189" t="s">
        <v>2110</v>
      </c>
      <c r="Z190" s="0" t="n">
        <v>2</v>
      </c>
      <c r="AA190" s="189" t="s">
        <v>2121</v>
      </c>
    </row>
    <row r="191" customFormat="false" ht="15" hidden="false" customHeight="true" outlineLevel="0" collapsed="false">
      <c r="A191" s="0" t="n">
        <v>38</v>
      </c>
      <c r="B191" s="188" t="n">
        <v>46156.7007610609</v>
      </c>
      <c r="C191" s="188" t="n">
        <v>46156.709846709</v>
      </c>
      <c r="D191" s="189" t="s">
        <v>481</v>
      </c>
      <c r="E191" s="189" t="s">
        <v>482</v>
      </c>
      <c r="F191" s="189" t="s">
        <v>482</v>
      </c>
      <c r="G191" s="189" t="s">
        <v>483</v>
      </c>
      <c r="H191" s="188" t="n">
        <v>46140</v>
      </c>
      <c r="I191" s="189" t="s">
        <v>113</v>
      </c>
      <c r="J191" s="189" t="s">
        <v>108</v>
      </c>
      <c r="K191" s="189" t="s">
        <v>462</v>
      </c>
      <c r="L191" s="189" t="s">
        <v>286</v>
      </c>
      <c r="M191" s="189" t="s">
        <v>484</v>
      </c>
      <c r="N191" s="189" t="s">
        <v>338</v>
      </c>
      <c r="O191" s="189" t="s">
        <v>172</v>
      </c>
      <c r="P191" s="189" t="s">
        <v>111</v>
      </c>
      <c r="Q191" s="189" t="s">
        <v>145</v>
      </c>
      <c r="R191" s="189" t="s">
        <v>22</v>
      </c>
      <c r="S191" s="189" t="s">
        <v>120</v>
      </c>
      <c r="T191" s="189" t="s">
        <v>121</v>
      </c>
      <c r="U191" s="189" t="s">
        <v>122</v>
      </c>
      <c r="V191" s="189" t="s">
        <v>167</v>
      </c>
      <c r="W191" s="189" t="s">
        <v>124</v>
      </c>
      <c r="X191" s="189" t="s">
        <v>148</v>
      </c>
      <c r="Y191" s="189" t="s">
        <v>2113</v>
      </c>
      <c r="Z191" s="0" t="n">
        <v>1</v>
      </c>
      <c r="AA191" s="189" t="s">
        <v>2232</v>
      </c>
    </row>
    <row r="192" customFormat="false" ht="15" hidden="false" customHeight="true" outlineLevel="0" collapsed="false">
      <c r="A192" s="0" t="n">
        <v>38</v>
      </c>
      <c r="B192" s="188" t="n">
        <v>46156.7007610609</v>
      </c>
      <c r="C192" s="188" t="n">
        <v>46156.709846709</v>
      </c>
      <c r="D192" s="189" t="s">
        <v>481</v>
      </c>
      <c r="E192" s="189" t="s">
        <v>482</v>
      </c>
      <c r="F192" s="189" t="s">
        <v>482</v>
      </c>
      <c r="G192" s="189" t="s">
        <v>483</v>
      </c>
      <c r="H192" s="188" t="n">
        <v>46140</v>
      </c>
      <c r="I192" s="189" t="s">
        <v>113</v>
      </c>
      <c r="J192" s="189" t="s">
        <v>108</v>
      </c>
      <c r="K192" s="189" t="s">
        <v>462</v>
      </c>
      <c r="L192" s="189" t="s">
        <v>286</v>
      </c>
      <c r="M192" s="189" t="s">
        <v>484</v>
      </c>
      <c r="N192" s="189" t="s">
        <v>338</v>
      </c>
      <c r="O192" s="189" t="s">
        <v>172</v>
      </c>
      <c r="P192" s="189" t="s">
        <v>111</v>
      </c>
      <c r="Q192" s="189" t="s">
        <v>145</v>
      </c>
      <c r="R192" s="189" t="s">
        <v>22</v>
      </c>
      <c r="S192" s="189" t="s">
        <v>120</v>
      </c>
      <c r="T192" s="189" t="s">
        <v>121</v>
      </c>
      <c r="U192" s="189" t="s">
        <v>122</v>
      </c>
      <c r="V192" s="189" t="s">
        <v>167</v>
      </c>
      <c r="W192" s="189" t="s">
        <v>124</v>
      </c>
      <c r="X192" s="189" t="s">
        <v>148</v>
      </c>
      <c r="Y192" s="189" t="s">
        <v>2113</v>
      </c>
      <c r="Z192" s="0" t="n">
        <v>2</v>
      </c>
      <c r="AA192" s="189" t="s">
        <v>2123</v>
      </c>
    </row>
    <row r="193" customFormat="false" ht="15" hidden="false" customHeight="true" outlineLevel="0" collapsed="false">
      <c r="A193" s="0" t="n">
        <v>39</v>
      </c>
      <c r="B193" s="188" t="n">
        <v>46166.7118080512</v>
      </c>
      <c r="C193" s="188" t="n">
        <v>46166.7160904586</v>
      </c>
      <c r="D193" s="189" t="s">
        <v>488</v>
      </c>
      <c r="E193" s="189" t="s">
        <v>489</v>
      </c>
      <c r="F193" s="189" t="s">
        <v>489</v>
      </c>
      <c r="G193" s="189" t="s">
        <v>490</v>
      </c>
      <c r="H193" s="188" t="n">
        <v>46153</v>
      </c>
      <c r="I193" s="189" t="s">
        <v>113</v>
      </c>
      <c r="J193" s="189" t="s">
        <v>295</v>
      </c>
      <c r="K193" s="189" t="s">
        <v>232</v>
      </c>
      <c r="L193" s="189" t="s">
        <v>491</v>
      </c>
      <c r="M193" s="189" t="s">
        <v>492</v>
      </c>
      <c r="N193" s="189" t="s">
        <v>186</v>
      </c>
      <c r="O193" s="189" t="s">
        <v>157</v>
      </c>
      <c r="P193" s="189" t="s">
        <v>111</v>
      </c>
      <c r="Q193" s="189" t="s">
        <v>112</v>
      </c>
      <c r="R193" s="189" t="s">
        <v>24</v>
      </c>
      <c r="S193" s="189" t="s">
        <v>227</v>
      </c>
      <c r="T193" s="189" t="s">
        <v>496</v>
      </c>
      <c r="V193" s="189" t="s">
        <v>192</v>
      </c>
      <c r="W193" s="189" t="s">
        <v>124</v>
      </c>
      <c r="X193" s="189" t="s">
        <v>448</v>
      </c>
      <c r="Y193" s="189" t="s">
        <v>2108</v>
      </c>
      <c r="Z193" s="0" t="n">
        <v>1</v>
      </c>
      <c r="AA193" s="189" t="s">
        <v>2218</v>
      </c>
    </row>
    <row r="194" customFormat="false" ht="15" hidden="false" customHeight="true" outlineLevel="0" collapsed="false">
      <c r="A194" s="0" t="n">
        <v>39</v>
      </c>
      <c r="B194" s="188" t="n">
        <v>46166.7118080512</v>
      </c>
      <c r="C194" s="188" t="n">
        <v>46166.7160904586</v>
      </c>
      <c r="D194" s="189" t="s">
        <v>488</v>
      </c>
      <c r="E194" s="189" t="s">
        <v>489</v>
      </c>
      <c r="F194" s="189" t="s">
        <v>489</v>
      </c>
      <c r="G194" s="189" t="s">
        <v>490</v>
      </c>
      <c r="H194" s="188" t="n">
        <v>46153</v>
      </c>
      <c r="I194" s="189" t="s">
        <v>113</v>
      </c>
      <c r="J194" s="189" t="s">
        <v>295</v>
      </c>
      <c r="K194" s="189" t="s">
        <v>232</v>
      </c>
      <c r="L194" s="189" t="s">
        <v>491</v>
      </c>
      <c r="M194" s="189" t="s">
        <v>492</v>
      </c>
      <c r="N194" s="189" t="s">
        <v>186</v>
      </c>
      <c r="O194" s="189" t="s">
        <v>157</v>
      </c>
      <c r="P194" s="189" t="s">
        <v>111</v>
      </c>
      <c r="Q194" s="189" t="s">
        <v>112</v>
      </c>
      <c r="R194" s="189" t="s">
        <v>24</v>
      </c>
      <c r="S194" s="189" t="s">
        <v>227</v>
      </c>
      <c r="T194" s="189" t="s">
        <v>496</v>
      </c>
      <c r="V194" s="189" t="s">
        <v>192</v>
      </c>
      <c r="W194" s="189" t="s">
        <v>124</v>
      </c>
      <c r="X194" s="189" t="s">
        <v>448</v>
      </c>
      <c r="Y194" s="189" t="s">
        <v>2108</v>
      </c>
      <c r="Z194" s="0" t="n">
        <v>2</v>
      </c>
      <c r="AA194" s="189" t="s">
        <v>2219</v>
      </c>
    </row>
    <row r="195" customFormat="false" ht="15" hidden="false" customHeight="true" outlineLevel="0" collapsed="false">
      <c r="A195" s="0" t="n">
        <v>39</v>
      </c>
      <c r="B195" s="188" t="n">
        <v>46166.7118080512</v>
      </c>
      <c r="C195" s="188" t="n">
        <v>46166.7160904586</v>
      </c>
      <c r="D195" s="189" t="s">
        <v>488</v>
      </c>
      <c r="E195" s="189" t="s">
        <v>489</v>
      </c>
      <c r="F195" s="189" t="s">
        <v>489</v>
      </c>
      <c r="G195" s="189" t="s">
        <v>490</v>
      </c>
      <c r="H195" s="188" t="n">
        <v>46153</v>
      </c>
      <c r="I195" s="189" t="s">
        <v>113</v>
      </c>
      <c r="J195" s="189" t="s">
        <v>295</v>
      </c>
      <c r="K195" s="189" t="s">
        <v>232</v>
      </c>
      <c r="L195" s="189" t="s">
        <v>491</v>
      </c>
      <c r="M195" s="189" t="s">
        <v>492</v>
      </c>
      <c r="N195" s="189" t="s">
        <v>186</v>
      </c>
      <c r="O195" s="189" t="s">
        <v>157</v>
      </c>
      <c r="P195" s="189" t="s">
        <v>111</v>
      </c>
      <c r="Q195" s="189" t="s">
        <v>112</v>
      </c>
      <c r="R195" s="189" t="s">
        <v>24</v>
      </c>
      <c r="S195" s="189" t="s">
        <v>227</v>
      </c>
      <c r="T195" s="189" t="s">
        <v>496</v>
      </c>
      <c r="V195" s="189" t="s">
        <v>192</v>
      </c>
      <c r="W195" s="189" t="s">
        <v>124</v>
      </c>
      <c r="X195" s="189" t="s">
        <v>448</v>
      </c>
      <c r="Y195" s="189" t="s">
        <v>2108</v>
      </c>
      <c r="Z195" s="0" t="n">
        <v>3</v>
      </c>
      <c r="AA195" s="189" t="s">
        <v>2233</v>
      </c>
    </row>
    <row r="196" customFormat="false" ht="15" hidden="false" customHeight="true" outlineLevel="0" collapsed="false">
      <c r="A196" s="0" t="n">
        <v>39</v>
      </c>
      <c r="B196" s="188" t="n">
        <v>46166.7118080512</v>
      </c>
      <c r="C196" s="188" t="n">
        <v>46166.7160904586</v>
      </c>
      <c r="D196" s="189" t="s">
        <v>488</v>
      </c>
      <c r="E196" s="189" t="s">
        <v>489</v>
      </c>
      <c r="F196" s="189" t="s">
        <v>489</v>
      </c>
      <c r="G196" s="189" t="s">
        <v>490</v>
      </c>
      <c r="H196" s="188" t="n">
        <v>46153</v>
      </c>
      <c r="I196" s="189" t="s">
        <v>113</v>
      </c>
      <c r="J196" s="189" t="s">
        <v>295</v>
      </c>
      <c r="K196" s="189" t="s">
        <v>232</v>
      </c>
      <c r="L196" s="189" t="s">
        <v>491</v>
      </c>
      <c r="M196" s="189" t="s">
        <v>492</v>
      </c>
      <c r="N196" s="189" t="s">
        <v>186</v>
      </c>
      <c r="O196" s="189" t="s">
        <v>157</v>
      </c>
      <c r="P196" s="189" t="s">
        <v>111</v>
      </c>
      <c r="Q196" s="189" t="s">
        <v>112</v>
      </c>
      <c r="R196" s="189" t="s">
        <v>24</v>
      </c>
      <c r="S196" s="189" t="s">
        <v>227</v>
      </c>
      <c r="T196" s="189" t="s">
        <v>496</v>
      </c>
      <c r="V196" s="189" t="s">
        <v>192</v>
      </c>
      <c r="W196" s="189" t="s">
        <v>124</v>
      </c>
      <c r="X196" s="189" t="s">
        <v>448</v>
      </c>
      <c r="Y196" s="189" t="s">
        <v>2110</v>
      </c>
      <c r="Z196" s="0" t="n">
        <v>1</v>
      </c>
      <c r="AA196" s="189" t="s">
        <v>2220</v>
      </c>
    </row>
    <row r="197" customFormat="false" ht="15" hidden="false" customHeight="true" outlineLevel="0" collapsed="false">
      <c r="A197" s="0" t="n">
        <v>39</v>
      </c>
      <c r="B197" s="188" t="n">
        <v>46166.7118080512</v>
      </c>
      <c r="C197" s="188" t="n">
        <v>46166.7160904586</v>
      </c>
      <c r="D197" s="189" t="s">
        <v>488</v>
      </c>
      <c r="E197" s="189" t="s">
        <v>489</v>
      </c>
      <c r="F197" s="189" t="s">
        <v>489</v>
      </c>
      <c r="G197" s="189" t="s">
        <v>490</v>
      </c>
      <c r="H197" s="188" t="n">
        <v>46153</v>
      </c>
      <c r="I197" s="189" t="s">
        <v>113</v>
      </c>
      <c r="J197" s="189" t="s">
        <v>295</v>
      </c>
      <c r="K197" s="189" t="s">
        <v>232</v>
      </c>
      <c r="L197" s="189" t="s">
        <v>491</v>
      </c>
      <c r="M197" s="189" t="s">
        <v>492</v>
      </c>
      <c r="N197" s="189" t="s">
        <v>186</v>
      </c>
      <c r="O197" s="189" t="s">
        <v>157</v>
      </c>
      <c r="P197" s="189" t="s">
        <v>111</v>
      </c>
      <c r="Q197" s="189" t="s">
        <v>112</v>
      </c>
      <c r="R197" s="189" t="s">
        <v>24</v>
      </c>
      <c r="S197" s="189" t="s">
        <v>227</v>
      </c>
      <c r="T197" s="189" t="s">
        <v>496</v>
      </c>
      <c r="V197" s="189" t="s">
        <v>192</v>
      </c>
      <c r="W197" s="189" t="s">
        <v>124</v>
      </c>
      <c r="X197" s="189" t="s">
        <v>448</v>
      </c>
      <c r="Y197" s="189" t="s">
        <v>2113</v>
      </c>
      <c r="Z197" s="0" t="n">
        <v>1</v>
      </c>
      <c r="AA197" s="189" t="s">
        <v>2234</v>
      </c>
    </row>
    <row r="198" customFormat="false" ht="15" hidden="false" customHeight="true" outlineLevel="0" collapsed="false">
      <c r="A198" s="0" t="n">
        <v>40</v>
      </c>
      <c r="B198" s="188" t="n">
        <v>46068.5151938575</v>
      </c>
      <c r="C198" s="188" t="n">
        <v>46068.5299970983</v>
      </c>
      <c r="D198" s="189" t="s">
        <v>497</v>
      </c>
      <c r="E198" s="189" t="s">
        <v>498</v>
      </c>
      <c r="F198" s="189" t="s">
        <v>498</v>
      </c>
      <c r="G198" s="189" t="s">
        <v>499</v>
      </c>
      <c r="H198" s="188" t="n">
        <v>46064</v>
      </c>
      <c r="I198" s="189" t="s">
        <v>113</v>
      </c>
      <c r="J198" s="189" t="s">
        <v>128</v>
      </c>
      <c r="K198" s="189" t="s">
        <v>500</v>
      </c>
      <c r="L198" s="189" t="s">
        <v>233</v>
      </c>
      <c r="M198" s="189" t="s">
        <v>501</v>
      </c>
      <c r="N198" s="189" t="s">
        <v>175</v>
      </c>
      <c r="O198" s="189" t="s">
        <v>278</v>
      </c>
      <c r="P198" s="189" t="s">
        <v>111</v>
      </c>
      <c r="Q198" s="189" t="s">
        <v>112</v>
      </c>
      <c r="R198" s="189" t="s">
        <v>23</v>
      </c>
      <c r="S198" s="189" t="s">
        <v>152</v>
      </c>
      <c r="T198" s="189" t="s">
        <v>352</v>
      </c>
      <c r="V198" s="189" t="s">
        <v>123</v>
      </c>
      <c r="W198" s="189" t="s">
        <v>124</v>
      </c>
      <c r="X198" s="189" t="s">
        <v>503</v>
      </c>
      <c r="Y198" s="189" t="s">
        <v>2216</v>
      </c>
      <c r="Z198" s="0" t="n">
        <v>1</v>
      </c>
      <c r="AA198" s="189" t="s">
        <v>502</v>
      </c>
    </row>
    <row r="199" customFormat="false" ht="15" hidden="false" customHeight="true" outlineLevel="0" collapsed="false">
      <c r="A199" s="0" t="n">
        <v>41</v>
      </c>
      <c r="B199" s="188" t="n">
        <v>46118.2371389334</v>
      </c>
      <c r="C199" s="188" t="n">
        <v>46118.250669026</v>
      </c>
      <c r="D199" s="189" t="s">
        <v>504</v>
      </c>
      <c r="E199" s="189" t="s">
        <v>505</v>
      </c>
      <c r="F199" s="189" t="s">
        <v>505</v>
      </c>
      <c r="G199" s="189" t="s">
        <v>506</v>
      </c>
      <c r="H199" s="188" t="n">
        <v>46115</v>
      </c>
      <c r="I199" s="189" t="s">
        <v>113</v>
      </c>
      <c r="J199" s="189" t="s">
        <v>295</v>
      </c>
      <c r="K199" s="189" t="s">
        <v>232</v>
      </c>
      <c r="L199" s="189" t="s">
        <v>197</v>
      </c>
      <c r="M199" s="189" t="s">
        <v>507</v>
      </c>
      <c r="N199" s="189" t="s">
        <v>508</v>
      </c>
      <c r="O199" s="189" t="s">
        <v>107</v>
      </c>
      <c r="P199" s="189" t="s">
        <v>111</v>
      </c>
      <c r="Q199" s="189" t="s">
        <v>198</v>
      </c>
      <c r="R199" s="189" t="s">
        <v>24</v>
      </c>
      <c r="S199" s="189" t="s">
        <v>152</v>
      </c>
      <c r="T199" s="189" t="s">
        <v>121</v>
      </c>
      <c r="U199" s="189" t="s">
        <v>122</v>
      </c>
      <c r="V199" s="189" t="s">
        <v>192</v>
      </c>
      <c r="W199" s="189" t="s">
        <v>124</v>
      </c>
      <c r="X199" s="189" t="s">
        <v>223</v>
      </c>
      <c r="Y199" s="189" t="s">
        <v>2108</v>
      </c>
      <c r="Z199" s="0" t="n">
        <v>1</v>
      </c>
      <c r="AA199" s="189" t="s">
        <v>2141</v>
      </c>
    </row>
    <row r="200" customFormat="false" ht="15" hidden="false" customHeight="true" outlineLevel="0" collapsed="false">
      <c r="A200" s="0" t="n">
        <v>41</v>
      </c>
      <c r="B200" s="188" t="n">
        <v>46118.2371389334</v>
      </c>
      <c r="C200" s="188" t="n">
        <v>46118.250669026</v>
      </c>
      <c r="D200" s="189" t="s">
        <v>504</v>
      </c>
      <c r="E200" s="189" t="s">
        <v>505</v>
      </c>
      <c r="F200" s="189" t="s">
        <v>505</v>
      </c>
      <c r="G200" s="189" t="s">
        <v>506</v>
      </c>
      <c r="H200" s="188" t="n">
        <v>46115</v>
      </c>
      <c r="I200" s="189" t="s">
        <v>113</v>
      </c>
      <c r="J200" s="189" t="s">
        <v>295</v>
      </c>
      <c r="K200" s="189" t="s">
        <v>232</v>
      </c>
      <c r="L200" s="189" t="s">
        <v>197</v>
      </c>
      <c r="M200" s="189" t="s">
        <v>507</v>
      </c>
      <c r="N200" s="189" t="s">
        <v>508</v>
      </c>
      <c r="O200" s="189" t="s">
        <v>107</v>
      </c>
      <c r="P200" s="189" t="s">
        <v>111</v>
      </c>
      <c r="Q200" s="189" t="s">
        <v>198</v>
      </c>
      <c r="R200" s="189" t="s">
        <v>24</v>
      </c>
      <c r="S200" s="189" t="s">
        <v>152</v>
      </c>
      <c r="T200" s="189" t="s">
        <v>121</v>
      </c>
      <c r="U200" s="189" t="s">
        <v>122</v>
      </c>
      <c r="V200" s="189" t="s">
        <v>192</v>
      </c>
      <c r="W200" s="189" t="s">
        <v>124</v>
      </c>
      <c r="X200" s="189" t="s">
        <v>223</v>
      </c>
      <c r="Y200" s="189" t="s">
        <v>2108</v>
      </c>
      <c r="Z200" s="0" t="n">
        <v>2</v>
      </c>
      <c r="AA200" s="189" t="s">
        <v>2148</v>
      </c>
    </row>
    <row r="201" customFormat="false" ht="15" hidden="false" customHeight="true" outlineLevel="0" collapsed="false">
      <c r="A201" s="0" t="n">
        <v>41</v>
      </c>
      <c r="B201" s="188" t="n">
        <v>46118.2371389334</v>
      </c>
      <c r="C201" s="188" t="n">
        <v>46118.250669026</v>
      </c>
      <c r="D201" s="189" t="s">
        <v>504</v>
      </c>
      <c r="E201" s="189" t="s">
        <v>505</v>
      </c>
      <c r="F201" s="189" t="s">
        <v>505</v>
      </c>
      <c r="G201" s="189" t="s">
        <v>506</v>
      </c>
      <c r="H201" s="188" t="n">
        <v>46115</v>
      </c>
      <c r="I201" s="189" t="s">
        <v>113</v>
      </c>
      <c r="J201" s="189" t="s">
        <v>295</v>
      </c>
      <c r="K201" s="189" t="s">
        <v>232</v>
      </c>
      <c r="L201" s="189" t="s">
        <v>197</v>
      </c>
      <c r="M201" s="189" t="s">
        <v>507</v>
      </c>
      <c r="N201" s="189" t="s">
        <v>508</v>
      </c>
      <c r="O201" s="189" t="s">
        <v>107</v>
      </c>
      <c r="P201" s="189" t="s">
        <v>111</v>
      </c>
      <c r="Q201" s="189" t="s">
        <v>198</v>
      </c>
      <c r="R201" s="189" t="s">
        <v>24</v>
      </c>
      <c r="S201" s="189" t="s">
        <v>152</v>
      </c>
      <c r="T201" s="189" t="s">
        <v>121</v>
      </c>
      <c r="U201" s="189" t="s">
        <v>122</v>
      </c>
      <c r="V201" s="189" t="s">
        <v>192</v>
      </c>
      <c r="W201" s="189" t="s">
        <v>124</v>
      </c>
      <c r="X201" s="189" t="s">
        <v>223</v>
      </c>
      <c r="Y201" s="189" t="s">
        <v>2110</v>
      </c>
      <c r="Z201" s="0" t="n">
        <v>1</v>
      </c>
      <c r="AA201" s="189" t="s">
        <v>2215</v>
      </c>
    </row>
    <row r="202" customFormat="false" ht="15" hidden="false" customHeight="true" outlineLevel="0" collapsed="false">
      <c r="A202" s="0" t="n">
        <v>41</v>
      </c>
      <c r="B202" s="188" t="n">
        <v>46118.2371389334</v>
      </c>
      <c r="C202" s="188" t="n">
        <v>46118.250669026</v>
      </c>
      <c r="D202" s="189" t="s">
        <v>504</v>
      </c>
      <c r="E202" s="189" t="s">
        <v>505</v>
      </c>
      <c r="F202" s="189" t="s">
        <v>505</v>
      </c>
      <c r="G202" s="189" t="s">
        <v>506</v>
      </c>
      <c r="H202" s="188" t="n">
        <v>46115</v>
      </c>
      <c r="I202" s="189" t="s">
        <v>113</v>
      </c>
      <c r="J202" s="189" t="s">
        <v>295</v>
      </c>
      <c r="K202" s="189" t="s">
        <v>232</v>
      </c>
      <c r="L202" s="189" t="s">
        <v>197</v>
      </c>
      <c r="M202" s="189" t="s">
        <v>507</v>
      </c>
      <c r="N202" s="189" t="s">
        <v>508</v>
      </c>
      <c r="O202" s="189" t="s">
        <v>107</v>
      </c>
      <c r="P202" s="189" t="s">
        <v>111</v>
      </c>
      <c r="Q202" s="189" t="s">
        <v>198</v>
      </c>
      <c r="R202" s="189" t="s">
        <v>24</v>
      </c>
      <c r="S202" s="189" t="s">
        <v>152</v>
      </c>
      <c r="T202" s="189" t="s">
        <v>121</v>
      </c>
      <c r="U202" s="189" t="s">
        <v>122</v>
      </c>
      <c r="V202" s="189" t="s">
        <v>192</v>
      </c>
      <c r="W202" s="189" t="s">
        <v>124</v>
      </c>
      <c r="X202" s="189" t="s">
        <v>223</v>
      </c>
      <c r="Y202" s="189" t="s">
        <v>2113</v>
      </c>
      <c r="Z202" s="0" t="n">
        <v>1</v>
      </c>
      <c r="AA202" s="189" t="s">
        <v>2145</v>
      </c>
    </row>
    <row r="203" customFormat="false" ht="15" hidden="false" customHeight="true" outlineLevel="0" collapsed="false">
      <c r="A203" s="0" t="n">
        <v>41</v>
      </c>
      <c r="B203" s="188" t="n">
        <v>46118.2371389334</v>
      </c>
      <c r="C203" s="188" t="n">
        <v>46118.250669026</v>
      </c>
      <c r="D203" s="189" t="s">
        <v>504</v>
      </c>
      <c r="E203" s="189" t="s">
        <v>505</v>
      </c>
      <c r="F203" s="189" t="s">
        <v>505</v>
      </c>
      <c r="G203" s="189" t="s">
        <v>506</v>
      </c>
      <c r="H203" s="188" t="n">
        <v>46115</v>
      </c>
      <c r="I203" s="189" t="s">
        <v>113</v>
      </c>
      <c r="J203" s="189" t="s">
        <v>295</v>
      </c>
      <c r="K203" s="189" t="s">
        <v>232</v>
      </c>
      <c r="L203" s="189" t="s">
        <v>197</v>
      </c>
      <c r="M203" s="189" t="s">
        <v>507</v>
      </c>
      <c r="N203" s="189" t="s">
        <v>508</v>
      </c>
      <c r="O203" s="189" t="s">
        <v>107</v>
      </c>
      <c r="P203" s="189" t="s">
        <v>111</v>
      </c>
      <c r="Q203" s="189" t="s">
        <v>198</v>
      </c>
      <c r="R203" s="189" t="s">
        <v>24</v>
      </c>
      <c r="S203" s="189" t="s">
        <v>152</v>
      </c>
      <c r="T203" s="189" t="s">
        <v>121</v>
      </c>
      <c r="U203" s="189" t="s">
        <v>122</v>
      </c>
      <c r="V203" s="189" t="s">
        <v>192</v>
      </c>
      <c r="W203" s="189" t="s">
        <v>124</v>
      </c>
      <c r="X203" s="189" t="s">
        <v>223</v>
      </c>
      <c r="Y203" s="189" t="s">
        <v>2113</v>
      </c>
      <c r="Z203" s="0" t="n">
        <v>2</v>
      </c>
      <c r="AA203" s="189" t="s">
        <v>2194</v>
      </c>
    </row>
    <row r="204" customFormat="false" ht="15" hidden="false" customHeight="true" outlineLevel="0" collapsed="false">
      <c r="A204" s="0" t="n">
        <v>42</v>
      </c>
      <c r="B204" s="188" t="n">
        <v>46043.0316457938</v>
      </c>
      <c r="C204" s="188" t="n">
        <v>46043.0439258864</v>
      </c>
      <c r="D204" s="189" t="s">
        <v>512</v>
      </c>
      <c r="E204" s="189" t="s">
        <v>513</v>
      </c>
      <c r="F204" s="189" t="s">
        <v>513</v>
      </c>
      <c r="G204" s="189" t="s">
        <v>514</v>
      </c>
      <c r="H204" s="188" t="n">
        <v>46025</v>
      </c>
      <c r="I204" s="189" t="s">
        <v>113</v>
      </c>
      <c r="J204" s="189" t="s">
        <v>108</v>
      </c>
      <c r="K204" s="189" t="s">
        <v>232</v>
      </c>
      <c r="L204" s="189" t="s">
        <v>114</v>
      </c>
      <c r="M204" s="189" t="s">
        <v>515</v>
      </c>
      <c r="N204" s="189" t="s">
        <v>338</v>
      </c>
      <c r="O204" s="189" t="s">
        <v>172</v>
      </c>
      <c r="P204" s="189" t="s">
        <v>111</v>
      </c>
      <c r="Q204" s="189" t="s">
        <v>247</v>
      </c>
      <c r="R204" s="189" t="s">
        <v>24</v>
      </c>
      <c r="S204" s="189" t="s">
        <v>152</v>
      </c>
      <c r="T204" s="189" t="s">
        <v>121</v>
      </c>
      <c r="V204" s="189" t="s">
        <v>123</v>
      </c>
      <c r="W204" s="189" t="s">
        <v>124</v>
      </c>
      <c r="X204" s="189" t="s">
        <v>448</v>
      </c>
      <c r="Y204" s="189" t="s">
        <v>2108</v>
      </c>
      <c r="Z204" s="0" t="n">
        <v>1</v>
      </c>
      <c r="AA204" s="189" t="s">
        <v>2235</v>
      </c>
    </row>
    <row r="205" customFormat="false" ht="15" hidden="false" customHeight="true" outlineLevel="0" collapsed="false">
      <c r="A205" s="0" t="n">
        <v>42</v>
      </c>
      <c r="B205" s="188" t="n">
        <v>46043.0316457938</v>
      </c>
      <c r="C205" s="188" t="n">
        <v>46043.0439258864</v>
      </c>
      <c r="D205" s="189" t="s">
        <v>512</v>
      </c>
      <c r="E205" s="189" t="s">
        <v>513</v>
      </c>
      <c r="F205" s="189" t="s">
        <v>513</v>
      </c>
      <c r="G205" s="189" t="s">
        <v>514</v>
      </c>
      <c r="H205" s="188" t="n">
        <v>46025</v>
      </c>
      <c r="I205" s="189" t="s">
        <v>113</v>
      </c>
      <c r="J205" s="189" t="s">
        <v>108</v>
      </c>
      <c r="K205" s="189" t="s">
        <v>232</v>
      </c>
      <c r="L205" s="189" t="s">
        <v>114</v>
      </c>
      <c r="M205" s="189" t="s">
        <v>515</v>
      </c>
      <c r="N205" s="189" t="s">
        <v>338</v>
      </c>
      <c r="O205" s="189" t="s">
        <v>172</v>
      </c>
      <c r="P205" s="189" t="s">
        <v>111</v>
      </c>
      <c r="Q205" s="189" t="s">
        <v>247</v>
      </c>
      <c r="R205" s="189" t="s">
        <v>24</v>
      </c>
      <c r="S205" s="189" t="s">
        <v>152</v>
      </c>
      <c r="T205" s="189" t="s">
        <v>121</v>
      </c>
      <c r="V205" s="189" t="s">
        <v>123</v>
      </c>
      <c r="W205" s="189" t="s">
        <v>124</v>
      </c>
      <c r="X205" s="189" t="s">
        <v>448</v>
      </c>
      <c r="Y205" s="189" t="s">
        <v>2110</v>
      </c>
      <c r="Z205" s="0" t="n">
        <v>1</v>
      </c>
      <c r="AA205" s="189" t="s">
        <v>2221</v>
      </c>
    </row>
    <row r="206" customFormat="false" ht="15" hidden="false" customHeight="true" outlineLevel="0" collapsed="false">
      <c r="A206" s="0" t="n">
        <v>42</v>
      </c>
      <c r="B206" s="188" t="n">
        <v>46043.0316457938</v>
      </c>
      <c r="C206" s="188" t="n">
        <v>46043.0439258864</v>
      </c>
      <c r="D206" s="189" t="s">
        <v>512</v>
      </c>
      <c r="E206" s="189" t="s">
        <v>513</v>
      </c>
      <c r="F206" s="189" t="s">
        <v>513</v>
      </c>
      <c r="G206" s="189" t="s">
        <v>514</v>
      </c>
      <c r="H206" s="188" t="n">
        <v>46025</v>
      </c>
      <c r="I206" s="189" t="s">
        <v>113</v>
      </c>
      <c r="J206" s="189" t="s">
        <v>108</v>
      </c>
      <c r="K206" s="189" t="s">
        <v>232</v>
      </c>
      <c r="L206" s="189" t="s">
        <v>114</v>
      </c>
      <c r="M206" s="189" t="s">
        <v>515</v>
      </c>
      <c r="N206" s="189" t="s">
        <v>338</v>
      </c>
      <c r="O206" s="189" t="s">
        <v>172</v>
      </c>
      <c r="P206" s="189" t="s">
        <v>111</v>
      </c>
      <c r="Q206" s="189" t="s">
        <v>247</v>
      </c>
      <c r="R206" s="189" t="s">
        <v>24</v>
      </c>
      <c r="S206" s="189" t="s">
        <v>152</v>
      </c>
      <c r="T206" s="189" t="s">
        <v>121</v>
      </c>
      <c r="V206" s="189" t="s">
        <v>123</v>
      </c>
      <c r="W206" s="189" t="s">
        <v>124</v>
      </c>
      <c r="X206" s="189" t="s">
        <v>448</v>
      </c>
      <c r="Y206" s="189" t="s">
        <v>2113</v>
      </c>
      <c r="Z206" s="0" t="n">
        <v>1</v>
      </c>
      <c r="AA206" s="189" t="s">
        <v>2234</v>
      </c>
    </row>
    <row r="207" customFormat="false" ht="15" hidden="false" customHeight="true" outlineLevel="0" collapsed="false">
      <c r="A207" s="0" t="n">
        <v>42</v>
      </c>
      <c r="B207" s="188" t="n">
        <v>46043.0316457938</v>
      </c>
      <c r="C207" s="188" t="n">
        <v>46043.0439258864</v>
      </c>
      <c r="D207" s="189" t="s">
        <v>512</v>
      </c>
      <c r="E207" s="189" t="s">
        <v>513</v>
      </c>
      <c r="F207" s="189" t="s">
        <v>513</v>
      </c>
      <c r="G207" s="189" t="s">
        <v>514</v>
      </c>
      <c r="H207" s="188" t="n">
        <v>46025</v>
      </c>
      <c r="I207" s="189" t="s">
        <v>113</v>
      </c>
      <c r="J207" s="189" t="s">
        <v>108</v>
      </c>
      <c r="K207" s="189" t="s">
        <v>232</v>
      </c>
      <c r="L207" s="189" t="s">
        <v>114</v>
      </c>
      <c r="M207" s="189" t="s">
        <v>515</v>
      </c>
      <c r="N207" s="189" t="s">
        <v>338</v>
      </c>
      <c r="O207" s="189" t="s">
        <v>172</v>
      </c>
      <c r="P207" s="189" t="s">
        <v>111</v>
      </c>
      <c r="Q207" s="189" t="s">
        <v>247</v>
      </c>
      <c r="R207" s="189" t="s">
        <v>24</v>
      </c>
      <c r="S207" s="189" t="s">
        <v>152</v>
      </c>
      <c r="T207" s="189" t="s">
        <v>121</v>
      </c>
      <c r="V207" s="189" t="s">
        <v>123</v>
      </c>
      <c r="W207" s="189" t="s">
        <v>124</v>
      </c>
      <c r="X207" s="189" t="s">
        <v>448</v>
      </c>
      <c r="Y207" s="189" t="s">
        <v>2113</v>
      </c>
      <c r="Z207" s="0" t="n">
        <v>2</v>
      </c>
      <c r="AA207" s="189" t="s">
        <v>2223</v>
      </c>
    </row>
    <row r="208" customFormat="false" ht="15" hidden="false" customHeight="true" outlineLevel="0" collapsed="false">
      <c r="A208" s="0" t="n">
        <v>43</v>
      </c>
      <c r="B208" s="188" t="n">
        <v>46064.1533677963</v>
      </c>
      <c r="C208" s="188" t="n">
        <v>46064.1731478889</v>
      </c>
      <c r="D208" s="189" t="s">
        <v>519</v>
      </c>
      <c r="E208" s="189" t="s">
        <v>520</v>
      </c>
      <c r="F208" s="189" t="s">
        <v>520</v>
      </c>
      <c r="G208" s="189" t="s">
        <v>521</v>
      </c>
      <c r="H208" s="188" t="n">
        <v>46044</v>
      </c>
      <c r="I208" s="189" t="s">
        <v>325</v>
      </c>
      <c r="J208" s="189" t="s">
        <v>108</v>
      </c>
      <c r="K208" s="189" t="s">
        <v>522</v>
      </c>
      <c r="L208" s="189" t="s">
        <v>286</v>
      </c>
      <c r="M208" s="189" t="s">
        <v>365</v>
      </c>
      <c r="N208" s="189" t="s">
        <v>523</v>
      </c>
      <c r="O208" s="189" t="s">
        <v>278</v>
      </c>
      <c r="P208" s="189" t="s">
        <v>111</v>
      </c>
      <c r="Q208" s="189" t="s">
        <v>112</v>
      </c>
      <c r="R208" s="189" t="s">
        <v>24</v>
      </c>
      <c r="S208" s="189" t="s">
        <v>152</v>
      </c>
      <c r="T208" s="189" t="s">
        <v>121</v>
      </c>
      <c r="V208" s="189" t="s">
        <v>192</v>
      </c>
      <c r="W208" s="189" t="s">
        <v>124</v>
      </c>
      <c r="X208" s="189" t="s">
        <v>214</v>
      </c>
      <c r="Y208" s="189" t="s">
        <v>2108</v>
      </c>
      <c r="Z208" s="0" t="n">
        <v>1</v>
      </c>
      <c r="AA208" s="189" t="s">
        <v>2109</v>
      </c>
    </row>
    <row r="209" customFormat="false" ht="15" hidden="false" customHeight="true" outlineLevel="0" collapsed="false">
      <c r="A209" s="0" t="n">
        <v>43</v>
      </c>
      <c r="B209" s="188" t="n">
        <v>46064.1533677963</v>
      </c>
      <c r="C209" s="188" t="n">
        <v>46064.1731478889</v>
      </c>
      <c r="D209" s="189" t="s">
        <v>519</v>
      </c>
      <c r="E209" s="189" t="s">
        <v>520</v>
      </c>
      <c r="F209" s="189" t="s">
        <v>520</v>
      </c>
      <c r="G209" s="189" t="s">
        <v>521</v>
      </c>
      <c r="H209" s="188" t="n">
        <v>46044</v>
      </c>
      <c r="I209" s="189" t="s">
        <v>325</v>
      </c>
      <c r="J209" s="189" t="s">
        <v>108</v>
      </c>
      <c r="K209" s="189" t="s">
        <v>522</v>
      </c>
      <c r="L209" s="189" t="s">
        <v>286</v>
      </c>
      <c r="M209" s="189" t="s">
        <v>365</v>
      </c>
      <c r="N209" s="189" t="s">
        <v>523</v>
      </c>
      <c r="O209" s="189" t="s">
        <v>278</v>
      </c>
      <c r="P209" s="189" t="s">
        <v>111</v>
      </c>
      <c r="Q209" s="189" t="s">
        <v>112</v>
      </c>
      <c r="R209" s="189" t="s">
        <v>24</v>
      </c>
      <c r="S209" s="189" t="s">
        <v>152</v>
      </c>
      <c r="T209" s="189" t="s">
        <v>121</v>
      </c>
      <c r="V209" s="189" t="s">
        <v>192</v>
      </c>
      <c r="W209" s="189" t="s">
        <v>124</v>
      </c>
      <c r="X209" s="189" t="s">
        <v>214</v>
      </c>
      <c r="Y209" s="189" t="s">
        <v>2108</v>
      </c>
      <c r="Z209" s="0" t="n">
        <v>2</v>
      </c>
      <c r="AA209" s="189" t="s">
        <v>2139</v>
      </c>
    </row>
    <row r="210" customFormat="false" ht="15" hidden="false" customHeight="true" outlineLevel="0" collapsed="false">
      <c r="A210" s="0" t="n">
        <v>43</v>
      </c>
      <c r="B210" s="188" t="n">
        <v>46064.1533677963</v>
      </c>
      <c r="C210" s="188" t="n">
        <v>46064.1731478889</v>
      </c>
      <c r="D210" s="189" t="s">
        <v>519</v>
      </c>
      <c r="E210" s="189" t="s">
        <v>520</v>
      </c>
      <c r="F210" s="189" t="s">
        <v>520</v>
      </c>
      <c r="G210" s="189" t="s">
        <v>521</v>
      </c>
      <c r="H210" s="188" t="n">
        <v>46044</v>
      </c>
      <c r="I210" s="189" t="s">
        <v>325</v>
      </c>
      <c r="J210" s="189" t="s">
        <v>108</v>
      </c>
      <c r="K210" s="189" t="s">
        <v>522</v>
      </c>
      <c r="L210" s="189" t="s">
        <v>286</v>
      </c>
      <c r="M210" s="189" t="s">
        <v>365</v>
      </c>
      <c r="N210" s="189" t="s">
        <v>523</v>
      </c>
      <c r="O210" s="189" t="s">
        <v>278</v>
      </c>
      <c r="P210" s="189" t="s">
        <v>111</v>
      </c>
      <c r="Q210" s="189" t="s">
        <v>112</v>
      </c>
      <c r="R210" s="189" t="s">
        <v>24</v>
      </c>
      <c r="S210" s="189" t="s">
        <v>152</v>
      </c>
      <c r="T210" s="189" t="s">
        <v>121</v>
      </c>
      <c r="V210" s="189" t="s">
        <v>192</v>
      </c>
      <c r="W210" s="189" t="s">
        <v>124</v>
      </c>
      <c r="X210" s="189" t="s">
        <v>214</v>
      </c>
      <c r="Y210" s="189" t="s">
        <v>2110</v>
      </c>
      <c r="Z210" s="0" t="n">
        <v>1</v>
      </c>
      <c r="AA210" s="189" t="s">
        <v>2126</v>
      </c>
    </row>
    <row r="211" customFormat="false" ht="15" hidden="false" customHeight="true" outlineLevel="0" collapsed="false">
      <c r="A211" s="0" t="n">
        <v>43</v>
      </c>
      <c r="B211" s="188" t="n">
        <v>46064.1533677963</v>
      </c>
      <c r="C211" s="188" t="n">
        <v>46064.1731478889</v>
      </c>
      <c r="D211" s="189" t="s">
        <v>519</v>
      </c>
      <c r="E211" s="189" t="s">
        <v>520</v>
      </c>
      <c r="F211" s="189" t="s">
        <v>520</v>
      </c>
      <c r="G211" s="189" t="s">
        <v>521</v>
      </c>
      <c r="H211" s="188" t="n">
        <v>46044</v>
      </c>
      <c r="I211" s="189" t="s">
        <v>325</v>
      </c>
      <c r="J211" s="189" t="s">
        <v>108</v>
      </c>
      <c r="K211" s="189" t="s">
        <v>522</v>
      </c>
      <c r="L211" s="189" t="s">
        <v>286</v>
      </c>
      <c r="M211" s="189" t="s">
        <v>365</v>
      </c>
      <c r="N211" s="189" t="s">
        <v>523</v>
      </c>
      <c r="O211" s="189" t="s">
        <v>278</v>
      </c>
      <c r="P211" s="189" t="s">
        <v>111</v>
      </c>
      <c r="Q211" s="189" t="s">
        <v>112</v>
      </c>
      <c r="R211" s="189" t="s">
        <v>24</v>
      </c>
      <c r="S211" s="189" t="s">
        <v>152</v>
      </c>
      <c r="T211" s="189" t="s">
        <v>121</v>
      </c>
      <c r="V211" s="189" t="s">
        <v>192</v>
      </c>
      <c r="W211" s="189" t="s">
        <v>124</v>
      </c>
      <c r="X211" s="189" t="s">
        <v>214</v>
      </c>
      <c r="Y211" s="189" t="s">
        <v>2110</v>
      </c>
      <c r="Z211" s="0" t="n">
        <v>2</v>
      </c>
      <c r="AA211" s="189" t="s">
        <v>2111</v>
      </c>
    </row>
    <row r="212" customFormat="false" ht="15" hidden="false" customHeight="true" outlineLevel="0" collapsed="false">
      <c r="A212" s="0" t="n">
        <v>43</v>
      </c>
      <c r="B212" s="188" t="n">
        <v>46064.1533677963</v>
      </c>
      <c r="C212" s="188" t="n">
        <v>46064.1731478889</v>
      </c>
      <c r="D212" s="189" t="s">
        <v>519</v>
      </c>
      <c r="E212" s="189" t="s">
        <v>520</v>
      </c>
      <c r="F212" s="189" t="s">
        <v>520</v>
      </c>
      <c r="G212" s="189" t="s">
        <v>521</v>
      </c>
      <c r="H212" s="188" t="n">
        <v>46044</v>
      </c>
      <c r="I212" s="189" t="s">
        <v>325</v>
      </c>
      <c r="J212" s="189" t="s">
        <v>108</v>
      </c>
      <c r="K212" s="189" t="s">
        <v>522</v>
      </c>
      <c r="L212" s="189" t="s">
        <v>286</v>
      </c>
      <c r="M212" s="189" t="s">
        <v>365</v>
      </c>
      <c r="N212" s="189" t="s">
        <v>523</v>
      </c>
      <c r="O212" s="189" t="s">
        <v>278</v>
      </c>
      <c r="P212" s="189" t="s">
        <v>111</v>
      </c>
      <c r="Q212" s="189" t="s">
        <v>112</v>
      </c>
      <c r="R212" s="189" t="s">
        <v>24</v>
      </c>
      <c r="S212" s="189" t="s">
        <v>152</v>
      </c>
      <c r="T212" s="189" t="s">
        <v>121</v>
      </c>
      <c r="V212" s="189" t="s">
        <v>192</v>
      </c>
      <c r="W212" s="189" t="s">
        <v>124</v>
      </c>
      <c r="X212" s="189" t="s">
        <v>214</v>
      </c>
      <c r="Y212" s="189" t="s">
        <v>2113</v>
      </c>
      <c r="Z212" s="0" t="n">
        <v>1</v>
      </c>
      <c r="AA212" s="189" t="s">
        <v>122</v>
      </c>
    </row>
    <row r="213" customFormat="false" ht="15" hidden="false" customHeight="true" outlineLevel="0" collapsed="false">
      <c r="A213" s="0" t="n">
        <v>43</v>
      </c>
      <c r="B213" s="188" t="n">
        <v>46064.1533677963</v>
      </c>
      <c r="C213" s="188" t="n">
        <v>46064.1731478889</v>
      </c>
      <c r="D213" s="189" t="s">
        <v>519</v>
      </c>
      <c r="E213" s="189" t="s">
        <v>520</v>
      </c>
      <c r="F213" s="189" t="s">
        <v>520</v>
      </c>
      <c r="G213" s="189" t="s">
        <v>521</v>
      </c>
      <c r="H213" s="188" t="n">
        <v>46044</v>
      </c>
      <c r="I213" s="189" t="s">
        <v>325</v>
      </c>
      <c r="J213" s="189" t="s">
        <v>108</v>
      </c>
      <c r="K213" s="189" t="s">
        <v>522</v>
      </c>
      <c r="L213" s="189" t="s">
        <v>286</v>
      </c>
      <c r="M213" s="189" t="s">
        <v>365</v>
      </c>
      <c r="N213" s="189" t="s">
        <v>523</v>
      </c>
      <c r="O213" s="189" t="s">
        <v>278</v>
      </c>
      <c r="P213" s="189" t="s">
        <v>111</v>
      </c>
      <c r="Q213" s="189" t="s">
        <v>112</v>
      </c>
      <c r="R213" s="189" t="s">
        <v>24</v>
      </c>
      <c r="S213" s="189" t="s">
        <v>152</v>
      </c>
      <c r="T213" s="189" t="s">
        <v>121</v>
      </c>
      <c r="V213" s="189" t="s">
        <v>192</v>
      </c>
      <c r="W213" s="189" t="s">
        <v>124</v>
      </c>
      <c r="X213" s="189" t="s">
        <v>214</v>
      </c>
      <c r="Y213" s="189" t="s">
        <v>2113</v>
      </c>
      <c r="Z213" s="0" t="n">
        <v>2</v>
      </c>
      <c r="AA213" s="189" t="s">
        <v>2127</v>
      </c>
    </row>
    <row r="214" customFormat="false" ht="15" hidden="false" customHeight="true" outlineLevel="0" collapsed="false">
      <c r="A214" s="0" t="n">
        <v>44</v>
      </c>
      <c r="B214" s="188" t="n">
        <v>46063.8478312871</v>
      </c>
      <c r="C214" s="188" t="n">
        <v>46063.8510373056</v>
      </c>
      <c r="D214" s="189" t="s">
        <v>527</v>
      </c>
      <c r="E214" s="189" t="s">
        <v>528</v>
      </c>
      <c r="F214" s="189" t="s">
        <v>528</v>
      </c>
      <c r="G214" s="189" t="s">
        <v>529</v>
      </c>
      <c r="H214" s="188" t="n">
        <v>46061</v>
      </c>
      <c r="I214" s="189" t="s">
        <v>113</v>
      </c>
      <c r="J214" s="189" t="s">
        <v>108</v>
      </c>
      <c r="K214" s="189" t="s">
        <v>173</v>
      </c>
      <c r="L214" s="189" t="s">
        <v>296</v>
      </c>
      <c r="M214" s="189" t="s">
        <v>269</v>
      </c>
      <c r="N214" s="189" t="s">
        <v>287</v>
      </c>
      <c r="O214" s="189" t="s">
        <v>244</v>
      </c>
      <c r="P214" s="189" t="s">
        <v>211</v>
      </c>
      <c r="Q214" s="189" t="s">
        <v>112</v>
      </c>
      <c r="R214" s="189" t="s">
        <v>22</v>
      </c>
      <c r="S214" s="189" t="s">
        <v>120</v>
      </c>
      <c r="T214" s="189" t="s">
        <v>400</v>
      </c>
      <c r="U214" s="189" t="s">
        <v>122</v>
      </c>
      <c r="V214" s="189" t="s">
        <v>123</v>
      </c>
      <c r="W214" s="189" t="s">
        <v>139</v>
      </c>
      <c r="X214" s="189" t="s">
        <v>135</v>
      </c>
      <c r="Y214" s="189" t="s">
        <v>2108</v>
      </c>
      <c r="Z214" s="0" t="n">
        <v>1</v>
      </c>
      <c r="AA214" s="189" t="s">
        <v>2117</v>
      </c>
    </row>
    <row r="215" customFormat="false" ht="15" hidden="false" customHeight="true" outlineLevel="0" collapsed="false">
      <c r="A215" s="0" t="n">
        <v>44</v>
      </c>
      <c r="B215" s="188" t="n">
        <v>46063.8478312871</v>
      </c>
      <c r="C215" s="188" t="n">
        <v>46063.8510373056</v>
      </c>
      <c r="D215" s="189" t="s">
        <v>527</v>
      </c>
      <c r="E215" s="189" t="s">
        <v>528</v>
      </c>
      <c r="F215" s="189" t="s">
        <v>528</v>
      </c>
      <c r="G215" s="189" t="s">
        <v>529</v>
      </c>
      <c r="H215" s="188" t="n">
        <v>46061</v>
      </c>
      <c r="I215" s="189" t="s">
        <v>113</v>
      </c>
      <c r="J215" s="189" t="s">
        <v>108</v>
      </c>
      <c r="K215" s="189" t="s">
        <v>173</v>
      </c>
      <c r="L215" s="189" t="s">
        <v>296</v>
      </c>
      <c r="M215" s="189" t="s">
        <v>269</v>
      </c>
      <c r="N215" s="189" t="s">
        <v>287</v>
      </c>
      <c r="O215" s="189" t="s">
        <v>244</v>
      </c>
      <c r="P215" s="189" t="s">
        <v>211</v>
      </c>
      <c r="Q215" s="189" t="s">
        <v>112</v>
      </c>
      <c r="R215" s="189" t="s">
        <v>22</v>
      </c>
      <c r="S215" s="189" t="s">
        <v>120</v>
      </c>
      <c r="T215" s="189" t="s">
        <v>400</v>
      </c>
      <c r="U215" s="189" t="s">
        <v>122</v>
      </c>
      <c r="V215" s="189" t="s">
        <v>123</v>
      </c>
      <c r="W215" s="189" t="s">
        <v>139</v>
      </c>
      <c r="X215" s="189" t="s">
        <v>135</v>
      </c>
      <c r="Y215" s="189" t="s">
        <v>2108</v>
      </c>
      <c r="Z215" s="0" t="n">
        <v>2</v>
      </c>
      <c r="AA215" s="189" t="s">
        <v>2116</v>
      </c>
    </row>
    <row r="216" customFormat="false" ht="15" hidden="false" customHeight="true" outlineLevel="0" collapsed="false">
      <c r="A216" s="0" t="n">
        <v>44</v>
      </c>
      <c r="B216" s="188" t="n">
        <v>46063.8478312871</v>
      </c>
      <c r="C216" s="188" t="n">
        <v>46063.8510373056</v>
      </c>
      <c r="D216" s="189" t="s">
        <v>527</v>
      </c>
      <c r="E216" s="189" t="s">
        <v>528</v>
      </c>
      <c r="F216" s="189" t="s">
        <v>528</v>
      </c>
      <c r="G216" s="189" t="s">
        <v>529</v>
      </c>
      <c r="H216" s="188" t="n">
        <v>46061</v>
      </c>
      <c r="I216" s="189" t="s">
        <v>113</v>
      </c>
      <c r="J216" s="189" t="s">
        <v>108</v>
      </c>
      <c r="K216" s="189" t="s">
        <v>173</v>
      </c>
      <c r="L216" s="189" t="s">
        <v>296</v>
      </c>
      <c r="M216" s="189" t="s">
        <v>269</v>
      </c>
      <c r="N216" s="189" t="s">
        <v>287</v>
      </c>
      <c r="O216" s="189" t="s">
        <v>244</v>
      </c>
      <c r="P216" s="189" t="s">
        <v>211</v>
      </c>
      <c r="Q216" s="189" t="s">
        <v>112</v>
      </c>
      <c r="R216" s="189" t="s">
        <v>22</v>
      </c>
      <c r="S216" s="189" t="s">
        <v>120</v>
      </c>
      <c r="T216" s="189" t="s">
        <v>400</v>
      </c>
      <c r="U216" s="189" t="s">
        <v>122</v>
      </c>
      <c r="V216" s="189" t="s">
        <v>123</v>
      </c>
      <c r="W216" s="189" t="s">
        <v>139</v>
      </c>
      <c r="X216" s="189" t="s">
        <v>135</v>
      </c>
      <c r="Y216" s="189" t="s">
        <v>2110</v>
      </c>
      <c r="Z216" s="0" t="n">
        <v>1</v>
      </c>
      <c r="AA216" s="189" t="s">
        <v>2236</v>
      </c>
    </row>
    <row r="217" customFormat="false" ht="15" hidden="false" customHeight="true" outlineLevel="0" collapsed="false">
      <c r="A217" s="0" t="n">
        <v>44</v>
      </c>
      <c r="B217" s="188" t="n">
        <v>46063.8478312871</v>
      </c>
      <c r="C217" s="188" t="n">
        <v>46063.8510373056</v>
      </c>
      <c r="D217" s="189" t="s">
        <v>527</v>
      </c>
      <c r="E217" s="189" t="s">
        <v>528</v>
      </c>
      <c r="F217" s="189" t="s">
        <v>528</v>
      </c>
      <c r="G217" s="189" t="s">
        <v>529</v>
      </c>
      <c r="H217" s="188" t="n">
        <v>46061</v>
      </c>
      <c r="I217" s="189" t="s">
        <v>113</v>
      </c>
      <c r="J217" s="189" t="s">
        <v>108</v>
      </c>
      <c r="K217" s="189" t="s">
        <v>173</v>
      </c>
      <c r="L217" s="189" t="s">
        <v>296</v>
      </c>
      <c r="M217" s="189" t="s">
        <v>269</v>
      </c>
      <c r="N217" s="189" t="s">
        <v>287</v>
      </c>
      <c r="O217" s="189" t="s">
        <v>244</v>
      </c>
      <c r="P217" s="189" t="s">
        <v>211</v>
      </c>
      <c r="Q217" s="189" t="s">
        <v>112</v>
      </c>
      <c r="R217" s="189" t="s">
        <v>22</v>
      </c>
      <c r="S217" s="189" t="s">
        <v>120</v>
      </c>
      <c r="T217" s="189" t="s">
        <v>400</v>
      </c>
      <c r="U217" s="189" t="s">
        <v>122</v>
      </c>
      <c r="V217" s="189" t="s">
        <v>123</v>
      </c>
      <c r="W217" s="189" t="s">
        <v>139</v>
      </c>
      <c r="X217" s="189" t="s">
        <v>135</v>
      </c>
      <c r="Y217" s="189" t="s">
        <v>2113</v>
      </c>
      <c r="Z217" s="0" t="n">
        <v>1</v>
      </c>
      <c r="AA217" s="189" t="s">
        <v>2237</v>
      </c>
    </row>
    <row r="218" customFormat="false" ht="15" hidden="false" customHeight="true" outlineLevel="0" collapsed="false">
      <c r="A218" s="0" t="n">
        <v>45</v>
      </c>
      <c r="B218" s="188" t="n">
        <v>46202.9063426749</v>
      </c>
      <c r="C218" s="188" t="n">
        <v>46202.9089699898</v>
      </c>
      <c r="D218" s="189" t="s">
        <v>533</v>
      </c>
      <c r="E218" s="189" t="s">
        <v>534</v>
      </c>
      <c r="F218" s="189" t="s">
        <v>534</v>
      </c>
      <c r="G218" s="189" t="s">
        <v>535</v>
      </c>
      <c r="H218" s="188" t="n">
        <v>46192</v>
      </c>
      <c r="I218" s="189" t="s">
        <v>305</v>
      </c>
      <c r="J218" s="189" t="s">
        <v>108</v>
      </c>
      <c r="K218" s="189" t="s">
        <v>232</v>
      </c>
      <c r="L218" s="189" t="s">
        <v>346</v>
      </c>
      <c r="M218" s="189" t="s">
        <v>406</v>
      </c>
      <c r="N218" s="189" t="s">
        <v>234</v>
      </c>
      <c r="O218" s="189" t="s">
        <v>107</v>
      </c>
      <c r="P218" s="189" t="s">
        <v>111</v>
      </c>
      <c r="Q218" s="189" t="s">
        <v>112</v>
      </c>
      <c r="R218" s="189" t="s">
        <v>22</v>
      </c>
      <c r="S218" s="189" t="s">
        <v>152</v>
      </c>
      <c r="T218" s="189" t="s">
        <v>180</v>
      </c>
      <c r="V218" s="189" t="s">
        <v>192</v>
      </c>
      <c r="W218" s="189" t="s">
        <v>139</v>
      </c>
      <c r="X218" s="189" t="s">
        <v>298</v>
      </c>
      <c r="Y218" s="189" t="s">
        <v>2108</v>
      </c>
      <c r="Z218" s="0" t="n">
        <v>1</v>
      </c>
      <c r="AA218" s="189" t="s">
        <v>2238</v>
      </c>
    </row>
    <row r="219" customFormat="false" ht="15" hidden="false" customHeight="true" outlineLevel="0" collapsed="false">
      <c r="A219" s="0" t="n">
        <v>45</v>
      </c>
      <c r="B219" s="188" t="n">
        <v>46202.9063426749</v>
      </c>
      <c r="C219" s="188" t="n">
        <v>46202.9089699898</v>
      </c>
      <c r="D219" s="189" t="s">
        <v>533</v>
      </c>
      <c r="E219" s="189" t="s">
        <v>534</v>
      </c>
      <c r="F219" s="189" t="s">
        <v>534</v>
      </c>
      <c r="G219" s="189" t="s">
        <v>535</v>
      </c>
      <c r="H219" s="188" t="n">
        <v>46192</v>
      </c>
      <c r="I219" s="189" t="s">
        <v>305</v>
      </c>
      <c r="J219" s="189" t="s">
        <v>108</v>
      </c>
      <c r="K219" s="189" t="s">
        <v>232</v>
      </c>
      <c r="L219" s="189" t="s">
        <v>346</v>
      </c>
      <c r="M219" s="189" t="s">
        <v>406</v>
      </c>
      <c r="N219" s="189" t="s">
        <v>234</v>
      </c>
      <c r="O219" s="189" t="s">
        <v>107</v>
      </c>
      <c r="P219" s="189" t="s">
        <v>111</v>
      </c>
      <c r="Q219" s="189" t="s">
        <v>112</v>
      </c>
      <c r="R219" s="189" t="s">
        <v>22</v>
      </c>
      <c r="S219" s="189" t="s">
        <v>152</v>
      </c>
      <c r="T219" s="189" t="s">
        <v>180</v>
      </c>
      <c r="V219" s="189" t="s">
        <v>192</v>
      </c>
      <c r="W219" s="189" t="s">
        <v>139</v>
      </c>
      <c r="X219" s="189" t="s">
        <v>298</v>
      </c>
      <c r="Y219" s="189" t="s">
        <v>2108</v>
      </c>
      <c r="Z219" s="0" t="n">
        <v>2</v>
      </c>
      <c r="AA219" s="189" t="s">
        <v>2239</v>
      </c>
    </row>
    <row r="220" customFormat="false" ht="15" hidden="false" customHeight="true" outlineLevel="0" collapsed="false">
      <c r="A220" s="0" t="n">
        <v>45</v>
      </c>
      <c r="B220" s="188" t="n">
        <v>46202.9063426749</v>
      </c>
      <c r="C220" s="188" t="n">
        <v>46202.9089699898</v>
      </c>
      <c r="D220" s="189" t="s">
        <v>533</v>
      </c>
      <c r="E220" s="189" t="s">
        <v>534</v>
      </c>
      <c r="F220" s="189" t="s">
        <v>534</v>
      </c>
      <c r="G220" s="189" t="s">
        <v>535</v>
      </c>
      <c r="H220" s="188" t="n">
        <v>46192</v>
      </c>
      <c r="I220" s="189" t="s">
        <v>305</v>
      </c>
      <c r="J220" s="189" t="s">
        <v>108</v>
      </c>
      <c r="K220" s="189" t="s">
        <v>232</v>
      </c>
      <c r="L220" s="189" t="s">
        <v>346</v>
      </c>
      <c r="M220" s="189" t="s">
        <v>406</v>
      </c>
      <c r="N220" s="189" t="s">
        <v>234</v>
      </c>
      <c r="O220" s="189" t="s">
        <v>107</v>
      </c>
      <c r="P220" s="189" t="s">
        <v>111</v>
      </c>
      <c r="Q220" s="189" t="s">
        <v>112</v>
      </c>
      <c r="R220" s="189" t="s">
        <v>22</v>
      </c>
      <c r="S220" s="189" t="s">
        <v>152</v>
      </c>
      <c r="T220" s="189" t="s">
        <v>180</v>
      </c>
      <c r="V220" s="189" t="s">
        <v>192</v>
      </c>
      <c r="W220" s="189" t="s">
        <v>139</v>
      </c>
      <c r="X220" s="189" t="s">
        <v>298</v>
      </c>
      <c r="Y220" s="189" t="s">
        <v>2110</v>
      </c>
      <c r="Z220" s="0" t="n">
        <v>1</v>
      </c>
      <c r="AA220" s="189" t="s">
        <v>2240</v>
      </c>
    </row>
    <row r="221" customFormat="false" ht="15" hidden="false" customHeight="true" outlineLevel="0" collapsed="false">
      <c r="A221" s="0" t="n">
        <v>45</v>
      </c>
      <c r="B221" s="188" t="n">
        <v>46202.9063426749</v>
      </c>
      <c r="C221" s="188" t="n">
        <v>46202.9089699898</v>
      </c>
      <c r="D221" s="189" t="s">
        <v>533</v>
      </c>
      <c r="E221" s="189" t="s">
        <v>534</v>
      </c>
      <c r="F221" s="189" t="s">
        <v>534</v>
      </c>
      <c r="G221" s="189" t="s">
        <v>535</v>
      </c>
      <c r="H221" s="188" t="n">
        <v>46192</v>
      </c>
      <c r="I221" s="189" t="s">
        <v>305</v>
      </c>
      <c r="J221" s="189" t="s">
        <v>108</v>
      </c>
      <c r="K221" s="189" t="s">
        <v>232</v>
      </c>
      <c r="L221" s="189" t="s">
        <v>346</v>
      </c>
      <c r="M221" s="189" t="s">
        <v>406</v>
      </c>
      <c r="N221" s="189" t="s">
        <v>234</v>
      </c>
      <c r="O221" s="189" t="s">
        <v>107</v>
      </c>
      <c r="P221" s="189" t="s">
        <v>111</v>
      </c>
      <c r="Q221" s="189" t="s">
        <v>112</v>
      </c>
      <c r="R221" s="189" t="s">
        <v>22</v>
      </c>
      <c r="S221" s="189" t="s">
        <v>152</v>
      </c>
      <c r="T221" s="189" t="s">
        <v>180</v>
      </c>
      <c r="V221" s="189" t="s">
        <v>192</v>
      </c>
      <c r="W221" s="189" t="s">
        <v>139</v>
      </c>
      <c r="X221" s="189" t="s">
        <v>298</v>
      </c>
      <c r="Y221" s="189" t="s">
        <v>2113</v>
      </c>
      <c r="Z221" s="0" t="n">
        <v>1</v>
      </c>
      <c r="AA221" s="189" t="s">
        <v>2241</v>
      </c>
    </row>
    <row r="222" customFormat="false" ht="15" hidden="false" customHeight="true" outlineLevel="0" collapsed="false">
      <c r="A222" s="0" t="n">
        <v>46</v>
      </c>
      <c r="B222" s="188" t="n">
        <v>46160.940145126</v>
      </c>
      <c r="C222" s="188" t="n">
        <v>46160.953582626</v>
      </c>
      <c r="D222" s="189" t="s">
        <v>539</v>
      </c>
      <c r="E222" s="189" t="s">
        <v>540</v>
      </c>
      <c r="F222" s="189" t="s">
        <v>541</v>
      </c>
      <c r="G222" s="189" t="s">
        <v>542</v>
      </c>
      <c r="H222" s="188" t="n">
        <v>46151</v>
      </c>
      <c r="I222" s="189" t="s">
        <v>113</v>
      </c>
      <c r="J222" s="189" t="s">
        <v>108</v>
      </c>
      <c r="K222" s="189" t="s">
        <v>196</v>
      </c>
      <c r="L222" s="189" t="s">
        <v>286</v>
      </c>
      <c r="M222" s="189" t="s">
        <v>543</v>
      </c>
      <c r="N222" s="189" t="s">
        <v>544</v>
      </c>
      <c r="O222" s="189" t="s">
        <v>107</v>
      </c>
      <c r="P222" s="189" t="s">
        <v>111</v>
      </c>
      <c r="Q222" s="189" t="s">
        <v>112</v>
      </c>
      <c r="R222" s="189" t="s">
        <v>21</v>
      </c>
      <c r="S222" s="189" t="s">
        <v>152</v>
      </c>
      <c r="T222" s="189" t="s">
        <v>180</v>
      </c>
      <c r="U222" s="189" t="s">
        <v>547</v>
      </c>
      <c r="V222" s="189" t="s">
        <v>192</v>
      </c>
      <c r="W222" s="189" t="s">
        <v>124</v>
      </c>
      <c r="X222" s="189" t="s">
        <v>307</v>
      </c>
      <c r="Y222" s="189" t="s">
        <v>2108</v>
      </c>
      <c r="Z222" s="0" t="n">
        <v>1</v>
      </c>
      <c r="AA222" s="189" t="s">
        <v>2174</v>
      </c>
    </row>
    <row r="223" customFormat="false" ht="15" hidden="false" customHeight="true" outlineLevel="0" collapsed="false">
      <c r="A223" s="0" t="n">
        <v>46</v>
      </c>
      <c r="B223" s="188" t="n">
        <v>46160.940145126</v>
      </c>
      <c r="C223" s="188" t="n">
        <v>46160.953582626</v>
      </c>
      <c r="D223" s="189" t="s">
        <v>539</v>
      </c>
      <c r="E223" s="189" t="s">
        <v>540</v>
      </c>
      <c r="F223" s="189" t="s">
        <v>541</v>
      </c>
      <c r="G223" s="189" t="s">
        <v>542</v>
      </c>
      <c r="H223" s="188" t="n">
        <v>46151</v>
      </c>
      <c r="I223" s="189" t="s">
        <v>113</v>
      </c>
      <c r="J223" s="189" t="s">
        <v>108</v>
      </c>
      <c r="K223" s="189" t="s">
        <v>196</v>
      </c>
      <c r="L223" s="189" t="s">
        <v>286</v>
      </c>
      <c r="M223" s="189" t="s">
        <v>543</v>
      </c>
      <c r="N223" s="189" t="s">
        <v>544</v>
      </c>
      <c r="O223" s="189" t="s">
        <v>107</v>
      </c>
      <c r="P223" s="189" t="s">
        <v>111</v>
      </c>
      <c r="Q223" s="189" t="s">
        <v>112</v>
      </c>
      <c r="R223" s="189" t="s">
        <v>21</v>
      </c>
      <c r="S223" s="189" t="s">
        <v>152</v>
      </c>
      <c r="T223" s="189" t="s">
        <v>180</v>
      </c>
      <c r="U223" s="189" t="s">
        <v>547</v>
      </c>
      <c r="V223" s="189" t="s">
        <v>192</v>
      </c>
      <c r="W223" s="189" t="s">
        <v>124</v>
      </c>
      <c r="X223" s="189" t="s">
        <v>307</v>
      </c>
      <c r="Y223" s="189" t="s">
        <v>2108</v>
      </c>
      <c r="Z223" s="0" t="n">
        <v>2</v>
      </c>
      <c r="AA223" s="189" t="s">
        <v>2175</v>
      </c>
    </row>
    <row r="224" customFormat="false" ht="15" hidden="false" customHeight="true" outlineLevel="0" collapsed="false">
      <c r="A224" s="0" t="n">
        <v>46</v>
      </c>
      <c r="B224" s="188" t="n">
        <v>46160.940145126</v>
      </c>
      <c r="C224" s="188" t="n">
        <v>46160.953582626</v>
      </c>
      <c r="D224" s="189" t="s">
        <v>539</v>
      </c>
      <c r="E224" s="189" t="s">
        <v>540</v>
      </c>
      <c r="F224" s="189" t="s">
        <v>541</v>
      </c>
      <c r="G224" s="189" t="s">
        <v>542</v>
      </c>
      <c r="H224" s="188" t="n">
        <v>46151</v>
      </c>
      <c r="I224" s="189" t="s">
        <v>113</v>
      </c>
      <c r="J224" s="189" t="s">
        <v>108</v>
      </c>
      <c r="K224" s="189" t="s">
        <v>196</v>
      </c>
      <c r="L224" s="189" t="s">
        <v>286</v>
      </c>
      <c r="M224" s="189" t="s">
        <v>543</v>
      </c>
      <c r="N224" s="189" t="s">
        <v>544</v>
      </c>
      <c r="O224" s="189" t="s">
        <v>107</v>
      </c>
      <c r="P224" s="189" t="s">
        <v>111</v>
      </c>
      <c r="Q224" s="189" t="s">
        <v>112</v>
      </c>
      <c r="R224" s="189" t="s">
        <v>21</v>
      </c>
      <c r="S224" s="189" t="s">
        <v>152</v>
      </c>
      <c r="T224" s="189" t="s">
        <v>180</v>
      </c>
      <c r="U224" s="189" t="s">
        <v>547</v>
      </c>
      <c r="V224" s="189" t="s">
        <v>192</v>
      </c>
      <c r="W224" s="189" t="s">
        <v>124</v>
      </c>
      <c r="X224" s="189" t="s">
        <v>307</v>
      </c>
      <c r="Y224" s="189" t="s">
        <v>2108</v>
      </c>
      <c r="Z224" s="0" t="n">
        <v>3</v>
      </c>
      <c r="AA224" s="189" t="s">
        <v>2173</v>
      </c>
    </row>
    <row r="225" customFormat="false" ht="15" hidden="false" customHeight="true" outlineLevel="0" collapsed="false">
      <c r="A225" s="0" t="n">
        <v>46</v>
      </c>
      <c r="B225" s="188" t="n">
        <v>46160.940145126</v>
      </c>
      <c r="C225" s="188" t="n">
        <v>46160.953582626</v>
      </c>
      <c r="D225" s="189" t="s">
        <v>539</v>
      </c>
      <c r="E225" s="189" t="s">
        <v>540</v>
      </c>
      <c r="F225" s="189" t="s">
        <v>541</v>
      </c>
      <c r="G225" s="189" t="s">
        <v>542</v>
      </c>
      <c r="H225" s="188" t="n">
        <v>46151</v>
      </c>
      <c r="I225" s="189" t="s">
        <v>113</v>
      </c>
      <c r="J225" s="189" t="s">
        <v>108</v>
      </c>
      <c r="K225" s="189" t="s">
        <v>196</v>
      </c>
      <c r="L225" s="189" t="s">
        <v>286</v>
      </c>
      <c r="M225" s="189" t="s">
        <v>543</v>
      </c>
      <c r="N225" s="189" t="s">
        <v>544</v>
      </c>
      <c r="O225" s="189" t="s">
        <v>107</v>
      </c>
      <c r="P225" s="189" t="s">
        <v>111</v>
      </c>
      <c r="Q225" s="189" t="s">
        <v>112</v>
      </c>
      <c r="R225" s="189" t="s">
        <v>21</v>
      </c>
      <c r="S225" s="189" t="s">
        <v>152</v>
      </c>
      <c r="T225" s="189" t="s">
        <v>180</v>
      </c>
      <c r="U225" s="189" t="s">
        <v>547</v>
      </c>
      <c r="V225" s="189" t="s">
        <v>192</v>
      </c>
      <c r="W225" s="189" t="s">
        <v>124</v>
      </c>
      <c r="X225" s="189" t="s">
        <v>307</v>
      </c>
      <c r="Y225" s="189" t="s">
        <v>2110</v>
      </c>
      <c r="Z225" s="0" t="n">
        <v>1</v>
      </c>
      <c r="AA225" s="189" t="s">
        <v>1174</v>
      </c>
    </row>
    <row r="226" customFormat="false" ht="15" hidden="false" customHeight="true" outlineLevel="0" collapsed="false">
      <c r="A226" s="0" t="n">
        <v>46</v>
      </c>
      <c r="B226" s="188" t="n">
        <v>46160.940145126</v>
      </c>
      <c r="C226" s="188" t="n">
        <v>46160.953582626</v>
      </c>
      <c r="D226" s="189" t="s">
        <v>539</v>
      </c>
      <c r="E226" s="189" t="s">
        <v>540</v>
      </c>
      <c r="F226" s="189" t="s">
        <v>541</v>
      </c>
      <c r="G226" s="189" t="s">
        <v>542</v>
      </c>
      <c r="H226" s="188" t="n">
        <v>46151</v>
      </c>
      <c r="I226" s="189" t="s">
        <v>113</v>
      </c>
      <c r="J226" s="189" t="s">
        <v>108</v>
      </c>
      <c r="K226" s="189" t="s">
        <v>196</v>
      </c>
      <c r="L226" s="189" t="s">
        <v>286</v>
      </c>
      <c r="M226" s="189" t="s">
        <v>543</v>
      </c>
      <c r="N226" s="189" t="s">
        <v>544</v>
      </c>
      <c r="O226" s="189" t="s">
        <v>107</v>
      </c>
      <c r="P226" s="189" t="s">
        <v>111</v>
      </c>
      <c r="Q226" s="189" t="s">
        <v>112</v>
      </c>
      <c r="R226" s="189" t="s">
        <v>21</v>
      </c>
      <c r="S226" s="189" t="s">
        <v>152</v>
      </c>
      <c r="T226" s="189" t="s">
        <v>180</v>
      </c>
      <c r="U226" s="189" t="s">
        <v>547</v>
      </c>
      <c r="V226" s="189" t="s">
        <v>192</v>
      </c>
      <c r="W226" s="189" t="s">
        <v>124</v>
      </c>
      <c r="X226" s="189" t="s">
        <v>307</v>
      </c>
      <c r="Y226" s="189" t="s">
        <v>2113</v>
      </c>
      <c r="Z226" s="0" t="n">
        <v>1</v>
      </c>
      <c r="AA226" s="189" t="s">
        <v>2177</v>
      </c>
    </row>
    <row r="227" customFormat="false" ht="15" hidden="false" customHeight="true" outlineLevel="0" collapsed="false">
      <c r="A227" s="0" t="n">
        <v>46</v>
      </c>
      <c r="B227" s="188" t="n">
        <v>46160.940145126</v>
      </c>
      <c r="C227" s="188" t="n">
        <v>46160.953582626</v>
      </c>
      <c r="D227" s="189" t="s">
        <v>539</v>
      </c>
      <c r="E227" s="189" t="s">
        <v>540</v>
      </c>
      <c r="F227" s="189" t="s">
        <v>541</v>
      </c>
      <c r="G227" s="189" t="s">
        <v>542</v>
      </c>
      <c r="H227" s="188" t="n">
        <v>46151</v>
      </c>
      <c r="I227" s="189" t="s">
        <v>113</v>
      </c>
      <c r="J227" s="189" t="s">
        <v>108</v>
      </c>
      <c r="K227" s="189" t="s">
        <v>196</v>
      </c>
      <c r="L227" s="189" t="s">
        <v>286</v>
      </c>
      <c r="M227" s="189" t="s">
        <v>543</v>
      </c>
      <c r="N227" s="189" t="s">
        <v>544</v>
      </c>
      <c r="O227" s="189" t="s">
        <v>107</v>
      </c>
      <c r="P227" s="189" t="s">
        <v>111</v>
      </c>
      <c r="Q227" s="189" t="s">
        <v>112</v>
      </c>
      <c r="R227" s="189" t="s">
        <v>21</v>
      </c>
      <c r="S227" s="189" t="s">
        <v>152</v>
      </c>
      <c r="T227" s="189" t="s">
        <v>180</v>
      </c>
      <c r="U227" s="189" t="s">
        <v>547</v>
      </c>
      <c r="V227" s="189" t="s">
        <v>192</v>
      </c>
      <c r="W227" s="189" t="s">
        <v>124</v>
      </c>
      <c r="X227" s="189" t="s">
        <v>307</v>
      </c>
      <c r="Y227" s="189" t="s">
        <v>2113</v>
      </c>
      <c r="Z227" s="0" t="n">
        <v>2</v>
      </c>
      <c r="AA227" s="189" t="s">
        <v>2178</v>
      </c>
    </row>
    <row r="228" customFormat="false" ht="15" hidden="false" customHeight="true" outlineLevel="0" collapsed="false">
      <c r="A228" s="0" t="n">
        <v>47</v>
      </c>
      <c r="B228" s="188" t="n">
        <v>46139.5102505687</v>
      </c>
      <c r="C228" s="188" t="n">
        <v>46139.5261070502</v>
      </c>
      <c r="D228" s="189" t="s">
        <v>548</v>
      </c>
      <c r="E228" s="189" t="s">
        <v>549</v>
      </c>
      <c r="F228" s="189" t="s">
        <v>549</v>
      </c>
      <c r="G228" s="189" t="s">
        <v>550</v>
      </c>
      <c r="H228" s="188" t="n">
        <v>46125</v>
      </c>
      <c r="I228" s="189" t="s">
        <v>551</v>
      </c>
      <c r="J228" s="189" t="s">
        <v>108</v>
      </c>
      <c r="K228" s="189" t="s">
        <v>196</v>
      </c>
      <c r="L228" s="189" t="s">
        <v>286</v>
      </c>
      <c r="M228" s="189" t="s">
        <v>160</v>
      </c>
      <c r="N228" s="189" t="s">
        <v>552</v>
      </c>
      <c r="O228" s="189" t="s">
        <v>107</v>
      </c>
      <c r="P228" s="189" t="s">
        <v>111</v>
      </c>
      <c r="Q228" s="189" t="s">
        <v>247</v>
      </c>
      <c r="R228" s="189" t="s">
        <v>22</v>
      </c>
      <c r="S228" s="189" t="s">
        <v>152</v>
      </c>
      <c r="T228" s="189" t="s">
        <v>121</v>
      </c>
      <c r="U228" s="189" t="s">
        <v>122</v>
      </c>
      <c r="V228" s="189" t="s">
        <v>192</v>
      </c>
      <c r="W228" s="189" t="s">
        <v>124</v>
      </c>
      <c r="X228" s="189" t="s">
        <v>339</v>
      </c>
      <c r="Y228" s="189" t="s">
        <v>2108</v>
      </c>
      <c r="Z228" s="0" t="n">
        <v>1</v>
      </c>
      <c r="AA228" s="189" t="s">
        <v>2212</v>
      </c>
    </row>
    <row r="229" customFormat="false" ht="15" hidden="false" customHeight="true" outlineLevel="0" collapsed="false">
      <c r="A229" s="0" t="n">
        <v>47</v>
      </c>
      <c r="B229" s="188" t="n">
        <v>46139.5102505687</v>
      </c>
      <c r="C229" s="188" t="n">
        <v>46139.5261070502</v>
      </c>
      <c r="D229" s="189" t="s">
        <v>548</v>
      </c>
      <c r="E229" s="189" t="s">
        <v>549</v>
      </c>
      <c r="F229" s="189" t="s">
        <v>549</v>
      </c>
      <c r="G229" s="189" t="s">
        <v>550</v>
      </c>
      <c r="H229" s="188" t="n">
        <v>46125</v>
      </c>
      <c r="I229" s="189" t="s">
        <v>551</v>
      </c>
      <c r="J229" s="189" t="s">
        <v>108</v>
      </c>
      <c r="K229" s="189" t="s">
        <v>196</v>
      </c>
      <c r="L229" s="189" t="s">
        <v>286</v>
      </c>
      <c r="M229" s="189" t="s">
        <v>160</v>
      </c>
      <c r="N229" s="189" t="s">
        <v>552</v>
      </c>
      <c r="O229" s="189" t="s">
        <v>107</v>
      </c>
      <c r="P229" s="189" t="s">
        <v>111</v>
      </c>
      <c r="Q229" s="189" t="s">
        <v>247</v>
      </c>
      <c r="R229" s="189" t="s">
        <v>22</v>
      </c>
      <c r="S229" s="189" t="s">
        <v>152</v>
      </c>
      <c r="T229" s="189" t="s">
        <v>121</v>
      </c>
      <c r="U229" s="189" t="s">
        <v>122</v>
      </c>
      <c r="V229" s="189" t="s">
        <v>192</v>
      </c>
      <c r="W229" s="189" t="s">
        <v>124</v>
      </c>
      <c r="X229" s="189" t="s">
        <v>339</v>
      </c>
      <c r="Y229" s="189" t="s">
        <v>2108</v>
      </c>
      <c r="Z229" s="0" t="n">
        <v>2</v>
      </c>
      <c r="AA229" s="189" t="s">
        <v>2242</v>
      </c>
    </row>
    <row r="230" customFormat="false" ht="15" hidden="false" customHeight="true" outlineLevel="0" collapsed="false">
      <c r="A230" s="0" t="n">
        <v>47</v>
      </c>
      <c r="B230" s="188" t="n">
        <v>46139.5102505687</v>
      </c>
      <c r="C230" s="188" t="n">
        <v>46139.5261070502</v>
      </c>
      <c r="D230" s="189" t="s">
        <v>548</v>
      </c>
      <c r="E230" s="189" t="s">
        <v>549</v>
      </c>
      <c r="F230" s="189" t="s">
        <v>549</v>
      </c>
      <c r="G230" s="189" t="s">
        <v>550</v>
      </c>
      <c r="H230" s="188" t="n">
        <v>46125</v>
      </c>
      <c r="I230" s="189" t="s">
        <v>551</v>
      </c>
      <c r="J230" s="189" t="s">
        <v>108</v>
      </c>
      <c r="K230" s="189" t="s">
        <v>196</v>
      </c>
      <c r="L230" s="189" t="s">
        <v>286</v>
      </c>
      <c r="M230" s="189" t="s">
        <v>160</v>
      </c>
      <c r="N230" s="189" t="s">
        <v>552</v>
      </c>
      <c r="O230" s="189" t="s">
        <v>107</v>
      </c>
      <c r="P230" s="189" t="s">
        <v>111</v>
      </c>
      <c r="Q230" s="189" t="s">
        <v>247</v>
      </c>
      <c r="R230" s="189" t="s">
        <v>22</v>
      </c>
      <c r="S230" s="189" t="s">
        <v>152</v>
      </c>
      <c r="T230" s="189" t="s">
        <v>121</v>
      </c>
      <c r="U230" s="189" t="s">
        <v>122</v>
      </c>
      <c r="V230" s="189" t="s">
        <v>192</v>
      </c>
      <c r="W230" s="189" t="s">
        <v>124</v>
      </c>
      <c r="X230" s="189" t="s">
        <v>339</v>
      </c>
      <c r="Y230" s="189" t="s">
        <v>2108</v>
      </c>
      <c r="Z230" s="0" t="n">
        <v>3</v>
      </c>
      <c r="AA230" s="189" t="s">
        <v>2243</v>
      </c>
    </row>
    <row r="231" customFormat="false" ht="15" hidden="false" customHeight="true" outlineLevel="0" collapsed="false">
      <c r="A231" s="0" t="n">
        <v>47</v>
      </c>
      <c r="B231" s="188" t="n">
        <v>46139.5102505687</v>
      </c>
      <c r="C231" s="188" t="n">
        <v>46139.5261070502</v>
      </c>
      <c r="D231" s="189" t="s">
        <v>548</v>
      </c>
      <c r="E231" s="189" t="s">
        <v>549</v>
      </c>
      <c r="F231" s="189" t="s">
        <v>549</v>
      </c>
      <c r="G231" s="189" t="s">
        <v>550</v>
      </c>
      <c r="H231" s="188" t="n">
        <v>46125</v>
      </c>
      <c r="I231" s="189" t="s">
        <v>551</v>
      </c>
      <c r="J231" s="189" t="s">
        <v>108</v>
      </c>
      <c r="K231" s="189" t="s">
        <v>196</v>
      </c>
      <c r="L231" s="189" t="s">
        <v>286</v>
      </c>
      <c r="M231" s="189" t="s">
        <v>160</v>
      </c>
      <c r="N231" s="189" t="s">
        <v>552</v>
      </c>
      <c r="O231" s="189" t="s">
        <v>107</v>
      </c>
      <c r="P231" s="189" t="s">
        <v>111</v>
      </c>
      <c r="Q231" s="189" t="s">
        <v>247</v>
      </c>
      <c r="R231" s="189" t="s">
        <v>22</v>
      </c>
      <c r="S231" s="189" t="s">
        <v>152</v>
      </c>
      <c r="T231" s="189" t="s">
        <v>121</v>
      </c>
      <c r="U231" s="189" t="s">
        <v>122</v>
      </c>
      <c r="V231" s="189" t="s">
        <v>192</v>
      </c>
      <c r="W231" s="189" t="s">
        <v>124</v>
      </c>
      <c r="X231" s="189" t="s">
        <v>339</v>
      </c>
      <c r="Y231" s="189" t="s">
        <v>2110</v>
      </c>
      <c r="Z231" s="0" t="n">
        <v>1</v>
      </c>
      <c r="AA231" s="189" t="s">
        <v>2186</v>
      </c>
    </row>
    <row r="232" customFormat="false" ht="15" hidden="false" customHeight="true" outlineLevel="0" collapsed="false">
      <c r="A232" s="0" t="n">
        <v>47</v>
      </c>
      <c r="B232" s="188" t="n">
        <v>46139.5102505687</v>
      </c>
      <c r="C232" s="188" t="n">
        <v>46139.5261070502</v>
      </c>
      <c r="D232" s="189" t="s">
        <v>548</v>
      </c>
      <c r="E232" s="189" t="s">
        <v>549</v>
      </c>
      <c r="F232" s="189" t="s">
        <v>549</v>
      </c>
      <c r="G232" s="189" t="s">
        <v>550</v>
      </c>
      <c r="H232" s="188" t="n">
        <v>46125</v>
      </c>
      <c r="I232" s="189" t="s">
        <v>551</v>
      </c>
      <c r="J232" s="189" t="s">
        <v>108</v>
      </c>
      <c r="K232" s="189" t="s">
        <v>196</v>
      </c>
      <c r="L232" s="189" t="s">
        <v>286</v>
      </c>
      <c r="M232" s="189" t="s">
        <v>160</v>
      </c>
      <c r="N232" s="189" t="s">
        <v>552</v>
      </c>
      <c r="O232" s="189" t="s">
        <v>107</v>
      </c>
      <c r="P232" s="189" t="s">
        <v>111</v>
      </c>
      <c r="Q232" s="189" t="s">
        <v>247</v>
      </c>
      <c r="R232" s="189" t="s">
        <v>22</v>
      </c>
      <c r="S232" s="189" t="s">
        <v>152</v>
      </c>
      <c r="T232" s="189" t="s">
        <v>121</v>
      </c>
      <c r="U232" s="189" t="s">
        <v>122</v>
      </c>
      <c r="V232" s="189" t="s">
        <v>192</v>
      </c>
      <c r="W232" s="189" t="s">
        <v>124</v>
      </c>
      <c r="X232" s="189" t="s">
        <v>339</v>
      </c>
      <c r="Y232" s="189" t="s">
        <v>2113</v>
      </c>
      <c r="Z232" s="0" t="n">
        <v>1</v>
      </c>
      <c r="AA232" s="189" t="s">
        <v>2244</v>
      </c>
    </row>
    <row r="233" customFormat="false" ht="15" hidden="false" customHeight="true" outlineLevel="0" collapsed="false">
      <c r="A233" s="0" t="n">
        <v>48</v>
      </c>
      <c r="B233" s="188" t="n">
        <v>46042.9502432863</v>
      </c>
      <c r="C233" s="188" t="n">
        <v>46042.9622803233</v>
      </c>
      <c r="D233" s="189" t="s">
        <v>556</v>
      </c>
      <c r="E233" s="189" t="s">
        <v>557</v>
      </c>
      <c r="F233" s="189" t="s">
        <v>558</v>
      </c>
      <c r="G233" s="189" t="s">
        <v>559</v>
      </c>
      <c r="H233" s="188" t="n">
        <v>46029</v>
      </c>
      <c r="I233" s="189" t="s">
        <v>113</v>
      </c>
      <c r="J233" s="189" t="s">
        <v>128</v>
      </c>
      <c r="K233" s="189" t="s">
        <v>257</v>
      </c>
      <c r="L233" s="189" t="s">
        <v>246</v>
      </c>
      <c r="M233" s="189" t="s">
        <v>212</v>
      </c>
      <c r="N233" s="189" t="s">
        <v>560</v>
      </c>
      <c r="O233" s="189" t="s">
        <v>107</v>
      </c>
      <c r="P233" s="189" t="s">
        <v>111</v>
      </c>
      <c r="Q233" s="189" t="s">
        <v>112</v>
      </c>
      <c r="R233" s="189" t="s">
        <v>22</v>
      </c>
      <c r="S233" s="189" t="s">
        <v>120</v>
      </c>
      <c r="T233" s="189" t="s">
        <v>121</v>
      </c>
      <c r="U233" s="189" t="s">
        <v>562</v>
      </c>
      <c r="V233" s="189" t="s">
        <v>192</v>
      </c>
      <c r="W233" s="189" t="s">
        <v>124</v>
      </c>
      <c r="X233" s="189" t="s">
        <v>135</v>
      </c>
      <c r="Y233" s="189" t="s">
        <v>2108</v>
      </c>
      <c r="Z233" s="0" t="n">
        <v>1</v>
      </c>
      <c r="AA233" s="189" t="s">
        <v>2117</v>
      </c>
    </row>
    <row r="234" customFormat="false" ht="15" hidden="false" customHeight="true" outlineLevel="0" collapsed="false">
      <c r="A234" s="0" t="n">
        <v>48</v>
      </c>
      <c r="B234" s="188" t="n">
        <v>46042.9502432863</v>
      </c>
      <c r="C234" s="188" t="n">
        <v>46042.9622803233</v>
      </c>
      <c r="D234" s="189" t="s">
        <v>556</v>
      </c>
      <c r="E234" s="189" t="s">
        <v>557</v>
      </c>
      <c r="F234" s="189" t="s">
        <v>558</v>
      </c>
      <c r="G234" s="189" t="s">
        <v>559</v>
      </c>
      <c r="H234" s="188" t="n">
        <v>46029</v>
      </c>
      <c r="I234" s="189" t="s">
        <v>113</v>
      </c>
      <c r="J234" s="189" t="s">
        <v>128</v>
      </c>
      <c r="K234" s="189" t="s">
        <v>257</v>
      </c>
      <c r="L234" s="189" t="s">
        <v>246</v>
      </c>
      <c r="M234" s="189" t="s">
        <v>212</v>
      </c>
      <c r="N234" s="189" t="s">
        <v>560</v>
      </c>
      <c r="O234" s="189" t="s">
        <v>107</v>
      </c>
      <c r="P234" s="189" t="s">
        <v>111</v>
      </c>
      <c r="Q234" s="189" t="s">
        <v>112</v>
      </c>
      <c r="R234" s="189" t="s">
        <v>22</v>
      </c>
      <c r="S234" s="189" t="s">
        <v>120</v>
      </c>
      <c r="T234" s="189" t="s">
        <v>121</v>
      </c>
      <c r="U234" s="189" t="s">
        <v>562</v>
      </c>
      <c r="V234" s="189" t="s">
        <v>192</v>
      </c>
      <c r="W234" s="189" t="s">
        <v>124</v>
      </c>
      <c r="X234" s="189" t="s">
        <v>135</v>
      </c>
      <c r="Y234" s="189" t="s">
        <v>2108</v>
      </c>
      <c r="Z234" s="0" t="n">
        <v>2</v>
      </c>
      <c r="AA234" s="189" t="s">
        <v>2116</v>
      </c>
    </row>
    <row r="235" customFormat="false" ht="15" hidden="false" customHeight="true" outlineLevel="0" collapsed="false">
      <c r="A235" s="0" t="n">
        <v>48</v>
      </c>
      <c r="B235" s="188" t="n">
        <v>46042.9502432863</v>
      </c>
      <c r="C235" s="188" t="n">
        <v>46042.9622803233</v>
      </c>
      <c r="D235" s="189" t="s">
        <v>556</v>
      </c>
      <c r="E235" s="189" t="s">
        <v>557</v>
      </c>
      <c r="F235" s="189" t="s">
        <v>558</v>
      </c>
      <c r="G235" s="189" t="s">
        <v>559</v>
      </c>
      <c r="H235" s="188" t="n">
        <v>46029</v>
      </c>
      <c r="I235" s="189" t="s">
        <v>113</v>
      </c>
      <c r="J235" s="189" t="s">
        <v>128</v>
      </c>
      <c r="K235" s="189" t="s">
        <v>257</v>
      </c>
      <c r="L235" s="189" t="s">
        <v>246</v>
      </c>
      <c r="M235" s="189" t="s">
        <v>212</v>
      </c>
      <c r="N235" s="189" t="s">
        <v>560</v>
      </c>
      <c r="O235" s="189" t="s">
        <v>107</v>
      </c>
      <c r="P235" s="189" t="s">
        <v>111</v>
      </c>
      <c r="Q235" s="189" t="s">
        <v>112</v>
      </c>
      <c r="R235" s="189" t="s">
        <v>22</v>
      </c>
      <c r="S235" s="189" t="s">
        <v>120</v>
      </c>
      <c r="T235" s="189" t="s">
        <v>121</v>
      </c>
      <c r="U235" s="189" t="s">
        <v>562</v>
      </c>
      <c r="V235" s="189" t="s">
        <v>192</v>
      </c>
      <c r="W235" s="189" t="s">
        <v>124</v>
      </c>
      <c r="X235" s="189" t="s">
        <v>135</v>
      </c>
      <c r="Y235" s="189" t="s">
        <v>2110</v>
      </c>
      <c r="Z235" s="0" t="n">
        <v>1</v>
      </c>
      <c r="AA235" s="189" t="s">
        <v>2236</v>
      </c>
    </row>
    <row r="236" customFormat="false" ht="15" hidden="false" customHeight="true" outlineLevel="0" collapsed="false">
      <c r="A236" s="0" t="n">
        <v>48</v>
      </c>
      <c r="B236" s="188" t="n">
        <v>46042.9502432863</v>
      </c>
      <c r="C236" s="188" t="n">
        <v>46042.9622803233</v>
      </c>
      <c r="D236" s="189" t="s">
        <v>556</v>
      </c>
      <c r="E236" s="189" t="s">
        <v>557</v>
      </c>
      <c r="F236" s="189" t="s">
        <v>558</v>
      </c>
      <c r="G236" s="189" t="s">
        <v>559</v>
      </c>
      <c r="H236" s="188" t="n">
        <v>46029</v>
      </c>
      <c r="I236" s="189" t="s">
        <v>113</v>
      </c>
      <c r="J236" s="189" t="s">
        <v>128</v>
      </c>
      <c r="K236" s="189" t="s">
        <v>257</v>
      </c>
      <c r="L236" s="189" t="s">
        <v>246</v>
      </c>
      <c r="M236" s="189" t="s">
        <v>212</v>
      </c>
      <c r="N236" s="189" t="s">
        <v>560</v>
      </c>
      <c r="O236" s="189" t="s">
        <v>107</v>
      </c>
      <c r="P236" s="189" t="s">
        <v>111</v>
      </c>
      <c r="Q236" s="189" t="s">
        <v>112</v>
      </c>
      <c r="R236" s="189" t="s">
        <v>22</v>
      </c>
      <c r="S236" s="189" t="s">
        <v>120</v>
      </c>
      <c r="T236" s="189" t="s">
        <v>121</v>
      </c>
      <c r="U236" s="189" t="s">
        <v>562</v>
      </c>
      <c r="V236" s="189" t="s">
        <v>192</v>
      </c>
      <c r="W236" s="189" t="s">
        <v>124</v>
      </c>
      <c r="X236" s="189" t="s">
        <v>135</v>
      </c>
      <c r="Y236" s="189" t="s">
        <v>2113</v>
      </c>
      <c r="Z236" s="0" t="n">
        <v>1</v>
      </c>
      <c r="AA236" s="189" t="s">
        <v>2119</v>
      </c>
    </row>
    <row r="237" customFormat="false" ht="15" hidden="false" customHeight="true" outlineLevel="0" collapsed="false">
      <c r="A237" s="0" t="n">
        <v>49</v>
      </c>
      <c r="B237" s="188" t="n">
        <v>46048.4202085246</v>
      </c>
      <c r="C237" s="188" t="n">
        <v>46048.4345950987</v>
      </c>
      <c r="D237" s="189" t="s">
        <v>563</v>
      </c>
      <c r="E237" s="189" t="s">
        <v>564</v>
      </c>
      <c r="F237" s="189" t="s">
        <v>564</v>
      </c>
      <c r="G237" s="189" t="s">
        <v>565</v>
      </c>
      <c r="H237" s="188" t="n">
        <v>46035</v>
      </c>
      <c r="I237" s="189" t="s">
        <v>113</v>
      </c>
      <c r="J237" s="189" t="s">
        <v>108</v>
      </c>
      <c r="K237" s="189" t="s">
        <v>173</v>
      </c>
      <c r="L237" s="189" t="s">
        <v>184</v>
      </c>
      <c r="M237" s="189" t="s">
        <v>566</v>
      </c>
      <c r="N237" s="189" t="s">
        <v>567</v>
      </c>
      <c r="O237" s="189" t="s">
        <v>107</v>
      </c>
      <c r="P237" s="189" t="s">
        <v>111</v>
      </c>
      <c r="Q237" s="189" t="s">
        <v>145</v>
      </c>
      <c r="R237" s="189" t="s">
        <v>22</v>
      </c>
      <c r="S237" s="189" t="s">
        <v>152</v>
      </c>
      <c r="T237" s="189" t="s">
        <v>180</v>
      </c>
      <c r="U237" s="189" t="s">
        <v>122</v>
      </c>
      <c r="V237" s="189" t="s">
        <v>192</v>
      </c>
      <c r="W237" s="189" t="s">
        <v>124</v>
      </c>
      <c r="X237" s="189" t="s">
        <v>135</v>
      </c>
      <c r="Y237" s="189" t="s">
        <v>2108</v>
      </c>
      <c r="Z237" s="0" t="n">
        <v>1</v>
      </c>
      <c r="AA237" s="189" t="s">
        <v>2245</v>
      </c>
    </row>
    <row r="238" customFormat="false" ht="15" hidden="false" customHeight="true" outlineLevel="0" collapsed="false">
      <c r="A238" s="0" t="n">
        <v>49</v>
      </c>
      <c r="B238" s="188" t="n">
        <v>46048.4202085246</v>
      </c>
      <c r="C238" s="188" t="n">
        <v>46048.4345950987</v>
      </c>
      <c r="D238" s="189" t="s">
        <v>563</v>
      </c>
      <c r="E238" s="189" t="s">
        <v>564</v>
      </c>
      <c r="F238" s="189" t="s">
        <v>564</v>
      </c>
      <c r="G238" s="189" t="s">
        <v>565</v>
      </c>
      <c r="H238" s="188" t="n">
        <v>46035</v>
      </c>
      <c r="I238" s="189" t="s">
        <v>113</v>
      </c>
      <c r="J238" s="189" t="s">
        <v>108</v>
      </c>
      <c r="K238" s="189" t="s">
        <v>173</v>
      </c>
      <c r="L238" s="189" t="s">
        <v>184</v>
      </c>
      <c r="M238" s="189" t="s">
        <v>566</v>
      </c>
      <c r="N238" s="189" t="s">
        <v>567</v>
      </c>
      <c r="O238" s="189" t="s">
        <v>107</v>
      </c>
      <c r="P238" s="189" t="s">
        <v>111</v>
      </c>
      <c r="Q238" s="189" t="s">
        <v>145</v>
      </c>
      <c r="R238" s="189" t="s">
        <v>22</v>
      </c>
      <c r="S238" s="189" t="s">
        <v>152</v>
      </c>
      <c r="T238" s="189" t="s">
        <v>180</v>
      </c>
      <c r="U238" s="189" t="s">
        <v>122</v>
      </c>
      <c r="V238" s="189" t="s">
        <v>192</v>
      </c>
      <c r="W238" s="189" t="s">
        <v>124</v>
      </c>
      <c r="X238" s="189" t="s">
        <v>135</v>
      </c>
      <c r="Y238" s="189" t="s">
        <v>2108</v>
      </c>
      <c r="Z238" s="0" t="n">
        <v>2</v>
      </c>
      <c r="AA238" s="189" t="s">
        <v>2246</v>
      </c>
    </row>
    <row r="239" customFormat="false" ht="15" hidden="false" customHeight="true" outlineLevel="0" collapsed="false">
      <c r="A239" s="0" t="n">
        <v>49</v>
      </c>
      <c r="B239" s="188" t="n">
        <v>46048.4202085246</v>
      </c>
      <c r="C239" s="188" t="n">
        <v>46048.4345950987</v>
      </c>
      <c r="D239" s="189" t="s">
        <v>563</v>
      </c>
      <c r="E239" s="189" t="s">
        <v>564</v>
      </c>
      <c r="F239" s="189" t="s">
        <v>564</v>
      </c>
      <c r="G239" s="189" t="s">
        <v>565</v>
      </c>
      <c r="H239" s="188" t="n">
        <v>46035</v>
      </c>
      <c r="I239" s="189" t="s">
        <v>113</v>
      </c>
      <c r="J239" s="189" t="s">
        <v>108</v>
      </c>
      <c r="K239" s="189" t="s">
        <v>173</v>
      </c>
      <c r="L239" s="189" t="s">
        <v>184</v>
      </c>
      <c r="M239" s="189" t="s">
        <v>566</v>
      </c>
      <c r="N239" s="189" t="s">
        <v>567</v>
      </c>
      <c r="O239" s="189" t="s">
        <v>107</v>
      </c>
      <c r="P239" s="189" t="s">
        <v>111</v>
      </c>
      <c r="Q239" s="189" t="s">
        <v>145</v>
      </c>
      <c r="R239" s="189" t="s">
        <v>22</v>
      </c>
      <c r="S239" s="189" t="s">
        <v>152</v>
      </c>
      <c r="T239" s="189" t="s">
        <v>180</v>
      </c>
      <c r="U239" s="189" t="s">
        <v>122</v>
      </c>
      <c r="V239" s="189" t="s">
        <v>192</v>
      </c>
      <c r="W239" s="189" t="s">
        <v>124</v>
      </c>
      <c r="X239" s="189" t="s">
        <v>135</v>
      </c>
      <c r="Y239" s="189" t="s">
        <v>2108</v>
      </c>
      <c r="Z239" s="0" t="n">
        <v>3</v>
      </c>
      <c r="AA239" s="189" t="s">
        <v>2115</v>
      </c>
    </row>
    <row r="240" customFormat="false" ht="15" hidden="false" customHeight="true" outlineLevel="0" collapsed="false">
      <c r="A240" s="0" t="n">
        <v>49</v>
      </c>
      <c r="B240" s="188" t="n">
        <v>46048.4202085246</v>
      </c>
      <c r="C240" s="188" t="n">
        <v>46048.4345950987</v>
      </c>
      <c r="D240" s="189" t="s">
        <v>563</v>
      </c>
      <c r="E240" s="189" t="s">
        <v>564</v>
      </c>
      <c r="F240" s="189" t="s">
        <v>564</v>
      </c>
      <c r="G240" s="189" t="s">
        <v>565</v>
      </c>
      <c r="H240" s="188" t="n">
        <v>46035</v>
      </c>
      <c r="I240" s="189" t="s">
        <v>113</v>
      </c>
      <c r="J240" s="189" t="s">
        <v>108</v>
      </c>
      <c r="K240" s="189" t="s">
        <v>173</v>
      </c>
      <c r="L240" s="189" t="s">
        <v>184</v>
      </c>
      <c r="M240" s="189" t="s">
        <v>566</v>
      </c>
      <c r="N240" s="189" t="s">
        <v>567</v>
      </c>
      <c r="O240" s="189" t="s">
        <v>107</v>
      </c>
      <c r="P240" s="189" t="s">
        <v>111</v>
      </c>
      <c r="Q240" s="189" t="s">
        <v>145</v>
      </c>
      <c r="R240" s="189" t="s">
        <v>22</v>
      </c>
      <c r="S240" s="189" t="s">
        <v>152</v>
      </c>
      <c r="T240" s="189" t="s">
        <v>180</v>
      </c>
      <c r="U240" s="189" t="s">
        <v>122</v>
      </c>
      <c r="V240" s="189" t="s">
        <v>192</v>
      </c>
      <c r="W240" s="189" t="s">
        <v>124</v>
      </c>
      <c r="X240" s="189" t="s">
        <v>135</v>
      </c>
      <c r="Y240" s="189" t="s">
        <v>2110</v>
      </c>
      <c r="Z240" s="0" t="n">
        <v>1</v>
      </c>
      <c r="AA240" s="189" t="s">
        <v>122</v>
      </c>
    </row>
    <row r="241" customFormat="false" ht="15" hidden="false" customHeight="true" outlineLevel="0" collapsed="false">
      <c r="A241" s="0" t="n">
        <v>49</v>
      </c>
      <c r="B241" s="188" t="n">
        <v>46048.4202085246</v>
      </c>
      <c r="C241" s="188" t="n">
        <v>46048.4345950987</v>
      </c>
      <c r="D241" s="189" t="s">
        <v>563</v>
      </c>
      <c r="E241" s="189" t="s">
        <v>564</v>
      </c>
      <c r="F241" s="189" t="s">
        <v>564</v>
      </c>
      <c r="G241" s="189" t="s">
        <v>565</v>
      </c>
      <c r="H241" s="188" t="n">
        <v>46035</v>
      </c>
      <c r="I241" s="189" t="s">
        <v>113</v>
      </c>
      <c r="J241" s="189" t="s">
        <v>108</v>
      </c>
      <c r="K241" s="189" t="s">
        <v>173</v>
      </c>
      <c r="L241" s="189" t="s">
        <v>184</v>
      </c>
      <c r="M241" s="189" t="s">
        <v>566</v>
      </c>
      <c r="N241" s="189" t="s">
        <v>567</v>
      </c>
      <c r="O241" s="189" t="s">
        <v>107</v>
      </c>
      <c r="P241" s="189" t="s">
        <v>111</v>
      </c>
      <c r="Q241" s="189" t="s">
        <v>145</v>
      </c>
      <c r="R241" s="189" t="s">
        <v>22</v>
      </c>
      <c r="S241" s="189" t="s">
        <v>152</v>
      </c>
      <c r="T241" s="189" t="s">
        <v>180</v>
      </c>
      <c r="U241" s="189" t="s">
        <v>122</v>
      </c>
      <c r="V241" s="189" t="s">
        <v>192</v>
      </c>
      <c r="W241" s="189" t="s">
        <v>124</v>
      </c>
      <c r="X241" s="189" t="s">
        <v>135</v>
      </c>
      <c r="Y241" s="189" t="s">
        <v>2113</v>
      </c>
      <c r="Z241" s="0" t="n">
        <v>1</v>
      </c>
      <c r="AA241" s="189" t="s">
        <v>2247</v>
      </c>
    </row>
    <row r="242" customFormat="false" ht="15" hidden="false" customHeight="true" outlineLevel="0" collapsed="false">
      <c r="A242" s="0" t="n">
        <v>49</v>
      </c>
      <c r="B242" s="188" t="n">
        <v>46048.4202085246</v>
      </c>
      <c r="C242" s="188" t="n">
        <v>46048.4345950987</v>
      </c>
      <c r="D242" s="189" t="s">
        <v>563</v>
      </c>
      <c r="E242" s="189" t="s">
        <v>564</v>
      </c>
      <c r="F242" s="189" t="s">
        <v>564</v>
      </c>
      <c r="G242" s="189" t="s">
        <v>565</v>
      </c>
      <c r="H242" s="188" t="n">
        <v>46035</v>
      </c>
      <c r="I242" s="189" t="s">
        <v>113</v>
      </c>
      <c r="J242" s="189" t="s">
        <v>108</v>
      </c>
      <c r="K242" s="189" t="s">
        <v>173</v>
      </c>
      <c r="L242" s="189" t="s">
        <v>184</v>
      </c>
      <c r="M242" s="189" t="s">
        <v>566</v>
      </c>
      <c r="N242" s="189" t="s">
        <v>567</v>
      </c>
      <c r="O242" s="189" t="s">
        <v>107</v>
      </c>
      <c r="P242" s="189" t="s">
        <v>111</v>
      </c>
      <c r="Q242" s="189" t="s">
        <v>145</v>
      </c>
      <c r="R242" s="189" t="s">
        <v>22</v>
      </c>
      <c r="S242" s="189" t="s">
        <v>152</v>
      </c>
      <c r="T242" s="189" t="s">
        <v>180</v>
      </c>
      <c r="U242" s="189" t="s">
        <v>122</v>
      </c>
      <c r="V242" s="189" t="s">
        <v>192</v>
      </c>
      <c r="W242" s="189" t="s">
        <v>124</v>
      </c>
      <c r="X242" s="189" t="s">
        <v>135</v>
      </c>
      <c r="Y242" s="189" t="s">
        <v>2113</v>
      </c>
      <c r="Z242" s="0" t="n">
        <v>2</v>
      </c>
      <c r="AA242" s="189" t="s">
        <v>2196</v>
      </c>
    </row>
    <row r="243" customFormat="false" ht="15" hidden="false" customHeight="true" outlineLevel="0" collapsed="false">
      <c r="A243" s="0" t="n">
        <v>51</v>
      </c>
      <c r="B243" s="188" t="n">
        <v>46205.6583890307</v>
      </c>
      <c r="C243" s="188" t="n">
        <v>46205.6612709752</v>
      </c>
      <c r="D243" s="189" t="s">
        <v>574</v>
      </c>
      <c r="E243" s="189" t="s">
        <v>575</v>
      </c>
      <c r="F243" s="189" t="s">
        <v>575</v>
      </c>
      <c r="G243" s="189" t="s">
        <v>576</v>
      </c>
      <c r="H243" s="188" t="n">
        <v>46191</v>
      </c>
      <c r="I243" s="189" t="s">
        <v>577</v>
      </c>
      <c r="J243" s="189" t="s">
        <v>108</v>
      </c>
      <c r="K243" s="189" t="s">
        <v>173</v>
      </c>
      <c r="L243" s="189" t="s">
        <v>144</v>
      </c>
      <c r="M243" s="189" t="s">
        <v>578</v>
      </c>
      <c r="N243" s="189" t="s">
        <v>287</v>
      </c>
      <c r="O243" s="189" t="s">
        <v>107</v>
      </c>
      <c r="P243" s="189" t="s">
        <v>211</v>
      </c>
      <c r="Q243" s="189" t="s">
        <v>112</v>
      </c>
      <c r="R243" s="189" t="s">
        <v>22</v>
      </c>
      <c r="S243" s="189" t="s">
        <v>152</v>
      </c>
      <c r="T243" s="189" t="s">
        <v>121</v>
      </c>
      <c r="U243" s="189" t="s">
        <v>122</v>
      </c>
      <c r="V243" s="189" t="s">
        <v>123</v>
      </c>
      <c r="W243" s="189" t="s">
        <v>124</v>
      </c>
      <c r="X243" s="189" t="s">
        <v>176</v>
      </c>
      <c r="Y243" s="189" t="s">
        <v>2108</v>
      </c>
      <c r="Z243" s="0" t="n">
        <v>1</v>
      </c>
      <c r="AA243" s="189" t="s">
        <v>2130</v>
      </c>
    </row>
    <row r="244" customFormat="false" ht="15" hidden="false" customHeight="true" outlineLevel="0" collapsed="false">
      <c r="A244" s="0" t="n">
        <v>51</v>
      </c>
      <c r="B244" s="188" t="n">
        <v>46205.6583890307</v>
      </c>
      <c r="C244" s="188" t="n">
        <v>46205.6612709752</v>
      </c>
      <c r="D244" s="189" t="s">
        <v>574</v>
      </c>
      <c r="E244" s="189" t="s">
        <v>575</v>
      </c>
      <c r="F244" s="189" t="s">
        <v>575</v>
      </c>
      <c r="G244" s="189" t="s">
        <v>576</v>
      </c>
      <c r="H244" s="188" t="n">
        <v>46191</v>
      </c>
      <c r="I244" s="189" t="s">
        <v>577</v>
      </c>
      <c r="J244" s="189" t="s">
        <v>108</v>
      </c>
      <c r="K244" s="189" t="s">
        <v>173</v>
      </c>
      <c r="L244" s="189" t="s">
        <v>144</v>
      </c>
      <c r="M244" s="189" t="s">
        <v>578</v>
      </c>
      <c r="N244" s="189" t="s">
        <v>287</v>
      </c>
      <c r="O244" s="189" t="s">
        <v>107</v>
      </c>
      <c r="P244" s="189" t="s">
        <v>211</v>
      </c>
      <c r="Q244" s="189" t="s">
        <v>112</v>
      </c>
      <c r="R244" s="189" t="s">
        <v>22</v>
      </c>
      <c r="S244" s="189" t="s">
        <v>152</v>
      </c>
      <c r="T244" s="189" t="s">
        <v>121</v>
      </c>
      <c r="U244" s="189" t="s">
        <v>122</v>
      </c>
      <c r="V244" s="189" t="s">
        <v>123</v>
      </c>
      <c r="W244" s="189" t="s">
        <v>124</v>
      </c>
      <c r="X244" s="189" t="s">
        <v>176</v>
      </c>
      <c r="Y244" s="189" t="s">
        <v>2108</v>
      </c>
      <c r="Z244" s="0" t="n">
        <v>2</v>
      </c>
      <c r="AA244" s="189" t="s">
        <v>2248</v>
      </c>
    </row>
    <row r="245" customFormat="false" ht="15" hidden="false" customHeight="true" outlineLevel="0" collapsed="false">
      <c r="A245" s="0" t="n">
        <v>51</v>
      </c>
      <c r="B245" s="188" t="n">
        <v>46205.6583890307</v>
      </c>
      <c r="C245" s="188" t="n">
        <v>46205.6612709752</v>
      </c>
      <c r="D245" s="189" t="s">
        <v>574</v>
      </c>
      <c r="E245" s="189" t="s">
        <v>575</v>
      </c>
      <c r="F245" s="189" t="s">
        <v>575</v>
      </c>
      <c r="G245" s="189" t="s">
        <v>576</v>
      </c>
      <c r="H245" s="188" t="n">
        <v>46191</v>
      </c>
      <c r="I245" s="189" t="s">
        <v>577</v>
      </c>
      <c r="J245" s="189" t="s">
        <v>108</v>
      </c>
      <c r="K245" s="189" t="s">
        <v>173</v>
      </c>
      <c r="L245" s="189" t="s">
        <v>144</v>
      </c>
      <c r="M245" s="189" t="s">
        <v>578</v>
      </c>
      <c r="N245" s="189" t="s">
        <v>287</v>
      </c>
      <c r="O245" s="189" t="s">
        <v>107</v>
      </c>
      <c r="P245" s="189" t="s">
        <v>211</v>
      </c>
      <c r="Q245" s="189" t="s">
        <v>112</v>
      </c>
      <c r="R245" s="189" t="s">
        <v>22</v>
      </c>
      <c r="S245" s="189" t="s">
        <v>152</v>
      </c>
      <c r="T245" s="189" t="s">
        <v>121</v>
      </c>
      <c r="U245" s="189" t="s">
        <v>122</v>
      </c>
      <c r="V245" s="189" t="s">
        <v>123</v>
      </c>
      <c r="W245" s="189" t="s">
        <v>124</v>
      </c>
      <c r="X245" s="189" t="s">
        <v>176</v>
      </c>
      <c r="Y245" s="189" t="s">
        <v>2110</v>
      </c>
      <c r="Z245" s="0" t="n">
        <v>1</v>
      </c>
      <c r="AA245" s="189" t="s">
        <v>2249</v>
      </c>
    </row>
    <row r="246" customFormat="false" ht="15" hidden="false" customHeight="true" outlineLevel="0" collapsed="false">
      <c r="A246" s="0" t="n">
        <v>51</v>
      </c>
      <c r="B246" s="188" t="n">
        <v>46205.6583890307</v>
      </c>
      <c r="C246" s="188" t="n">
        <v>46205.6612709752</v>
      </c>
      <c r="D246" s="189" t="s">
        <v>574</v>
      </c>
      <c r="E246" s="189" t="s">
        <v>575</v>
      </c>
      <c r="F246" s="189" t="s">
        <v>575</v>
      </c>
      <c r="G246" s="189" t="s">
        <v>576</v>
      </c>
      <c r="H246" s="188" t="n">
        <v>46191</v>
      </c>
      <c r="I246" s="189" t="s">
        <v>577</v>
      </c>
      <c r="J246" s="189" t="s">
        <v>108</v>
      </c>
      <c r="K246" s="189" t="s">
        <v>173</v>
      </c>
      <c r="L246" s="189" t="s">
        <v>144</v>
      </c>
      <c r="M246" s="189" t="s">
        <v>578</v>
      </c>
      <c r="N246" s="189" t="s">
        <v>287</v>
      </c>
      <c r="O246" s="189" t="s">
        <v>107</v>
      </c>
      <c r="P246" s="189" t="s">
        <v>211</v>
      </c>
      <c r="Q246" s="189" t="s">
        <v>112</v>
      </c>
      <c r="R246" s="189" t="s">
        <v>22</v>
      </c>
      <c r="S246" s="189" t="s">
        <v>152</v>
      </c>
      <c r="T246" s="189" t="s">
        <v>121</v>
      </c>
      <c r="U246" s="189" t="s">
        <v>122</v>
      </c>
      <c r="V246" s="189" t="s">
        <v>123</v>
      </c>
      <c r="W246" s="189" t="s">
        <v>124</v>
      </c>
      <c r="X246" s="189" t="s">
        <v>176</v>
      </c>
      <c r="Y246" s="189" t="s">
        <v>2113</v>
      </c>
      <c r="Z246" s="0" t="n">
        <v>1</v>
      </c>
      <c r="AA246" s="189" t="s">
        <v>2250</v>
      </c>
    </row>
    <row r="247" customFormat="false" ht="15" hidden="false" customHeight="true" outlineLevel="0" collapsed="false">
      <c r="A247" s="0" t="n">
        <v>51</v>
      </c>
      <c r="B247" s="188" t="n">
        <v>46205.6583890307</v>
      </c>
      <c r="C247" s="188" t="n">
        <v>46205.6612709752</v>
      </c>
      <c r="D247" s="189" t="s">
        <v>574</v>
      </c>
      <c r="E247" s="189" t="s">
        <v>575</v>
      </c>
      <c r="F247" s="189" t="s">
        <v>575</v>
      </c>
      <c r="G247" s="189" t="s">
        <v>576</v>
      </c>
      <c r="H247" s="188" t="n">
        <v>46191</v>
      </c>
      <c r="I247" s="189" t="s">
        <v>577</v>
      </c>
      <c r="J247" s="189" t="s">
        <v>108</v>
      </c>
      <c r="K247" s="189" t="s">
        <v>173</v>
      </c>
      <c r="L247" s="189" t="s">
        <v>144</v>
      </c>
      <c r="M247" s="189" t="s">
        <v>578</v>
      </c>
      <c r="N247" s="189" t="s">
        <v>287</v>
      </c>
      <c r="O247" s="189" t="s">
        <v>107</v>
      </c>
      <c r="P247" s="189" t="s">
        <v>211</v>
      </c>
      <c r="Q247" s="189" t="s">
        <v>112</v>
      </c>
      <c r="R247" s="189" t="s">
        <v>22</v>
      </c>
      <c r="S247" s="189" t="s">
        <v>152</v>
      </c>
      <c r="T247" s="189" t="s">
        <v>121</v>
      </c>
      <c r="U247" s="189" t="s">
        <v>122</v>
      </c>
      <c r="V247" s="189" t="s">
        <v>123</v>
      </c>
      <c r="W247" s="189" t="s">
        <v>124</v>
      </c>
      <c r="X247" s="189" t="s">
        <v>176</v>
      </c>
      <c r="Y247" s="189" t="s">
        <v>2113</v>
      </c>
      <c r="Z247" s="0" t="n">
        <v>2</v>
      </c>
      <c r="AA247" s="189" t="s">
        <v>122</v>
      </c>
    </row>
    <row r="248" customFormat="false" ht="15" hidden="false" customHeight="true" outlineLevel="0" collapsed="false">
      <c r="A248" s="0" t="n">
        <v>52</v>
      </c>
      <c r="B248" s="188" t="n">
        <v>46110.315195436</v>
      </c>
      <c r="C248" s="188" t="n">
        <v>46110.3229037693</v>
      </c>
      <c r="D248" s="189" t="s">
        <v>582</v>
      </c>
      <c r="E248" s="189" t="s">
        <v>583</v>
      </c>
      <c r="F248" s="189" t="s">
        <v>584</v>
      </c>
      <c r="G248" s="189" t="s">
        <v>585</v>
      </c>
      <c r="H248" s="188" t="n">
        <v>46097</v>
      </c>
      <c r="I248" s="189" t="s">
        <v>113</v>
      </c>
      <c r="J248" s="189" t="s">
        <v>108</v>
      </c>
      <c r="K248" s="189" t="s">
        <v>232</v>
      </c>
      <c r="L248" s="189" t="s">
        <v>144</v>
      </c>
      <c r="M248" s="189" t="s">
        <v>130</v>
      </c>
      <c r="N248" s="189" t="s">
        <v>586</v>
      </c>
      <c r="O248" s="189" t="s">
        <v>107</v>
      </c>
      <c r="P248" s="189" t="s">
        <v>111</v>
      </c>
      <c r="Q248" s="189" t="s">
        <v>112</v>
      </c>
      <c r="R248" s="189" t="s">
        <v>22</v>
      </c>
      <c r="S248" s="189" t="s">
        <v>152</v>
      </c>
      <c r="T248" s="189" t="s">
        <v>590</v>
      </c>
      <c r="U248" s="189" t="s">
        <v>204</v>
      </c>
      <c r="V248" s="189" t="s">
        <v>192</v>
      </c>
      <c r="W248" s="189" t="s">
        <v>124</v>
      </c>
      <c r="X248" s="189" t="s">
        <v>298</v>
      </c>
      <c r="Y248" s="189" t="s">
        <v>2108</v>
      </c>
      <c r="Z248" s="0" t="n">
        <v>1</v>
      </c>
      <c r="AA248" s="189" t="s">
        <v>2167</v>
      </c>
    </row>
    <row r="249" customFormat="false" ht="15" hidden="false" customHeight="true" outlineLevel="0" collapsed="false">
      <c r="A249" s="0" t="n">
        <v>52</v>
      </c>
      <c r="B249" s="188" t="n">
        <v>46110.315195436</v>
      </c>
      <c r="C249" s="188" t="n">
        <v>46110.3229037693</v>
      </c>
      <c r="D249" s="189" t="s">
        <v>582</v>
      </c>
      <c r="E249" s="189" t="s">
        <v>583</v>
      </c>
      <c r="F249" s="189" t="s">
        <v>584</v>
      </c>
      <c r="G249" s="189" t="s">
        <v>585</v>
      </c>
      <c r="H249" s="188" t="n">
        <v>46097</v>
      </c>
      <c r="I249" s="189" t="s">
        <v>113</v>
      </c>
      <c r="J249" s="189" t="s">
        <v>108</v>
      </c>
      <c r="K249" s="189" t="s">
        <v>232</v>
      </c>
      <c r="L249" s="189" t="s">
        <v>144</v>
      </c>
      <c r="M249" s="189" t="s">
        <v>130</v>
      </c>
      <c r="N249" s="189" t="s">
        <v>586</v>
      </c>
      <c r="O249" s="189" t="s">
        <v>107</v>
      </c>
      <c r="P249" s="189" t="s">
        <v>111</v>
      </c>
      <c r="Q249" s="189" t="s">
        <v>112</v>
      </c>
      <c r="R249" s="189" t="s">
        <v>22</v>
      </c>
      <c r="S249" s="189" t="s">
        <v>152</v>
      </c>
      <c r="T249" s="189" t="s">
        <v>590</v>
      </c>
      <c r="U249" s="189" t="s">
        <v>204</v>
      </c>
      <c r="V249" s="189" t="s">
        <v>192</v>
      </c>
      <c r="W249" s="189" t="s">
        <v>124</v>
      </c>
      <c r="X249" s="189" t="s">
        <v>298</v>
      </c>
      <c r="Y249" s="189" t="s">
        <v>2108</v>
      </c>
      <c r="Z249" s="0" t="n">
        <v>2</v>
      </c>
      <c r="AA249" s="189" t="s">
        <v>2251</v>
      </c>
    </row>
    <row r="250" customFormat="false" ht="15" hidden="false" customHeight="true" outlineLevel="0" collapsed="false">
      <c r="A250" s="0" t="n">
        <v>52</v>
      </c>
      <c r="B250" s="188" t="n">
        <v>46110.315195436</v>
      </c>
      <c r="C250" s="188" t="n">
        <v>46110.3229037693</v>
      </c>
      <c r="D250" s="189" t="s">
        <v>582</v>
      </c>
      <c r="E250" s="189" t="s">
        <v>583</v>
      </c>
      <c r="F250" s="189" t="s">
        <v>584</v>
      </c>
      <c r="G250" s="189" t="s">
        <v>585</v>
      </c>
      <c r="H250" s="188" t="n">
        <v>46097</v>
      </c>
      <c r="I250" s="189" t="s">
        <v>113</v>
      </c>
      <c r="J250" s="189" t="s">
        <v>108</v>
      </c>
      <c r="K250" s="189" t="s">
        <v>232</v>
      </c>
      <c r="L250" s="189" t="s">
        <v>144</v>
      </c>
      <c r="M250" s="189" t="s">
        <v>130</v>
      </c>
      <c r="N250" s="189" t="s">
        <v>586</v>
      </c>
      <c r="O250" s="189" t="s">
        <v>107</v>
      </c>
      <c r="P250" s="189" t="s">
        <v>111</v>
      </c>
      <c r="Q250" s="189" t="s">
        <v>112</v>
      </c>
      <c r="R250" s="189" t="s">
        <v>22</v>
      </c>
      <c r="S250" s="189" t="s">
        <v>152</v>
      </c>
      <c r="T250" s="189" t="s">
        <v>590</v>
      </c>
      <c r="U250" s="189" t="s">
        <v>204</v>
      </c>
      <c r="V250" s="189" t="s">
        <v>192</v>
      </c>
      <c r="W250" s="189" t="s">
        <v>124</v>
      </c>
      <c r="X250" s="189" t="s">
        <v>298</v>
      </c>
      <c r="Y250" s="189" t="s">
        <v>2108</v>
      </c>
      <c r="Z250" s="0" t="n">
        <v>3</v>
      </c>
      <c r="AA250" s="189" t="s">
        <v>2252</v>
      </c>
    </row>
    <row r="251" customFormat="false" ht="15" hidden="false" customHeight="true" outlineLevel="0" collapsed="false">
      <c r="A251" s="0" t="n">
        <v>52</v>
      </c>
      <c r="B251" s="188" t="n">
        <v>46110.315195436</v>
      </c>
      <c r="C251" s="188" t="n">
        <v>46110.3229037693</v>
      </c>
      <c r="D251" s="189" t="s">
        <v>582</v>
      </c>
      <c r="E251" s="189" t="s">
        <v>583</v>
      </c>
      <c r="F251" s="189" t="s">
        <v>584</v>
      </c>
      <c r="G251" s="189" t="s">
        <v>585</v>
      </c>
      <c r="H251" s="188" t="n">
        <v>46097</v>
      </c>
      <c r="I251" s="189" t="s">
        <v>113</v>
      </c>
      <c r="J251" s="189" t="s">
        <v>108</v>
      </c>
      <c r="K251" s="189" t="s">
        <v>232</v>
      </c>
      <c r="L251" s="189" t="s">
        <v>144</v>
      </c>
      <c r="M251" s="189" t="s">
        <v>130</v>
      </c>
      <c r="N251" s="189" t="s">
        <v>586</v>
      </c>
      <c r="O251" s="189" t="s">
        <v>107</v>
      </c>
      <c r="P251" s="189" t="s">
        <v>111</v>
      </c>
      <c r="Q251" s="189" t="s">
        <v>112</v>
      </c>
      <c r="R251" s="189" t="s">
        <v>22</v>
      </c>
      <c r="S251" s="189" t="s">
        <v>152</v>
      </c>
      <c r="T251" s="189" t="s">
        <v>590</v>
      </c>
      <c r="U251" s="189" t="s">
        <v>204</v>
      </c>
      <c r="V251" s="189" t="s">
        <v>192</v>
      </c>
      <c r="W251" s="189" t="s">
        <v>124</v>
      </c>
      <c r="X251" s="189" t="s">
        <v>298</v>
      </c>
      <c r="Y251" s="189" t="s">
        <v>2110</v>
      </c>
      <c r="Z251" s="0" t="n">
        <v>1</v>
      </c>
      <c r="AA251" s="189" t="s">
        <v>2253</v>
      </c>
    </row>
    <row r="252" customFormat="false" ht="15" hidden="false" customHeight="true" outlineLevel="0" collapsed="false">
      <c r="A252" s="0" t="n">
        <v>52</v>
      </c>
      <c r="B252" s="188" t="n">
        <v>46110.315195436</v>
      </c>
      <c r="C252" s="188" t="n">
        <v>46110.3229037693</v>
      </c>
      <c r="D252" s="189" t="s">
        <v>582</v>
      </c>
      <c r="E252" s="189" t="s">
        <v>583</v>
      </c>
      <c r="F252" s="189" t="s">
        <v>584</v>
      </c>
      <c r="G252" s="189" t="s">
        <v>585</v>
      </c>
      <c r="H252" s="188" t="n">
        <v>46097</v>
      </c>
      <c r="I252" s="189" t="s">
        <v>113</v>
      </c>
      <c r="J252" s="189" t="s">
        <v>108</v>
      </c>
      <c r="K252" s="189" t="s">
        <v>232</v>
      </c>
      <c r="L252" s="189" t="s">
        <v>144</v>
      </c>
      <c r="M252" s="189" t="s">
        <v>130</v>
      </c>
      <c r="N252" s="189" t="s">
        <v>586</v>
      </c>
      <c r="O252" s="189" t="s">
        <v>107</v>
      </c>
      <c r="P252" s="189" t="s">
        <v>111</v>
      </c>
      <c r="Q252" s="189" t="s">
        <v>112</v>
      </c>
      <c r="R252" s="189" t="s">
        <v>22</v>
      </c>
      <c r="S252" s="189" t="s">
        <v>152</v>
      </c>
      <c r="T252" s="189" t="s">
        <v>590</v>
      </c>
      <c r="U252" s="189" t="s">
        <v>204</v>
      </c>
      <c r="V252" s="189" t="s">
        <v>192</v>
      </c>
      <c r="W252" s="189" t="s">
        <v>124</v>
      </c>
      <c r="X252" s="189" t="s">
        <v>298</v>
      </c>
      <c r="Y252" s="189" t="s">
        <v>2113</v>
      </c>
      <c r="Z252" s="0" t="n">
        <v>1</v>
      </c>
      <c r="AA252" s="189" t="s">
        <v>122</v>
      </c>
    </row>
    <row r="253" customFormat="false" ht="15" hidden="false" customHeight="true" outlineLevel="0" collapsed="false">
      <c r="A253" s="0" t="n">
        <v>52</v>
      </c>
      <c r="B253" s="188" t="n">
        <v>46110.315195436</v>
      </c>
      <c r="C253" s="188" t="n">
        <v>46110.3229037693</v>
      </c>
      <c r="D253" s="189" t="s">
        <v>582</v>
      </c>
      <c r="E253" s="189" t="s">
        <v>583</v>
      </c>
      <c r="F253" s="189" t="s">
        <v>584</v>
      </c>
      <c r="G253" s="189" t="s">
        <v>585</v>
      </c>
      <c r="H253" s="188" t="n">
        <v>46097</v>
      </c>
      <c r="I253" s="189" t="s">
        <v>113</v>
      </c>
      <c r="J253" s="189" t="s">
        <v>108</v>
      </c>
      <c r="K253" s="189" t="s">
        <v>232</v>
      </c>
      <c r="L253" s="189" t="s">
        <v>144</v>
      </c>
      <c r="M253" s="189" t="s">
        <v>130</v>
      </c>
      <c r="N253" s="189" t="s">
        <v>586</v>
      </c>
      <c r="O253" s="189" t="s">
        <v>107</v>
      </c>
      <c r="P253" s="189" t="s">
        <v>111</v>
      </c>
      <c r="Q253" s="189" t="s">
        <v>112</v>
      </c>
      <c r="R253" s="189" t="s">
        <v>22</v>
      </c>
      <c r="S253" s="189" t="s">
        <v>152</v>
      </c>
      <c r="T253" s="189" t="s">
        <v>590</v>
      </c>
      <c r="U253" s="189" t="s">
        <v>204</v>
      </c>
      <c r="V253" s="189" t="s">
        <v>192</v>
      </c>
      <c r="W253" s="189" t="s">
        <v>124</v>
      </c>
      <c r="X253" s="189" t="s">
        <v>298</v>
      </c>
      <c r="Y253" s="189" t="s">
        <v>2113</v>
      </c>
      <c r="Z253" s="0" t="n">
        <v>2</v>
      </c>
      <c r="AA253" s="189" t="s">
        <v>2254</v>
      </c>
    </row>
    <row r="254" customFormat="false" ht="15" hidden="false" customHeight="true" outlineLevel="0" collapsed="false">
      <c r="A254" s="0" t="n">
        <v>53</v>
      </c>
      <c r="B254" s="188" t="n">
        <v>46106.0370966452</v>
      </c>
      <c r="C254" s="188" t="n">
        <v>46106.0392147008</v>
      </c>
      <c r="D254" s="189" t="s">
        <v>591</v>
      </c>
      <c r="E254" s="189" t="s">
        <v>592</v>
      </c>
      <c r="F254" s="189" t="s">
        <v>592</v>
      </c>
      <c r="G254" s="189" t="s">
        <v>593</v>
      </c>
      <c r="H254" s="188" t="n">
        <v>46092</v>
      </c>
      <c r="I254" s="189" t="s">
        <v>113</v>
      </c>
      <c r="J254" s="189" t="s">
        <v>108</v>
      </c>
      <c r="K254" s="189" t="s">
        <v>257</v>
      </c>
      <c r="L254" s="189" t="s">
        <v>491</v>
      </c>
      <c r="M254" s="189" t="s">
        <v>594</v>
      </c>
      <c r="N254" s="189" t="s">
        <v>595</v>
      </c>
      <c r="O254" s="189" t="s">
        <v>107</v>
      </c>
      <c r="P254" s="189" t="s">
        <v>111</v>
      </c>
      <c r="Q254" s="189" t="s">
        <v>112</v>
      </c>
      <c r="R254" s="189" t="s">
        <v>24</v>
      </c>
      <c r="S254" s="189" t="s">
        <v>152</v>
      </c>
      <c r="T254" s="189" t="s">
        <v>121</v>
      </c>
      <c r="U254" s="189" t="s">
        <v>122</v>
      </c>
      <c r="V254" s="189" t="s">
        <v>123</v>
      </c>
      <c r="W254" s="189" t="s">
        <v>168</v>
      </c>
      <c r="X254" s="189" t="s">
        <v>448</v>
      </c>
      <c r="Y254" s="189" t="s">
        <v>2108</v>
      </c>
      <c r="Z254" s="0" t="n">
        <v>1</v>
      </c>
      <c r="AA254" s="189" t="s">
        <v>2219</v>
      </c>
    </row>
    <row r="255" customFormat="false" ht="15" hidden="false" customHeight="true" outlineLevel="0" collapsed="false">
      <c r="A255" s="0" t="n">
        <v>53</v>
      </c>
      <c r="B255" s="188" t="n">
        <v>46106.0370966452</v>
      </c>
      <c r="C255" s="188" t="n">
        <v>46106.0392147008</v>
      </c>
      <c r="D255" s="189" t="s">
        <v>591</v>
      </c>
      <c r="E255" s="189" t="s">
        <v>592</v>
      </c>
      <c r="F255" s="189" t="s">
        <v>592</v>
      </c>
      <c r="G255" s="189" t="s">
        <v>593</v>
      </c>
      <c r="H255" s="188" t="n">
        <v>46092</v>
      </c>
      <c r="I255" s="189" t="s">
        <v>113</v>
      </c>
      <c r="J255" s="189" t="s">
        <v>108</v>
      </c>
      <c r="K255" s="189" t="s">
        <v>257</v>
      </c>
      <c r="L255" s="189" t="s">
        <v>491</v>
      </c>
      <c r="M255" s="189" t="s">
        <v>594</v>
      </c>
      <c r="N255" s="189" t="s">
        <v>595</v>
      </c>
      <c r="O255" s="189" t="s">
        <v>107</v>
      </c>
      <c r="P255" s="189" t="s">
        <v>111</v>
      </c>
      <c r="Q255" s="189" t="s">
        <v>112</v>
      </c>
      <c r="R255" s="189" t="s">
        <v>24</v>
      </c>
      <c r="S255" s="189" t="s">
        <v>152</v>
      </c>
      <c r="T255" s="189" t="s">
        <v>121</v>
      </c>
      <c r="U255" s="189" t="s">
        <v>122</v>
      </c>
      <c r="V255" s="189" t="s">
        <v>123</v>
      </c>
      <c r="W255" s="189" t="s">
        <v>168</v>
      </c>
      <c r="X255" s="189" t="s">
        <v>448</v>
      </c>
      <c r="Y255" s="189" t="s">
        <v>2108</v>
      </c>
      <c r="Z255" s="0" t="n">
        <v>2</v>
      </c>
      <c r="AA255" s="189" t="s">
        <v>2233</v>
      </c>
    </row>
    <row r="256" customFormat="false" ht="15" hidden="false" customHeight="true" outlineLevel="0" collapsed="false">
      <c r="A256" s="0" t="n">
        <v>53</v>
      </c>
      <c r="B256" s="188" t="n">
        <v>46106.0370966452</v>
      </c>
      <c r="C256" s="188" t="n">
        <v>46106.0392147008</v>
      </c>
      <c r="D256" s="189" t="s">
        <v>591</v>
      </c>
      <c r="E256" s="189" t="s">
        <v>592</v>
      </c>
      <c r="F256" s="189" t="s">
        <v>592</v>
      </c>
      <c r="G256" s="189" t="s">
        <v>593</v>
      </c>
      <c r="H256" s="188" t="n">
        <v>46092</v>
      </c>
      <c r="I256" s="189" t="s">
        <v>113</v>
      </c>
      <c r="J256" s="189" t="s">
        <v>108</v>
      </c>
      <c r="K256" s="189" t="s">
        <v>257</v>
      </c>
      <c r="L256" s="189" t="s">
        <v>491</v>
      </c>
      <c r="M256" s="189" t="s">
        <v>594</v>
      </c>
      <c r="N256" s="189" t="s">
        <v>595</v>
      </c>
      <c r="O256" s="189" t="s">
        <v>107</v>
      </c>
      <c r="P256" s="189" t="s">
        <v>111</v>
      </c>
      <c r="Q256" s="189" t="s">
        <v>112</v>
      </c>
      <c r="R256" s="189" t="s">
        <v>24</v>
      </c>
      <c r="S256" s="189" t="s">
        <v>152</v>
      </c>
      <c r="T256" s="189" t="s">
        <v>121</v>
      </c>
      <c r="U256" s="189" t="s">
        <v>122</v>
      </c>
      <c r="V256" s="189" t="s">
        <v>123</v>
      </c>
      <c r="W256" s="189" t="s">
        <v>168</v>
      </c>
      <c r="X256" s="189" t="s">
        <v>448</v>
      </c>
      <c r="Y256" s="189" t="s">
        <v>2110</v>
      </c>
      <c r="Z256" s="0" t="n">
        <v>1</v>
      </c>
      <c r="AA256" s="189" t="s">
        <v>2220</v>
      </c>
    </row>
    <row r="257" customFormat="false" ht="15" hidden="false" customHeight="true" outlineLevel="0" collapsed="false">
      <c r="A257" s="0" t="n">
        <v>53</v>
      </c>
      <c r="B257" s="188" t="n">
        <v>46106.0370966452</v>
      </c>
      <c r="C257" s="188" t="n">
        <v>46106.0392147008</v>
      </c>
      <c r="D257" s="189" t="s">
        <v>591</v>
      </c>
      <c r="E257" s="189" t="s">
        <v>592</v>
      </c>
      <c r="F257" s="189" t="s">
        <v>592</v>
      </c>
      <c r="G257" s="189" t="s">
        <v>593</v>
      </c>
      <c r="H257" s="188" t="n">
        <v>46092</v>
      </c>
      <c r="I257" s="189" t="s">
        <v>113</v>
      </c>
      <c r="J257" s="189" t="s">
        <v>108</v>
      </c>
      <c r="K257" s="189" t="s">
        <v>257</v>
      </c>
      <c r="L257" s="189" t="s">
        <v>491</v>
      </c>
      <c r="M257" s="189" t="s">
        <v>594</v>
      </c>
      <c r="N257" s="189" t="s">
        <v>595</v>
      </c>
      <c r="O257" s="189" t="s">
        <v>107</v>
      </c>
      <c r="P257" s="189" t="s">
        <v>111</v>
      </c>
      <c r="Q257" s="189" t="s">
        <v>112</v>
      </c>
      <c r="R257" s="189" t="s">
        <v>24</v>
      </c>
      <c r="S257" s="189" t="s">
        <v>152</v>
      </c>
      <c r="T257" s="189" t="s">
        <v>121</v>
      </c>
      <c r="U257" s="189" t="s">
        <v>122</v>
      </c>
      <c r="V257" s="189" t="s">
        <v>123</v>
      </c>
      <c r="W257" s="189" t="s">
        <v>168</v>
      </c>
      <c r="X257" s="189" t="s">
        <v>448</v>
      </c>
      <c r="Y257" s="189" t="s">
        <v>2110</v>
      </c>
      <c r="Z257" s="0" t="n">
        <v>2</v>
      </c>
      <c r="AA257" s="189" t="s">
        <v>2221</v>
      </c>
    </row>
    <row r="258" customFormat="false" ht="15" hidden="false" customHeight="true" outlineLevel="0" collapsed="false">
      <c r="A258" s="0" t="n">
        <v>53</v>
      </c>
      <c r="B258" s="188" t="n">
        <v>46106.0370966452</v>
      </c>
      <c r="C258" s="188" t="n">
        <v>46106.0392147008</v>
      </c>
      <c r="D258" s="189" t="s">
        <v>591</v>
      </c>
      <c r="E258" s="189" t="s">
        <v>592</v>
      </c>
      <c r="F258" s="189" t="s">
        <v>592</v>
      </c>
      <c r="G258" s="189" t="s">
        <v>593</v>
      </c>
      <c r="H258" s="188" t="n">
        <v>46092</v>
      </c>
      <c r="I258" s="189" t="s">
        <v>113</v>
      </c>
      <c r="J258" s="189" t="s">
        <v>108</v>
      </c>
      <c r="K258" s="189" t="s">
        <v>257</v>
      </c>
      <c r="L258" s="189" t="s">
        <v>491</v>
      </c>
      <c r="M258" s="189" t="s">
        <v>594</v>
      </c>
      <c r="N258" s="189" t="s">
        <v>595</v>
      </c>
      <c r="O258" s="189" t="s">
        <v>107</v>
      </c>
      <c r="P258" s="189" t="s">
        <v>111</v>
      </c>
      <c r="Q258" s="189" t="s">
        <v>112</v>
      </c>
      <c r="R258" s="189" t="s">
        <v>24</v>
      </c>
      <c r="S258" s="189" t="s">
        <v>152</v>
      </c>
      <c r="T258" s="189" t="s">
        <v>121</v>
      </c>
      <c r="U258" s="189" t="s">
        <v>122</v>
      </c>
      <c r="V258" s="189" t="s">
        <v>123</v>
      </c>
      <c r="W258" s="189" t="s">
        <v>168</v>
      </c>
      <c r="X258" s="189" t="s">
        <v>448</v>
      </c>
      <c r="Y258" s="189" t="s">
        <v>2113</v>
      </c>
      <c r="Z258" s="0" t="n">
        <v>1</v>
      </c>
      <c r="AA258" s="189" t="s">
        <v>2222</v>
      </c>
    </row>
    <row r="259" customFormat="false" ht="15" hidden="false" customHeight="true" outlineLevel="0" collapsed="false">
      <c r="A259" s="0" t="n">
        <v>53</v>
      </c>
      <c r="B259" s="188" t="n">
        <v>46106.0370966452</v>
      </c>
      <c r="C259" s="188" t="n">
        <v>46106.0392147008</v>
      </c>
      <c r="D259" s="189" t="s">
        <v>591</v>
      </c>
      <c r="E259" s="189" t="s">
        <v>592</v>
      </c>
      <c r="F259" s="189" t="s">
        <v>592</v>
      </c>
      <c r="G259" s="189" t="s">
        <v>593</v>
      </c>
      <c r="H259" s="188" t="n">
        <v>46092</v>
      </c>
      <c r="I259" s="189" t="s">
        <v>113</v>
      </c>
      <c r="J259" s="189" t="s">
        <v>108</v>
      </c>
      <c r="K259" s="189" t="s">
        <v>257</v>
      </c>
      <c r="L259" s="189" t="s">
        <v>491</v>
      </c>
      <c r="M259" s="189" t="s">
        <v>594</v>
      </c>
      <c r="N259" s="189" t="s">
        <v>595</v>
      </c>
      <c r="O259" s="189" t="s">
        <v>107</v>
      </c>
      <c r="P259" s="189" t="s">
        <v>111</v>
      </c>
      <c r="Q259" s="189" t="s">
        <v>112</v>
      </c>
      <c r="R259" s="189" t="s">
        <v>24</v>
      </c>
      <c r="S259" s="189" t="s">
        <v>152</v>
      </c>
      <c r="T259" s="189" t="s">
        <v>121</v>
      </c>
      <c r="U259" s="189" t="s">
        <v>122</v>
      </c>
      <c r="V259" s="189" t="s">
        <v>123</v>
      </c>
      <c r="W259" s="189" t="s">
        <v>168</v>
      </c>
      <c r="X259" s="189" t="s">
        <v>448</v>
      </c>
      <c r="Y259" s="189" t="s">
        <v>2113</v>
      </c>
      <c r="Z259" s="0" t="n">
        <v>2</v>
      </c>
      <c r="AA259" s="189" t="s">
        <v>2234</v>
      </c>
    </row>
    <row r="260" customFormat="false" ht="15" hidden="false" customHeight="true" outlineLevel="0" collapsed="false">
      <c r="A260" s="0" t="n">
        <v>54</v>
      </c>
      <c r="B260" s="188" t="n">
        <v>46203.3626897918</v>
      </c>
      <c r="C260" s="188" t="n">
        <v>46203.3805254399</v>
      </c>
      <c r="D260" s="189" t="s">
        <v>598</v>
      </c>
      <c r="E260" s="189" t="s">
        <v>599</v>
      </c>
      <c r="F260" s="189" t="s">
        <v>599</v>
      </c>
      <c r="G260" s="189" t="s">
        <v>600</v>
      </c>
      <c r="H260" s="188" t="n">
        <v>46199</v>
      </c>
      <c r="I260" s="189" t="s">
        <v>551</v>
      </c>
      <c r="J260" s="189" t="s">
        <v>108</v>
      </c>
      <c r="K260" s="189" t="s">
        <v>196</v>
      </c>
      <c r="L260" s="189" t="s">
        <v>110</v>
      </c>
      <c r="M260" s="189" t="s">
        <v>234</v>
      </c>
      <c r="N260" s="189" t="s">
        <v>111</v>
      </c>
      <c r="O260" s="189" t="s">
        <v>157</v>
      </c>
      <c r="P260" s="189" t="s">
        <v>131</v>
      </c>
      <c r="Q260" s="189" t="s">
        <v>247</v>
      </c>
      <c r="R260" s="189" t="s">
        <v>22</v>
      </c>
      <c r="S260" s="189" t="s">
        <v>227</v>
      </c>
      <c r="T260" s="189" t="s">
        <v>352</v>
      </c>
      <c r="V260" s="189" t="s">
        <v>123</v>
      </c>
      <c r="W260" s="189" t="s">
        <v>124</v>
      </c>
      <c r="X260" s="189" t="s">
        <v>116</v>
      </c>
      <c r="Y260" s="189" t="s">
        <v>2108</v>
      </c>
      <c r="Z260" s="0" t="n">
        <v>1</v>
      </c>
      <c r="AA260" s="189" t="s">
        <v>2183</v>
      </c>
    </row>
    <row r="261" customFormat="false" ht="15" hidden="false" customHeight="true" outlineLevel="0" collapsed="false">
      <c r="A261" s="0" t="n">
        <v>54</v>
      </c>
      <c r="B261" s="188" t="n">
        <v>46203.3626897918</v>
      </c>
      <c r="C261" s="188" t="n">
        <v>46203.3805254399</v>
      </c>
      <c r="D261" s="189" t="s">
        <v>598</v>
      </c>
      <c r="E261" s="189" t="s">
        <v>599</v>
      </c>
      <c r="F261" s="189" t="s">
        <v>599</v>
      </c>
      <c r="G261" s="189" t="s">
        <v>600</v>
      </c>
      <c r="H261" s="188" t="n">
        <v>46199</v>
      </c>
      <c r="I261" s="189" t="s">
        <v>551</v>
      </c>
      <c r="J261" s="189" t="s">
        <v>108</v>
      </c>
      <c r="K261" s="189" t="s">
        <v>196</v>
      </c>
      <c r="L261" s="189" t="s">
        <v>110</v>
      </c>
      <c r="M261" s="189" t="s">
        <v>234</v>
      </c>
      <c r="N261" s="189" t="s">
        <v>111</v>
      </c>
      <c r="O261" s="189" t="s">
        <v>157</v>
      </c>
      <c r="P261" s="189" t="s">
        <v>131</v>
      </c>
      <c r="Q261" s="189" t="s">
        <v>247</v>
      </c>
      <c r="R261" s="189" t="s">
        <v>22</v>
      </c>
      <c r="S261" s="189" t="s">
        <v>227</v>
      </c>
      <c r="T261" s="189" t="s">
        <v>352</v>
      </c>
      <c r="V261" s="189" t="s">
        <v>123</v>
      </c>
      <c r="W261" s="189" t="s">
        <v>124</v>
      </c>
      <c r="X261" s="189" t="s">
        <v>116</v>
      </c>
      <c r="Y261" s="189" t="s">
        <v>2108</v>
      </c>
      <c r="Z261" s="0" t="n">
        <v>2</v>
      </c>
      <c r="AA261" s="189" t="s">
        <v>2109</v>
      </c>
    </row>
    <row r="262" customFormat="false" ht="15" hidden="false" customHeight="true" outlineLevel="0" collapsed="false">
      <c r="A262" s="0" t="n">
        <v>54</v>
      </c>
      <c r="B262" s="188" t="n">
        <v>46203.3626897918</v>
      </c>
      <c r="C262" s="188" t="n">
        <v>46203.3805254399</v>
      </c>
      <c r="D262" s="189" t="s">
        <v>598</v>
      </c>
      <c r="E262" s="189" t="s">
        <v>599</v>
      </c>
      <c r="F262" s="189" t="s">
        <v>599</v>
      </c>
      <c r="G262" s="189" t="s">
        <v>600</v>
      </c>
      <c r="H262" s="188" t="n">
        <v>46199</v>
      </c>
      <c r="I262" s="189" t="s">
        <v>551</v>
      </c>
      <c r="J262" s="189" t="s">
        <v>108</v>
      </c>
      <c r="K262" s="189" t="s">
        <v>196</v>
      </c>
      <c r="L262" s="189" t="s">
        <v>110</v>
      </c>
      <c r="M262" s="189" t="s">
        <v>234</v>
      </c>
      <c r="N262" s="189" t="s">
        <v>111</v>
      </c>
      <c r="O262" s="189" t="s">
        <v>157</v>
      </c>
      <c r="P262" s="189" t="s">
        <v>131</v>
      </c>
      <c r="Q262" s="189" t="s">
        <v>247</v>
      </c>
      <c r="R262" s="189" t="s">
        <v>22</v>
      </c>
      <c r="S262" s="189" t="s">
        <v>227</v>
      </c>
      <c r="T262" s="189" t="s">
        <v>352</v>
      </c>
      <c r="V262" s="189" t="s">
        <v>123</v>
      </c>
      <c r="W262" s="189" t="s">
        <v>124</v>
      </c>
      <c r="X262" s="189" t="s">
        <v>116</v>
      </c>
      <c r="Y262" s="189" t="s">
        <v>2108</v>
      </c>
      <c r="Z262" s="0" t="n">
        <v>3</v>
      </c>
      <c r="AA262" s="189" t="s">
        <v>2125</v>
      </c>
    </row>
    <row r="263" customFormat="false" ht="15" hidden="false" customHeight="true" outlineLevel="0" collapsed="false">
      <c r="A263" s="0" t="n">
        <v>54</v>
      </c>
      <c r="B263" s="188" t="n">
        <v>46203.3626897918</v>
      </c>
      <c r="C263" s="188" t="n">
        <v>46203.3805254399</v>
      </c>
      <c r="D263" s="189" t="s">
        <v>598</v>
      </c>
      <c r="E263" s="189" t="s">
        <v>599</v>
      </c>
      <c r="F263" s="189" t="s">
        <v>599</v>
      </c>
      <c r="G263" s="189" t="s">
        <v>600</v>
      </c>
      <c r="H263" s="188" t="n">
        <v>46199</v>
      </c>
      <c r="I263" s="189" t="s">
        <v>551</v>
      </c>
      <c r="J263" s="189" t="s">
        <v>108</v>
      </c>
      <c r="K263" s="189" t="s">
        <v>196</v>
      </c>
      <c r="L263" s="189" t="s">
        <v>110</v>
      </c>
      <c r="M263" s="189" t="s">
        <v>234</v>
      </c>
      <c r="N263" s="189" t="s">
        <v>111</v>
      </c>
      <c r="O263" s="189" t="s">
        <v>157</v>
      </c>
      <c r="P263" s="189" t="s">
        <v>131</v>
      </c>
      <c r="Q263" s="189" t="s">
        <v>247</v>
      </c>
      <c r="R263" s="189" t="s">
        <v>22</v>
      </c>
      <c r="S263" s="189" t="s">
        <v>227</v>
      </c>
      <c r="T263" s="189" t="s">
        <v>352</v>
      </c>
      <c r="V263" s="189" t="s">
        <v>123</v>
      </c>
      <c r="W263" s="189" t="s">
        <v>124</v>
      </c>
      <c r="X263" s="189" t="s">
        <v>116</v>
      </c>
      <c r="Y263" s="189" t="s">
        <v>2110</v>
      </c>
      <c r="Z263" s="0" t="n">
        <v>1</v>
      </c>
      <c r="AA263" s="189" t="s">
        <v>2126</v>
      </c>
    </row>
    <row r="264" customFormat="false" ht="15" hidden="false" customHeight="true" outlineLevel="0" collapsed="false">
      <c r="A264" s="0" t="n">
        <v>54</v>
      </c>
      <c r="B264" s="188" t="n">
        <v>46203.3626897918</v>
      </c>
      <c r="C264" s="188" t="n">
        <v>46203.3805254399</v>
      </c>
      <c r="D264" s="189" t="s">
        <v>598</v>
      </c>
      <c r="E264" s="189" t="s">
        <v>599</v>
      </c>
      <c r="F264" s="189" t="s">
        <v>599</v>
      </c>
      <c r="G264" s="189" t="s">
        <v>600</v>
      </c>
      <c r="H264" s="188" t="n">
        <v>46199</v>
      </c>
      <c r="I264" s="189" t="s">
        <v>551</v>
      </c>
      <c r="J264" s="189" t="s">
        <v>108</v>
      </c>
      <c r="K264" s="189" t="s">
        <v>196</v>
      </c>
      <c r="L264" s="189" t="s">
        <v>110</v>
      </c>
      <c r="M264" s="189" t="s">
        <v>234</v>
      </c>
      <c r="N264" s="189" t="s">
        <v>111</v>
      </c>
      <c r="O264" s="189" t="s">
        <v>157</v>
      </c>
      <c r="P264" s="189" t="s">
        <v>131</v>
      </c>
      <c r="Q264" s="189" t="s">
        <v>247</v>
      </c>
      <c r="R264" s="189" t="s">
        <v>22</v>
      </c>
      <c r="S264" s="189" t="s">
        <v>227</v>
      </c>
      <c r="T264" s="189" t="s">
        <v>352</v>
      </c>
      <c r="V264" s="189" t="s">
        <v>123</v>
      </c>
      <c r="W264" s="189" t="s">
        <v>124</v>
      </c>
      <c r="X264" s="189" t="s">
        <v>116</v>
      </c>
      <c r="Y264" s="189" t="s">
        <v>2113</v>
      </c>
      <c r="Z264" s="0" t="n">
        <v>1</v>
      </c>
      <c r="AA264" s="189" t="s">
        <v>122</v>
      </c>
    </row>
    <row r="265" customFormat="false" ht="15" hidden="false" customHeight="true" outlineLevel="0" collapsed="false">
      <c r="A265" s="0" t="n">
        <v>55</v>
      </c>
      <c r="B265" s="188" t="n">
        <v>46147.1722512015</v>
      </c>
      <c r="C265" s="188" t="n">
        <v>46147.1756771274</v>
      </c>
      <c r="D265" s="189" t="s">
        <v>603</v>
      </c>
      <c r="E265" s="189" t="s">
        <v>604</v>
      </c>
      <c r="F265" s="189" t="s">
        <v>604</v>
      </c>
      <c r="G265" s="189" t="s">
        <v>605</v>
      </c>
      <c r="H265" s="188" t="n">
        <v>46132</v>
      </c>
      <c r="I265" s="189" t="s">
        <v>113</v>
      </c>
      <c r="J265" s="189" t="s">
        <v>295</v>
      </c>
      <c r="K265" s="189" t="s">
        <v>462</v>
      </c>
      <c r="L265" s="189" t="s">
        <v>431</v>
      </c>
      <c r="M265" s="189" t="s">
        <v>594</v>
      </c>
      <c r="N265" s="189" t="s">
        <v>606</v>
      </c>
      <c r="O265" s="189" t="s">
        <v>244</v>
      </c>
      <c r="P265" s="189" t="s">
        <v>390</v>
      </c>
      <c r="Q265" s="189" t="s">
        <v>112</v>
      </c>
      <c r="R265" s="189" t="s">
        <v>22</v>
      </c>
      <c r="S265" s="189" t="s">
        <v>152</v>
      </c>
      <c r="T265" s="189" t="s">
        <v>121</v>
      </c>
      <c r="U265" s="189" t="s">
        <v>122</v>
      </c>
      <c r="V265" s="189" t="s">
        <v>123</v>
      </c>
      <c r="W265" s="189" t="s">
        <v>139</v>
      </c>
      <c r="X265" s="189" t="s">
        <v>116</v>
      </c>
      <c r="Y265" s="189" t="s">
        <v>2108</v>
      </c>
      <c r="Z265" s="0" t="n">
        <v>1</v>
      </c>
      <c r="AA265" s="189" t="s">
        <v>2109</v>
      </c>
    </row>
    <row r="266" customFormat="false" ht="15" hidden="false" customHeight="true" outlineLevel="0" collapsed="false">
      <c r="A266" s="0" t="n">
        <v>55</v>
      </c>
      <c r="B266" s="188" t="n">
        <v>46147.1722512015</v>
      </c>
      <c r="C266" s="188" t="n">
        <v>46147.1756771274</v>
      </c>
      <c r="D266" s="189" t="s">
        <v>603</v>
      </c>
      <c r="E266" s="189" t="s">
        <v>604</v>
      </c>
      <c r="F266" s="189" t="s">
        <v>604</v>
      </c>
      <c r="G266" s="189" t="s">
        <v>605</v>
      </c>
      <c r="H266" s="188" t="n">
        <v>46132</v>
      </c>
      <c r="I266" s="189" t="s">
        <v>113</v>
      </c>
      <c r="J266" s="189" t="s">
        <v>295</v>
      </c>
      <c r="K266" s="189" t="s">
        <v>462</v>
      </c>
      <c r="L266" s="189" t="s">
        <v>431</v>
      </c>
      <c r="M266" s="189" t="s">
        <v>594</v>
      </c>
      <c r="N266" s="189" t="s">
        <v>606</v>
      </c>
      <c r="O266" s="189" t="s">
        <v>244</v>
      </c>
      <c r="P266" s="189" t="s">
        <v>390</v>
      </c>
      <c r="Q266" s="189" t="s">
        <v>112</v>
      </c>
      <c r="R266" s="189" t="s">
        <v>22</v>
      </c>
      <c r="S266" s="189" t="s">
        <v>152</v>
      </c>
      <c r="T266" s="189" t="s">
        <v>121</v>
      </c>
      <c r="U266" s="189" t="s">
        <v>122</v>
      </c>
      <c r="V266" s="189" t="s">
        <v>123</v>
      </c>
      <c r="W266" s="189" t="s">
        <v>139</v>
      </c>
      <c r="X266" s="189" t="s">
        <v>116</v>
      </c>
      <c r="Y266" s="189" t="s">
        <v>2108</v>
      </c>
      <c r="Z266" s="0" t="n">
        <v>2</v>
      </c>
      <c r="AA266" s="189" t="s">
        <v>2151</v>
      </c>
    </row>
    <row r="267" customFormat="false" ht="15" hidden="false" customHeight="true" outlineLevel="0" collapsed="false">
      <c r="A267" s="0" t="n">
        <v>55</v>
      </c>
      <c r="B267" s="188" t="n">
        <v>46147.1722512015</v>
      </c>
      <c r="C267" s="188" t="n">
        <v>46147.1756771274</v>
      </c>
      <c r="D267" s="189" t="s">
        <v>603</v>
      </c>
      <c r="E267" s="189" t="s">
        <v>604</v>
      </c>
      <c r="F267" s="189" t="s">
        <v>604</v>
      </c>
      <c r="G267" s="189" t="s">
        <v>605</v>
      </c>
      <c r="H267" s="188" t="n">
        <v>46132</v>
      </c>
      <c r="I267" s="189" t="s">
        <v>113</v>
      </c>
      <c r="J267" s="189" t="s">
        <v>295</v>
      </c>
      <c r="K267" s="189" t="s">
        <v>462</v>
      </c>
      <c r="L267" s="189" t="s">
        <v>431</v>
      </c>
      <c r="M267" s="189" t="s">
        <v>594</v>
      </c>
      <c r="N267" s="189" t="s">
        <v>606</v>
      </c>
      <c r="O267" s="189" t="s">
        <v>244</v>
      </c>
      <c r="P267" s="189" t="s">
        <v>390</v>
      </c>
      <c r="Q267" s="189" t="s">
        <v>112</v>
      </c>
      <c r="R267" s="189" t="s">
        <v>22</v>
      </c>
      <c r="S267" s="189" t="s">
        <v>152</v>
      </c>
      <c r="T267" s="189" t="s">
        <v>121</v>
      </c>
      <c r="U267" s="189" t="s">
        <v>122</v>
      </c>
      <c r="V267" s="189" t="s">
        <v>123</v>
      </c>
      <c r="W267" s="189" t="s">
        <v>139</v>
      </c>
      <c r="X267" s="189" t="s">
        <v>116</v>
      </c>
      <c r="Y267" s="189" t="s">
        <v>2108</v>
      </c>
      <c r="Z267" s="0" t="n">
        <v>3</v>
      </c>
      <c r="AA267" s="189" t="s">
        <v>2125</v>
      </c>
    </row>
    <row r="268" customFormat="false" ht="15" hidden="false" customHeight="true" outlineLevel="0" collapsed="false">
      <c r="A268" s="0" t="n">
        <v>55</v>
      </c>
      <c r="B268" s="188" t="n">
        <v>46147.1722512015</v>
      </c>
      <c r="C268" s="188" t="n">
        <v>46147.1756771274</v>
      </c>
      <c r="D268" s="189" t="s">
        <v>603</v>
      </c>
      <c r="E268" s="189" t="s">
        <v>604</v>
      </c>
      <c r="F268" s="189" t="s">
        <v>604</v>
      </c>
      <c r="G268" s="189" t="s">
        <v>605</v>
      </c>
      <c r="H268" s="188" t="n">
        <v>46132</v>
      </c>
      <c r="I268" s="189" t="s">
        <v>113</v>
      </c>
      <c r="J268" s="189" t="s">
        <v>295</v>
      </c>
      <c r="K268" s="189" t="s">
        <v>462</v>
      </c>
      <c r="L268" s="189" t="s">
        <v>431</v>
      </c>
      <c r="M268" s="189" t="s">
        <v>594</v>
      </c>
      <c r="N268" s="189" t="s">
        <v>606</v>
      </c>
      <c r="O268" s="189" t="s">
        <v>244</v>
      </c>
      <c r="P268" s="189" t="s">
        <v>390</v>
      </c>
      <c r="Q268" s="189" t="s">
        <v>112</v>
      </c>
      <c r="R268" s="189" t="s">
        <v>22</v>
      </c>
      <c r="S268" s="189" t="s">
        <v>152</v>
      </c>
      <c r="T268" s="189" t="s">
        <v>121</v>
      </c>
      <c r="U268" s="189" t="s">
        <v>122</v>
      </c>
      <c r="V268" s="189" t="s">
        <v>123</v>
      </c>
      <c r="W268" s="189" t="s">
        <v>139</v>
      </c>
      <c r="X268" s="189" t="s">
        <v>116</v>
      </c>
      <c r="Y268" s="189" t="s">
        <v>2110</v>
      </c>
      <c r="Z268" s="0" t="n">
        <v>1</v>
      </c>
      <c r="AA268" s="189" t="s">
        <v>2255</v>
      </c>
    </row>
    <row r="269" customFormat="false" ht="15" hidden="false" customHeight="true" outlineLevel="0" collapsed="false">
      <c r="A269" s="0" t="n">
        <v>55</v>
      </c>
      <c r="B269" s="188" t="n">
        <v>46147.1722512015</v>
      </c>
      <c r="C269" s="188" t="n">
        <v>46147.1756771274</v>
      </c>
      <c r="D269" s="189" t="s">
        <v>603</v>
      </c>
      <c r="E269" s="189" t="s">
        <v>604</v>
      </c>
      <c r="F269" s="189" t="s">
        <v>604</v>
      </c>
      <c r="G269" s="189" t="s">
        <v>605</v>
      </c>
      <c r="H269" s="188" t="n">
        <v>46132</v>
      </c>
      <c r="I269" s="189" t="s">
        <v>113</v>
      </c>
      <c r="J269" s="189" t="s">
        <v>295</v>
      </c>
      <c r="K269" s="189" t="s">
        <v>462</v>
      </c>
      <c r="L269" s="189" t="s">
        <v>431</v>
      </c>
      <c r="M269" s="189" t="s">
        <v>594</v>
      </c>
      <c r="N269" s="189" t="s">
        <v>606</v>
      </c>
      <c r="O269" s="189" t="s">
        <v>244</v>
      </c>
      <c r="P269" s="189" t="s">
        <v>390</v>
      </c>
      <c r="Q269" s="189" t="s">
        <v>112</v>
      </c>
      <c r="R269" s="189" t="s">
        <v>22</v>
      </c>
      <c r="S269" s="189" t="s">
        <v>152</v>
      </c>
      <c r="T269" s="189" t="s">
        <v>121</v>
      </c>
      <c r="U269" s="189" t="s">
        <v>122</v>
      </c>
      <c r="V269" s="189" t="s">
        <v>123</v>
      </c>
      <c r="W269" s="189" t="s">
        <v>139</v>
      </c>
      <c r="X269" s="189" t="s">
        <v>116</v>
      </c>
      <c r="Y269" s="189" t="s">
        <v>2110</v>
      </c>
      <c r="Z269" s="0" t="n">
        <v>2</v>
      </c>
      <c r="AA269" s="189" t="s">
        <v>122</v>
      </c>
    </row>
    <row r="270" customFormat="false" ht="15" hidden="false" customHeight="true" outlineLevel="0" collapsed="false">
      <c r="A270" s="0" t="n">
        <v>55</v>
      </c>
      <c r="B270" s="188" t="n">
        <v>46147.1722512015</v>
      </c>
      <c r="C270" s="188" t="n">
        <v>46147.1756771274</v>
      </c>
      <c r="D270" s="189" t="s">
        <v>603</v>
      </c>
      <c r="E270" s="189" t="s">
        <v>604</v>
      </c>
      <c r="F270" s="189" t="s">
        <v>604</v>
      </c>
      <c r="G270" s="189" t="s">
        <v>605</v>
      </c>
      <c r="H270" s="188" t="n">
        <v>46132</v>
      </c>
      <c r="I270" s="189" t="s">
        <v>113</v>
      </c>
      <c r="J270" s="189" t="s">
        <v>295</v>
      </c>
      <c r="K270" s="189" t="s">
        <v>462</v>
      </c>
      <c r="L270" s="189" t="s">
        <v>431</v>
      </c>
      <c r="M270" s="189" t="s">
        <v>594</v>
      </c>
      <c r="N270" s="189" t="s">
        <v>606</v>
      </c>
      <c r="O270" s="189" t="s">
        <v>244</v>
      </c>
      <c r="P270" s="189" t="s">
        <v>390</v>
      </c>
      <c r="Q270" s="189" t="s">
        <v>112</v>
      </c>
      <c r="R270" s="189" t="s">
        <v>22</v>
      </c>
      <c r="S270" s="189" t="s">
        <v>152</v>
      </c>
      <c r="T270" s="189" t="s">
        <v>121</v>
      </c>
      <c r="U270" s="189" t="s">
        <v>122</v>
      </c>
      <c r="V270" s="189" t="s">
        <v>123</v>
      </c>
      <c r="W270" s="189" t="s">
        <v>139</v>
      </c>
      <c r="X270" s="189" t="s">
        <v>116</v>
      </c>
      <c r="Y270" s="189" t="s">
        <v>2113</v>
      </c>
      <c r="Z270" s="0" t="n">
        <v>1</v>
      </c>
      <c r="AA270" s="189" t="s">
        <v>2184</v>
      </c>
    </row>
    <row r="271" customFormat="false" ht="15" hidden="false" customHeight="true" outlineLevel="0" collapsed="false">
      <c r="A271" s="0" t="n">
        <v>56</v>
      </c>
      <c r="B271" s="188" t="n">
        <v>46072.7031889639</v>
      </c>
      <c r="C271" s="188" t="n">
        <v>46072.7196241491</v>
      </c>
      <c r="D271" s="189" t="s">
        <v>609</v>
      </c>
      <c r="E271" s="189" t="s">
        <v>610</v>
      </c>
      <c r="F271" s="189" t="s">
        <v>610</v>
      </c>
      <c r="G271" s="189" t="s">
        <v>611</v>
      </c>
      <c r="H271" s="188" t="n">
        <v>46052</v>
      </c>
      <c r="I271" s="189" t="s">
        <v>305</v>
      </c>
      <c r="J271" s="189" t="s">
        <v>108</v>
      </c>
      <c r="K271" s="189" t="s">
        <v>364</v>
      </c>
      <c r="L271" s="189" t="s">
        <v>431</v>
      </c>
      <c r="M271" s="189" t="s">
        <v>612</v>
      </c>
      <c r="N271" s="189" t="s">
        <v>613</v>
      </c>
      <c r="O271" s="189" t="s">
        <v>172</v>
      </c>
      <c r="P271" s="189" t="s">
        <v>111</v>
      </c>
      <c r="Q271" s="189" t="s">
        <v>112</v>
      </c>
      <c r="R271" s="189" t="s">
        <v>21</v>
      </c>
      <c r="S271" s="189" t="s">
        <v>152</v>
      </c>
      <c r="T271" s="189" t="s">
        <v>121</v>
      </c>
      <c r="U271" s="189" t="s">
        <v>614</v>
      </c>
      <c r="V271" s="189" t="s">
        <v>123</v>
      </c>
      <c r="W271" s="189" t="s">
        <v>139</v>
      </c>
      <c r="X271" s="189" t="s">
        <v>307</v>
      </c>
      <c r="Y271" s="189" t="s">
        <v>2108</v>
      </c>
      <c r="Z271" s="0" t="n">
        <v>1</v>
      </c>
      <c r="AA271" s="189" t="s">
        <v>2175</v>
      </c>
    </row>
    <row r="272" customFormat="false" ht="15" hidden="false" customHeight="true" outlineLevel="0" collapsed="false">
      <c r="A272" s="0" t="n">
        <v>56</v>
      </c>
      <c r="B272" s="188" t="n">
        <v>46072.7031889639</v>
      </c>
      <c r="C272" s="188" t="n">
        <v>46072.7196241491</v>
      </c>
      <c r="D272" s="189" t="s">
        <v>609</v>
      </c>
      <c r="E272" s="189" t="s">
        <v>610</v>
      </c>
      <c r="F272" s="189" t="s">
        <v>610</v>
      </c>
      <c r="G272" s="189" t="s">
        <v>611</v>
      </c>
      <c r="H272" s="188" t="n">
        <v>46052</v>
      </c>
      <c r="I272" s="189" t="s">
        <v>305</v>
      </c>
      <c r="J272" s="189" t="s">
        <v>108</v>
      </c>
      <c r="K272" s="189" t="s">
        <v>364</v>
      </c>
      <c r="L272" s="189" t="s">
        <v>431</v>
      </c>
      <c r="M272" s="189" t="s">
        <v>612</v>
      </c>
      <c r="N272" s="189" t="s">
        <v>613</v>
      </c>
      <c r="O272" s="189" t="s">
        <v>172</v>
      </c>
      <c r="P272" s="189" t="s">
        <v>111</v>
      </c>
      <c r="Q272" s="189" t="s">
        <v>112</v>
      </c>
      <c r="R272" s="189" t="s">
        <v>21</v>
      </c>
      <c r="S272" s="189" t="s">
        <v>152</v>
      </c>
      <c r="T272" s="189" t="s">
        <v>121</v>
      </c>
      <c r="U272" s="189" t="s">
        <v>614</v>
      </c>
      <c r="V272" s="189" t="s">
        <v>123</v>
      </c>
      <c r="W272" s="189" t="s">
        <v>139</v>
      </c>
      <c r="X272" s="189" t="s">
        <v>307</v>
      </c>
      <c r="Y272" s="189" t="s">
        <v>2110</v>
      </c>
      <c r="Z272" s="0" t="n">
        <v>1</v>
      </c>
      <c r="AA272" s="189" t="s">
        <v>1174</v>
      </c>
    </row>
    <row r="273" customFormat="false" ht="15" hidden="false" customHeight="true" outlineLevel="0" collapsed="false">
      <c r="A273" s="0" t="n">
        <v>56</v>
      </c>
      <c r="B273" s="188" t="n">
        <v>46072.7031889639</v>
      </c>
      <c r="C273" s="188" t="n">
        <v>46072.7196241491</v>
      </c>
      <c r="D273" s="189" t="s">
        <v>609</v>
      </c>
      <c r="E273" s="189" t="s">
        <v>610</v>
      </c>
      <c r="F273" s="189" t="s">
        <v>610</v>
      </c>
      <c r="G273" s="189" t="s">
        <v>611</v>
      </c>
      <c r="H273" s="188" t="n">
        <v>46052</v>
      </c>
      <c r="I273" s="189" t="s">
        <v>305</v>
      </c>
      <c r="J273" s="189" t="s">
        <v>108</v>
      </c>
      <c r="K273" s="189" t="s">
        <v>364</v>
      </c>
      <c r="L273" s="189" t="s">
        <v>431</v>
      </c>
      <c r="M273" s="189" t="s">
        <v>612</v>
      </c>
      <c r="N273" s="189" t="s">
        <v>613</v>
      </c>
      <c r="O273" s="189" t="s">
        <v>172</v>
      </c>
      <c r="P273" s="189" t="s">
        <v>111</v>
      </c>
      <c r="Q273" s="189" t="s">
        <v>112</v>
      </c>
      <c r="R273" s="189" t="s">
        <v>21</v>
      </c>
      <c r="S273" s="189" t="s">
        <v>152</v>
      </c>
      <c r="T273" s="189" t="s">
        <v>121</v>
      </c>
      <c r="U273" s="189" t="s">
        <v>614</v>
      </c>
      <c r="V273" s="189" t="s">
        <v>123</v>
      </c>
      <c r="W273" s="189" t="s">
        <v>139</v>
      </c>
      <c r="X273" s="189" t="s">
        <v>307</v>
      </c>
      <c r="Y273" s="189" t="s">
        <v>2113</v>
      </c>
      <c r="Z273" s="0" t="n">
        <v>1</v>
      </c>
      <c r="AA273" s="189" t="s">
        <v>2177</v>
      </c>
    </row>
    <row r="274" customFormat="false" ht="15" hidden="false" customHeight="true" outlineLevel="0" collapsed="false">
      <c r="A274" s="0" t="n">
        <v>56</v>
      </c>
      <c r="B274" s="188" t="n">
        <v>46072.7031889639</v>
      </c>
      <c r="C274" s="188" t="n">
        <v>46072.7196241491</v>
      </c>
      <c r="D274" s="189" t="s">
        <v>609</v>
      </c>
      <c r="E274" s="189" t="s">
        <v>610</v>
      </c>
      <c r="F274" s="189" t="s">
        <v>610</v>
      </c>
      <c r="G274" s="189" t="s">
        <v>611</v>
      </c>
      <c r="H274" s="188" t="n">
        <v>46052</v>
      </c>
      <c r="I274" s="189" t="s">
        <v>305</v>
      </c>
      <c r="J274" s="189" t="s">
        <v>108</v>
      </c>
      <c r="K274" s="189" t="s">
        <v>364</v>
      </c>
      <c r="L274" s="189" t="s">
        <v>431</v>
      </c>
      <c r="M274" s="189" t="s">
        <v>612</v>
      </c>
      <c r="N274" s="189" t="s">
        <v>613</v>
      </c>
      <c r="O274" s="189" t="s">
        <v>172</v>
      </c>
      <c r="P274" s="189" t="s">
        <v>111</v>
      </c>
      <c r="Q274" s="189" t="s">
        <v>112</v>
      </c>
      <c r="R274" s="189" t="s">
        <v>21</v>
      </c>
      <c r="S274" s="189" t="s">
        <v>152</v>
      </c>
      <c r="T274" s="189" t="s">
        <v>121</v>
      </c>
      <c r="U274" s="189" t="s">
        <v>614</v>
      </c>
      <c r="V274" s="189" t="s">
        <v>123</v>
      </c>
      <c r="W274" s="189" t="s">
        <v>139</v>
      </c>
      <c r="X274" s="189" t="s">
        <v>307</v>
      </c>
      <c r="Y274" s="189" t="s">
        <v>2113</v>
      </c>
      <c r="Z274" s="0" t="n">
        <v>2</v>
      </c>
      <c r="AA274" s="189" t="s">
        <v>2178</v>
      </c>
    </row>
    <row r="275" customFormat="false" ht="15" hidden="false" customHeight="true" outlineLevel="0" collapsed="false">
      <c r="A275" s="0" t="n">
        <v>57</v>
      </c>
      <c r="B275" s="188" t="n">
        <v>46194.5735928701</v>
      </c>
      <c r="C275" s="188" t="n">
        <v>46194.5820303701</v>
      </c>
      <c r="D275" s="189" t="s">
        <v>615</v>
      </c>
      <c r="E275" s="189" t="s">
        <v>616</v>
      </c>
      <c r="F275" s="189" t="s">
        <v>617</v>
      </c>
      <c r="G275" s="189" t="s">
        <v>618</v>
      </c>
      <c r="H275" s="188" t="n">
        <v>46193</v>
      </c>
      <c r="I275" s="189" t="s">
        <v>325</v>
      </c>
      <c r="J275" s="189" t="s">
        <v>108</v>
      </c>
      <c r="K275" s="189" t="s">
        <v>257</v>
      </c>
      <c r="L275" s="189" t="s">
        <v>431</v>
      </c>
      <c r="M275" s="189" t="s">
        <v>406</v>
      </c>
      <c r="N275" s="189" t="s">
        <v>111</v>
      </c>
      <c r="O275" s="189" t="s">
        <v>107</v>
      </c>
      <c r="P275" s="189" t="s">
        <v>111</v>
      </c>
      <c r="Q275" s="189" t="s">
        <v>145</v>
      </c>
      <c r="R275" s="189" t="s">
        <v>25</v>
      </c>
      <c r="S275" s="189" t="s">
        <v>152</v>
      </c>
      <c r="T275" s="189" t="s">
        <v>121</v>
      </c>
      <c r="U275" s="189" t="s">
        <v>122</v>
      </c>
      <c r="V275" s="189" t="s">
        <v>167</v>
      </c>
      <c r="W275" s="189" t="s">
        <v>124</v>
      </c>
      <c r="X275" s="189" t="s">
        <v>327</v>
      </c>
      <c r="Y275" s="189" t="s">
        <v>2108</v>
      </c>
      <c r="Z275" s="0" t="n">
        <v>1</v>
      </c>
      <c r="AA275" s="189" t="s">
        <v>2109</v>
      </c>
    </row>
    <row r="276" customFormat="false" ht="15" hidden="false" customHeight="true" outlineLevel="0" collapsed="false">
      <c r="A276" s="0" t="n">
        <v>57</v>
      </c>
      <c r="B276" s="188" t="n">
        <v>46194.5735928701</v>
      </c>
      <c r="C276" s="188" t="n">
        <v>46194.5820303701</v>
      </c>
      <c r="D276" s="189" t="s">
        <v>615</v>
      </c>
      <c r="E276" s="189" t="s">
        <v>616</v>
      </c>
      <c r="F276" s="189" t="s">
        <v>617</v>
      </c>
      <c r="G276" s="189" t="s">
        <v>618</v>
      </c>
      <c r="H276" s="188" t="n">
        <v>46193</v>
      </c>
      <c r="I276" s="189" t="s">
        <v>325</v>
      </c>
      <c r="J276" s="189" t="s">
        <v>108</v>
      </c>
      <c r="K276" s="189" t="s">
        <v>257</v>
      </c>
      <c r="L276" s="189" t="s">
        <v>431</v>
      </c>
      <c r="M276" s="189" t="s">
        <v>406</v>
      </c>
      <c r="N276" s="189" t="s">
        <v>111</v>
      </c>
      <c r="O276" s="189" t="s">
        <v>107</v>
      </c>
      <c r="P276" s="189" t="s">
        <v>111</v>
      </c>
      <c r="Q276" s="189" t="s">
        <v>145</v>
      </c>
      <c r="R276" s="189" t="s">
        <v>25</v>
      </c>
      <c r="S276" s="189" t="s">
        <v>152</v>
      </c>
      <c r="T276" s="189" t="s">
        <v>121</v>
      </c>
      <c r="U276" s="189" t="s">
        <v>122</v>
      </c>
      <c r="V276" s="189" t="s">
        <v>167</v>
      </c>
      <c r="W276" s="189" t="s">
        <v>124</v>
      </c>
      <c r="X276" s="189" t="s">
        <v>327</v>
      </c>
      <c r="Y276" s="189" t="s">
        <v>2108</v>
      </c>
      <c r="Z276" s="0" t="n">
        <v>2</v>
      </c>
      <c r="AA276" s="189" t="s">
        <v>2125</v>
      </c>
    </row>
    <row r="277" customFormat="false" ht="15" hidden="false" customHeight="true" outlineLevel="0" collapsed="false">
      <c r="A277" s="0" t="n">
        <v>57</v>
      </c>
      <c r="B277" s="188" t="n">
        <v>46194.5735928701</v>
      </c>
      <c r="C277" s="188" t="n">
        <v>46194.5820303701</v>
      </c>
      <c r="D277" s="189" t="s">
        <v>615</v>
      </c>
      <c r="E277" s="189" t="s">
        <v>616</v>
      </c>
      <c r="F277" s="189" t="s">
        <v>617</v>
      </c>
      <c r="G277" s="189" t="s">
        <v>618</v>
      </c>
      <c r="H277" s="188" t="n">
        <v>46193</v>
      </c>
      <c r="I277" s="189" t="s">
        <v>325</v>
      </c>
      <c r="J277" s="189" t="s">
        <v>108</v>
      </c>
      <c r="K277" s="189" t="s">
        <v>257</v>
      </c>
      <c r="L277" s="189" t="s">
        <v>431</v>
      </c>
      <c r="M277" s="189" t="s">
        <v>406</v>
      </c>
      <c r="N277" s="189" t="s">
        <v>111</v>
      </c>
      <c r="O277" s="189" t="s">
        <v>107</v>
      </c>
      <c r="P277" s="189" t="s">
        <v>111</v>
      </c>
      <c r="Q277" s="189" t="s">
        <v>145</v>
      </c>
      <c r="R277" s="189" t="s">
        <v>25</v>
      </c>
      <c r="S277" s="189" t="s">
        <v>152</v>
      </c>
      <c r="T277" s="189" t="s">
        <v>121</v>
      </c>
      <c r="U277" s="189" t="s">
        <v>122</v>
      </c>
      <c r="V277" s="189" t="s">
        <v>167</v>
      </c>
      <c r="W277" s="189" t="s">
        <v>124</v>
      </c>
      <c r="X277" s="189" t="s">
        <v>327</v>
      </c>
      <c r="Y277" s="189" t="s">
        <v>2110</v>
      </c>
      <c r="Z277" s="0" t="n">
        <v>1</v>
      </c>
      <c r="AA277" s="189" t="s">
        <v>2111</v>
      </c>
    </row>
    <row r="278" customFormat="false" ht="15" hidden="false" customHeight="true" outlineLevel="0" collapsed="false">
      <c r="A278" s="0" t="n">
        <v>57</v>
      </c>
      <c r="B278" s="188" t="n">
        <v>46194.5735928701</v>
      </c>
      <c r="C278" s="188" t="n">
        <v>46194.5820303701</v>
      </c>
      <c r="D278" s="189" t="s">
        <v>615</v>
      </c>
      <c r="E278" s="189" t="s">
        <v>616</v>
      </c>
      <c r="F278" s="189" t="s">
        <v>617</v>
      </c>
      <c r="G278" s="189" t="s">
        <v>618</v>
      </c>
      <c r="H278" s="188" t="n">
        <v>46193</v>
      </c>
      <c r="I278" s="189" t="s">
        <v>325</v>
      </c>
      <c r="J278" s="189" t="s">
        <v>108</v>
      </c>
      <c r="K278" s="189" t="s">
        <v>257</v>
      </c>
      <c r="L278" s="189" t="s">
        <v>431</v>
      </c>
      <c r="M278" s="189" t="s">
        <v>406</v>
      </c>
      <c r="N278" s="189" t="s">
        <v>111</v>
      </c>
      <c r="O278" s="189" t="s">
        <v>107</v>
      </c>
      <c r="P278" s="189" t="s">
        <v>111</v>
      </c>
      <c r="Q278" s="189" t="s">
        <v>145</v>
      </c>
      <c r="R278" s="189" t="s">
        <v>25</v>
      </c>
      <c r="S278" s="189" t="s">
        <v>152</v>
      </c>
      <c r="T278" s="189" t="s">
        <v>121</v>
      </c>
      <c r="U278" s="189" t="s">
        <v>122</v>
      </c>
      <c r="V278" s="189" t="s">
        <v>167</v>
      </c>
      <c r="W278" s="189" t="s">
        <v>124</v>
      </c>
      <c r="X278" s="189" t="s">
        <v>327</v>
      </c>
      <c r="Y278" s="189" t="s">
        <v>2110</v>
      </c>
      <c r="Z278" s="0" t="n">
        <v>2</v>
      </c>
      <c r="AA278" s="189" t="s">
        <v>2112</v>
      </c>
    </row>
    <row r="279" customFormat="false" ht="15" hidden="false" customHeight="true" outlineLevel="0" collapsed="false">
      <c r="A279" s="0" t="n">
        <v>57</v>
      </c>
      <c r="B279" s="188" t="n">
        <v>46194.5735928701</v>
      </c>
      <c r="C279" s="188" t="n">
        <v>46194.5820303701</v>
      </c>
      <c r="D279" s="189" t="s">
        <v>615</v>
      </c>
      <c r="E279" s="189" t="s">
        <v>616</v>
      </c>
      <c r="F279" s="189" t="s">
        <v>617</v>
      </c>
      <c r="G279" s="189" t="s">
        <v>618</v>
      </c>
      <c r="H279" s="188" t="n">
        <v>46193</v>
      </c>
      <c r="I279" s="189" t="s">
        <v>325</v>
      </c>
      <c r="J279" s="189" t="s">
        <v>108</v>
      </c>
      <c r="K279" s="189" t="s">
        <v>257</v>
      </c>
      <c r="L279" s="189" t="s">
        <v>431</v>
      </c>
      <c r="M279" s="189" t="s">
        <v>406</v>
      </c>
      <c r="N279" s="189" t="s">
        <v>111</v>
      </c>
      <c r="O279" s="189" t="s">
        <v>107</v>
      </c>
      <c r="P279" s="189" t="s">
        <v>111</v>
      </c>
      <c r="Q279" s="189" t="s">
        <v>145</v>
      </c>
      <c r="R279" s="189" t="s">
        <v>25</v>
      </c>
      <c r="S279" s="189" t="s">
        <v>152</v>
      </c>
      <c r="T279" s="189" t="s">
        <v>121</v>
      </c>
      <c r="U279" s="189" t="s">
        <v>122</v>
      </c>
      <c r="V279" s="189" t="s">
        <v>167</v>
      </c>
      <c r="W279" s="189" t="s">
        <v>124</v>
      </c>
      <c r="X279" s="189" t="s">
        <v>327</v>
      </c>
      <c r="Y279" s="189" t="s">
        <v>2113</v>
      </c>
      <c r="Z279" s="0" t="n">
        <v>1</v>
      </c>
      <c r="AA279" s="189" t="s">
        <v>2152</v>
      </c>
    </row>
    <row r="280" customFormat="false" ht="15" hidden="false" customHeight="true" outlineLevel="0" collapsed="false">
      <c r="A280" s="0" t="n">
        <v>58</v>
      </c>
      <c r="B280" s="188" t="n">
        <v>46145.4416896892</v>
      </c>
      <c r="C280" s="188" t="n">
        <v>46145.4601619114</v>
      </c>
      <c r="D280" s="189" t="s">
        <v>622</v>
      </c>
      <c r="E280" s="189" t="s">
        <v>623</v>
      </c>
      <c r="F280" s="189" t="s">
        <v>623</v>
      </c>
      <c r="G280" s="189" t="s">
        <v>624</v>
      </c>
      <c r="H280" s="188" t="n">
        <v>46140</v>
      </c>
      <c r="I280" s="189" t="s">
        <v>113</v>
      </c>
      <c r="J280" s="189" t="s">
        <v>108</v>
      </c>
      <c r="K280" s="189" t="s">
        <v>232</v>
      </c>
      <c r="L280" s="189" t="s">
        <v>389</v>
      </c>
      <c r="M280" s="189" t="s">
        <v>286</v>
      </c>
      <c r="N280" s="189" t="s">
        <v>625</v>
      </c>
      <c r="O280" s="189" t="s">
        <v>172</v>
      </c>
      <c r="P280" s="189" t="s">
        <v>111</v>
      </c>
      <c r="Q280" s="189" t="s">
        <v>247</v>
      </c>
      <c r="R280" s="189" t="s">
        <v>22</v>
      </c>
      <c r="S280" s="189" t="s">
        <v>152</v>
      </c>
      <c r="T280" s="189" t="s">
        <v>121</v>
      </c>
      <c r="V280" s="189" t="s">
        <v>123</v>
      </c>
      <c r="W280" s="189" t="s">
        <v>124</v>
      </c>
      <c r="X280" s="189" t="s">
        <v>135</v>
      </c>
      <c r="Y280" s="189" t="s">
        <v>2108</v>
      </c>
      <c r="Z280" s="0" t="n">
        <v>1</v>
      </c>
      <c r="AA280" s="189" t="s">
        <v>2116</v>
      </c>
    </row>
    <row r="281" customFormat="false" ht="15" hidden="false" customHeight="true" outlineLevel="0" collapsed="false">
      <c r="A281" s="0" t="n">
        <v>58</v>
      </c>
      <c r="B281" s="188" t="n">
        <v>46145.4416896892</v>
      </c>
      <c r="C281" s="188" t="n">
        <v>46145.4601619114</v>
      </c>
      <c r="D281" s="189" t="s">
        <v>622</v>
      </c>
      <c r="E281" s="189" t="s">
        <v>623</v>
      </c>
      <c r="F281" s="189" t="s">
        <v>623</v>
      </c>
      <c r="G281" s="189" t="s">
        <v>624</v>
      </c>
      <c r="H281" s="188" t="n">
        <v>46140</v>
      </c>
      <c r="I281" s="189" t="s">
        <v>113</v>
      </c>
      <c r="J281" s="189" t="s">
        <v>108</v>
      </c>
      <c r="K281" s="189" t="s">
        <v>232</v>
      </c>
      <c r="L281" s="189" t="s">
        <v>389</v>
      </c>
      <c r="M281" s="189" t="s">
        <v>286</v>
      </c>
      <c r="N281" s="189" t="s">
        <v>625</v>
      </c>
      <c r="O281" s="189" t="s">
        <v>172</v>
      </c>
      <c r="P281" s="189" t="s">
        <v>111</v>
      </c>
      <c r="Q281" s="189" t="s">
        <v>247</v>
      </c>
      <c r="R281" s="189" t="s">
        <v>22</v>
      </c>
      <c r="S281" s="189" t="s">
        <v>152</v>
      </c>
      <c r="T281" s="189" t="s">
        <v>121</v>
      </c>
      <c r="V281" s="189" t="s">
        <v>123</v>
      </c>
      <c r="W281" s="189" t="s">
        <v>124</v>
      </c>
      <c r="X281" s="189" t="s">
        <v>135</v>
      </c>
      <c r="Y281" s="189" t="s">
        <v>2110</v>
      </c>
      <c r="Z281" s="0" t="n">
        <v>1</v>
      </c>
      <c r="AA281" s="189" t="s">
        <v>2195</v>
      </c>
    </row>
    <row r="282" customFormat="false" ht="15" hidden="false" customHeight="true" outlineLevel="0" collapsed="false">
      <c r="A282" s="0" t="n">
        <v>58</v>
      </c>
      <c r="B282" s="188" t="n">
        <v>46145.4416896892</v>
      </c>
      <c r="C282" s="188" t="n">
        <v>46145.4601619114</v>
      </c>
      <c r="D282" s="189" t="s">
        <v>622</v>
      </c>
      <c r="E282" s="189" t="s">
        <v>623</v>
      </c>
      <c r="F282" s="189" t="s">
        <v>623</v>
      </c>
      <c r="G282" s="189" t="s">
        <v>624</v>
      </c>
      <c r="H282" s="188" t="n">
        <v>46140</v>
      </c>
      <c r="I282" s="189" t="s">
        <v>113</v>
      </c>
      <c r="J282" s="189" t="s">
        <v>108</v>
      </c>
      <c r="K282" s="189" t="s">
        <v>232</v>
      </c>
      <c r="L282" s="189" t="s">
        <v>389</v>
      </c>
      <c r="M282" s="189" t="s">
        <v>286</v>
      </c>
      <c r="N282" s="189" t="s">
        <v>625</v>
      </c>
      <c r="O282" s="189" t="s">
        <v>172</v>
      </c>
      <c r="P282" s="189" t="s">
        <v>111</v>
      </c>
      <c r="Q282" s="189" t="s">
        <v>247</v>
      </c>
      <c r="R282" s="189" t="s">
        <v>22</v>
      </c>
      <c r="S282" s="189" t="s">
        <v>152</v>
      </c>
      <c r="T282" s="189" t="s">
        <v>121</v>
      </c>
      <c r="V282" s="189" t="s">
        <v>123</v>
      </c>
      <c r="W282" s="189" t="s">
        <v>124</v>
      </c>
      <c r="X282" s="189" t="s">
        <v>135</v>
      </c>
      <c r="Y282" s="189" t="s">
        <v>2110</v>
      </c>
      <c r="Z282" s="0" t="n">
        <v>2</v>
      </c>
      <c r="AA282" s="189" t="s">
        <v>2236</v>
      </c>
    </row>
    <row r="283" customFormat="false" ht="15" hidden="false" customHeight="true" outlineLevel="0" collapsed="false">
      <c r="A283" s="0" t="n">
        <v>58</v>
      </c>
      <c r="B283" s="188" t="n">
        <v>46145.4416896892</v>
      </c>
      <c r="C283" s="188" t="n">
        <v>46145.4601619114</v>
      </c>
      <c r="D283" s="189" t="s">
        <v>622</v>
      </c>
      <c r="E283" s="189" t="s">
        <v>623</v>
      </c>
      <c r="F283" s="189" t="s">
        <v>623</v>
      </c>
      <c r="G283" s="189" t="s">
        <v>624</v>
      </c>
      <c r="H283" s="188" t="n">
        <v>46140</v>
      </c>
      <c r="I283" s="189" t="s">
        <v>113</v>
      </c>
      <c r="J283" s="189" t="s">
        <v>108</v>
      </c>
      <c r="K283" s="189" t="s">
        <v>232</v>
      </c>
      <c r="L283" s="189" t="s">
        <v>389</v>
      </c>
      <c r="M283" s="189" t="s">
        <v>286</v>
      </c>
      <c r="N283" s="189" t="s">
        <v>625</v>
      </c>
      <c r="O283" s="189" t="s">
        <v>172</v>
      </c>
      <c r="P283" s="189" t="s">
        <v>111</v>
      </c>
      <c r="Q283" s="189" t="s">
        <v>247</v>
      </c>
      <c r="R283" s="189" t="s">
        <v>22</v>
      </c>
      <c r="S283" s="189" t="s">
        <v>152</v>
      </c>
      <c r="T283" s="189" t="s">
        <v>121</v>
      </c>
      <c r="V283" s="189" t="s">
        <v>123</v>
      </c>
      <c r="W283" s="189" t="s">
        <v>124</v>
      </c>
      <c r="X283" s="189" t="s">
        <v>135</v>
      </c>
      <c r="Y283" s="189" t="s">
        <v>2113</v>
      </c>
      <c r="Z283" s="0" t="n">
        <v>1</v>
      </c>
      <c r="AA283" s="189" t="s">
        <v>2256</v>
      </c>
    </row>
    <row r="284" customFormat="false" ht="15" hidden="false" customHeight="true" outlineLevel="0" collapsed="false">
      <c r="A284" s="0" t="n">
        <v>59</v>
      </c>
      <c r="B284" s="188" t="n">
        <v>46205.1717682057</v>
      </c>
      <c r="C284" s="188" t="n">
        <v>46205.1799973723</v>
      </c>
      <c r="D284" s="189" t="s">
        <v>629</v>
      </c>
      <c r="E284" s="189" t="s">
        <v>630</v>
      </c>
      <c r="F284" s="189" t="s">
        <v>630</v>
      </c>
      <c r="G284" s="189" t="s">
        <v>631</v>
      </c>
      <c r="H284" s="188" t="n">
        <v>46191</v>
      </c>
      <c r="I284" s="189" t="s">
        <v>325</v>
      </c>
      <c r="J284" s="189" t="s">
        <v>108</v>
      </c>
      <c r="K284" s="189" t="s">
        <v>462</v>
      </c>
      <c r="L284" s="189" t="s">
        <v>431</v>
      </c>
      <c r="M284" s="189" t="s">
        <v>612</v>
      </c>
      <c r="N284" s="189" t="s">
        <v>347</v>
      </c>
      <c r="O284" s="189" t="s">
        <v>278</v>
      </c>
      <c r="P284" s="189" t="s">
        <v>390</v>
      </c>
      <c r="Q284" s="189" t="s">
        <v>112</v>
      </c>
      <c r="R284" s="189" t="s">
        <v>24</v>
      </c>
      <c r="S284" s="189" t="s">
        <v>152</v>
      </c>
      <c r="T284" s="189" t="s">
        <v>121</v>
      </c>
      <c r="V284" s="189" t="s">
        <v>192</v>
      </c>
      <c r="W284" s="189" t="s">
        <v>124</v>
      </c>
      <c r="X284" s="189" t="s">
        <v>223</v>
      </c>
      <c r="Y284" s="189" t="s">
        <v>2108</v>
      </c>
      <c r="Z284" s="0" t="n">
        <v>1</v>
      </c>
      <c r="AA284" s="189" t="s">
        <v>2164</v>
      </c>
    </row>
    <row r="285" customFormat="false" ht="15" hidden="false" customHeight="true" outlineLevel="0" collapsed="false">
      <c r="A285" s="0" t="n">
        <v>59</v>
      </c>
      <c r="B285" s="188" t="n">
        <v>46205.1717682057</v>
      </c>
      <c r="C285" s="188" t="n">
        <v>46205.1799973723</v>
      </c>
      <c r="D285" s="189" t="s">
        <v>629</v>
      </c>
      <c r="E285" s="189" t="s">
        <v>630</v>
      </c>
      <c r="F285" s="189" t="s">
        <v>630</v>
      </c>
      <c r="G285" s="189" t="s">
        <v>631</v>
      </c>
      <c r="H285" s="188" t="n">
        <v>46191</v>
      </c>
      <c r="I285" s="189" t="s">
        <v>325</v>
      </c>
      <c r="J285" s="189" t="s">
        <v>108</v>
      </c>
      <c r="K285" s="189" t="s">
        <v>462</v>
      </c>
      <c r="L285" s="189" t="s">
        <v>431</v>
      </c>
      <c r="M285" s="189" t="s">
        <v>612</v>
      </c>
      <c r="N285" s="189" t="s">
        <v>347</v>
      </c>
      <c r="O285" s="189" t="s">
        <v>278</v>
      </c>
      <c r="P285" s="189" t="s">
        <v>390</v>
      </c>
      <c r="Q285" s="189" t="s">
        <v>112</v>
      </c>
      <c r="R285" s="189" t="s">
        <v>24</v>
      </c>
      <c r="S285" s="189" t="s">
        <v>152</v>
      </c>
      <c r="T285" s="189" t="s">
        <v>121</v>
      </c>
      <c r="V285" s="189" t="s">
        <v>192</v>
      </c>
      <c r="W285" s="189" t="s">
        <v>124</v>
      </c>
      <c r="X285" s="189" t="s">
        <v>223</v>
      </c>
      <c r="Y285" s="189" t="s">
        <v>2110</v>
      </c>
      <c r="Z285" s="0" t="n">
        <v>1</v>
      </c>
      <c r="AA285" s="189" t="s">
        <v>2257</v>
      </c>
    </row>
    <row r="286" customFormat="false" ht="15" hidden="false" customHeight="true" outlineLevel="0" collapsed="false">
      <c r="A286" s="0" t="n">
        <v>59</v>
      </c>
      <c r="B286" s="188" t="n">
        <v>46205.1717682057</v>
      </c>
      <c r="C286" s="188" t="n">
        <v>46205.1799973723</v>
      </c>
      <c r="D286" s="189" t="s">
        <v>629</v>
      </c>
      <c r="E286" s="189" t="s">
        <v>630</v>
      </c>
      <c r="F286" s="189" t="s">
        <v>630</v>
      </c>
      <c r="G286" s="189" t="s">
        <v>631</v>
      </c>
      <c r="H286" s="188" t="n">
        <v>46191</v>
      </c>
      <c r="I286" s="189" t="s">
        <v>325</v>
      </c>
      <c r="J286" s="189" t="s">
        <v>108</v>
      </c>
      <c r="K286" s="189" t="s">
        <v>462</v>
      </c>
      <c r="L286" s="189" t="s">
        <v>431</v>
      </c>
      <c r="M286" s="189" t="s">
        <v>612</v>
      </c>
      <c r="N286" s="189" t="s">
        <v>347</v>
      </c>
      <c r="O286" s="189" t="s">
        <v>278</v>
      </c>
      <c r="P286" s="189" t="s">
        <v>390</v>
      </c>
      <c r="Q286" s="189" t="s">
        <v>112</v>
      </c>
      <c r="R286" s="189" t="s">
        <v>24</v>
      </c>
      <c r="S286" s="189" t="s">
        <v>152</v>
      </c>
      <c r="T286" s="189" t="s">
        <v>121</v>
      </c>
      <c r="V286" s="189" t="s">
        <v>192</v>
      </c>
      <c r="W286" s="189" t="s">
        <v>124</v>
      </c>
      <c r="X286" s="189" t="s">
        <v>223</v>
      </c>
      <c r="Y286" s="189" t="s">
        <v>2110</v>
      </c>
      <c r="Z286" s="0" t="n">
        <v>2</v>
      </c>
      <c r="AA286" s="189" t="s">
        <v>2215</v>
      </c>
    </row>
    <row r="287" customFormat="false" ht="15" hidden="false" customHeight="true" outlineLevel="0" collapsed="false">
      <c r="A287" s="0" t="n">
        <v>59</v>
      </c>
      <c r="B287" s="188" t="n">
        <v>46205.1717682057</v>
      </c>
      <c r="C287" s="188" t="n">
        <v>46205.1799973723</v>
      </c>
      <c r="D287" s="189" t="s">
        <v>629</v>
      </c>
      <c r="E287" s="189" t="s">
        <v>630</v>
      </c>
      <c r="F287" s="189" t="s">
        <v>630</v>
      </c>
      <c r="G287" s="189" t="s">
        <v>631</v>
      </c>
      <c r="H287" s="188" t="n">
        <v>46191</v>
      </c>
      <c r="I287" s="189" t="s">
        <v>325</v>
      </c>
      <c r="J287" s="189" t="s">
        <v>108</v>
      </c>
      <c r="K287" s="189" t="s">
        <v>462</v>
      </c>
      <c r="L287" s="189" t="s">
        <v>431</v>
      </c>
      <c r="M287" s="189" t="s">
        <v>612</v>
      </c>
      <c r="N287" s="189" t="s">
        <v>347</v>
      </c>
      <c r="O287" s="189" t="s">
        <v>278</v>
      </c>
      <c r="P287" s="189" t="s">
        <v>390</v>
      </c>
      <c r="Q287" s="189" t="s">
        <v>112</v>
      </c>
      <c r="R287" s="189" t="s">
        <v>24</v>
      </c>
      <c r="S287" s="189" t="s">
        <v>152</v>
      </c>
      <c r="T287" s="189" t="s">
        <v>121</v>
      </c>
      <c r="V287" s="189" t="s">
        <v>192</v>
      </c>
      <c r="W287" s="189" t="s">
        <v>124</v>
      </c>
      <c r="X287" s="189" t="s">
        <v>223</v>
      </c>
      <c r="Y287" s="189" t="s">
        <v>2113</v>
      </c>
      <c r="Z287" s="0" t="n">
        <v>1</v>
      </c>
      <c r="AA287" s="189" t="s">
        <v>2194</v>
      </c>
    </row>
    <row r="288" customFormat="false" ht="15" hidden="false" customHeight="true" outlineLevel="0" collapsed="false">
      <c r="A288" s="0" t="n">
        <v>60</v>
      </c>
      <c r="B288" s="188" t="n">
        <v>46196.1886271716</v>
      </c>
      <c r="C288" s="188" t="n">
        <v>46196.204622542</v>
      </c>
      <c r="D288" s="189" t="s">
        <v>635</v>
      </c>
      <c r="E288" s="189" t="s">
        <v>636</v>
      </c>
      <c r="F288" s="189" t="s">
        <v>636</v>
      </c>
      <c r="G288" s="189" t="s">
        <v>637</v>
      </c>
      <c r="H288" s="188" t="n">
        <v>46178</v>
      </c>
      <c r="I288" s="189" t="s">
        <v>113</v>
      </c>
      <c r="J288" s="189" t="s">
        <v>295</v>
      </c>
      <c r="K288" s="189" t="s">
        <v>232</v>
      </c>
      <c r="L288" s="189" t="s">
        <v>389</v>
      </c>
      <c r="M288" s="189" t="s">
        <v>279</v>
      </c>
      <c r="N288" s="189" t="s">
        <v>638</v>
      </c>
      <c r="O288" s="189" t="s">
        <v>172</v>
      </c>
      <c r="P288" s="189" t="s">
        <v>131</v>
      </c>
      <c r="Q288" s="189" t="s">
        <v>112</v>
      </c>
      <c r="R288" s="189" t="s">
        <v>22</v>
      </c>
      <c r="S288" s="189" t="s">
        <v>120</v>
      </c>
      <c r="T288" s="189" t="s">
        <v>180</v>
      </c>
      <c r="U288" s="132" t="s">
        <v>641</v>
      </c>
      <c r="V288" s="189" t="s">
        <v>167</v>
      </c>
      <c r="W288" s="189" t="s">
        <v>124</v>
      </c>
      <c r="X288" s="189" t="s">
        <v>135</v>
      </c>
      <c r="Y288" s="189" t="s">
        <v>2108</v>
      </c>
      <c r="Z288" s="0" t="n">
        <v>1</v>
      </c>
      <c r="AA288" s="189" t="s">
        <v>2227</v>
      </c>
    </row>
    <row r="289" customFormat="false" ht="15" hidden="false" customHeight="true" outlineLevel="0" collapsed="false">
      <c r="A289" s="0" t="n">
        <v>60</v>
      </c>
      <c r="B289" s="188" t="n">
        <v>46196.1886271716</v>
      </c>
      <c r="C289" s="188" t="n">
        <v>46196.204622542</v>
      </c>
      <c r="D289" s="189" t="s">
        <v>635</v>
      </c>
      <c r="E289" s="189" t="s">
        <v>636</v>
      </c>
      <c r="F289" s="189" t="s">
        <v>636</v>
      </c>
      <c r="G289" s="189" t="s">
        <v>637</v>
      </c>
      <c r="H289" s="188" t="n">
        <v>46178</v>
      </c>
      <c r="I289" s="189" t="s">
        <v>113</v>
      </c>
      <c r="J289" s="189" t="s">
        <v>295</v>
      </c>
      <c r="K289" s="189" t="s">
        <v>232</v>
      </c>
      <c r="L289" s="189" t="s">
        <v>389</v>
      </c>
      <c r="M289" s="189" t="s">
        <v>279</v>
      </c>
      <c r="N289" s="189" t="s">
        <v>638</v>
      </c>
      <c r="O289" s="189" t="s">
        <v>172</v>
      </c>
      <c r="P289" s="189" t="s">
        <v>131</v>
      </c>
      <c r="Q289" s="189" t="s">
        <v>112</v>
      </c>
      <c r="R289" s="189" t="s">
        <v>22</v>
      </c>
      <c r="S289" s="189" t="s">
        <v>120</v>
      </c>
      <c r="T289" s="189" t="s">
        <v>180</v>
      </c>
      <c r="U289" s="132" t="s">
        <v>641</v>
      </c>
      <c r="V289" s="189" t="s">
        <v>167</v>
      </c>
      <c r="W289" s="189" t="s">
        <v>124</v>
      </c>
      <c r="X289" s="189" t="s">
        <v>135</v>
      </c>
      <c r="Y289" s="189" t="s">
        <v>2108</v>
      </c>
      <c r="Z289" s="0" t="n">
        <v>2</v>
      </c>
      <c r="AA289" s="189" t="s">
        <v>2116</v>
      </c>
    </row>
    <row r="290" customFormat="false" ht="15" hidden="false" customHeight="true" outlineLevel="0" collapsed="false">
      <c r="A290" s="0" t="n">
        <v>60</v>
      </c>
      <c r="B290" s="188" t="n">
        <v>46196.1886271716</v>
      </c>
      <c r="C290" s="188" t="n">
        <v>46196.204622542</v>
      </c>
      <c r="D290" s="189" t="s">
        <v>635</v>
      </c>
      <c r="E290" s="189" t="s">
        <v>636</v>
      </c>
      <c r="F290" s="189" t="s">
        <v>636</v>
      </c>
      <c r="G290" s="189" t="s">
        <v>637</v>
      </c>
      <c r="H290" s="188" t="n">
        <v>46178</v>
      </c>
      <c r="I290" s="189" t="s">
        <v>113</v>
      </c>
      <c r="J290" s="189" t="s">
        <v>295</v>
      </c>
      <c r="K290" s="189" t="s">
        <v>232</v>
      </c>
      <c r="L290" s="189" t="s">
        <v>389</v>
      </c>
      <c r="M290" s="189" t="s">
        <v>279</v>
      </c>
      <c r="N290" s="189" t="s">
        <v>638</v>
      </c>
      <c r="O290" s="189" t="s">
        <v>172</v>
      </c>
      <c r="P290" s="189" t="s">
        <v>131</v>
      </c>
      <c r="Q290" s="189" t="s">
        <v>112</v>
      </c>
      <c r="R290" s="189" t="s">
        <v>22</v>
      </c>
      <c r="S290" s="189" t="s">
        <v>120</v>
      </c>
      <c r="T290" s="189" t="s">
        <v>180</v>
      </c>
      <c r="U290" s="132" t="s">
        <v>641</v>
      </c>
      <c r="V290" s="189" t="s">
        <v>167</v>
      </c>
      <c r="W290" s="189" t="s">
        <v>124</v>
      </c>
      <c r="X290" s="189" t="s">
        <v>135</v>
      </c>
      <c r="Y290" s="189" t="s">
        <v>2108</v>
      </c>
      <c r="Z290" s="0" t="n">
        <v>3</v>
      </c>
      <c r="AA290" s="189" t="s">
        <v>2115</v>
      </c>
    </row>
    <row r="291" customFormat="false" ht="15" hidden="false" customHeight="true" outlineLevel="0" collapsed="false">
      <c r="A291" s="0" t="n">
        <v>60</v>
      </c>
      <c r="B291" s="188" t="n">
        <v>46196.1886271716</v>
      </c>
      <c r="C291" s="188" t="n">
        <v>46196.204622542</v>
      </c>
      <c r="D291" s="189" t="s">
        <v>635</v>
      </c>
      <c r="E291" s="189" t="s">
        <v>636</v>
      </c>
      <c r="F291" s="189" t="s">
        <v>636</v>
      </c>
      <c r="G291" s="189" t="s">
        <v>637</v>
      </c>
      <c r="H291" s="188" t="n">
        <v>46178</v>
      </c>
      <c r="I291" s="189" t="s">
        <v>113</v>
      </c>
      <c r="J291" s="189" t="s">
        <v>295</v>
      </c>
      <c r="K291" s="189" t="s">
        <v>232</v>
      </c>
      <c r="L291" s="189" t="s">
        <v>389</v>
      </c>
      <c r="M291" s="189" t="s">
        <v>279</v>
      </c>
      <c r="N291" s="189" t="s">
        <v>638</v>
      </c>
      <c r="O291" s="189" t="s">
        <v>172</v>
      </c>
      <c r="P291" s="189" t="s">
        <v>131</v>
      </c>
      <c r="Q291" s="189" t="s">
        <v>112</v>
      </c>
      <c r="R291" s="189" t="s">
        <v>22</v>
      </c>
      <c r="S291" s="189" t="s">
        <v>120</v>
      </c>
      <c r="T291" s="189" t="s">
        <v>180</v>
      </c>
      <c r="U291" s="132" t="s">
        <v>641</v>
      </c>
      <c r="V291" s="189" t="s">
        <v>167</v>
      </c>
      <c r="W291" s="189" t="s">
        <v>124</v>
      </c>
      <c r="X291" s="189" t="s">
        <v>135</v>
      </c>
      <c r="Y291" s="189" t="s">
        <v>2110</v>
      </c>
      <c r="Z291" s="0" t="n">
        <v>1</v>
      </c>
      <c r="AA291" s="189" t="s">
        <v>2195</v>
      </c>
    </row>
    <row r="292" customFormat="false" ht="15" hidden="false" customHeight="true" outlineLevel="0" collapsed="false">
      <c r="A292" s="0" t="n">
        <v>60</v>
      </c>
      <c r="B292" s="188" t="n">
        <v>46196.1886271716</v>
      </c>
      <c r="C292" s="188" t="n">
        <v>46196.204622542</v>
      </c>
      <c r="D292" s="189" t="s">
        <v>635</v>
      </c>
      <c r="E292" s="189" t="s">
        <v>636</v>
      </c>
      <c r="F292" s="189" t="s">
        <v>636</v>
      </c>
      <c r="G292" s="189" t="s">
        <v>637</v>
      </c>
      <c r="H292" s="188" t="n">
        <v>46178</v>
      </c>
      <c r="I292" s="189" t="s">
        <v>113</v>
      </c>
      <c r="J292" s="189" t="s">
        <v>295</v>
      </c>
      <c r="K292" s="189" t="s">
        <v>232</v>
      </c>
      <c r="L292" s="189" t="s">
        <v>389</v>
      </c>
      <c r="M292" s="189" t="s">
        <v>279</v>
      </c>
      <c r="N292" s="189" t="s">
        <v>638</v>
      </c>
      <c r="O292" s="189" t="s">
        <v>172</v>
      </c>
      <c r="P292" s="189" t="s">
        <v>131</v>
      </c>
      <c r="Q292" s="189" t="s">
        <v>112</v>
      </c>
      <c r="R292" s="189" t="s">
        <v>22</v>
      </c>
      <c r="S292" s="189" t="s">
        <v>120</v>
      </c>
      <c r="T292" s="189" t="s">
        <v>180</v>
      </c>
      <c r="U292" s="132" t="s">
        <v>641</v>
      </c>
      <c r="V292" s="189" t="s">
        <v>167</v>
      </c>
      <c r="W292" s="189" t="s">
        <v>124</v>
      </c>
      <c r="X292" s="189" t="s">
        <v>135</v>
      </c>
      <c r="Y292" s="189" t="s">
        <v>2113</v>
      </c>
      <c r="Z292" s="0" t="n">
        <v>1</v>
      </c>
      <c r="AA292" s="189" t="s">
        <v>2196</v>
      </c>
    </row>
    <row r="293" customFormat="false" ht="15" hidden="false" customHeight="true" outlineLevel="0" collapsed="false">
      <c r="A293" s="0" t="n">
        <v>61</v>
      </c>
      <c r="B293" s="188" t="n">
        <v>46144.1918039185</v>
      </c>
      <c r="C293" s="188" t="n">
        <v>46144.2036441962</v>
      </c>
      <c r="D293" s="189" t="s">
        <v>642</v>
      </c>
      <c r="E293" s="189" t="s">
        <v>643</v>
      </c>
      <c r="F293" s="189" t="s">
        <v>643</v>
      </c>
      <c r="G293" s="189" t="s">
        <v>644</v>
      </c>
      <c r="H293" s="188" t="n">
        <v>46131</v>
      </c>
      <c r="I293" s="189" t="s">
        <v>113</v>
      </c>
      <c r="J293" s="189" t="s">
        <v>108</v>
      </c>
      <c r="K293" s="189" t="s">
        <v>196</v>
      </c>
      <c r="L293" s="189" t="s">
        <v>197</v>
      </c>
      <c r="M293" s="189" t="s">
        <v>234</v>
      </c>
      <c r="N293" s="189" t="s">
        <v>645</v>
      </c>
      <c r="O293" s="189" t="s">
        <v>244</v>
      </c>
      <c r="P293" s="189" t="s">
        <v>111</v>
      </c>
      <c r="Q293" s="189" t="s">
        <v>112</v>
      </c>
      <c r="R293" s="189" t="s">
        <v>22</v>
      </c>
      <c r="S293" s="189" t="s">
        <v>152</v>
      </c>
      <c r="T293" s="189" t="s">
        <v>121</v>
      </c>
      <c r="V293" s="189" t="s">
        <v>167</v>
      </c>
      <c r="W293" s="189" t="s">
        <v>124</v>
      </c>
      <c r="X293" s="189" t="s">
        <v>271</v>
      </c>
      <c r="Y293" s="189" t="s">
        <v>2108</v>
      </c>
      <c r="Z293" s="0" t="n">
        <v>1</v>
      </c>
      <c r="AA293" s="189" t="s">
        <v>2179</v>
      </c>
    </row>
    <row r="294" customFormat="false" ht="15" hidden="false" customHeight="true" outlineLevel="0" collapsed="false">
      <c r="A294" s="0" t="n">
        <v>61</v>
      </c>
      <c r="B294" s="188" t="n">
        <v>46144.1918039185</v>
      </c>
      <c r="C294" s="188" t="n">
        <v>46144.2036441962</v>
      </c>
      <c r="D294" s="189" t="s">
        <v>642</v>
      </c>
      <c r="E294" s="189" t="s">
        <v>643</v>
      </c>
      <c r="F294" s="189" t="s">
        <v>643</v>
      </c>
      <c r="G294" s="189" t="s">
        <v>644</v>
      </c>
      <c r="H294" s="188" t="n">
        <v>46131</v>
      </c>
      <c r="I294" s="189" t="s">
        <v>113</v>
      </c>
      <c r="J294" s="189" t="s">
        <v>108</v>
      </c>
      <c r="K294" s="189" t="s">
        <v>196</v>
      </c>
      <c r="L294" s="189" t="s">
        <v>197</v>
      </c>
      <c r="M294" s="189" t="s">
        <v>234</v>
      </c>
      <c r="N294" s="189" t="s">
        <v>645</v>
      </c>
      <c r="O294" s="189" t="s">
        <v>244</v>
      </c>
      <c r="P294" s="189" t="s">
        <v>111</v>
      </c>
      <c r="Q294" s="189" t="s">
        <v>112</v>
      </c>
      <c r="R294" s="189" t="s">
        <v>22</v>
      </c>
      <c r="S294" s="189" t="s">
        <v>152</v>
      </c>
      <c r="T294" s="189" t="s">
        <v>121</v>
      </c>
      <c r="V294" s="189" t="s">
        <v>167</v>
      </c>
      <c r="W294" s="189" t="s">
        <v>124</v>
      </c>
      <c r="X294" s="189" t="s">
        <v>271</v>
      </c>
      <c r="Y294" s="189" t="s">
        <v>2110</v>
      </c>
      <c r="Z294" s="0" t="n">
        <v>1</v>
      </c>
      <c r="AA294" s="189" t="s">
        <v>2160</v>
      </c>
    </row>
    <row r="295" customFormat="false" ht="15" hidden="false" customHeight="true" outlineLevel="0" collapsed="false">
      <c r="A295" s="0" t="n">
        <v>61</v>
      </c>
      <c r="B295" s="188" t="n">
        <v>46144.1918039185</v>
      </c>
      <c r="C295" s="188" t="n">
        <v>46144.2036441962</v>
      </c>
      <c r="D295" s="189" t="s">
        <v>642</v>
      </c>
      <c r="E295" s="189" t="s">
        <v>643</v>
      </c>
      <c r="F295" s="189" t="s">
        <v>643</v>
      </c>
      <c r="G295" s="189" t="s">
        <v>644</v>
      </c>
      <c r="H295" s="188" t="n">
        <v>46131</v>
      </c>
      <c r="I295" s="189" t="s">
        <v>113</v>
      </c>
      <c r="J295" s="189" t="s">
        <v>108</v>
      </c>
      <c r="K295" s="189" t="s">
        <v>196</v>
      </c>
      <c r="L295" s="189" t="s">
        <v>197</v>
      </c>
      <c r="M295" s="189" t="s">
        <v>234</v>
      </c>
      <c r="N295" s="189" t="s">
        <v>645</v>
      </c>
      <c r="O295" s="189" t="s">
        <v>244</v>
      </c>
      <c r="P295" s="189" t="s">
        <v>111</v>
      </c>
      <c r="Q295" s="189" t="s">
        <v>112</v>
      </c>
      <c r="R295" s="189" t="s">
        <v>22</v>
      </c>
      <c r="S295" s="189" t="s">
        <v>152</v>
      </c>
      <c r="T295" s="189" t="s">
        <v>121</v>
      </c>
      <c r="V295" s="189" t="s">
        <v>167</v>
      </c>
      <c r="W295" s="189" t="s">
        <v>124</v>
      </c>
      <c r="X295" s="189" t="s">
        <v>271</v>
      </c>
      <c r="Y295" s="189" t="s">
        <v>2110</v>
      </c>
      <c r="Z295" s="0" t="n">
        <v>2</v>
      </c>
      <c r="AA295" s="189" t="s">
        <v>2181</v>
      </c>
    </row>
    <row r="296" customFormat="false" ht="15" hidden="false" customHeight="true" outlineLevel="0" collapsed="false">
      <c r="A296" s="0" t="n">
        <v>61</v>
      </c>
      <c r="B296" s="188" t="n">
        <v>46144.1918039185</v>
      </c>
      <c r="C296" s="188" t="n">
        <v>46144.2036441962</v>
      </c>
      <c r="D296" s="189" t="s">
        <v>642</v>
      </c>
      <c r="E296" s="189" t="s">
        <v>643</v>
      </c>
      <c r="F296" s="189" t="s">
        <v>643</v>
      </c>
      <c r="G296" s="189" t="s">
        <v>644</v>
      </c>
      <c r="H296" s="188" t="n">
        <v>46131</v>
      </c>
      <c r="I296" s="189" t="s">
        <v>113</v>
      </c>
      <c r="J296" s="189" t="s">
        <v>108</v>
      </c>
      <c r="K296" s="189" t="s">
        <v>196</v>
      </c>
      <c r="L296" s="189" t="s">
        <v>197</v>
      </c>
      <c r="M296" s="189" t="s">
        <v>234</v>
      </c>
      <c r="N296" s="189" t="s">
        <v>645</v>
      </c>
      <c r="O296" s="189" t="s">
        <v>244</v>
      </c>
      <c r="P296" s="189" t="s">
        <v>111</v>
      </c>
      <c r="Q296" s="189" t="s">
        <v>112</v>
      </c>
      <c r="R296" s="189" t="s">
        <v>22</v>
      </c>
      <c r="S296" s="189" t="s">
        <v>152</v>
      </c>
      <c r="T296" s="189" t="s">
        <v>121</v>
      </c>
      <c r="V296" s="189" t="s">
        <v>167</v>
      </c>
      <c r="W296" s="189" t="s">
        <v>124</v>
      </c>
      <c r="X296" s="189" t="s">
        <v>271</v>
      </c>
      <c r="Y296" s="189" t="s">
        <v>2113</v>
      </c>
      <c r="Z296" s="0" t="n">
        <v>1</v>
      </c>
      <c r="AA296" s="189" t="s">
        <v>122</v>
      </c>
    </row>
    <row r="297" customFormat="false" ht="15" hidden="false" customHeight="true" outlineLevel="0" collapsed="false">
      <c r="A297" s="0" t="n">
        <v>61</v>
      </c>
      <c r="B297" s="188" t="n">
        <v>46144.1918039185</v>
      </c>
      <c r="C297" s="188" t="n">
        <v>46144.2036441962</v>
      </c>
      <c r="D297" s="189" t="s">
        <v>642</v>
      </c>
      <c r="E297" s="189" t="s">
        <v>643</v>
      </c>
      <c r="F297" s="189" t="s">
        <v>643</v>
      </c>
      <c r="G297" s="189" t="s">
        <v>644</v>
      </c>
      <c r="H297" s="188" t="n">
        <v>46131</v>
      </c>
      <c r="I297" s="189" t="s">
        <v>113</v>
      </c>
      <c r="J297" s="189" t="s">
        <v>108</v>
      </c>
      <c r="K297" s="189" t="s">
        <v>196</v>
      </c>
      <c r="L297" s="189" t="s">
        <v>197</v>
      </c>
      <c r="M297" s="189" t="s">
        <v>234</v>
      </c>
      <c r="N297" s="189" t="s">
        <v>645</v>
      </c>
      <c r="O297" s="189" t="s">
        <v>244</v>
      </c>
      <c r="P297" s="189" t="s">
        <v>111</v>
      </c>
      <c r="Q297" s="189" t="s">
        <v>112</v>
      </c>
      <c r="R297" s="189" t="s">
        <v>22</v>
      </c>
      <c r="S297" s="189" t="s">
        <v>152</v>
      </c>
      <c r="T297" s="189" t="s">
        <v>121</v>
      </c>
      <c r="V297" s="189" t="s">
        <v>167</v>
      </c>
      <c r="W297" s="189" t="s">
        <v>124</v>
      </c>
      <c r="X297" s="189" t="s">
        <v>271</v>
      </c>
      <c r="Y297" s="189" t="s">
        <v>2113</v>
      </c>
      <c r="Z297" s="0" t="n">
        <v>2</v>
      </c>
      <c r="AA297" s="189" t="s">
        <v>2163</v>
      </c>
    </row>
    <row r="298" customFormat="false" ht="15" hidden="false" customHeight="true" outlineLevel="0" collapsed="false">
      <c r="A298" s="0" t="n">
        <v>62</v>
      </c>
      <c r="B298" s="188" t="n">
        <v>46126.0455251729</v>
      </c>
      <c r="C298" s="188" t="n">
        <v>46126.0544256359</v>
      </c>
      <c r="D298" s="189" t="s">
        <v>649</v>
      </c>
      <c r="E298" s="189" t="s">
        <v>650</v>
      </c>
      <c r="F298" s="189" t="s">
        <v>650</v>
      </c>
      <c r="G298" s="189" t="s">
        <v>651</v>
      </c>
      <c r="H298" s="188" t="n">
        <v>46118</v>
      </c>
      <c r="I298" s="189" t="s">
        <v>113</v>
      </c>
      <c r="J298" s="189" t="s">
        <v>108</v>
      </c>
      <c r="K298" s="189" t="s">
        <v>245</v>
      </c>
      <c r="L298" s="189" t="s">
        <v>491</v>
      </c>
      <c r="M298" s="189" t="s">
        <v>652</v>
      </c>
      <c r="N298" s="189" t="s">
        <v>653</v>
      </c>
      <c r="O298" s="189" t="s">
        <v>172</v>
      </c>
      <c r="P298" s="189" t="s">
        <v>211</v>
      </c>
      <c r="Q298" s="189" t="s">
        <v>145</v>
      </c>
      <c r="R298" s="189" t="s">
        <v>21</v>
      </c>
      <c r="S298" s="189" t="s">
        <v>152</v>
      </c>
      <c r="T298" s="189" t="s">
        <v>352</v>
      </c>
      <c r="V298" s="189" t="s">
        <v>167</v>
      </c>
      <c r="W298" s="189" t="s">
        <v>124</v>
      </c>
      <c r="X298" s="189" t="s">
        <v>374</v>
      </c>
      <c r="Y298" s="189" t="s">
        <v>2108</v>
      </c>
      <c r="Z298" s="0" t="n">
        <v>1</v>
      </c>
      <c r="AA298" s="189" t="s">
        <v>2198</v>
      </c>
    </row>
    <row r="299" customFormat="false" ht="15" hidden="false" customHeight="true" outlineLevel="0" collapsed="false">
      <c r="A299" s="0" t="n">
        <v>62</v>
      </c>
      <c r="B299" s="188" t="n">
        <v>46126.0455251729</v>
      </c>
      <c r="C299" s="188" t="n">
        <v>46126.0544256359</v>
      </c>
      <c r="D299" s="189" t="s">
        <v>649</v>
      </c>
      <c r="E299" s="189" t="s">
        <v>650</v>
      </c>
      <c r="F299" s="189" t="s">
        <v>650</v>
      </c>
      <c r="G299" s="189" t="s">
        <v>651</v>
      </c>
      <c r="H299" s="188" t="n">
        <v>46118</v>
      </c>
      <c r="I299" s="189" t="s">
        <v>113</v>
      </c>
      <c r="J299" s="189" t="s">
        <v>108</v>
      </c>
      <c r="K299" s="189" t="s">
        <v>245</v>
      </c>
      <c r="L299" s="189" t="s">
        <v>491</v>
      </c>
      <c r="M299" s="189" t="s">
        <v>652</v>
      </c>
      <c r="N299" s="189" t="s">
        <v>653</v>
      </c>
      <c r="O299" s="189" t="s">
        <v>172</v>
      </c>
      <c r="P299" s="189" t="s">
        <v>211</v>
      </c>
      <c r="Q299" s="189" t="s">
        <v>145</v>
      </c>
      <c r="R299" s="189" t="s">
        <v>21</v>
      </c>
      <c r="S299" s="189" t="s">
        <v>152</v>
      </c>
      <c r="T299" s="189" t="s">
        <v>352</v>
      </c>
      <c r="V299" s="189" t="s">
        <v>167</v>
      </c>
      <c r="W299" s="189" t="s">
        <v>124</v>
      </c>
      <c r="X299" s="189" t="s">
        <v>374</v>
      </c>
      <c r="Y299" s="189" t="s">
        <v>2108</v>
      </c>
      <c r="Z299" s="0" t="n">
        <v>2</v>
      </c>
      <c r="AA299" s="189" t="s">
        <v>2197</v>
      </c>
    </row>
    <row r="300" customFormat="false" ht="15" hidden="false" customHeight="true" outlineLevel="0" collapsed="false">
      <c r="A300" s="0" t="n">
        <v>62</v>
      </c>
      <c r="B300" s="188" t="n">
        <v>46126.0455251729</v>
      </c>
      <c r="C300" s="188" t="n">
        <v>46126.0544256359</v>
      </c>
      <c r="D300" s="189" t="s">
        <v>649</v>
      </c>
      <c r="E300" s="189" t="s">
        <v>650</v>
      </c>
      <c r="F300" s="189" t="s">
        <v>650</v>
      </c>
      <c r="G300" s="189" t="s">
        <v>651</v>
      </c>
      <c r="H300" s="188" t="n">
        <v>46118</v>
      </c>
      <c r="I300" s="189" t="s">
        <v>113</v>
      </c>
      <c r="J300" s="189" t="s">
        <v>108</v>
      </c>
      <c r="K300" s="189" t="s">
        <v>245</v>
      </c>
      <c r="L300" s="189" t="s">
        <v>491</v>
      </c>
      <c r="M300" s="189" t="s">
        <v>652</v>
      </c>
      <c r="N300" s="189" t="s">
        <v>653</v>
      </c>
      <c r="O300" s="189" t="s">
        <v>172</v>
      </c>
      <c r="P300" s="189" t="s">
        <v>211</v>
      </c>
      <c r="Q300" s="189" t="s">
        <v>145</v>
      </c>
      <c r="R300" s="189" t="s">
        <v>21</v>
      </c>
      <c r="S300" s="189" t="s">
        <v>152</v>
      </c>
      <c r="T300" s="189" t="s">
        <v>352</v>
      </c>
      <c r="V300" s="189" t="s">
        <v>167</v>
      </c>
      <c r="W300" s="189" t="s">
        <v>124</v>
      </c>
      <c r="X300" s="189" t="s">
        <v>374</v>
      </c>
      <c r="Y300" s="189" t="s">
        <v>2108</v>
      </c>
      <c r="Z300" s="0" t="n">
        <v>3</v>
      </c>
      <c r="AA300" s="189" t="s">
        <v>2199</v>
      </c>
    </row>
    <row r="301" customFormat="false" ht="15" hidden="false" customHeight="true" outlineLevel="0" collapsed="false">
      <c r="A301" s="0" t="n">
        <v>62</v>
      </c>
      <c r="B301" s="188" t="n">
        <v>46126.0455251729</v>
      </c>
      <c r="C301" s="188" t="n">
        <v>46126.0544256359</v>
      </c>
      <c r="D301" s="189" t="s">
        <v>649</v>
      </c>
      <c r="E301" s="189" t="s">
        <v>650</v>
      </c>
      <c r="F301" s="189" t="s">
        <v>650</v>
      </c>
      <c r="G301" s="189" t="s">
        <v>651</v>
      </c>
      <c r="H301" s="188" t="n">
        <v>46118</v>
      </c>
      <c r="I301" s="189" t="s">
        <v>113</v>
      </c>
      <c r="J301" s="189" t="s">
        <v>108</v>
      </c>
      <c r="K301" s="189" t="s">
        <v>245</v>
      </c>
      <c r="L301" s="189" t="s">
        <v>491</v>
      </c>
      <c r="M301" s="189" t="s">
        <v>652</v>
      </c>
      <c r="N301" s="189" t="s">
        <v>653</v>
      </c>
      <c r="O301" s="189" t="s">
        <v>172</v>
      </c>
      <c r="P301" s="189" t="s">
        <v>211</v>
      </c>
      <c r="Q301" s="189" t="s">
        <v>145</v>
      </c>
      <c r="R301" s="189" t="s">
        <v>21</v>
      </c>
      <c r="S301" s="189" t="s">
        <v>152</v>
      </c>
      <c r="T301" s="189" t="s">
        <v>352</v>
      </c>
      <c r="V301" s="189" t="s">
        <v>167</v>
      </c>
      <c r="W301" s="189" t="s">
        <v>124</v>
      </c>
      <c r="X301" s="189" t="s">
        <v>374</v>
      </c>
      <c r="Y301" s="189" t="s">
        <v>2110</v>
      </c>
      <c r="Z301" s="0" t="n">
        <v>1</v>
      </c>
      <c r="AA301" s="189" t="s">
        <v>2258</v>
      </c>
    </row>
    <row r="302" customFormat="false" ht="15" hidden="false" customHeight="true" outlineLevel="0" collapsed="false">
      <c r="A302" s="0" t="n">
        <v>62</v>
      </c>
      <c r="B302" s="188" t="n">
        <v>46126.0455251729</v>
      </c>
      <c r="C302" s="188" t="n">
        <v>46126.0544256359</v>
      </c>
      <c r="D302" s="189" t="s">
        <v>649</v>
      </c>
      <c r="E302" s="189" t="s">
        <v>650</v>
      </c>
      <c r="F302" s="189" t="s">
        <v>650</v>
      </c>
      <c r="G302" s="189" t="s">
        <v>651</v>
      </c>
      <c r="H302" s="188" t="n">
        <v>46118</v>
      </c>
      <c r="I302" s="189" t="s">
        <v>113</v>
      </c>
      <c r="J302" s="189" t="s">
        <v>108</v>
      </c>
      <c r="K302" s="189" t="s">
        <v>245</v>
      </c>
      <c r="L302" s="189" t="s">
        <v>491</v>
      </c>
      <c r="M302" s="189" t="s">
        <v>652</v>
      </c>
      <c r="N302" s="189" t="s">
        <v>653</v>
      </c>
      <c r="O302" s="189" t="s">
        <v>172</v>
      </c>
      <c r="P302" s="189" t="s">
        <v>211</v>
      </c>
      <c r="Q302" s="189" t="s">
        <v>145</v>
      </c>
      <c r="R302" s="189" t="s">
        <v>21</v>
      </c>
      <c r="S302" s="189" t="s">
        <v>152</v>
      </c>
      <c r="T302" s="189" t="s">
        <v>352</v>
      </c>
      <c r="V302" s="189" t="s">
        <v>167</v>
      </c>
      <c r="W302" s="189" t="s">
        <v>124</v>
      </c>
      <c r="X302" s="189" t="s">
        <v>374</v>
      </c>
      <c r="Y302" s="189" t="s">
        <v>2113</v>
      </c>
      <c r="Z302" s="0" t="n">
        <v>1</v>
      </c>
      <c r="AA302" s="189" t="s">
        <v>2201</v>
      </c>
    </row>
    <row r="303" customFormat="false" ht="15" hidden="false" customHeight="true" outlineLevel="0" collapsed="false">
      <c r="A303" s="0" t="n">
        <v>62</v>
      </c>
      <c r="B303" s="188" t="n">
        <v>46126.0455251729</v>
      </c>
      <c r="C303" s="188" t="n">
        <v>46126.0544256359</v>
      </c>
      <c r="D303" s="189" t="s">
        <v>649</v>
      </c>
      <c r="E303" s="189" t="s">
        <v>650</v>
      </c>
      <c r="F303" s="189" t="s">
        <v>650</v>
      </c>
      <c r="G303" s="189" t="s">
        <v>651</v>
      </c>
      <c r="H303" s="188" t="n">
        <v>46118</v>
      </c>
      <c r="I303" s="189" t="s">
        <v>113</v>
      </c>
      <c r="J303" s="189" t="s">
        <v>108</v>
      </c>
      <c r="K303" s="189" t="s">
        <v>245</v>
      </c>
      <c r="L303" s="189" t="s">
        <v>491</v>
      </c>
      <c r="M303" s="189" t="s">
        <v>652</v>
      </c>
      <c r="N303" s="189" t="s">
        <v>653</v>
      </c>
      <c r="O303" s="189" t="s">
        <v>172</v>
      </c>
      <c r="P303" s="189" t="s">
        <v>211</v>
      </c>
      <c r="Q303" s="189" t="s">
        <v>145</v>
      </c>
      <c r="R303" s="189" t="s">
        <v>21</v>
      </c>
      <c r="S303" s="189" t="s">
        <v>152</v>
      </c>
      <c r="T303" s="189" t="s">
        <v>352</v>
      </c>
      <c r="V303" s="189" t="s">
        <v>167</v>
      </c>
      <c r="W303" s="189" t="s">
        <v>124</v>
      </c>
      <c r="X303" s="189" t="s">
        <v>374</v>
      </c>
      <c r="Y303" s="189" t="s">
        <v>2113</v>
      </c>
      <c r="Z303" s="0" t="n">
        <v>2</v>
      </c>
      <c r="AA303" s="189" t="s">
        <v>2202</v>
      </c>
    </row>
    <row r="304" customFormat="false" ht="15" hidden="false" customHeight="true" outlineLevel="0" collapsed="false">
      <c r="A304" s="0" t="n">
        <v>63</v>
      </c>
      <c r="B304" s="188" t="n">
        <v>46149.5678612118</v>
      </c>
      <c r="C304" s="188" t="n">
        <v>46149.5804422303</v>
      </c>
      <c r="D304" s="189" t="s">
        <v>656</v>
      </c>
      <c r="E304" s="189" t="s">
        <v>657</v>
      </c>
      <c r="F304" s="189" t="s">
        <v>657</v>
      </c>
      <c r="G304" s="189" t="s">
        <v>658</v>
      </c>
      <c r="H304" s="188" t="n">
        <v>46145</v>
      </c>
      <c r="I304" s="189" t="s">
        <v>336</v>
      </c>
      <c r="J304" s="189" t="s">
        <v>108</v>
      </c>
      <c r="K304" s="189" t="s">
        <v>245</v>
      </c>
      <c r="L304" s="189" t="s">
        <v>389</v>
      </c>
      <c r="M304" s="189" t="s">
        <v>391</v>
      </c>
      <c r="N304" s="189" t="s">
        <v>440</v>
      </c>
      <c r="O304" s="189" t="s">
        <v>107</v>
      </c>
      <c r="P304" s="189" t="s">
        <v>111</v>
      </c>
      <c r="Q304" s="189" t="s">
        <v>112</v>
      </c>
      <c r="R304" s="189" t="s">
        <v>22</v>
      </c>
      <c r="S304" s="189" t="s">
        <v>320</v>
      </c>
      <c r="T304" s="189" t="s">
        <v>121</v>
      </c>
      <c r="U304" s="189" t="s">
        <v>122</v>
      </c>
      <c r="V304" s="189" t="s">
        <v>167</v>
      </c>
      <c r="W304" s="189" t="s">
        <v>139</v>
      </c>
      <c r="X304" s="189" t="s">
        <v>148</v>
      </c>
      <c r="Y304" s="189" t="s">
        <v>2108</v>
      </c>
      <c r="Z304" s="0" t="n">
        <v>1</v>
      </c>
      <c r="AA304" s="189" t="s">
        <v>2120</v>
      </c>
    </row>
    <row r="305" customFormat="false" ht="15" hidden="false" customHeight="true" outlineLevel="0" collapsed="false">
      <c r="A305" s="0" t="n">
        <v>63</v>
      </c>
      <c r="B305" s="188" t="n">
        <v>46149.5678612118</v>
      </c>
      <c r="C305" s="188" t="n">
        <v>46149.5804422303</v>
      </c>
      <c r="D305" s="189" t="s">
        <v>656</v>
      </c>
      <c r="E305" s="189" t="s">
        <v>657</v>
      </c>
      <c r="F305" s="189" t="s">
        <v>657</v>
      </c>
      <c r="G305" s="189" t="s">
        <v>658</v>
      </c>
      <c r="H305" s="188" t="n">
        <v>46145</v>
      </c>
      <c r="I305" s="189" t="s">
        <v>336</v>
      </c>
      <c r="J305" s="189" t="s">
        <v>108</v>
      </c>
      <c r="K305" s="189" t="s">
        <v>245</v>
      </c>
      <c r="L305" s="189" t="s">
        <v>389</v>
      </c>
      <c r="M305" s="189" t="s">
        <v>391</v>
      </c>
      <c r="N305" s="189" t="s">
        <v>440</v>
      </c>
      <c r="O305" s="189" t="s">
        <v>107</v>
      </c>
      <c r="P305" s="189" t="s">
        <v>111</v>
      </c>
      <c r="Q305" s="189" t="s">
        <v>112</v>
      </c>
      <c r="R305" s="189" t="s">
        <v>22</v>
      </c>
      <c r="S305" s="189" t="s">
        <v>320</v>
      </c>
      <c r="T305" s="189" t="s">
        <v>121</v>
      </c>
      <c r="U305" s="189" t="s">
        <v>122</v>
      </c>
      <c r="V305" s="189" t="s">
        <v>167</v>
      </c>
      <c r="W305" s="189" t="s">
        <v>139</v>
      </c>
      <c r="X305" s="189" t="s">
        <v>148</v>
      </c>
      <c r="Y305" s="189" t="s">
        <v>2108</v>
      </c>
      <c r="Z305" s="0" t="n">
        <v>2</v>
      </c>
      <c r="AA305" s="189" t="s">
        <v>2136</v>
      </c>
    </row>
    <row r="306" customFormat="false" ht="15" hidden="false" customHeight="true" outlineLevel="0" collapsed="false">
      <c r="A306" s="0" t="n">
        <v>63</v>
      </c>
      <c r="B306" s="188" t="n">
        <v>46149.5678612118</v>
      </c>
      <c r="C306" s="188" t="n">
        <v>46149.5804422303</v>
      </c>
      <c r="D306" s="189" t="s">
        <v>656</v>
      </c>
      <c r="E306" s="189" t="s">
        <v>657</v>
      </c>
      <c r="F306" s="189" t="s">
        <v>657</v>
      </c>
      <c r="G306" s="189" t="s">
        <v>658</v>
      </c>
      <c r="H306" s="188" t="n">
        <v>46145</v>
      </c>
      <c r="I306" s="189" t="s">
        <v>336</v>
      </c>
      <c r="J306" s="189" t="s">
        <v>108</v>
      </c>
      <c r="K306" s="189" t="s">
        <v>245</v>
      </c>
      <c r="L306" s="189" t="s">
        <v>389</v>
      </c>
      <c r="M306" s="189" t="s">
        <v>391</v>
      </c>
      <c r="N306" s="189" t="s">
        <v>440</v>
      </c>
      <c r="O306" s="189" t="s">
        <v>107</v>
      </c>
      <c r="P306" s="189" t="s">
        <v>111</v>
      </c>
      <c r="Q306" s="189" t="s">
        <v>112</v>
      </c>
      <c r="R306" s="189" t="s">
        <v>22</v>
      </c>
      <c r="S306" s="189" t="s">
        <v>320</v>
      </c>
      <c r="T306" s="189" t="s">
        <v>121</v>
      </c>
      <c r="U306" s="189" t="s">
        <v>122</v>
      </c>
      <c r="V306" s="189" t="s">
        <v>167</v>
      </c>
      <c r="W306" s="189" t="s">
        <v>139</v>
      </c>
      <c r="X306" s="189" t="s">
        <v>148</v>
      </c>
      <c r="Y306" s="189" t="s">
        <v>2108</v>
      </c>
      <c r="Z306" s="0" t="n">
        <v>3</v>
      </c>
      <c r="AA306" s="189" t="s">
        <v>2230</v>
      </c>
    </row>
    <row r="307" customFormat="false" ht="15" hidden="false" customHeight="true" outlineLevel="0" collapsed="false">
      <c r="A307" s="0" t="n">
        <v>63</v>
      </c>
      <c r="B307" s="188" t="n">
        <v>46149.5678612118</v>
      </c>
      <c r="C307" s="188" t="n">
        <v>46149.5804422303</v>
      </c>
      <c r="D307" s="189" t="s">
        <v>656</v>
      </c>
      <c r="E307" s="189" t="s">
        <v>657</v>
      </c>
      <c r="F307" s="189" t="s">
        <v>657</v>
      </c>
      <c r="G307" s="189" t="s">
        <v>658</v>
      </c>
      <c r="H307" s="188" t="n">
        <v>46145</v>
      </c>
      <c r="I307" s="189" t="s">
        <v>336</v>
      </c>
      <c r="J307" s="189" t="s">
        <v>108</v>
      </c>
      <c r="K307" s="189" t="s">
        <v>245</v>
      </c>
      <c r="L307" s="189" t="s">
        <v>389</v>
      </c>
      <c r="M307" s="189" t="s">
        <v>391</v>
      </c>
      <c r="N307" s="189" t="s">
        <v>440</v>
      </c>
      <c r="O307" s="189" t="s">
        <v>107</v>
      </c>
      <c r="P307" s="189" t="s">
        <v>111</v>
      </c>
      <c r="Q307" s="189" t="s">
        <v>112</v>
      </c>
      <c r="R307" s="189" t="s">
        <v>22</v>
      </c>
      <c r="S307" s="189" t="s">
        <v>320</v>
      </c>
      <c r="T307" s="189" t="s">
        <v>121</v>
      </c>
      <c r="U307" s="189" t="s">
        <v>122</v>
      </c>
      <c r="V307" s="189" t="s">
        <v>167</v>
      </c>
      <c r="W307" s="189" t="s">
        <v>139</v>
      </c>
      <c r="X307" s="189" t="s">
        <v>148</v>
      </c>
      <c r="Y307" s="189" t="s">
        <v>2110</v>
      </c>
      <c r="Z307" s="0" t="n">
        <v>1</v>
      </c>
      <c r="AA307" s="189" t="s">
        <v>2121</v>
      </c>
    </row>
    <row r="308" customFormat="false" ht="15" hidden="false" customHeight="true" outlineLevel="0" collapsed="false">
      <c r="A308" s="0" t="n">
        <v>63</v>
      </c>
      <c r="B308" s="188" t="n">
        <v>46149.5678612118</v>
      </c>
      <c r="C308" s="188" t="n">
        <v>46149.5804422303</v>
      </c>
      <c r="D308" s="189" t="s">
        <v>656</v>
      </c>
      <c r="E308" s="189" t="s">
        <v>657</v>
      </c>
      <c r="F308" s="189" t="s">
        <v>657</v>
      </c>
      <c r="G308" s="189" t="s">
        <v>658</v>
      </c>
      <c r="H308" s="188" t="n">
        <v>46145</v>
      </c>
      <c r="I308" s="189" t="s">
        <v>336</v>
      </c>
      <c r="J308" s="189" t="s">
        <v>108</v>
      </c>
      <c r="K308" s="189" t="s">
        <v>245</v>
      </c>
      <c r="L308" s="189" t="s">
        <v>389</v>
      </c>
      <c r="M308" s="189" t="s">
        <v>391</v>
      </c>
      <c r="N308" s="189" t="s">
        <v>440</v>
      </c>
      <c r="O308" s="189" t="s">
        <v>107</v>
      </c>
      <c r="P308" s="189" t="s">
        <v>111</v>
      </c>
      <c r="Q308" s="189" t="s">
        <v>112</v>
      </c>
      <c r="R308" s="189" t="s">
        <v>22</v>
      </c>
      <c r="S308" s="189" t="s">
        <v>320</v>
      </c>
      <c r="T308" s="189" t="s">
        <v>121</v>
      </c>
      <c r="U308" s="189" t="s">
        <v>122</v>
      </c>
      <c r="V308" s="189" t="s">
        <v>167</v>
      </c>
      <c r="W308" s="189" t="s">
        <v>139</v>
      </c>
      <c r="X308" s="189" t="s">
        <v>148</v>
      </c>
      <c r="Y308" s="189" t="s">
        <v>2113</v>
      </c>
      <c r="Z308" s="0" t="n">
        <v>1</v>
      </c>
      <c r="AA308" s="189" t="s">
        <v>2138</v>
      </c>
    </row>
    <row r="309" customFormat="false" ht="15" hidden="false" customHeight="true" outlineLevel="0" collapsed="false">
      <c r="A309" s="0" t="n">
        <v>63</v>
      </c>
      <c r="B309" s="188" t="n">
        <v>46149.5678612118</v>
      </c>
      <c r="C309" s="188" t="n">
        <v>46149.5804422303</v>
      </c>
      <c r="D309" s="189" t="s">
        <v>656</v>
      </c>
      <c r="E309" s="189" t="s">
        <v>657</v>
      </c>
      <c r="F309" s="189" t="s">
        <v>657</v>
      </c>
      <c r="G309" s="189" t="s">
        <v>658</v>
      </c>
      <c r="H309" s="188" t="n">
        <v>46145</v>
      </c>
      <c r="I309" s="189" t="s">
        <v>336</v>
      </c>
      <c r="J309" s="189" t="s">
        <v>108</v>
      </c>
      <c r="K309" s="189" t="s">
        <v>245</v>
      </c>
      <c r="L309" s="189" t="s">
        <v>389</v>
      </c>
      <c r="M309" s="189" t="s">
        <v>391</v>
      </c>
      <c r="N309" s="189" t="s">
        <v>440</v>
      </c>
      <c r="O309" s="189" t="s">
        <v>107</v>
      </c>
      <c r="P309" s="189" t="s">
        <v>111</v>
      </c>
      <c r="Q309" s="189" t="s">
        <v>112</v>
      </c>
      <c r="R309" s="189" t="s">
        <v>22</v>
      </c>
      <c r="S309" s="189" t="s">
        <v>320</v>
      </c>
      <c r="T309" s="189" t="s">
        <v>121</v>
      </c>
      <c r="U309" s="189" t="s">
        <v>122</v>
      </c>
      <c r="V309" s="189" t="s">
        <v>167</v>
      </c>
      <c r="W309" s="189" t="s">
        <v>139</v>
      </c>
      <c r="X309" s="189" t="s">
        <v>148</v>
      </c>
      <c r="Y309" s="189" t="s">
        <v>2113</v>
      </c>
      <c r="Z309" s="0" t="n">
        <v>2</v>
      </c>
      <c r="AA309" s="189" t="s">
        <v>2232</v>
      </c>
    </row>
    <row r="310" customFormat="false" ht="15" hidden="false" customHeight="true" outlineLevel="0" collapsed="false">
      <c r="A310" s="0" t="n">
        <v>64</v>
      </c>
      <c r="B310" s="188" t="n">
        <v>46094.6790033151</v>
      </c>
      <c r="C310" s="188" t="n">
        <v>46094.6829269262</v>
      </c>
      <c r="D310" s="189" t="s">
        <v>662</v>
      </c>
      <c r="E310" s="189" t="s">
        <v>663</v>
      </c>
      <c r="F310" s="189" t="s">
        <v>663</v>
      </c>
      <c r="G310" s="189" t="s">
        <v>664</v>
      </c>
      <c r="H310" s="188" t="n">
        <v>46074</v>
      </c>
      <c r="I310" s="189" t="s">
        <v>113</v>
      </c>
      <c r="J310" s="189" t="s">
        <v>108</v>
      </c>
      <c r="K310" s="189" t="s">
        <v>196</v>
      </c>
      <c r="L310" s="189" t="s">
        <v>346</v>
      </c>
      <c r="M310" s="189" t="s">
        <v>160</v>
      </c>
      <c r="N310" s="189" t="s">
        <v>665</v>
      </c>
      <c r="O310" s="189" t="s">
        <v>244</v>
      </c>
      <c r="P310" s="189" t="s">
        <v>111</v>
      </c>
      <c r="Q310" s="189" t="s">
        <v>112</v>
      </c>
      <c r="R310" s="189" t="s">
        <v>22</v>
      </c>
      <c r="S310" s="189" t="s">
        <v>152</v>
      </c>
      <c r="T310" s="189" t="s">
        <v>180</v>
      </c>
      <c r="V310" s="189" t="s">
        <v>123</v>
      </c>
      <c r="W310" s="189" t="s">
        <v>124</v>
      </c>
      <c r="X310" s="189" t="s">
        <v>298</v>
      </c>
      <c r="Y310" s="189" t="s">
        <v>2108</v>
      </c>
      <c r="Z310" s="0" t="n">
        <v>1</v>
      </c>
      <c r="AA310" s="189" t="s">
        <v>2251</v>
      </c>
    </row>
    <row r="311" customFormat="false" ht="15" hidden="false" customHeight="true" outlineLevel="0" collapsed="false">
      <c r="A311" s="0" t="n">
        <v>64</v>
      </c>
      <c r="B311" s="188" t="n">
        <v>46094.6790033151</v>
      </c>
      <c r="C311" s="188" t="n">
        <v>46094.6829269262</v>
      </c>
      <c r="D311" s="189" t="s">
        <v>662</v>
      </c>
      <c r="E311" s="189" t="s">
        <v>663</v>
      </c>
      <c r="F311" s="189" t="s">
        <v>663</v>
      </c>
      <c r="G311" s="189" t="s">
        <v>664</v>
      </c>
      <c r="H311" s="188" t="n">
        <v>46074</v>
      </c>
      <c r="I311" s="189" t="s">
        <v>113</v>
      </c>
      <c r="J311" s="189" t="s">
        <v>108</v>
      </c>
      <c r="K311" s="189" t="s">
        <v>196</v>
      </c>
      <c r="L311" s="189" t="s">
        <v>346</v>
      </c>
      <c r="M311" s="189" t="s">
        <v>160</v>
      </c>
      <c r="N311" s="189" t="s">
        <v>665</v>
      </c>
      <c r="O311" s="189" t="s">
        <v>244</v>
      </c>
      <c r="P311" s="189" t="s">
        <v>111</v>
      </c>
      <c r="Q311" s="189" t="s">
        <v>112</v>
      </c>
      <c r="R311" s="189" t="s">
        <v>22</v>
      </c>
      <c r="S311" s="189" t="s">
        <v>152</v>
      </c>
      <c r="T311" s="189" t="s">
        <v>180</v>
      </c>
      <c r="V311" s="189" t="s">
        <v>123</v>
      </c>
      <c r="W311" s="189" t="s">
        <v>124</v>
      </c>
      <c r="X311" s="189" t="s">
        <v>298</v>
      </c>
      <c r="Y311" s="189" t="s">
        <v>2110</v>
      </c>
      <c r="Z311" s="0" t="n">
        <v>1</v>
      </c>
      <c r="AA311" s="189" t="s">
        <v>2240</v>
      </c>
    </row>
    <row r="312" customFormat="false" ht="15" hidden="false" customHeight="true" outlineLevel="0" collapsed="false">
      <c r="A312" s="0" t="n">
        <v>64</v>
      </c>
      <c r="B312" s="188" t="n">
        <v>46094.6790033151</v>
      </c>
      <c r="C312" s="188" t="n">
        <v>46094.6829269262</v>
      </c>
      <c r="D312" s="189" t="s">
        <v>662</v>
      </c>
      <c r="E312" s="189" t="s">
        <v>663</v>
      </c>
      <c r="F312" s="189" t="s">
        <v>663</v>
      </c>
      <c r="G312" s="189" t="s">
        <v>664</v>
      </c>
      <c r="H312" s="188" t="n">
        <v>46074</v>
      </c>
      <c r="I312" s="189" t="s">
        <v>113</v>
      </c>
      <c r="J312" s="189" t="s">
        <v>108</v>
      </c>
      <c r="K312" s="189" t="s">
        <v>196</v>
      </c>
      <c r="L312" s="189" t="s">
        <v>346</v>
      </c>
      <c r="M312" s="189" t="s">
        <v>160</v>
      </c>
      <c r="N312" s="189" t="s">
        <v>665</v>
      </c>
      <c r="O312" s="189" t="s">
        <v>244</v>
      </c>
      <c r="P312" s="189" t="s">
        <v>111</v>
      </c>
      <c r="Q312" s="189" t="s">
        <v>112</v>
      </c>
      <c r="R312" s="189" t="s">
        <v>22</v>
      </c>
      <c r="S312" s="189" t="s">
        <v>152</v>
      </c>
      <c r="T312" s="189" t="s">
        <v>180</v>
      </c>
      <c r="V312" s="189" t="s">
        <v>123</v>
      </c>
      <c r="W312" s="189" t="s">
        <v>124</v>
      </c>
      <c r="X312" s="189" t="s">
        <v>298</v>
      </c>
      <c r="Y312" s="189" t="s">
        <v>2110</v>
      </c>
      <c r="Z312" s="0" t="n">
        <v>2</v>
      </c>
      <c r="AA312" s="189" t="s">
        <v>2170</v>
      </c>
    </row>
    <row r="313" customFormat="false" ht="15" hidden="false" customHeight="true" outlineLevel="0" collapsed="false">
      <c r="A313" s="0" t="n">
        <v>64</v>
      </c>
      <c r="B313" s="188" t="n">
        <v>46094.6790033151</v>
      </c>
      <c r="C313" s="188" t="n">
        <v>46094.6829269262</v>
      </c>
      <c r="D313" s="189" t="s">
        <v>662</v>
      </c>
      <c r="E313" s="189" t="s">
        <v>663</v>
      </c>
      <c r="F313" s="189" t="s">
        <v>663</v>
      </c>
      <c r="G313" s="189" t="s">
        <v>664</v>
      </c>
      <c r="H313" s="188" t="n">
        <v>46074</v>
      </c>
      <c r="I313" s="189" t="s">
        <v>113</v>
      </c>
      <c r="J313" s="189" t="s">
        <v>108</v>
      </c>
      <c r="K313" s="189" t="s">
        <v>196</v>
      </c>
      <c r="L313" s="189" t="s">
        <v>346</v>
      </c>
      <c r="M313" s="189" t="s">
        <v>160</v>
      </c>
      <c r="N313" s="189" t="s">
        <v>665</v>
      </c>
      <c r="O313" s="189" t="s">
        <v>244</v>
      </c>
      <c r="P313" s="189" t="s">
        <v>111</v>
      </c>
      <c r="Q313" s="189" t="s">
        <v>112</v>
      </c>
      <c r="R313" s="189" t="s">
        <v>22</v>
      </c>
      <c r="S313" s="189" t="s">
        <v>152</v>
      </c>
      <c r="T313" s="189" t="s">
        <v>180</v>
      </c>
      <c r="V313" s="189" t="s">
        <v>123</v>
      </c>
      <c r="W313" s="189" t="s">
        <v>124</v>
      </c>
      <c r="X313" s="189" t="s">
        <v>298</v>
      </c>
      <c r="Y313" s="189" t="s">
        <v>2113</v>
      </c>
      <c r="Z313" s="0" t="n">
        <v>1</v>
      </c>
      <c r="AA313" s="189" t="s">
        <v>2259</v>
      </c>
    </row>
    <row r="314" customFormat="false" ht="15" hidden="false" customHeight="true" outlineLevel="0" collapsed="false">
      <c r="A314" s="0" t="n">
        <v>65</v>
      </c>
      <c r="B314" s="188" t="n">
        <v>46169.0877292806</v>
      </c>
      <c r="C314" s="188" t="n">
        <v>46169.0949977991</v>
      </c>
      <c r="D314" s="189" t="s">
        <v>669</v>
      </c>
      <c r="E314" s="189" t="s">
        <v>670</v>
      </c>
      <c r="F314" s="189" t="s">
        <v>670</v>
      </c>
      <c r="G314" s="189" t="s">
        <v>671</v>
      </c>
      <c r="H314" s="188" t="n">
        <v>46162</v>
      </c>
      <c r="I314" s="189" t="s">
        <v>113</v>
      </c>
      <c r="J314" s="189" t="s">
        <v>108</v>
      </c>
      <c r="K314" s="189" t="s">
        <v>173</v>
      </c>
      <c r="L314" s="189" t="s">
        <v>346</v>
      </c>
      <c r="M314" s="189" t="s">
        <v>566</v>
      </c>
      <c r="N314" s="189" t="s">
        <v>672</v>
      </c>
      <c r="O314" s="189" t="s">
        <v>172</v>
      </c>
      <c r="P314" s="189" t="s">
        <v>111</v>
      </c>
      <c r="Q314" s="189" t="s">
        <v>145</v>
      </c>
      <c r="R314" s="189" t="s">
        <v>22</v>
      </c>
      <c r="S314" s="189" t="s">
        <v>227</v>
      </c>
      <c r="T314" s="189" t="s">
        <v>121</v>
      </c>
      <c r="U314" s="189" t="s">
        <v>122</v>
      </c>
      <c r="V314" s="189" t="s">
        <v>123</v>
      </c>
      <c r="W314" s="189" t="s">
        <v>124</v>
      </c>
      <c r="X314" s="189" t="s">
        <v>339</v>
      </c>
      <c r="Y314" s="189" t="s">
        <v>2108</v>
      </c>
      <c r="Z314" s="0" t="n">
        <v>1</v>
      </c>
      <c r="AA314" s="189" t="s">
        <v>2212</v>
      </c>
    </row>
    <row r="315" customFormat="false" ht="15" hidden="false" customHeight="true" outlineLevel="0" collapsed="false">
      <c r="A315" s="0" t="n">
        <v>65</v>
      </c>
      <c r="B315" s="188" t="n">
        <v>46169.0877292806</v>
      </c>
      <c r="C315" s="188" t="n">
        <v>46169.0949977991</v>
      </c>
      <c r="D315" s="189" t="s">
        <v>669</v>
      </c>
      <c r="E315" s="189" t="s">
        <v>670</v>
      </c>
      <c r="F315" s="189" t="s">
        <v>670</v>
      </c>
      <c r="G315" s="189" t="s">
        <v>671</v>
      </c>
      <c r="H315" s="188" t="n">
        <v>46162</v>
      </c>
      <c r="I315" s="189" t="s">
        <v>113</v>
      </c>
      <c r="J315" s="189" t="s">
        <v>108</v>
      </c>
      <c r="K315" s="189" t="s">
        <v>173</v>
      </c>
      <c r="L315" s="189" t="s">
        <v>346</v>
      </c>
      <c r="M315" s="189" t="s">
        <v>566</v>
      </c>
      <c r="N315" s="189" t="s">
        <v>672</v>
      </c>
      <c r="O315" s="189" t="s">
        <v>172</v>
      </c>
      <c r="P315" s="189" t="s">
        <v>111</v>
      </c>
      <c r="Q315" s="189" t="s">
        <v>145</v>
      </c>
      <c r="R315" s="189" t="s">
        <v>22</v>
      </c>
      <c r="S315" s="189" t="s">
        <v>227</v>
      </c>
      <c r="T315" s="189" t="s">
        <v>121</v>
      </c>
      <c r="U315" s="189" t="s">
        <v>122</v>
      </c>
      <c r="V315" s="189" t="s">
        <v>123</v>
      </c>
      <c r="W315" s="189" t="s">
        <v>124</v>
      </c>
      <c r="X315" s="189" t="s">
        <v>339</v>
      </c>
      <c r="Y315" s="189" t="s">
        <v>2108</v>
      </c>
      <c r="Z315" s="0" t="n">
        <v>2</v>
      </c>
      <c r="AA315" s="189" t="s">
        <v>2213</v>
      </c>
    </row>
    <row r="316" customFormat="false" ht="15" hidden="false" customHeight="true" outlineLevel="0" collapsed="false">
      <c r="A316" s="0" t="n">
        <v>65</v>
      </c>
      <c r="B316" s="188" t="n">
        <v>46169.0877292806</v>
      </c>
      <c r="C316" s="188" t="n">
        <v>46169.0949977991</v>
      </c>
      <c r="D316" s="189" t="s">
        <v>669</v>
      </c>
      <c r="E316" s="189" t="s">
        <v>670</v>
      </c>
      <c r="F316" s="189" t="s">
        <v>670</v>
      </c>
      <c r="G316" s="189" t="s">
        <v>671</v>
      </c>
      <c r="H316" s="188" t="n">
        <v>46162</v>
      </c>
      <c r="I316" s="189" t="s">
        <v>113</v>
      </c>
      <c r="J316" s="189" t="s">
        <v>108</v>
      </c>
      <c r="K316" s="189" t="s">
        <v>173</v>
      </c>
      <c r="L316" s="189" t="s">
        <v>346</v>
      </c>
      <c r="M316" s="189" t="s">
        <v>566</v>
      </c>
      <c r="N316" s="189" t="s">
        <v>672</v>
      </c>
      <c r="O316" s="189" t="s">
        <v>172</v>
      </c>
      <c r="P316" s="189" t="s">
        <v>111</v>
      </c>
      <c r="Q316" s="189" t="s">
        <v>145</v>
      </c>
      <c r="R316" s="189" t="s">
        <v>22</v>
      </c>
      <c r="S316" s="189" t="s">
        <v>227</v>
      </c>
      <c r="T316" s="189" t="s">
        <v>121</v>
      </c>
      <c r="U316" s="189" t="s">
        <v>122</v>
      </c>
      <c r="V316" s="189" t="s">
        <v>123</v>
      </c>
      <c r="W316" s="189" t="s">
        <v>124</v>
      </c>
      <c r="X316" s="189" t="s">
        <v>339</v>
      </c>
      <c r="Y316" s="189" t="s">
        <v>2108</v>
      </c>
      <c r="Z316" s="0" t="n">
        <v>3</v>
      </c>
      <c r="AA316" s="189" t="s">
        <v>2260</v>
      </c>
    </row>
    <row r="317" customFormat="false" ht="15" hidden="false" customHeight="true" outlineLevel="0" collapsed="false">
      <c r="A317" s="0" t="n">
        <v>65</v>
      </c>
      <c r="B317" s="188" t="n">
        <v>46169.0877292806</v>
      </c>
      <c r="C317" s="188" t="n">
        <v>46169.0949977991</v>
      </c>
      <c r="D317" s="189" t="s">
        <v>669</v>
      </c>
      <c r="E317" s="189" t="s">
        <v>670</v>
      </c>
      <c r="F317" s="189" t="s">
        <v>670</v>
      </c>
      <c r="G317" s="189" t="s">
        <v>671</v>
      </c>
      <c r="H317" s="188" t="n">
        <v>46162</v>
      </c>
      <c r="I317" s="189" t="s">
        <v>113</v>
      </c>
      <c r="J317" s="189" t="s">
        <v>108</v>
      </c>
      <c r="K317" s="189" t="s">
        <v>173</v>
      </c>
      <c r="L317" s="189" t="s">
        <v>346</v>
      </c>
      <c r="M317" s="189" t="s">
        <v>566</v>
      </c>
      <c r="N317" s="189" t="s">
        <v>672</v>
      </c>
      <c r="O317" s="189" t="s">
        <v>172</v>
      </c>
      <c r="P317" s="189" t="s">
        <v>111</v>
      </c>
      <c r="Q317" s="189" t="s">
        <v>145</v>
      </c>
      <c r="R317" s="189" t="s">
        <v>22</v>
      </c>
      <c r="S317" s="189" t="s">
        <v>227</v>
      </c>
      <c r="T317" s="189" t="s">
        <v>121</v>
      </c>
      <c r="U317" s="189" t="s">
        <v>122</v>
      </c>
      <c r="V317" s="189" t="s">
        <v>123</v>
      </c>
      <c r="W317" s="189" t="s">
        <v>124</v>
      </c>
      <c r="X317" s="189" t="s">
        <v>339</v>
      </c>
      <c r="Y317" s="189" t="s">
        <v>2110</v>
      </c>
      <c r="Z317" s="0" t="n">
        <v>1</v>
      </c>
      <c r="AA317" s="189" t="s">
        <v>122</v>
      </c>
    </row>
    <row r="318" customFormat="false" ht="15" hidden="false" customHeight="true" outlineLevel="0" collapsed="false">
      <c r="A318" s="0" t="n">
        <v>65</v>
      </c>
      <c r="B318" s="188" t="n">
        <v>46169.0877292806</v>
      </c>
      <c r="C318" s="188" t="n">
        <v>46169.0949977991</v>
      </c>
      <c r="D318" s="189" t="s">
        <v>669</v>
      </c>
      <c r="E318" s="189" t="s">
        <v>670</v>
      </c>
      <c r="F318" s="189" t="s">
        <v>670</v>
      </c>
      <c r="G318" s="189" t="s">
        <v>671</v>
      </c>
      <c r="H318" s="188" t="n">
        <v>46162</v>
      </c>
      <c r="I318" s="189" t="s">
        <v>113</v>
      </c>
      <c r="J318" s="189" t="s">
        <v>108</v>
      </c>
      <c r="K318" s="189" t="s">
        <v>173</v>
      </c>
      <c r="L318" s="189" t="s">
        <v>346</v>
      </c>
      <c r="M318" s="189" t="s">
        <v>566</v>
      </c>
      <c r="N318" s="189" t="s">
        <v>672</v>
      </c>
      <c r="O318" s="189" t="s">
        <v>172</v>
      </c>
      <c r="P318" s="189" t="s">
        <v>111</v>
      </c>
      <c r="Q318" s="189" t="s">
        <v>145</v>
      </c>
      <c r="R318" s="189" t="s">
        <v>22</v>
      </c>
      <c r="S318" s="189" t="s">
        <v>227</v>
      </c>
      <c r="T318" s="189" t="s">
        <v>121</v>
      </c>
      <c r="U318" s="189" t="s">
        <v>122</v>
      </c>
      <c r="V318" s="189" t="s">
        <v>123</v>
      </c>
      <c r="W318" s="189" t="s">
        <v>124</v>
      </c>
      <c r="X318" s="189" t="s">
        <v>339</v>
      </c>
      <c r="Y318" s="189" t="s">
        <v>2110</v>
      </c>
      <c r="Z318" s="0" t="n">
        <v>2</v>
      </c>
      <c r="AA318" s="189" t="s">
        <v>2186</v>
      </c>
    </row>
    <row r="319" customFormat="false" ht="15" hidden="false" customHeight="true" outlineLevel="0" collapsed="false">
      <c r="A319" s="0" t="n">
        <v>65</v>
      </c>
      <c r="B319" s="188" t="n">
        <v>46169.0877292806</v>
      </c>
      <c r="C319" s="188" t="n">
        <v>46169.0949977991</v>
      </c>
      <c r="D319" s="189" t="s">
        <v>669</v>
      </c>
      <c r="E319" s="189" t="s">
        <v>670</v>
      </c>
      <c r="F319" s="189" t="s">
        <v>670</v>
      </c>
      <c r="G319" s="189" t="s">
        <v>671</v>
      </c>
      <c r="H319" s="188" t="n">
        <v>46162</v>
      </c>
      <c r="I319" s="189" t="s">
        <v>113</v>
      </c>
      <c r="J319" s="189" t="s">
        <v>108</v>
      </c>
      <c r="K319" s="189" t="s">
        <v>173</v>
      </c>
      <c r="L319" s="189" t="s">
        <v>346</v>
      </c>
      <c r="M319" s="189" t="s">
        <v>566</v>
      </c>
      <c r="N319" s="189" t="s">
        <v>672</v>
      </c>
      <c r="O319" s="189" t="s">
        <v>172</v>
      </c>
      <c r="P319" s="189" t="s">
        <v>111</v>
      </c>
      <c r="Q319" s="189" t="s">
        <v>145</v>
      </c>
      <c r="R319" s="189" t="s">
        <v>22</v>
      </c>
      <c r="S319" s="189" t="s">
        <v>227</v>
      </c>
      <c r="T319" s="189" t="s">
        <v>121</v>
      </c>
      <c r="U319" s="189" t="s">
        <v>122</v>
      </c>
      <c r="V319" s="189" t="s">
        <v>123</v>
      </c>
      <c r="W319" s="189" t="s">
        <v>124</v>
      </c>
      <c r="X319" s="189" t="s">
        <v>339</v>
      </c>
      <c r="Y319" s="189" t="s">
        <v>2113</v>
      </c>
      <c r="Z319" s="0" t="n">
        <v>1</v>
      </c>
      <c r="AA319" s="189" t="s">
        <v>2261</v>
      </c>
    </row>
    <row r="320" customFormat="false" ht="15" hidden="false" customHeight="true" outlineLevel="0" collapsed="false">
      <c r="A320" s="0" t="n">
        <v>66</v>
      </c>
      <c r="B320" s="188" t="n">
        <v>46047.5317732296</v>
      </c>
      <c r="C320" s="188" t="n">
        <v>46047.551217674</v>
      </c>
      <c r="D320" s="189" t="s">
        <v>676</v>
      </c>
      <c r="E320" s="189" t="s">
        <v>677</v>
      </c>
      <c r="F320" s="189" t="s">
        <v>677</v>
      </c>
      <c r="G320" s="189" t="s">
        <v>678</v>
      </c>
      <c r="H320" s="188" t="n">
        <v>46028</v>
      </c>
      <c r="I320" s="189" t="s">
        <v>132</v>
      </c>
      <c r="J320" s="189" t="s">
        <v>108</v>
      </c>
      <c r="K320" s="189" t="s">
        <v>257</v>
      </c>
      <c r="L320" s="189" t="s">
        <v>110</v>
      </c>
      <c r="M320" s="189" t="s">
        <v>439</v>
      </c>
      <c r="N320" s="189" t="s">
        <v>115</v>
      </c>
      <c r="O320" s="189" t="s">
        <v>157</v>
      </c>
      <c r="P320" s="189" t="s">
        <v>211</v>
      </c>
      <c r="Q320" s="189" t="s">
        <v>112</v>
      </c>
      <c r="R320" s="189" t="s">
        <v>22</v>
      </c>
      <c r="S320" s="189" t="s">
        <v>120</v>
      </c>
      <c r="T320" s="189" t="s">
        <v>121</v>
      </c>
      <c r="U320" s="189" t="s">
        <v>682</v>
      </c>
      <c r="V320" s="189" t="s">
        <v>167</v>
      </c>
      <c r="W320" s="189" t="s">
        <v>124</v>
      </c>
      <c r="X320" s="189" t="s">
        <v>116</v>
      </c>
      <c r="Y320" s="189" t="s">
        <v>2108</v>
      </c>
      <c r="Z320" s="0" t="n">
        <v>1</v>
      </c>
      <c r="AA320" s="189" t="s">
        <v>2151</v>
      </c>
    </row>
    <row r="321" customFormat="false" ht="15" hidden="false" customHeight="true" outlineLevel="0" collapsed="false">
      <c r="A321" s="0" t="n">
        <v>66</v>
      </c>
      <c r="B321" s="188" t="n">
        <v>46047.5317732296</v>
      </c>
      <c r="C321" s="188" t="n">
        <v>46047.551217674</v>
      </c>
      <c r="D321" s="189" t="s">
        <v>676</v>
      </c>
      <c r="E321" s="189" t="s">
        <v>677</v>
      </c>
      <c r="F321" s="189" t="s">
        <v>677</v>
      </c>
      <c r="G321" s="189" t="s">
        <v>678</v>
      </c>
      <c r="H321" s="188" t="n">
        <v>46028</v>
      </c>
      <c r="I321" s="189" t="s">
        <v>132</v>
      </c>
      <c r="J321" s="189" t="s">
        <v>108</v>
      </c>
      <c r="K321" s="189" t="s">
        <v>257</v>
      </c>
      <c r="L321" s="189" t="s">
        <v>110</v>
      </c>
      <c r="M321" s="189" t="s">
        <v>439</v>
      </c>
      <c r="N321" s="189" t="s">
        <v>115</v>
      </c>
      <c r="O321" s="189" t="s">
        <v>157</v>
      </c>
      <c r="P321" s="189" t="s">
        <v>211</v>
      </c>
      <c r="Q321" s="189" t="s">
        <v>112</v>
      </c>
      <c r="R321" s="189" t="s">
        <v>22</v>
      </c>
      <c r="S321" s="189" t="s">
        <v>120</v>
      </c>
      <c r="T321" s="189" t="s">
        <v>121</v>
      </c>
      <c r="U321" s="189" t="s">
        <v>682</v>
      </c>
      <c r="V321" s="189" t="s">
        <v>167</v>
      </c>
      <c r="W321" s="189" t="s">
        <v>124</v>
      </c>
      <c r="X321" s="189" t="s">
        <v>116</v>
      </c>
      <c r="Y321" s="189" t="s">
        <v>2110</v>
      </c>
      <c r="Z321" s="0" t="n">
        <v>1</v>
      </c>
      <c r="AA321" s="189" t="s">
        <v>2255</v>
      </c>
    </row>
    <row r="322" customFormat="false" ht="15" hidden="false" customHeight="true" outlineLevel="0" collapsed="false">
      <c r="A322" s="0" t="n">
        <v>66</v>
      </c>
      <c r="B322" s="188" t="n">
        <v>46047.5317732296</v>
      </c>
      <c r="C322" s="188" t="n">
        <v>46047.551217674</v>
      </c>
      <c r="D322" s="189" t="s">
        <v>676</v>
      </c>
      <c r="E322" s="189" t="s">
        <v>677</v>
      </c>
      <c r="F322" s="189" t="s">
        <v>677</v>
      </c>
      <c r="G322" s="189" t="s">
        <v>678</v>
      </c>
      <c r="H322" s="188" t="n">
        <v>46028</v>
      </c>
      <c r="I322" s="189" t="s">
        <v>132</v>
      </c>
      <c r="J322" s="189" t="s">
        <v>108</v>
      </c>
      <c r="K322" s="189" t="s">
        <v>257</v>
      </c>
      <c r="L322" s="189" t="s">
        <v>110</v>
      </c>
      <c r="M322" s="189" t="s">
        <v>439</v>
      </c>
      <c r="N322" s="189" t="s">
        <v>115</v>
      </c>
      <c r="O322" s="189" t="s">
        <v>157</v>
      </c>
      <c r="P322" s="189" t="s">
        <v>211</v>
      </c>
      <c r="Q322" s="189" t="s">
        <v>112</v>
      </c>
      <c r="R322" s="189" t="s">
        <v>22</v>
      </c>
      <c r="S322" s="189" t="s">
        <v>120</v>
      </c>
      <c r="T322" s="189" t="s">
        <v>121</v>
      </c>
      <c r="U322" s="189" t="s">
        <v>682</v>
      </c>
      <c r="V322" s="189" t="s">
        <v>167</v>
      </c>
      <c r="W322" s="189" t="s">
        <v>124</v>
      </c>
      <c r="X322" s="189" t="s">
        <v>116</v>
      </c>
      <c r="Y322" s="189" t="s">
        <v>2110</v>
      </c>
      <c r="Z322" s="0" t="n">
        <v>2</v>
      </c>
      <c r="AA322" s="189" t="s">
        <v>2112</v>
      </c>
    </row>
    <row r="323" customFormat="false" ht="15" hidden="false" customHeight="true" outlineLevel="0" collapsed="false">
      <c r="A323" s="0" t="n">
        <v>66</v>
      </c>
      <c r="B323" s="188" t="n">
        <v>46047.5317732296</v>
      </c>
      <c r="C323" s="188" t="n">
        <v>46047.551217674</v>
      </c>
      <c r="D323" s="189" t="s">
        <v>676</v>
      </c>
      <c r="E323" s="189" t="s">
        <v>677</v>
      </c>
      <c r="F323" s="189" t="s">
        <v>677</v>
      </c>
      <c r="G323" s="189" t="s">
        <v>678</v>
      </c>
      <c r="H323" s="188" t="n">
        <v>46028</v>
      </c>
      <c r="I323" s="189" t="s">
        <v>132</v>
      </c>
      <c r="J323" s="189" t="s">
        <v>108</v>
      </c>
      <c r="K323" s="189" t="s">
        <v>257</v>
      </c>
      <c r="L323" s="189" t="s">
        <v>110</v>
      </c>
      <c r="M323" s="189" t="s">
        <v>439</v>
      </c>
      <c r="N323" s="189" t="s">
        <v>115</v>
      </c>
      <c r="O323" s="189" t="s">
        <v>157</v>
      </c>
      <c r="P323" s="189" t="s">
        <v>211</v>
      </c>
      <c r="Q323" s="189" t="s">
        <v>112</v>
      </c>
      <c r="R323" s="189" t="s">
        <v>22</v>
      </c>
      <c r="S323" s="189" t="s">
        <v>120</v>
      </c>
      <c r="T323" s="189" t="s">
        <v>121</v>
      </c>
      <c r="U323" s="189" t="s">
        <v>682</v>
      </c>
      <c r="V323" s="189" t="s">
        <v>167</v>
      </c>
      <c r="W323" s="189" t="s">
        <v>124</v>
      </c>
      <c r="X323" s="189" t="s">
        <v>116</v>
      </c>
      <c r="Y323" s="189" t="s">
        <v>2113</v>
      </c>
      <c r="Z323" s="0" t="n">
        <v>1</v>
      </c>
      <c r="AA323" s="189" t="s">
        <v>2114</v>
      </c>
    </row>
    <row r="324" customFormat="false" ht="15" hidden="false" customHeight="true" outlineLevel="0" collapsed="false">
      <c r="A324" s="0" t="n">
        <v>67</v>
      </c>
      <c r="B324" s="188" t="n">
        <v>46140.1179099646</v>
      </c>
      <c r="C324" s="188" t="n">
        <v>46140.1302479276</v>
      </c>
      <c r="D324" s="189" t="s">
        <v>683</v>
      </c>
      <c r="E324" s="189" t="s">
        <v>684</v>
      </c>
      <c r="F324" s="189" t="s">
        <v>684</v>
      </c>
      <c r="G324" s="189" t="s">
        <v>685</v>
      </c>
      <c r="H324" s="188" t="n">
        <v>46140</v>
      </c>
      <c r="I324" s="189" t="s">
        <v>113</v>
      </c>
      <c r="J324" s="189" t="s">
        <v>295</v>
      </c>
      <c r="K324" s="189" t="s">
        <v>462</v>
      </c>
      <c r="L324" s="189" t="s">
        <v>197</v>
      </c>
      <c r="M324" s="189" t="s">
        <v>686</v>
      </c>
      <c r="N324" s="189" t="s">
        <v>407</v>
      </c>
      <c r="O324" s="189" t="s">
        <v>172</v>
      </c>
      <c r="P324" s="189" t="s">
        <v>111</v>
      </c>
      <c r="Q324" s="189" t="s">
        <v>145</v>
      </c>
      <c r="R324" s="189" t="s">
        <v>25</v>
      </c>
      <c r="S324" s="189" t="s">
        <v>152</v>
      </c>
      <c r="T324" s="189" t="s">
        <v>228</v>
      </c>
      <c r="V324" s="189" t="s">
        <v>167</v>
      </c>
      <c r="W324" s="189" t="s">
        <v>168</v>
      </c>
      <c r="X324" s="189" t="s">
        <v>687</v>
      </c>
      <c r="Y324" s="189" t="s">
        <v>2108</v>
      </c>
      <c r="Z324" s="0" t="n">
        <v>1</v>
      </c>
      <c r="AA324" s="189" t="s">
        <v>2262</v>
      </c>
    </row>
    <row r="325" customFormat="false" ht="15" hidden="false" customHeight="true" outlineLevel="0" collapsed="false">
      <c r="A325" s="0" t="n">
        <v>67</v>
      </c>
      <c r="B325" s="188" t="n">
        <v>46140.1179099646</v>
      </c>
      <c r="C325" s="188" t="n">
        <v>46140.1302479276</v>
      </c>
      <c r="D325" s="189" t="s">
        <v>683</v>
      </c>
      <c r="E325" s="189" t="s">
        <v>684</v>
      </c>
      <c r="F325" s="189" t="s">
        <v>684</v>
      </c>
      <c r="G325" s="189" t="s">
        <v>685</v>
      </c>
      <c r="H325" s="188" t="n">
        <v>46140</v>
      </c>
      <c r="I325" s="189" t="s">
        <v>113</v>
      </c>
      <c r="J325" s="189" t="s">
        <v>295</v>
      </c>
      <c r="K325" s="189" t="s">
        <v>462</v>
      </c>
      <c r="L325" s="189" t="s">
        <v>197</v>
      </c>
      <c r="M325" s="189" t="s">
        <v>686</v>
      </c>
      <c r="N325" s="189" t="s">
        <v>407</v>
      </c>
      <c r="O325" s="189" t="s">
        <v>172</v>
      </c>
      <c r="P325" s="189" t="s">
        <v>111</v>
      </c>
      <c r="Q325" s="189" t="s">
        <v>145</v>
      </c>
      <c r="R325" s="189" t="s">
        <v>25</v>
      </c>
      <c r="S325" s="189" t="s">
        <v>152</v>
      </c>
      <c r="T325" s="189" t="s">
        <v>228</v>
      </c>
      <c r="V325" s="189" t="s">
        <v>167</v>
      </c>
      <c r="W325" s="189" t="s">
        <v>168</v>
      </c>
      <c r="X325" s="189" t="s">
        <v>687</v>
      </c>
      <c r="Y325" s="189" t="s">
        <v>2110</v>
      </c>
      <c r="Z325" s="0" t="n">
        <v>1</v>
      </c>
      <c r="AA325" s="189" t="s">
        <v>2263</v>
      </c>
    </row>
    <row r="326" customFormat="false" ht="15" hidden="false" customHeight="true" outlineLevel="0" collapsed="false">
      <c r="A326" s="0" t="n">
        <v>67</v>
      </c>
      <c r="B326" s="188" t="n">
        <v>46140.1179099646</v>
      </c>
      <c r="C326" s="188" t="n">
        <v>46140.1302479276</v>
      </c>
      <c r="D326" s="189" t="s">
        <v>683</v>
      </c>
      <c r="E326" s="189" t="s">
        <v>684</v>
      </c>
      <c r="F326" s="189" t="s">
        <v>684</v>
      </c>
      <c r="G326" s="189" t="s">
        <v>685</v>
      </c>
      <c r="H326" s="188" t="n">
        <v>46140</v>
      </c>
      <c r="I326" s="189" t="s">
        <v>113</v>
      </c>
      <c r="J326" s="189" t="s">
        <v>295</v>
      </c>
      <c r="K326" s="189" t="s">
        <v>462</v>
      </c>
      <c r="L326" s="189" t="s">
        <v>197</v>
      </c>
      <c r="M326" s="189" t="s">
        <v>686</v>
      </c>
      <c r="N326" s="189" t="s">
        <v>407</v>
      </c>
      <c r="O326" s="189" t="s">
        <v>172</v>
      </c>
      <c r="P326" s="189" t="s">
        <v>111</v>
      </c>
      <c r="Q326" s="189" t="s">
        <v>145</v>
      </c>
      <c r="R326" s="189" t="s">
        <v>25</v>
      </c>
      <c r="S326" s="189" t="s">
        <v>152</v>
      </c>
      <c r="T326" s="189" t="s">
        <v>228</v>
      </c>
      <c r="V326" s="189" t="s">
        <v>167</v>
      </c>
      <c r="W326" s="189" t="s">
        <v>168</v>
      </c>
      <c r="X326" s="189" t="s">
        <v>687</v>
      </c>
      <c r="Y326" s="189" t="s">
        <v>2110</v>
      </c>
      <c r="Z326" s="0" t="n">
        <v>2</v>
      </c>
      <c r="AA326" s="189" t="s">
        <v>2264</v>
      </c>
    </row>
    <row r="327" customFormat="false" ht="15" hidden="false" customHeight="true" outlineLevel="0" collapsed="false">
      <c r="A327" s="0" t="n">
        <v>67</v>
      </c>
      <c r="B327" s="188" t="n">
        <v>46140.1179099646</v>
      </c>
      <c r="C327" s="188" t="n">
        <v>46140.1302479276</v>
      </c>
      <c r="D327" s="189" t="s">
        <v>683</v>
      </c>
      <c r="E327" s="189" t="s">
        <v>684</v>
      </c>
      <c r="F327" s="189" t="s">
        <v>684</v>
      </c>
      <c r="G327" s="189" t="s">
        <v>685</v>
      </c>
      <c r="H327" s="188" t="n">
        <v>46140</v>
      </c>
      <c r="I327" s="189" t="s">
        <v>113</v>
      </c>
      <c r="J327" s="189" t="s">
        <v>295</v>
      </c>
      <c r="K327" s="189" t="s">
        <v>462</v>
      </c>
      <c r="L327" s="189" t="s">
        <v>197</v>
      </c>
      <c r="M327" s="189" t="s">
        <v>686</v>
      </c>
      <c r="N327" s="189" t="s">
        <v>407</v>
      </c>
      <c r="O327" s="189" t="s">
        <v>172</v>
      </c>
      <c r="P327" s="189" t="s">
        <v>111</v>
      </c>
      <c r="Q327" s="189" t="s">
        <v>145</v>
      </c>
      <c r="R327" s="189" t="s">
        <v>25</v>
      </c>
      <c r="S327" s="189" t="s">
        <v>152</v>
      </c>
      <c r="T327" s="189" t="s">
        <v>228</v>
      </c>
      <c r="V327" s="189" t="s">
        <v>167</v>
      </c>
      <c r="W327" s="189" t="s">
        <v>168</v>
      </c>
      <c r="X327" s="189" t="s">
        <v>687</v>
      </c>
      <c r="Y327" s="189" t="s">
        <v>2113</v>
      </c>
      <c r="Z327" s="0" t="n">
        <v>1</v>
      </c>
      <c r="AA327" s="189" t="s">
        <v>2265</v>
      </c>
    </row>
    <row r="328" customFormat="false" ht="15" hidden="false" customHeight="true" outlineLevel="0" collapsed="false">
      <c r="A328" s="0" t="n">
        <v>67</v>
      </c>
      <c r="B328" s="188" t="n">
        <v>46140.1179099646</v>
      </c>
      <c r="C328" s="188" t="n">
        <v>46140.1302479276</v>
      </c>
      <c r="D328" s="189" t="s">
        <v>683</v>
      </c>
      <c r="E328" s="189" t="s">
        <v>684</v>
      </c>
      <c r="F328" s="189" t="s">
        <v>684</v>
      </c>
      <c r="G328" s="189" t="s">
        <v>685</v>
      </c>
      <c r="H328" s="188" t="n">
        <v>46140</v>
      </c>
      <c r="I328" s="189" t="s">
        <v>113</v>
      </c>
      <c r="J328" s="189" t="s">
        <v>295</v>
      </c>
      <c r="K328" s="189" t="s">
        <v>462</v>
      </c>
      <c r="L328" s="189" t="s">
        <v>197</v>
      </c>
      <c r="M328" s="189" t="s">
        <v>686</v>
      </c>
      <c r="N328" s="189" t="s">
        <v>407</v>
      </c>
      <c r="O328" s="189" t="s">
        <v>172</v>
      </c>
      <c r="P328" s="189" t="s">
        <v>111</v>
      </c>
      <c r="Q328" s="189" t="s">
        <v>145</v>
      </c>
      <c r="R328" s="189" t="s">
        <v>25</v>
      </c>
      <c r="S328" s="189" t="s">
        <v>152</v>
      </c>
      <c r="T328" s="189" t="s">
        <v>228</v>
      </c>
      <c r="V328" s="189" t="s">
        <v>167</v>
      </c>
      <c r="W328" s="189" t="s">
        <v>168</v>
      </c>
      <c r="X328" s="189" t="s">
        <v>687</v>
      </c>
      <c r="Y328" s="189" t="s">
        <v>2113</v>
      </c>
      <c r="Z328" s="0" t="n">
        <v>2</v>
      </c>
      <c r="AA328" s="189" t="s">
        <v>2266</v>
      </c>
    </row>
    <row r="329" customFormat="false" ht="15" hidden="false" customHeight="true" outlineLevel="0" collapsed="false">
      <c r="A329" s="0" t="n">
        <v>68</v>
      </c>
      <c r="B329" s="188" t="n">
        <v>46041.4328670819</v>
      </c>
      <c r="C329" s="188" t="n">
        <v>46041.4469874522</v>
      </c>
      <c r="D329" s="189" t="s">
        <v>691</v>
      </c>
      <c r="E329" s="189" t="s">
        <v>692</v>
      </c>
      <c r="F329" s="189" t="s">
        <v>692</v>
      </c>
      <c r="G329" s="189" t="s">
        <v>693</v>
      </c>
      <c r="H329" s="188" t="n">
        <v>46034</v>
      </c>
      <c r="I329" s="189" t="s">
        <v>113</v>
      </c>
      <c r="J329" s="189" t="s">
        <v>295</v>
      </c>
      <c r="K329" s="189" t="s">
        <v>196</v>
      </c>
      <c r="L329" s="189" t="s">
        <v>159</v>
      </c>
      <c r="M329" s="189" t="s">
        <v>694</v>
      </c>
      <c r="N329" s="189" t="s">
        <v>234</v>
      </c>
      <c r="O329" s="189" t="s">
        <v>157</v>
      </c>
      <c r="P329" s="189" t="s">
        <v>111</v>
      </c>
      <c r="Q329" s="189" t="s">
        <v>145</v>
      </c>
      <c r="R329" s="189" t="s">
        <v>22</v>
      </c>
      <c r="S329" s="189" t="s">
        <v>152</v>
      </c>
      <c r="T329" s="189" t="s">
        <v>121</v>
      </c>
      <c r="U329" s="189" t="s">
        <v>122</v>
      </c>
      <c r="V329" s="189" t="s">
        <v>123</v>
      </c>
      <c r="W329" s="189" t="s">
        <v>124</v>
      </c>
      <c r="X329" s="189" t="s">
        <v>148</v>
      </c>
      <c r="Y329" s="189" t="s">
        <v>2108</v>
      </c>
      <c r="Z329" s="0" t="n">
        <v>1</v>
      </c>
      <c r="AA329" s="189" t="s">
        <v>2166</v>
      </c>
    </row>
    <row r="330" customFormat="false" ht="15" hidden="false" customHeight="true" outlineLevel="0" collapsed="false">
      <c r="A330" s="0" t="n">
        <v>68</v>
      </c>
      <c r="B330" s="188" t="n">
        <v>46041.4328670819</v>
      </c>
      <c r="C330" s="188" t="n">
        <v>46041.4469874522</v>
      </c>
      <c r="D330" s="189" t="s">
        <v>691</v>
      </c>
      <c r="E330" s="189" t="s">
        <v>692</v>
      </c>
      <c r="F330" s="189" t="s">
        <v>692</v>
      </c>
      <c r="G330" s="189" t="s">
        <v>693</v>
      </c>
      <c r="H330" s="188" t="n">
        <v>46034</v>
      </c>
      <c r="I330" s="189" t="s">
        <v>113</v>
      </c>
      <c r="J330" s="189" t="s">
        <v>295</v>
      </c>
      <c r="K330" s="189" t="s">
        <v>196</v>
      </c>
      <c r="L330" s="189" t="s">
        <v>159</v>
      </c>
      <c r="M330" s="189" t="s">
        <v>694</v>
      </c>
      <c r="N330" s="189" t="s">
        <v>234</v>
      </c>
      <c r="O330" s="189" t="s">
        <v>157</v>
      </c>
      <c r="P330" s="189" t="s">
        <v>111</v>
      </c>
      <c r="Q330" s="189" t="s">
        <v>145</v>
      </c>
      <c r="R330" s="189" t="s">
        <v>22</v>
      </c>
      <c r="S330" s="189" t="s">
        <v>152</v>
      </c>
      <c r="T330" s="189" t="s">
        <v>121</v>
      </c>
      <c r="U330" s="189" t="s">
        <v>122</v>
      </c>
      <c r="V330" s="189" t="s">
        <v>123</v>
      </c>
      <c r="W330" s="189" t="s">
        <v>124</v>
      </c>
      <c r="X330" s="189" t="s">
        <v>148</v>
      </c>
      <c r="Y330" s="189" t="s">
        <v>2110</v>
      </c>
      <c r="Z330" s="0" t="n">
        <v>1</v>
      </c>
      <c r="AA330" s="189" t="s">
        <v>2121</v>
      </c>
    </row>
    <row r="331" customFormat="false" ht="15" hidden="false" customHeight="true" outlineLevel="0" collapsed="false">
      <c r="A331" s="0" t="n">
        <v>68</v>
      </c>
      <c r="B331" s="188" t="n">
        <v>46041.4328670819</v>
      </c>
      <c r="C331" s="188" t="n">
        <v>46041.4469874522</v>
      </c>
      <c r="D331" s="189" t="s">
        <v>691</v>
      </c>
      <c r="E331" s="189" t="s">
        <v>692</v>
      </c>
      <c r="F331" s="189" t="s">
        <v>692</v>
      </c>
      <c r="G331" s="189" t="s">
        <v>693</v>
      </c>
      <c r="H331" s="188" t="n">
        <v>46034</v>
      </c>
      <c r="I331" s="189" t="s">
        <v>113</v>
      </c>
      <c r="J331" s="189" t="s">
        <v>295</v>
      </c>
      <c r="K331" s="189" t="s">
        <v>196</v>
      </c>
      <c r="L331" s="189" t="s">
        <v>159</v>
      </c>
      <c r="M331" s="189" t="s">
        <v>694</v>
      </c>
      <c r="N331" s="189" t="s">
        <v>234</v>
      </c>
      <c r="O331" s="189" t="s">
        <v>157</v>
      </c>
      <c r="P331" s="189" t="s">
        <v>111</v>
      </c>
      <c r="Q331" s="189" t="s">
        <v>145</v>
      </c>
      <c r="R331" s="189" t="s">
        <v>22</v>
      </c>
      <c r="S331" s="189" t="s">
        <v>152</v>
      </c>
      <c r="T331" s="189" t="s">
        <v>121</v>
      </c>
      <c r="U331" s="189" t="s">
        <v>122</v>
      </c>
      <c r="V331" s="189" t="s">
        <v>123</v>
      </c>
      <c r="W331" s="189" t="s">
        <v>124</v>
      </c>
      <c r="X331" s="189" t="s">
        <v>148</v>
      </c>
      <c r="Y331" s="189" t="s">
        <v>2113</v>
      </c>
      <c r="Z331" s="0" t="n">
        <v>1</v>
      </c>
      <c r="AA331" s="189" t="s">
        <v>2232</v>
      </c>
    </row>
    <row r="332" customFormat="false" ht="15" hidden="false" customHeight="true" outlineLevel="0" collapsed="false">
      <c r="A332" s="0" t="n">
        <v>69</v>
      </c>
      <c r="B332" s="188" t="n">
        <v>46072.1414336667</v>
      </c>
      <c r="C332" s="188" t="n">
        <v>46072.1612137593</v>
      </c>
      <c r="D332" s="189" t="s">
        <v>697</v>
      </c>
      <c r="E332" s="189" t="s">
        <v>698</v>
      </c>
      <c r="F332" s="189" t="s">
        <v>699</v>
      </c>
      <c r="G332" s="189" t="s">
        <v>700</v>
      </c>
      <c r="H332" s="188" t="n">
        <v>46063</v>
      </c>
      <c r="I332" s="189" t="s">
        <v>113</v>
      </c>
      <c r="J332" s="189" t="s">
        <v>128</v>
      </c>
      <c r="K332" s="189" t="s">
        <v>257</v>
      </c>
      <c r="L332" s="189" t="s">
        <v>184</v>
      </c>
      <c r="M332" s="189" t="s">
        <v>114</v>
      </c>
      <c r="N332" s="189" t="s">
        <v>701</v>
      </c>
      <c r="O332" s="189" t="s">
        <v>107</v>
      </c>
      <c r="P332" s="189" t="s">
        <v>111</v>
      </c>
      <c r="Q332" s="189" t="s">
        <v>112</v>
      </c>
      <c r="R332" s="189" t="s">
        <v>22</v>
      </c>
      <c r="S332" s="189" t="s">
        <v>152</v>
      </c>
      <c r="T332" s="189" t="s">
        <v>121</v>
      </c>
      <c r="V332" s="189" t="s">
        <v>192</v>
      </c>
      <c r="W332" s="189" t="s">
        <v>124</v>
      </c>
      <c r="X332" s="189" t="s">
        <v>135</v>
      </c>
      <c r="Y332" s="189" t="s">
        <v>2108</v>
      </c>
      <c r="Z332" s="0" t="n">
        <v>1</v>
      </c>
      <c r="AA332" s="189" t="s">
        <v>2245</v>
      </c>
    </row>
    <row r="333" customFormat="false" ht="15" hidden="false" customHeight="true" outlineLevel="0" collapsed="false">
      <c r="A333" s="0" t="n">
        <v>69</v>
      </c>
      <c r="B333" s="188" t="n">
        <v>46072.1414336667</v>
      </c>
      <c r="C333" s="188" t="n">
        <v>46072.1612137593</v>
      </c>
      <c r="D333" s="189" t="s">
        <v>697</v>
      </c>
      <c r="E333" s="189" t="s">
        <v>698</v>
      </c>
      <c r="F333" s="189" t="s">
        <v>699</v>
      </c>
      <c r="G333" s="189" t="s">
        <v>700</v>
      </c>
      <c r="H333" s="188" t="n">
        <v>46063</v>
      </c>
      <c r="I333" s="189" t="s">
        <v>113</v>
      </c>
      <c r="J333" s="189" t="s">
        <v>128</v>
      </c>
      <c r="K333" s="189" t="s">
        <v>257</v>
      </c>
      <c r="L333" s="189" t="s">
        <v>184</v>
      </c>
      <c r="M333" s="189" t="s">
        <v>114</v>
      </c>
      <c r="N333" s="189" t="s">
        <v>701</v>
      </c>
      <c r="O333" s="189" t="s">
        <v>107</v>
      </c>
      <c r="P333" s="189" t="s">
        <v>111</v>
      </c>
      <c r="Q333" s="189" t="s">
        <v>112</v>
      </c>
      <c r="R333" s="189" t="s">
        <v>22</v>
      </c>
      <c r="S333" s="189" t="s">
        <v>152</v>
      </c>
      <c r="T333" s="189" t="s">
        <v>121</v>
      </c>
      <c r="V333" s="189" t="s">
        <v>192</v>
      </c>
      <c r="W333" s="189" t="s">
        <v>124</v>
      </c>
      <c r="X333" s="189" t="s">
        <v>135</v>
      </c>
      <c r="Y333" s="189" t="s">
        <v>2108</v>
      </c>
      <c r="Z333" s="0" t="n">
        <v>2</v>
      </c>
      <c r="AA333" s="189" t="s">
        <v>2115</v>
      </c>
    </row>
    <row r="334" customFormat="false" ht="15" hidden="false" customHeight="true" outlineLevel="0" collapsed="false">
      <c r="A334" s="0" t="n">
        <v>69</v>
      </c>
      <c r="B334" s="188" t="n">
        <v>46072.1414336667</v>
      </c>
      <c r="C334" s="188" t="n">
        <v>46072.1612137593</v>
      </c>
      <c r="D334" s="189" t="s">
        <v>697</v>
      </c>
      <c r="E334" s="189" t="s">
        <v>698</v>
      </c>
      <c r="F334" s="189" t="s">
        <v>699</v>
      </c>
      <c r="G334" s="189" t="s">
        <v>700</v>
      </c>
      <c r="H334" s="188" t="n">
        <v>46063</v>
      </c>
      <c r="I334" s="189" t="s">
        <v>113</v>
      </c>
      <c r="J334" s="189" t="s">
        <v>128</v>
      </c>
      <c r="K334" s="189" t="s">
        <v>257</v>
      </c>
      <c r="L334" s="189" t="s">
        <v>184</v>
      </c>
      <c r="M334" s="189" t="s">
        <v>114</v>
      </c>
      <c r="N334" s="189" t="s">
        <v>701</v>
      </c>
      <c r="O334" s="189" t="s">
        <v>107</v>
      </c>
      <c r="P334" s="189" t="s">
        <v>111</v>
      </c>
      <c r="Q334" s="189" t="s">
        <v>112</v>
      </c>
      <c r="R334" s="189" t="s">
        <v>22</v>
      </c>
      <c r="S334" s="189" t="s">
        <v>152</v>
      </c>
      <c r="T334" s="189" t="s">
        <v>121</v>
      </c>
      <c r="V334" s="189" t="s">
        <v>192</v>
      </c>
      <c r="W334" s="189" t="s">
        <v>124</v>
      </c>
      <c r="X334" s="189" t="s">
        <v>135</v>
      </c>
      <c r="Y334" s="189" t="s">
        <v>2108</v>
      </c>
      <c r="Z334" s="0" t="n">
        <v>3</v>
      </c>
      <c r="AA334" s="189" t="s">
        <v>2227</v>
      </c>
    </row>
    <row r="335" customFormat="false" ht="15" hidden="false" customHeight="true" outlineLevel="0" collapsed="false">
      <c r="A335" s="0" t="n">
        <v>69</v>
      </c>
      <c r="B335" s="188" t="n">
        <v>46072.1414336667</v>
      </c>
      <c r="C335" s="188" t="n">
        <v>46072.1612137593</v>
      </c>
      <c r="D335" s="189" t="s">
        <v>697</v>
      </c>
      <c r="E335" s="189" t="s">
        <v>698</v>
      </c>
      <c r="F335" s="189" t="s">
        <v>699</v>
      </c>
      <c r="G335" s="189" t="s">
        <v>700</v>
      </c>
      <c r="H335" s="188" t="n">
        <v>46063</v>
      </c>
      <c r="I335" s="189" t="s">
        <v>113</v>
      </c>
      <c r="J335" s="189" t="s">
        <v>128</v>
      </c>
      <c r="K335" s="189" t="s">
        <v>257</v>
      </c>
      <c r="L335" s="189" t="s">
        <v>184</v>
      </c>
      <c r="M335" s="189" t="s">
        <v>114</v>
      </c>
      <c r="N335" s="189" t="s">
        <v>701</v>
      </c>
      <c r="O335" s="189" t="s">
        <v>107</v>
      </c>
      <c r="P335" s="189" t="s">
        <v>111</v>
      </c>
      <c r="Q335" s="189" t="s">
        <v>112</v>
      </c>
      <c r="R335" s="189" t="s">
        <v>22</v>
      </c>
      <c r="S335" s="189" t="s">
        <v>152</v>
      </c>
      <c r="T335" s="189" t="s">
        <v>121</v>
      </c>
      <c r="V335" s="189" t="s">
        <v>192</v>
      </c>
      <c r="W335" s="189" t="s">
        <v>124</v>
      </c>
      <c r="X335" s="189" t="s">
        <v>135</v>
      </c>
      <c r="Y335" s="189" t="s">
        <v>2110</v>
      </c>
      <c r="Z335" s="0" t="n">
        <v>1</v>
      </c>
      <c r="AA335" s="189" t="s">
        <v>2267</v>
      </c>
    </row>
    <row r="336" customFormat="false" ht="15" hidden="false" customHeight="true" outlineLevel="0" collapsed="false">
      <c r="A336" s="0" t="n">
        <v>69</v>
      </c>
      <c r="B336" s="188" t="n">
        <v>46072.1414336667</v>
      </c>
      <c r="C336" s="188" t="n">
        <v>46072.1612137593</v>
      </c>
      <c r="D336" s="189" t="s">
        <v>697</v>
      </c>
      <c r="E336" s="189" t="s">
        <v>698</v>
      </c>
      <c r="F336" s="189" t="s">
        <v>699</v>
      </c>
      <c r="G336" s="189" t="s">
        <v>700</v>
      </c>
      <c r="H336" s="188" t="n">
        <v>46063</v>
      </c>
      <c r="I336" s="189" t="s">
        <v>113</v>
      </c>
      <c r="J336" s="189" t="s">
        <v>128</v>
      </c>
      <c r="K336" s="189" t="s">
        <v>257</v>
      </c>
      <c r="L336" s="189" t="s">
        <v>184</v>
      </c>
      <c r="M336" s="189" t="s">
        <v>114</v>
      </c>
      <c r="N336" s="189" t="s">
        <v>701</v>
      </c>
      <c r="O336" s="189" t="s">
        <v>107</v>
      </c>
      <c r="P336" s="189" t="s">
        <v>111</v>
      </c>
      <c r="Q336" s="189" t="s">
        <v>112</v>
      </c>
      <c r="R336" s="189" t="s">
        <v>22</v>
      </c>
      <c r="S336" s="189" t="s">
        <v>152</v>
      </c>
      <c r="T336" s="189" t="s">
        <v>121</v>
      </c>
      <c r="V336" s="189" t="s">
        <v>192</v>
      </c>
      <c r="W336" s="189" t="s">
        <v>124</v>
      </c>
      <c r="X336" s="189" t="s">
        <v>135</v>
      </c>
      <c r="Y336" s="189" t="s">
        <v>2110</v>
      </c>
      <c r="Z336" s="0" t="n">
        <v>2</v>
      </c>
      <c r="AA336" s="189" t="s">
        <v>2236</v>
      </c>
    </row>
    <row r="337" customFormat="false" ht="15" hidden="false" customHeight="true" outlineLevel="0" collapsed="false">
      <c r="A337" s="0" t="n">
        <v>69</v>
      </c>
      <c r="B337" s="188" t="n">
        <v>46072.1414336667</v>
      </c>
      <c r="C337" s="188" t="n">
        <v>46072.1612137593</v>
      </c>
      <c r="D337" s="189" t="s">
        <v>697</v>
      </c>
      <c r="E337" s="189" t="s">
        <v>698</v>
      </c>
      <c r="F337" s="189" t="s">
        <v>699</v>
      </c>
      <c r="G337" s="189" t="s">
        <v>700</v>
      </c>
      <c r="H337" s="188" t="n">
        <v>46063</v>
      </c>
      <c r="I337" s="189" t="s">
        <v>113</v>
      </c>
      <c r="J337" s="189" t="s">
        <v>128</v>
      </c>
      <c r="K337" s="189" t="s">
        <v>257</v>
      </c>
      <c r="L337" s="189" t="s">
        <v>184</v>
      </c>
      <c r="M337" s="189" t="s">
        <v>114</v>
      </c>
      <c r="N337" s="189" t="s">
        <v>701</v>
      </c>
      <c r="O337" s="189" t="s">
        <v>107</v>
      </c>
      <c r="P337" s="189" t="s">
        <v>111</v>
      </c>
      <c r="Q337" s="189" t="s">
        <v>112</v>
      </c>
      <c r="R337" s="189" t="s">
        <v>22</v>
      </c>
      <c r="S337" s="189" t="s">
        <v>152</v>
      </c>
      <c r="T337" s="189" t="s">
        <v>121</v>
      </c>
      <c r="V337" s="189" t="s">
        <v>192</v>
      </c>
      <c r="W337" s="189" t="s">
        <v>124</v>
      </c>
      <c r="X337" s="189" t="s">
        <v>135</v>
      </c>
      <c r="Y337" s="189" t="s">
        <v>2113</v>
      </c>
      <c r="Z337" s="0" t="n">
        <v>1</v>
      </c>
      <c r="AA337" s="189" t="s">
        <v>2256</v>
      </c>
    </row>
    <row r="338" customFormat="false" ht="15" hidden="false" customHeight="true" outlineLevel="0" collapsed="false">
      <c r="A338" s="0" t="n">
        <v>69</v>
      </c>
      <c r="B338" s="188" t="n">
        <v>46072.1414336667</v>
      </c>
      <c r="C338" s="188" t="n">
        <v>46072.1612137593</v>
      </c>
      <c r="D338" s="189" t="s">
        <v>697</v>
      </c>
      <c r="E338" s="189" t="s">
        <v>698</v>
      </c>
      <c r="F338" s="189" t="s">
        <v>699</v>
      </c>
      <c r="G338" s="189" t="s">
        <v>700</v>
      </c>
      <c r="H338" s="188" t="n">
        <v>46063</v>
      </c>
      <c r="I338" s="189" t="s">
        <v>113</v>
      </c>
      <c r="J338" s="189" t="s">
        <v>128</v>
      </c>
      <c r="K338" s="189" t="s">
        <v>257</v>
      </c>
      <c r="L338" s="189" t="s">
        <v>184</v>
      </c>
      <c r="M338" s="189" t="s">
        <v>114</v>
      </c>
      <c r="N338" s="189" t="s">
        <v>701</v>
      </c>
      <c r="O338" s="189" t="s">
        <v>107</v>
      </c>
      <c r="P338" s="189" t="s">
        <v>111</v>
      </c>
      <c r="Q338" s="189" t="s">
        <v>112</v>
      </c>
      <c r="R338" s="189" t="s">
        <v>22</v>
      </c>
      <c r="S338" s="189" t="s">
        <v>152</v>
      </c>
      <c r="T338" s="189" t="s">
        <v>121</v>
      </c>
      <c r="V338" s="189" t="s">
        <v>192</v>
      </c>
      <c r="W338" s="189" t="s">
        <v>124</v>
      </c>
      <c r="X338" s="189" t="s">
        <v>135</v>
      </c>
      <c r="Y338" s="189" t="s">
        <v>2113</v>
      </c>
      <c r="Z338" s="0" t="n">
        <v>2</v>
      </c>
      <c r="AA338" s="189" t="s">
        <v>2196</v>
      </c>
    </row>
    <row r="339" customFormat="false" ht="15" hidden="false" customHeight="true" outlineLevel="0" collapsed="false">
      <c r="A339" s="0" t="n">
        <v>70</v>
      </c>
      <c r="B339" s="188" t="n">
        <v>46191.606095563</v>
      </c>
      <c r="C339" s="188" t="n">
        <v>46191.6265816741</v>
      </c>
      <c r="D339" s="189" t="s">
        <v>705</v>
      </c>
      <c r="E339" s="189" t="s">
        <v>706</v>
      </c>
      <c r="F339" s="189" t="s">
        <v>706</v>
      </c>
      <c r="G339" s="189" t="s">
        <v>707</v>
      </c>
      <c r="H339" s="188" t="n">
        <v>46174</v>
      </c>
      <c r="I339" s="189" t="s">
        <v>113</v>
      </c>
      <c r="J339" s="189" t="s">
        <v>108</v>
      </c>
      <c r="K339" s="189" t="s">
        <v>245</v>
      </c>
      <c r="L339" s="189" t="s">
        <v>184</v>
      </c>
      <c r="M339" s="189" t="s">
        <v>130</v>
      </c>
      <c r="N339" s="189" t="s">
        <v>227</v>
      </c>
      <c r="O339" s="189" t="s">
        <v>172</v>
      </c>
      <c r="P339" s="189" t="s">
        <v>111</v>
      </c>
      <c r="Q339" s="189" t="s">
        <v>112</v>
      </c>
      <c r="R339" s="189" t="s">
        <v>21</v>
      </c>
      <c r="S339" s="189" t="s">
        <v>120</v>
      </c>
      <c r="T339" s="189" t="s">
        <v>180</v>
      </c>
      <c r="U339" s="189" t="s">
        <v>191</v>
      </c>
      <c r="V339" s="189" t="s">
        <v>192</v>
      </c>
      <c r="W339" s="189" t="s">
        <v>168</v>
      </c>
      <c r="X339" s="189" t="s">
        <v>187</v>
      </c>
      <c r="Y339" s="189" t="s">
        <v>2108</v>
      </c>
      <c r="Z339" s="0" t="n">
        <v>1</v>
      </c>
      <c r="AA339" s="189" t="s">
        <v>2133</v>
      </c>
    </row>
    <row r="340" customFormat="false" ht="15" hidden="false" customHeight="true" outlineLevel="0" collapsed="false">
      <c r="A340" s="0" t="n">
        <v>70</v>
      </c>
      <c r="B340" s="188" t="n">
        <v>46191.606095563</v>
      </c>
      <c r="C340" s="188" t="n">
        <v>46191.6265816741</v>
      </c>
      <c r="D340" s="189" t="s">
        <v>705</v>
      </c>
      <c r="E340" s="189" t="s">
        <v>706</v>
      </c>
      <c r="F340" s="189" t="s">
        <v>706</v>
      </c>
      <c r="G340" s="189" t="s">
        <v>707</v>
      </c>
      <c r="H340" s="188" t="n">
        <v>46174</v>
      </c>
      <c r="I340" s="189" t="s">
        <v>113</v>
      </c>
      <c r="J340" s="189" t="s">
        <v>108</v>
      </c>
      <c r="K340" s="189" t="s">
        <v>245</v>
      </c>
      <c r="L340" s="189" t="s">
        <v>184</v>
      </c>
      <c r="M340" s="189" t="s">
        <v>130</v>
      </c>
      <c r="N340" s="189" t="s">
        <v>227</v>
      </c>
      <c r="O340" s="189" t="s">
        <v>172</v>
      </c>
      <c r="P340" s="189" t="s">
        <v>111</v>
      </c>
      <c r="Q340" s="189" t="s">
        <v>112</v>
      </c>
      <c r="R340" s="189" t="s">
        <v>21</v>
      </c>
      <c r="S340" s="189" t="s">
        <v>120</v>
      </c>
      <c r="T340" s="189" t="s">
        <v>180</v>
      </c>
      <c r="U340" s="189" t="s">
        <v>191</v>
      </c>
      <c r="V340" s="189" t="s">
        <v>192</v>
      </c>
      <c r="W340" s="189" t="s">
        <v>168</v>
      </c>
      <c r="X340" s="189" t="s">
        <v>187</v>
      </c>
      <c r="Y340" s="189" t="s">
        <v>2110</v>
      </c>
      <c r="Z340" s="0" t="n">
        <v>1</v>
      </c>
      <c r="AA340" s="189" t="s">
        <v>2211</v>
      </c>
    </row>
    <row r="341" customFormat="false" ht="15" hidden="false" customHeight="true" outlineLevel="0" collapsed="false">
      <c r="A341" s="0" t="n">
        <v>70</v>
      </c>
      <c r="B341" s="188" t="n">
        <v>46191.606095563</v>
      </c>
      <c r="C341" s="188" t="n">
        <v>46191.6265816741</v>
      </c>
      <c r="D341" s="189" t="s">
        <v>705</v>
      </c>
      <c r="E341" s="189" t="s">
        <v>706</v>
      </c>
      <c r="F341" s="189" t="s">
        <v>706</v>
      </c>
      <c r="G341" s="189" t="s">
        <v>707</v>
      </c>
      <c r="H341" s="188" t="n">
        <v>46174</v>
      </c>
      <c r="I341" s="189" t="s">
        <v>113</v>
      </c>
      <c r="J341" s="189" t="s">
        <v>108</v>
      </c>
      <c r="K341" s="189" t="s">
        <v>245</v>
      </c>
      <c r="L341" s="189" t="s">
        <v>184</v>
      </c>
      <c r="M341" s="189" t="s">
        <v>130</v>
      </c>
      <c r="N341" s="189" t="s">
        <v>227</v>
      </c>
      <c r="O341" s="189" t="s">
        <v>172</v>
      </c>
      <c r="P341" s="189" t="s">
        <v>111</v>
      </c>
      <c r="Q341" s="189" t="s">
        <v>112</v>
      </c>
      <c r="R341" s="189" t="s">
        <v>21</v>
      </c>
      <c r="S341" s="189" t="s">
        <v>120</v>
      </c>
      <c r="T341" s="189" t="s">
        <v>180</v>
      </c>
      <c r="U341" s="189" t="s">
        <v>191</v>
      </c>
      <c r="V341" s="189" t="s">
        <v>192</v>
      </c>
      <c r="W341" s="189" t="s">
        <v>168</v>
      </c>
      <c r="X341" s="189" t="s">
        <v>187</v>
      </c>
      <c r="Y341" s="189" t="s">
        <v>2110</v>
      </c>
      <c r="Z341" s="0" t="n">
        <v>2</v>
      </c>
      <c r="AA341" s="189" t="s">
        <v>2134</v>
      </c>
    </row>
    <row r="342" customFormat="false" ht="15" hidden="false" customHeight="true" outlineLevel="0" collapsed="false">
      <c r="A342" s="0" t="n">
        <v>70</v>
      </c>
      <c r="B342" s="188" t="n">
        <v>46191.606095563</v>
      </c>
      <c r="C342" s="188" t="n">
        <v>46191.6265816741</v>
      </c>
      <c r="D342" s="189" t="s">
        <v>705</v>
      </c>
      <c r="E342" s="189" t="s">
        <v>706</v>
      </c>
      <c r="F342" s="189" t="s">
        <v>706</v>
      </c>
      <c r="G342" s="189" t="s">
        <v>707</v>
      </c>
      <c r="H342" s="188" t="n">
        <v>46174</v>
      </c>
      <c r="I342" s="189" t="s">
        <v>113</v>
      </c>
      <c r="J342" s="189" t="s">
        <v>108</v>
      </c>
      <c r="K342" s="189" t="s">
        <v>245</v>
      </c>
      <c r="L342" s="189" t="s">
        <v>184</v>
      </c>
      <c r="M342" s="189" t="s">
        <v>130</v>
      </c>
      <c r="N342" s="189" t="s">
        <v>227</v>
      </c>
      <c r="O342" s="189" t="s">
        <v>172</v>
      </c>
      <c r="P342" s="189" t="s">
        <v>111</v>
      </c>
      <c r="Q342" s="189" t="s">
        <v>112</v>
      </c>
      <c r="R342" s="189" t="s">
        <v>21</v>
      </c>
      <c r="S342" s="189" t="s">
        <v>120</v>
      </c>
      <c r="T342" s="189" t="s">
        <v>180</v>
      </c>
      <c r="U342" s="189" t="s">
        <v>191</v>
      </c>
      <c r="V342" s="189" t="s">
        <v>192</v>
      </c>
      <c r="W342" s="189" t="s">
        <v>168</v>
      </c>
      <c r="X342" s="189" t="s">
        <v>187</v>
      </c>
      <c r="Y342" s="189" t="s">
        <v>2113</v>
      </c>
      <c r="Z342" s="0" t="n">
        <v>1</v>
      </c>
      <c r="AA342" s="189" t="s">
        <v>2135</v>
      </c>
    </row>
    <row r="343" customFormat="false" ht="15" hidden="false" customHeight="true" outlineLevel="0" collapsed="false">
      <c r="A343" s="0" t="n">
        <v>71</v>
      </c>
      <c r="B343" s="188" t="n">
        <v>46066.535172176</v>
      </c>
      <c r="C343" s="188" t="n">
        <v>46066.5410633797</v>
      </c>
      <c r="D343" s="189" t="s">
        <v>709</v>
      </c>
      <c r="E343" s="189" t="s">
        <v>710</v>
      </c>
      <c r="F343" s="189" t="s">
        <v>711</v>
      </c>
      <c r="G343" s="189" t="s">
        <v>712</v>
      </c>
      <c r="H343" s="188" t="n">
        <v>46051</v>
      </c>
      <c r="I343" s="189" t="s">
        <v>113</v>
      </c>
      <c r="J343" s="189" t="s">
        <v>295</v>
      </c>
      <c r="K343" s="189" t="s">
        <v>245</v>
      </c>
      <c r="L343" s="189" t="s">
        <v>184</v>
      </c>
      <c r="M343" s="189" t="s">
        <v>578</v>
      </c>
      <c r="N343" s="189" t="s">
        <v>714</v>
      </c>
      <c r="O343" s="189" t="s">
        <v>713</v>
      </c>
      <c r="P343" s="189" t="s">
        <v>111</v>
      </c>
      <c r="Q343" s="189" t="s">
        <v>145</v>
      </c>
      <c r="R343" s="189" t="s">
        <v>22</v>
      </c>
      <c r="S343" s="189" t="s">
        <v>152</v>
      </c>
      <c r="T343" s="189" t="s">
        <v>121</v>
      </c>
      <c r="U343" s="132" t="s">
        <v>641</v>
      </c>
      <c r="V343" s="189" t="s">
        <v>123</v>
      </c>
      <c r="W343" s="189" t="s">
        <v>124</v>
      </c>
      <c r="X343" s="189" t="s">
        <v>715</v>
      </c>
      <c r="Y343" s="189" t="s">
        <v>2108</v>
      </c>
      <c r="Z343" s="0" t="n">
        <v>1</v>
      </c>
      <c r="AA343" s="189" t="s">
        <v>2268</v>
      </c>
    </row>
    <row r="344" customFormat="false" ht="15" hidden="false" customHeight="true" outlineLevel="0" collapsed="false">
      <c r="A344" s="0" t="n">
        <v>71</v>
      </c>
      <c r="B344" s="188" t="n">
        <v>46066.535172176</v>
      </c>
      <c r="C344" s="188" t="n">
        <v>46066.5410633797</v>
      </c>
      <c r="D344" s="189" t="s">
        <v>709</v>
      </c>
      <c r="E344" s="189" t="s">
        <v>710</v>
      </c>
      <c r="F344" s="189" t="s">
        <v>711</v>
      </c>
      <c r="G344" s="189" t="s">
        <v>712</v>
      </c>
      <c r="H344" s="188" t="n">
        <v>46051</v>
      </c>
      <c r="I344" s="189" t="s">
        <v>113</v>
      </c>
      <c r="J344" s="189" t="s">
        <v>295</v>
      </c>
      <c r="K344" s="189" t="s">
        <v>245</v>
      </c>
      <c r="L344" s="189" t="s">
        <v>184</v>
      </c>
      <c r="M344" s="189" t="s">
        <v>578</v>
      </c>
      <c r="N344" s="189" t="s">
        <v>714</v>
      </c>
      <c r="O344" s="189" t="s">
        <v>713</v>
      </c>
      <c r="P344" s="189" t="s">
        <v>111</v>
      </c>
      <c r="Q344" s="189" t="s">
        <v>145</v>
      </c>
      <c r="R344" s="189" t="s">
        <v>22</v>
      </c>
      <c r="S344" s="189" t="s">
        <v>152</v>
      </c>
      <c r="T344" s="189" t="s">
        <v>121</v>
      </c>
      <c r="U344" s="132" t="s">
        <v>641</v>
      </c>
      <c r="V344" s="189" t="s">
        <v>123</v>
      </c>
      <c r="W344" s="189" t="s">
        <v>124</v>
      </c>
      <c r="X344" s="189" t="s">
        <v>715</v>
      </c>
      <c r="Y344" s="189" t="s">
        <v>2108</v>
      </c>
      <c r="Z344" s="0" t="n">
        <v>2</v>
      </c>
      <c r="AA344" s="189" t="s">
        <v>2269</v>
      </c>
    </row>
    <row r="345" customFormat="false" ht="15" hidden="false" customHeight="true" outlineLevel="0" collapsed="false">
      <c r="A345" s="0" t="n">
        <v>71</v>
      </c>
      <c r="B345" s="188" t="n">
        <v>46066.535172176</v>
      </c>
      <c r="C345" s="188" t="n">
        <v>46066.5410633797</v>
      </c>
      <c r="D345" s="189" t="s">
        <v>709</v>
      </c>
      <c r="E345" s="189" t="s">
        <v>710</v>
      </c>
      <c r="F345" s="189" t="s">
        <v>711</v>
      </c>
      <c r="G345" s="189" t="s">
        <v>712</v>
      </c>
      <c r="H345" s="188" t="n">
        <v>46051</v>
      </c>
      <c r="I345" s="189" t="s">
        <v>113</v>
      </c>
      <c r="J345" s="189" t="s">
        <v>295</v>
      </c>
      <c r="K345" s="189" t="s">
        <v>245</v>
      </c>
      <c r="L345" s="189" t="s">
        <v>184</v>
      </c>
      <c r="M345" s="189" t="s">
        <v>578</v>
      </c>
      <c r="N345" s="189" t="s">
        <v>714</v>
      </c>
      <c r="O345" s="189" t="s">
        <v>713</v>
      </c>
      <c r="P345" s="189" t="s">
        <v>111</v>
      </c>
      <c r="Q345" s="189" t="s">
        <v>145</v>
      </c>
      <c r="R345" s="189" t="s">
        <v>22</v>
      </c>
      <c r="S345" s="189" t="s">
        <v>152</v>
      </c>
      <c r="T345" s="189" t="s">
        <v>121</v>
      </c>
      <c r="U345" s="132" t="s">
        <v>641</v>
      </c>
      <c r="V345" s="189" t="s">
        <v>123</v>
      </c>
      <c r="W345" s="189" t="s">
        <v>124</v>
      </c>
      <c r="X345" s="189" t="s">
        <v>715</v>
      </c>
      <c r="Y345" s="189" t="s">
        <v>2110</v>
      </c>
      <c r="Z345" s="0" t="n">
        <v>1</v>
      </c>
      <c r="AA345" s="189" t="s">
        <v>2270</v>
      </c>
    </row>
    <row r="346" customFormat="false" ht="15" hidden="false" customHeight="true" outlineLevel="0" collapsed="false">
      <c r="A346" s="0" t="n">
        <v>71</v>
      </c>
      <c r="B346" s="188" t="n">
        <v>46066.535172176</v>
      </c>
      <c r="C346" s="188" t="n">
        <v>46066.5410633797</v>
      </c>
      <c r="D346" s="189" t="s">
        <v>709</v>
      </c>
      <c r="E346" s="189" t="s">
        <v>710</v>
      </c>
      <c r="F346" s="189" t="s">
        <v>711</v>
      </c>
      <c r="G346" s="189" t="s">
        <v>712</v>
      </c>
      <c r="H346" s="188" t="n">
        <v>46051</v>
      </c>
      <c r="I346" s="189" t="s">
        <v>113</v>
      </c>
      <c r="J346" s="189" t="s">
        <v>295</v>
      </c>
      <c r="K346" s="189" t="s">
        <v>245</v>
      </c>
      <c r="L346" s="189" t="s">
        <v>184</v>
      </c>
      <c r="M346" s="189" t="s">
        <v>578</v>
      </c>
      <c r="N346" s="189" t="s">
        <v>714</v>
      </c>
      <c r="O346" s="189" t="s">
        <v>713</v>
      </c>
      <c r="P346" s="189" t="s">
        <v>111</v>
      </c>
      <c r="Q346" s="189" t="s">
        <v>145</v>
      </c>
      <c r="R346" s="189" t="s">
        <v>22</v>
      </c>
      <c r="S346" s="189" t="s">
        <v>152</v>
      </c>
      <c r="T346" s="189" t="s">
        <v>121</v>
      </c>
      <c r="U346" s="132" t="s">
        <v>641</v>
      </c>
      <c r="V346" s="189" t="s">
        <v>123</v>
      </c>
      <c r="W346" s="189" t="s">
        <v>124</v>
      </c>
      <c r="X346" s="189" t="s">
        <v>715</v>
      </c>
      <c r="Y346" s="189" t="s">
        <v>2110</v>
      </c>
      <c r="Z346" s="0" t="n">
        <v>2</v>
      </c>
      <c r="AA346" s="189" t="s">
        <v>2271</v>
      </c>
    </row>
    <row r="347" customFormat="false" ht="15" hidden="false" customHeight="true" outlineLevel="0" collapsed="false">
      <c r="A347" s="0" t="n">
        <v>71</v>
      </c>
      <c r="B347" s="188" t="n">
        <v>46066.535172176</v>
      </c>
      <c r="C347" s="188" t="n">
        <v>46066.5410633797</v>
      </c>
      <c r="D347" s="189" t="s">
        <v>709</v>
      </c>
      <c r="E347" s="189" t="s">
        <v>710</v>
      </c>
      <c r="F347" s="189" t="s">
        <v>711</v>
      </c>
      <c r="G347" s="189" t="s">
        <v>712</v>
      </c>
      <c r="H347" s="188" t="n">
        <v>46051</v>
      </c>
      <c r="I347" s="189" t="s">
        <v>113</v>
      </c>
      <c r="J347" s="189" t="s">
        <v>295</v>
      </c>
      <c r="K347" s="189" t="s">
        <v>245</v>
      </c>
      <c r="L347" s="189" t="s">
        <v>184</v>
      </c>
      <c r="M347" s="189" t="s">
        <v>578</v>
      </c>
      <c r="N347" s="189" t="s">
        <v>714</v>
      </c>
      <c r="O347" s="189" t="s">
        <v>713</v>
      </c>
      <c r="P347" s="189" t="s">
        <v>111</v>
      </c>
      <c r="Q347" s="189" t="s">
        <v>145</v>
      </c>
      <c r="R347" s="189" t="s">
        <v>22</v>
      </c>
      <c r="S347" s="189" t="s">
        <v>152</v>
      </c>
      <c r="T347" s="189" t="s">
        <v>121</v>
      </c>
      <c r="U347" s="132" t="s">
        <v>641</v>
      </c>
      <c r="V347" s="189" t="s">
        <v>123</v>
      </c>
      <c r="W347" s="189" t="s">
        <v>124</v>
      </c>
      <c r="X347" s="189" t="s">
        <v>715</v>
      </c>
      <c r="Y347" s="189" t="s">
        <v>2113</v>
      </c>
      <c r="Z347" s="0" t="n">
        <v>1</v>
      </c>
      <c r="AA347" s="189" t="s">
        <v>2272</v>
      </c>
    </row>
    <row r="348" customFormat="false" ht="15" hidden="false" customHeight="true" outlineLevel="0" collapsed="false">
      <c r="A348" s="0" t="n">
        <v>71</v>
      </c>
      <c r="B348" s="188" t="n">
        <v>46066.535172176</v>
      </c>
      <c r="C348" s="188" t="n">
        <v>46066.5410633797</v>
      </c>
      <c r="D348" s="189" t="s">
        <v>709</v>
      </c>
      <c r="E348" s="189" t="s">
        <v>710</v>
      </c>
      <c r="F348" s="189" t="s">
        <v>711</v>
      </c>
      <c r="G348" s="189" t="s">
        <v>712</v>
      </c>
      <c r="H348" s="188" t="n">
        <v>46051</v>
      </c>
      <c r="I348" s="189" t="s">
        <v>113</v>
      </c>
      <c r="J348" s="189" t="s">
        <v>295</v>
      </c>
      <c r="K348" s="189" t="s">
        <v>245</v>
      </c>
      <c r="L348" s="189" t="s">
        <v>184</v>
      </c>
      <c r="M348" s="189" t="s">
        <v>578</v>
      </c>
      <c r="N348" s="189" t="s">
        <v>714</v>
      </c>
      <c r="O348" s="189" t="s">
        <v>713</v>
      </c>
      <c r="P348" s="189" t="s">
        <v>111</v>
      </c>
      <c r="Q348" s="189" t="s">
        <v>145</v>
      </c>
      <c r="R348" s="189" t="s">
        <v>22</v>
      </c>
      <c r="S348" s="189" t="s">
        <v>152</v>
      </c>
      <c r="T348" s="189" t="s">
        <v>121</v>
      </c>
      <c r="U348" s="132" t="s">
        <v>641</v>
      </c>
      <c r="V348" s="189" t="s">
        <v>123</v>
      </c>
      <c r="W348" s="189" t="s">
        <v>124</v>
      </c>
      <c r="X348" s="189" t="s">
        <v>715</v>
      </c>
      <c r="Y348" s="189" t="s">
        <v>2113</v>
      </c>
      <c r="Z348" s="0" t="n">
        <v>2</v>
      </c>
      <c r="AA348" s="189" t="s">
        <v>2273</v>
      </c>
    </row>
    <row r="349" customFormat="false" ht="15" hidden="false" customHeight="true" outlineLevel="0" collapsed="false">
      <c r="A349" s="0" t="n">
        <v>72</v>
      </c>
      <c r="B349" s="188" t="n">
        <v>46103.6197790973</v>
      </c>
      <c r="C349" s="188" t="n">
        <v>46103.6258091899</v>
      </c>
      <c r="D349" s="189" t="s">
        <v>719</v>
      </c>
      <c r="E349" s="189" t="s">
        <v>720</v>
      </c>
      <c r="F349" s="189" t="s">
        <v>720</v>
      </c>
      <c r="G349" s="189" t="s">
        <v>721</v>
      </c>
      <c r="H349" s="188" t="n">
        <v>46085</v>
      </c>
      <c r="I349" s="189" t="s">
        <v>325</v>
      </c>
      <c r="J349" s="189" t="s">
        <v>108</v>
      </c>
      <c r="K349" s="189" t="s">
        <v>257</v>
      </c>
      <c r="L349" s="189" t="s">
        <v>346</v>
      </c>
      <c r="M349" s="189" t="s">
        <v>357</v>
      </c>
      <c r="N349" s="189" t="s">
        <v>398</v>
      </c>
      <c r="O349" s="189" t="s">
        <v>157</v>
      </c>
      <c r="P349" s="189" t="s">
        <v>111</v>
      </c>
      <c r="Q349" s="189" t="s">
        <v>112</v>
      </c>
      <c r="R349" s="189" t="s">
        <v>22</v>
      </c>
      <c r="S349" s="189" t="s">
        <v>227</v>
      </c>
      <c r="T349" s="189" t="s">
        <v>180</v>
      </c>
      <c r="U349" s="189" t="s">
        <v>725</v>
      </c>
      <c r="V349" s="189" t="s">
        <v>123</v>
      </c>
      <c r="W349" s="189" t="s">
        <v>124</v>
      </c>
      <c r="X349" s="189" t="s">
        <v>271</v>
      </c>
      <c r="Y349" s="189" t="s">
        <v>2108</v>
      </c>
      <c r="Z349" s="0" t="n">
        <v>1</v>
      </c>
      <c r="AA349" s="189" t="s">
        <v>2274</v>
      </c>
    </row>
    <row r="350" customFormat="false" ht="15" hidden="false" customHeight="true" outlineLevel="0" collapsed="false">
      <c r="A350" s="0" t="n">
        <v>72</v>
      </c>
      <c r="B350" s="188" t="n">
        <v>46103.6197790973</v>
      </c>
      <c r="C350" s="188" t="n">
        <v>46103.6258091899</v>
      </c>
      <c r="D350" s="189" t="s">
        <v>719</v>
      </c>
      <c r="E350" s="189" t="s">
        <v>720</v>
      </c>
      <c r="F350" s="189" t="s">
        <v>720</v>
      </c>
      <c r="G350" s="189" t="s">
        <v>721</v>
      </c>
      <c r="H350" s="188" t="n">
        <v>46085</v>
      </c>
      <c r="I350" s="189" t="s">
        <v>325</v>
      </c>
      <c r="J350" s="189" t="s">
        <v>108</v>
      </c>
      <c r="K350" s="189" t="s">
        <v>257</v>
      </c>
      <c r="L350" s="189" t="s">
        <v>346</v>
      </c>
      <c r="M350" s="189" t="s">
        <v>357</v>
      </c>
      <c r="N350" s="189" t="s">
        <v>398</v>
      </c>
      <c r="O350" s="189" t="s">
        <v>157</v>
      </c>
      <c r="P350" s="189" t="s">
        <v>111</v>
      </c>
      <c r="Q350" s="189" t="s">
        <v>112</v>
      </c>
      <c r="R350" s="189" t="s">
        <v>22</v>
      </c>
      <c r="S350" s="189" t="s">
        <v>227</v>
      </c>
      <c r="T350" s="189" t="s">
        <v>180</v>
      </c>
      <c r="U350" s="189" t="s">
        <v>725</v>
      </c>
      <c r="V350" s="189" t="s">
        <v>123</v>
      </c>
      <c r="W350" s="189" t="s">
        <v>124</v>
      </c>
      <c r="X350" s="189" t="s">
        <v>271</v>
      </c>
      <c r="Y350" s="189" t="s">
        <v>2110</v>
      </c>
      <c r="Z350" s="0" t="n">
        <v>1</v>
      </c>
      <c r="AA350" s="189" t="s">
        <v>2161</v>
      </c>
    </row>
    <row r="351" customFormat="false" ht="15" hidden="false" customHeight="true" outlineLevel="0" collapsed="false">
      <c r="A351" s="0" t="n">
        <v>72</v>
      </c>
      <c r="B351" s="188" t="n">
        <v>46103.6197790973</v>
      </c>
      <c r="C351" s="188" t="n">
        <v>46103.6258091899</v>
      </c>
      <c r="D351" s="189" t="s">
        <v>719</v>
      </c>
      <c r="E351" s="189" t="s">
        <v>720</v>
      </c>
      <c r="F351" s="189" t="s">
        <v>720</v>
      </c>
      <c r="G351" s="189" t="s">
        <v>721</v>
      </c>
      <c r="H351" s="188" t="n">
        <v>46085</v>
      </c>
      <c r="I351" s="189" t="s">
        <v>325</v>
      </c>
      <c r="J351" s="189" t="s">
        <v>108</v>
      </c>
      <c r="K351" s="189" t="s">
        <v>257</v>
      </c>
      <c r="L351" s="189" t="s">
        <v>346</v>
      </c>
      <c r="M351" s="189" t="s">
        <v>357</v>
      </c>
      <c r="N351" s="189" t="s">
        <v>398</v>
      </c>
      <c r="O351" s="189" t="s">
        <v>157</v>
      </c>
      <c r="P351" s="189" t="s">
        <v>111</v>
      </c>
      <c r="Q351" s="189" t="s">
        <v>112</v>
      </c>
      <c r="R351" s="189" t="s">
        <v>22</v>
      </c>
      <c r="S351" s="189" t="s">
        <v>227</v>
      </c>
      <c r="T351" s="189" t="s">
        <v>180</v>
      </c>
      <c r="U351" s="189" t="s">
        <v>725</v>
      </c>
      <c r="V351" s="189" t="s">
        <v>123</v>
      </c>
      <c r="W351" s="189" t="s">
        <v>124</v>
      </c>
      <c r="X351" s="189" t="s">
        <v>271</v>
      </c>
      <c r="Y351" s="189" t="s">
        <v>2110</v>
      </c>
      <c r="Z351" s="0" t="n">
        <v>2</v>
      </c>
      <c r="AA351" s="189" t="s">
        <v>2182</v>
      </c>
    </row>
    <row r="352" customFormat="false" ht="15" hidden="false" customHeight="true" outlineLevel="0" collapsed="false">
      <c r="A352" s="0" t="n">
        <v>72</v>
      </c>
      <c r="B352" s="188" t="n">
        <v>46103.6197790973</v>
      </c>
      <c r="C352" s="188" t="n">
        <v>46103.6258091899</v>
      </c>
      <c r="D352" s="189" t="s">
        <v>719</v>
      </c>
      <c r="E352" s="189" t="s">
        <v>720</v>
      </c>
      <c r="F352" s="189" t="s">
        <v>720</v>
      </c>
      <c r="G352" s="189" t="s">
        <v>721</v>
      </c>
      <c r="H352" s="188" t="n">
        <v>46085</v>
      </c>
      <c r="I352" s="189" t="s">
        <v>325</v>
      </c>
      <c r="J352" s="189" t="s">
        <v>108</v>
      </c>
      <c r="K352" s="189" t="s">
        <v>257</v>
      </c>
      <c r="L352" s="189" t="s">
        <v>346</v>
      </c>
      <c r="M352" s="189" t="s">
        <v>357</v>
      </c>
      <c r="N352" s="189" t="s">
        <v>398</v>
      </c>
      <c r="O352" s="189" t="s">
        <v>157</v>
      </c>
      <c r="P352" s="189" t="s">
        <v>111</v>
      </c>
      <c r="Q352" s="189" t="s">
        <v>112</v>
      </c>
      <c r="R352" s="189" t="s">
        <v>22</v>
      </c>
      <c r="S352" s="189" t="s">
        <v>227</v>
      </c>
      <c r="T352" s="189" t="s">
        <v>180</v>
      </c>
      <c r="U352" s="189" t="s">
        <v>725</v>
      </c>
      <c r="V352" s="189" t="s">
        <v>123</v>
      </c>
      <c r="W352" s="189" t="s">
        <v>124</v>
      </c>
      <c r="X352" s="189" t="s">
        <v>271</v>
      </c>
      <c r="Y352" s="189" t="s">
        <v>2113</v>
      </c>
      <c r="Z352" s="0" t="n">
        <v>1</v>
      </c>
      <c r="AA352" s="189" t="s">
        <v>2162</v>
      </c>
    </row>
    <row r="353" customFormat="false" ht="15" hidden="false" customHeight="true" outlineLevel="0" collapsed="false">
      <c r="A353" s="0" t="n">
        <v>73</v>
      </c>
      <c r="B353" s="188" t="n">
        <v>46070.2242968252</v>
      </c>
      <c r="C353" s="188" t="n">
        <v>46070.2364843252</v>
      </c>
      <c r="D353" s="189" t="s">
        <v>726</v>
      </c>
      <c r="E353" s="189" t="s">
        <v>727</v>
      </c>
      <c r="F353" s="189" t="s">
        <v>728</v>
      </c>
      <c r="G353" s="189" t="s">
        <v>729</v>
      </c>
      <c r="H353" s="188" t="n">
        <v>46050</v>
      </c>
      <c r="I353" s="189" t="s">
        <v>113</v>
      </c>
      <c r="J353" s="189" t="s">
        <v>108</v>
      </c>
      <c r="K353" s="189" t="s">
        <v>196</v>
      </c>
      <c r="L353" s="189" t="s">
        <v>246</v>
      </c>
      <c r="M353" s="189" t="s">
        <v>144</v>
      </c>
      <c r="N353" s="189" t="s">
        <v>389</v>
      </c>
      <c r="O353" s="189" t="s">
        <v>244</v>
      </c>
      <c r="P353" s="189" t="s">
        <v>111</v>
      </c>
      <c r="Q353" s="189" t="s">
        <v>112</v>
      </c>
      <c r="R353" s="189" t="s">
        <v>22</v>
      </c>
      <c r="S353" s="189" t="s">
        <v>152</v>
      </c>
      <c r="T353" s="189" t="s">
        <v>121</v>
      </c>
      <c r="U353" s="189" t="s">
        <v>122</v>
      </c>
      <c r="V353" s="189" t="s">
        <v>123</v>
      </c>
      <c r="W353" s="189" t="s">
        <v>124</v>
      </c>
      <c r="X353" s="189" t="s">
        <v>715</v>
      </c>
      <c r="Y353" s="189" t="s">
        <v>2108</v>
      </c>
      <c r="Z353" s="0" t="n">
        <v>1</v>
      </c>
      <c r="AA353" s="189" t="s">
        <v>2268</v>
      </c>
    </row>
    <row r="354" customFormat="false" ht="15" hidden="false" customHeight="true" outlineLevel="0" collapsed="false">
      <c r="A354" s="0" t="n">
        <v>73</v>
      </c>
      <c r="B354" s="188" t="n">
        <v>46070.2242968252</v>
      </c>
      <c r="C354" s="188" t="n">
        <v>46070.2364843252</v>
      </c>
      <c r="D354" s="189" t="s">
        <v>726</v>
      </c>
      <c r="E354" s="189" t="s">
        <v>727</v>
      </c>
      <c r="F354" s="189" t="s">
        <v>728</v>
      </c>
      <c r="G354" s="189" t="s">
        <v>729</v>
      </c>
      <c r="H354" s="188" t="n">
        <v>46050</v>
      </c>
      <c r="I354" s="189" t="s">
        <v>113</v>
      </c>
      <c r="J354" s="189" t="s">
        <v>108</v>
      </c>
      <c r="K354" s="189" t="s">
        <v>196</v>
      </c>
      <c r="L354" s="189" t="s">
        <v>246</v>
      </c>
      <c r="M354" s="189" t="s">
        <v>144</v>
      </c>
      <c r="N354" s="189" t="s">
        <v>389</v>
      </c>
      <c r="O354" s="189" t="s">
        <v>244</v>
      </c>
      <c r="P354" s="189" t="s">
        <v>111</v>
      </c>
      <c r="Q354" s="189" t="s">
        <v>112</v>
      </c>
      <c r="R354" s="189" t="s">
        <v>22</v>
      </c>
      <c r="S354" s="189" t="s">
        <v>152</v>
      </c>
      <c r="T354" s="189" t="s">
        <v>121</v>
      </c>
      <c r="U354" s="189" t="s">
        <v>122</v>
      </c>
      <c r="V354" s="189" t="s">
        <v>123</v>
      </c>
      <c r="W354" s="189" t="s">
        <v>124</v>
      </c>
      <c r="X354" s="189" t="s">
        <v>715</v>
      </c>
      <c r="Y354" s="189" t="s">
        <v>2110</v>
      </c>
      <c r="Z354" s="0" t="n">
        <v>1</v>
      </c>
      <c r="AA354" s="189" t="s">
        <v>2275</v>
      </c>
    </row>
    <row r="355" customFormat="false" ht="15" hidden="false" customHeight="true" outlineLevel="0" collapsed="false">
      <c r="A355" s="0" t="n">
        <v>73</v>
      </c>
      <c r="B355" s="188" t="n">
        <v>46070.2242968252</v>
      </c>
      <c r="C355" s="188" t="n">
        <v>46070.2364843252</v>
      </c>
      <c r="D355" s="189" t="s">
        <v>726</v>
      </c>
      <c r="E355" s="189" t="s">
        <v>727</v>
      </c>
      <c r="F355" s="189" t="s">
        <v>728</v>
      </c>
      <c r="G355" s="189" t="s">
        <v>729</v>
      </c>
      <c r="H355" s="188" t="n">
        <v>46050</v>
      </c>
      <c r="I355" s="189" t="s">
        <v>113</v>
      </c>
      <c r="J355" s="189" t="s">
        <v>108</v>
      </c>
      <c r="K355" s="189" t="s">
        <v>196</v>
      </c>
      <c r="L355" s="189" t="s">
        <v>246</v>
      </c>
      <c r="M355" s="189" t="s">
        <v>144</v>
      </c>
      <c r="N355" s="189" t="s">
        <v>389</v>
      </c>
      <c r="O355" s="189" t="s">
        <v>244</v>
      </c>
      <c r="P355" s="189" t="s">
        <v>111</v>
      </c>
      <c r="Q355" s="189" t="s">
        <v>112</v>
      </c>
      <c r="R355" s="189" t="s">
        <v>22</v>
      </c>
      <c r="S355" s="189" t="s">
        <v>152</v>
      </c>
      <c r="T355" s="189" t="s">
        <v>121</v>
      </c>
      <c r="U355" s="189" t="s">
        <v>122</v>
      </c>
      <c r="V355" s="189" t="s">
        <v>123</v>
      </c>
      <c r="W355" s="189" t="s">
        <v>124</v>
      </c>
      <c r="X355" s="189" t="s">
        <v>715</v>
      </c>
      <c r="Y355" s="189" t="s">
        <v>2110</v>
      </c>
      <c r="Z355" s="0" t="n">
        <v>2</v>
      </c>
      <c r="AA355" s="189" t="s">
        <v>2270</v>
      </c>
    </row>
    <row r="356" customFormat="false" ht="15" hidden="false" customHeight="true" outlineLevel="0" collapsed="false">
      <c r="A356" s="0" t="n">
        <v>73</v>
      </c>
      <c r="B356" s="188" t="n">
        <v>46070.2242968252</v>
      </c>
      <c r="C356" s="188" t="n">
        <v>46070.2364843252</v>
      </c>
      <c r="D356" s="189" t="s">
        <v>726</v>
      </c>
      <c r="E356" s="189" t="s">
        <v>727</v>
      </c>
      <c r="F356" s="189" t="s">
        <v>728</v>
      </c>
      <c r="G356" s="189" t="s">
        <v>729</v>
      </c>
      <c r="H356" s="188" t="n">
        <v>46050</v>
      </c>
      <c r="I356" s="189" t="s">
        <v>113</v>
      </c>
      <c r="J356" s="189" t="s">
        <v>108</v>
      </c>
      <c r="K356" s="189" t="s">
        <v>196</v>
      </c>
      <c r="L356" s="189" t="s">
        <v>246</v>
      </c>
      <c r="M356" s="189" t="s">
        <v>144</v>
      </c>
      <c r="N356" s="189" t="s">
        <v>389</v>
      </c>
      <c r="O356" s="189" t="s">
        <v>244</v>
      </c>
      <c r="P356" s="189" t="s">
        <v>111</v>
      </c>
      <c r="Q356" s="189" t="s">
        <v>112</v>
      </c>
      <c r="R356" s="189" t="s">
        <v>22</v>
      </c>
      <c r="S356" s="189" t="s">
        <v>152</v>
      </c>
      <c r="T356" s="189" t="s">
        <v>121</v>
      </c>
      <c r="U356" s="189" t="s">
        <v>122</v>
      </c>
      <c r="V356" s="189" t="s">
        <v>123</v>
      </c>
      <c r="W356" s="189" t="s">
        <v>124</v>
      </c>
      <c r="X356" s="189" t="s">
        <v>715</v>
      </c>
      <c r="Y356" s="189" t="s">
        <v>2113</v>
      </c>
      <c r="Z356" s="0" t="n">
        <v>1</v>
      </c>
      <c r="AA356" s="189" t="s">
        <v>2276</v>
      </c>
    </row>
    <row r="357" customFormat="false" ht="15" hidden="false" customHeight="true" outlineLevel="0" collapsed="false">
      <c r="A357" s="0" t="n">
        <v>74</v>
      </c>
      <c r="B357" s="188" t="n">
        <v>46154.2675204042</v>
      </c>
      <c r="C357" s="188" t="n">
        <v>46154.2854254968</v>
      </c>
      <c r="D357" s="189" t="s">
        <v>733</v>
      </c>
      <c r="E357" s="189" t="s">
        <v>734</v>
      </c>
      <c r="F357" s="189" t="s">
        <v>734</v>
      </c>
      <c r="G357" s="189" t="s">
        <v>735</v>
      </c>
      <c r="H357" s="188" t="n">
        <v>46152</v>
      </c>
      <c r="I357" s="189" t="s">
        <v>113</v>
      </c>
      <c r="J357" s="189" t="s">
        <v>128</v>
      </c>
      <c r="K357" s="189" t="s">
        <v>462</v>
      </c>
      <c r="L357" s="189" t="s">
        <v>210</v>
      </c>
      <c r="M357" s="189" t="s">
        <v>736</v>
      </c>
      <c r="N357" s="189" t="s">
        <v>306</v>
      </c>
      <c r="O357" s="189" t="s">
        <v>244</v>
      </c>
      <c r="P357" s="189" t="s">
        <v>111</v>
      </c>
      <c r="Q357" s="189" t="s">
        <v>112</v>
      </c>
      <c r="R357" s="189" t="s">
        <v>22</v>
      </c>
      <c r="S357" s="189" t="s">
        <v>152</v>
      </c>
      <c r="T357" s="189" t="s">
        <v>264</v>
      </c>
      <c r="U357" s="189" t="s">
        <v>562</v>
      </c>
      <c r="V357" s="189" t="s">
        <v>123</v>
      </c>
      <c r="W357" s="189" t="s">
        <v>139</v>
      </c>
      <c r="X357" s="189" t="s">
        <v>381</v>
      </c>
      <c r="Y357" s="189" t="s">
        <v>2108</v>
      </c>
      <c r="Z357" s="0" t="n">
        <v>1</v>
      </c>
      <c r="AA357" s="189" t="s">
        <v>2224</v>
      </c>
    </row>
    <row r="358" customFormat="false" ht="15" hidden="false" customHeight="true" outlineLevel="0" collapsed="false">
      <c r="A358" s="0" t="n">
        <v>74</v>
      </c>
      <c r="B358" s="188" t="n">
        <v>46154.2675204042</v>
      </c>
      <c r="C358" s="188" t="n">
        <v>46154.2854254968</v>
      </c>
      <c r="D358" s="189" t="s">
        <v>733</v>
      </c>
      <c r="E358" s="189" t="s">
        <v>734</v>
      </c>
      <c r="F358" s="189" t="s">
        <v>734</v>
      </c>
      <c r="G358" s="189" t="s">
        <v>735</v>
      </c>
      <c r="H358" s="188" t="n">
        <v>46152</v>
      </c>
      <c r="I358" s="189" t="s">
        <v>113</v>
      </c>
      <c r="J358" s="189" t="s">
        <v>128</v>
      </c>
      <c r="K358" s="189" t="s">
        <v>462</v>
      </c>
      <c r="L358" s="189" t="s">
        <v>210</v>
      </c>
      <c r="M358" s="189" t="s">
        <v>736</v>
      </c>
      <c r="N358" s="189" t="s">
        <v>306</v>
      </c>
      <c r="O358" s="189" t="s">
        <v>244</v>
      </c>
      <c r="P358" s="189" t="s">
        <v>111</v>
      </c>
      <c r="Q358" s="189" t="s">
        <v>112</v>
      </c>
      <c r="R358" s="189" t="s">
        <v>22</v>
      </c>
      <c r="S358" s="189" t="s">
        <v>152</v>
      </c>
      <c r="T358" s="189" t="s">
        <v>264</v>
      </c>
      <c r="U358" s="189" t="s">
        <v>562</v>
      </c>
      <c r="V358" s="189" t="s">
        <v>123</v>
      </c>
      <c r="W358" s="189" t="s">
        <v>139</v>
      </c>
      <c r="X358" s="189" t="s">
        <v>381</v>
      </c>
      <c r="Y358" s="189" t="s">
        <v>2108</v>
      </c>
      <c r="Z358" s="0" t="n">
        <v>2</v>
      </c>
      <c r="AA358" s="189" t="s">
        <v>2277</v>
      </c>
    </row>
    <row r="359" customFormat="false" ht="15" hidden="false" customHeight="true" outlineLevel="0" collapsed="false">
      <c r="A359" s="0" t="n">
        <v>74</v>
      </c>
      <c r="B359" s="188" t="n">
        <v>46154.2675204042</v>
      </c>
      <c r="C359" s="188" t="n">
        <v>46154.2854254968</v>
      </c>
      <c r="D359" s="189" t="s">
        <v>733</v>
      </c>
      <c r="E359" s="189" t="s">
        <v>734</v>
      </c>
      <c r="F359" s="189" t="s">
        <v>734</v>
      </c>
      <c r="G359" s="189" t="s">
        <v>735</v>
      </c>
      <c r="H359" s="188" t="n">
        <v>46152</v>
      </c>
      <c r="I359" s="189" t="s">
        <v>113</v>
      </c>
      <c r="J359" s="189" t="s">
        <v>128</v>
      </c>
      <c r="K359" s="189" t="s">
        <v>462</v>
      </c>
      <c r="L359" s="189" t="s">
        <v>210</v>
      </c>
      <c r="M359" s="189" t="s">
        <v>736</v>
      </c>
      <c r="N359" s="189" t="s">
        <v>306</v>
      </c>
      <c r="O359" s="189" t="s">
        <v>244</v>
      </c>
      <c r="P359" s="189" t="s">
        <v>111</v>
      </c>
      <c r="Q359" s="189" t="s">
        <v>112</v>
      </c>
      <c r="R359" s="189" t="s">
        <v>22</v>
      </c>
      <c r="S359" s="189" t="s">
        <v>152</v>
      </c>
      <c r="T359" s="189" t="s">
        <v>264</v>
      </c>
      <c r="U359" s="189" t="s">
        <v>562</v>
      </c>
      <c r="V359" s="189" t="s">
        <v>123</v>
      </c>
      <c r="W359" s="189" t="s">
        <v>139</v>
      </c>
      <c r="X359" s="189" t="s">
        <v>381</v>
      </c>
      <c r="Y359" s="189" t="s">
        <v>2110</v>
      </c>
      <c r="Z359" s="0" t="n">
        <v>1</v>
      </c>
      <c r="AA359" s="189" t="s">
        <v>2204</v>
      </c>
    </row>
    <row r="360" customFormat="false" ht="15" hidden="false" customHeight="true" outlineLevel="0" collapsed="false">
      <c r="A360" s="0" t="n">
        <v>74</v>
      </c>
      <c r="B360" s="188" t="n">
        <v>46154.2675204042</v>
      </c>
      <c r="C360" s="188" t="n">
        <v>46154.2854254968</v>
      </c>
      <c r="D360" s="189" t="s">
        <v>733</v>
      </c>
      <c r="E360" s="189" t="s">
        <v>734</v>
      </c>
      <c r="F360" s="189" t="s">
        <v>734</v>
      </c>
      <c r="G360" s="189" t="s">
        <v>735</v>
      </c>
      <c r="H360" s="188" t="n">
        <v>46152</v>
      </c>
      <c r="I360" s="189" t="s">
        <v>113</v>
      </c>
      <c r="J360" s="189" t="s">
        <v>128</v>
      </c>
      <c r="K360" s="189" t="s">
        <v>462</v>
      </c>
      <c r="L360" s="189" t="s">
        <v>210</v>
      </c>
      <c r="M360" s="189" t="s">
        <v>736</v>
      </c>
      <c r="N360" s="189" t="s">
        <v>306</v>
      </c>
      <c r="O360" s="189" t="s">
        <v>244</v>
      </c>
      <c r="P360" s="189" t="s">
        <v>111</v>
      </c>
      <c r="Q360" s="189" t="s">
        <v>112</v>
      </c>
      <c r="R360" s="189" t="s">
        <v>22</v>
      </c>
      <c r="S360" s="189" t="s">
        <v>152</v>
      </c>
      <c r="T360" s="189" t="s">
        <v>264</v>
      </c>
      <c r="U360" s="189" t="s">
        <v>562</v>
      </c>
      <c r="V360" s="189" t="s">
        <v>123</v>
      </c>
      <c r="W360" s="189" t="s">
        <v>139</v>
      </c>
      <c r="X360" s="189" t="s">
        <v>381</v>
      </c>
      <c r="Y360" s="189" t="s">
        <v>2113</v>
      </c>
      <c r="Z360" s="0" t="n">
        <v>1</v>
      </c>
      <c r="AA360" s="189" t="s">
        <v>2278</v>
      </c>
    </row>
    <row r="361" customFormat="false" ht="15" hidden="false" customHeight="true" outlineLevel="0" collapsed="false">
      <c r="A361" s="0" t="n">
        <v>75</v>
      </c>
      <c r="B361" s="188" t="n">
        <v>46191.5599628683</v>
      </c>
      <c r="C361" s="188" t="n">
        <v>46191.5769420349</v>
      </c>
      <c r="D361" s="189" t="s">
        <v>739</v>
      </c>
      <c r="E361" s="189" t="s">
        <v>740</v>
      </c>
      <c r="F361" s="189" t="s">
        <v>740</v>
      </c>
      <c r="G361" s="189" t="s">
        <v>741</v>
      </c>
      <c r="H361" s="188" t="n">
        <v>46181</v>
      </c>
      <c r="I361" s="189" t="s">
        <v>113</v>
      </c>
      <c r="J361" s="189" t="s">
        <v>108</v>
      </c>
      <c r="K361" s="189" t="s">
        <v>742</v>
      </c>
      <c r="L361" s="189" t="s">
        <v>210</v>
      </c>
      <c r="M361" s="189" t="s">
        <v>133</v>
      </c>
      <c r="N361" s="189" t="s">
        <v>743</v>
      </c>
      <c r="O361" s="189" t="s">
        <v>107</v>
      </c>
      <c r="P361" s="189" t="s">
        <v>211</v>
      </c>
      <c r="Q361" s="189" t="s">
        <v>112</v>
      </c>
      <c r="R361" s="189" t="s">
        <v>22</v>
      </c>
      <c r="S361" s="189" t="s">
        <v>152</v>
      </c>
      <c r="T361" s="189" t="s">
        <v>496</v>
      </c>
      <c r="U361" s="189" t="s">
        <v>122</v>
      </c>
      <c r="V361" s="189" t="s">
        <v>167</v>
      </c>
      <c r="W361" s="189" t="s">
        <v>124</v>
      </c>
      <c r="X361" s="189" t="s">
        <v>116</v>
      </c>
      <c r="Y361" s="189" t="s">
        <v>2108</v>
      </c>
      <c r="Z361" s="0" t="n">
        <v>1</v>
      </c>
      <c r="AA361" s="189" t="s">
        <v>2139</v>
      </c>
    </row>
    <row r="362" customFormat="false" ht="15" hidden="false" customHeight="true" outlineLevel="0" collapsed="false">
      <c r="A362" s="0" t="n">
        <v>75</v>
      </c>
      <c r="B362" s="188" t="n">
        <v>46191.5599628683</v>
      </c>
      <c r="C362" s="188" t="n">
        <v>46191.5769420349</v>
      </c>
      <c r="D362" s="189" t="s">
        <v>739</v>
      </c>
      <c r="E362" s="189" t="s">
        <v>740</v>
      </c>
      <c r="F362" s="189" t="s">
        <v>740</v>
      </c>
      <c r="G362" s="189" t="s">
        <v>741</v>
      </c>
      <c r="H362" s="188" t="n">
        <v>46181</v>
      </c>
      <c r="I362" s="189" t="s">
        <v>113</v>
      </c>
      <c r="J362" s="189" t="s">
        <v>108</v>
      </c>
      <c r="K362" s="189" t="s">
        <v>742</v>
      </c>
      <c r="L362" s="189" t="s">
        <v>210</v>
      </c>
      <c r="M362" s="189" t="s">
        <v>133</v>
      </c>
      <c r="N362" s="189" t="s">
        <v>743</v>
      </c>
      <c r="O362" s="189" t="s">
        <v>107</v>
      </c>
      <c r="P362" s="189" t="s">
        <v>211</v>
      </c>
      <c r="Q362" s="189" t="s">
        <v>112</v>
      </c>
      <c r="R362" s="189" t="s">
        <v>22</v>
      </c>
      <c r="S362" s="189" t="s">
        <v>152</v>
      </c>
      <c r="T362" s="189" t="s">
        <v>496</v>
      </c>
      <c r="U362" s="189" t="s">
        <v>122</v>
      </c>
      <c r="V362" s="189" t="s">
        <v>167</v>
      </c>
      <c r="W362" s="189" t="s">
        <v>124</v>
      </c>
      <c r="X362" s="189" t="s">
        <v>116</v>
      </c>
      <c r="Y362" s="189" t="s">
        <v>2108</v>
      </c>
      <c r="Z362" s="0" t="n">
        <v>2</v>
      </c>
      <c r="AA362" s="189" t="s">
        <v>2151</v>
      </c>
    </row>
    <row r="363" customFormat="false" ht="15" hidden="false" customHeight="true" outlineLevel="0" collapsed="false">
      <c r="A363" s="0" t="n">
        <v>75</v>
      </c>
      <c r="B363" s="188" t="n">
        <v>46191.5599628683</v>
      </c>
      <c r="C363" s="188" t="n">
        <v>46191.5769420349</v>
      </c>
      <c r="D363" s="189" t="s">
        <v>739</v>
      </c>
      <c r="E363" s="189" t="s">
        <v>740</v>
      </c>
      <c r="F363" s="189" t="s">
        <v>740</v>
      </c>
      <c r="G363" s="189" t="s">
        <v>741</v>
      </c>
      <c r="H363" s="188" t="n">
        <v>46181</v>
      </c>
      <c r="I363" s="189" t="s">
        <v>113</v>
      </c>
      <c r="J363" s="189" t="s">
        <v>108</v>
      </c>
      <c r="K363" s="189" t="s">
        <v>742</v>
      </c>
      <c r="L363" s="189" t="s">
        <v>210</v>
      </c>
      <c r="M363" s="189" t="s">
        <v>133</v>
      </c>
      <c r="N363" s="189" t="s">
        <v>743</v>
      </c>
      <c r="O363" s="189" t="s">
        <v>107</v>
      </c>
      <c r="P363" s="189" t="s">
        <v>211</v>
      </c>
      <c r="Q363" s="189" t="s">
        <v>112</v>
      </c>
      <c r="R363" s="189" t="s">
        <v>22</v>
      </c>
      <c r="S363" s="189" t="s">
        <v>152</v>
      </c>
      <c r="T363" s="189" t="s">
        <v>496</v>
      </c>
      <c r="U363" s="189" t="s">
        <v>122</v>
      </c>
      <c r="V363" s="189" t="s">
        <v>167</v>
      </c>
      <c r="W363" s="189" t="s">
        <v>124</v>
      </c>
      <c r="X363" s="189" t="s">
        <v>116</v>
      </c>
      <c r="Y363" s="189" t="s">
        <v>2110</v>
      </c>
      <c r="Z363" s="0" t="n">
        <v>1</v>
      </c>
      <c r="AA363" s="189" t="s">
        <v>2255</v>
      </c>
    </row>
    <row r="364" customFormat="false" ht="15" hidden="false" customHeight="true" outlineLevel="0" collapsed="false">
      <c r="A364" s="0" t="n">
        <v>75</v>
      </c>
      <c r="B364" s="188" t="n">
        <v>46191.5599628683</v>
      </c>
      <c r="C364" s="188" t="n">
        <v>46191.5769420349</v>
      </c>
      <c r="D364" s="189" t="s">
        <v>739</v>
      </c>
      <c r="E364" s="189" t="s">
        <v>740</v>
      </c>
      <c r="F364" s="189" t="s">
        <v>740</v>
      </c>
      <c r="G364" s="189" t="s">
        <v>741</v>
      </c>
      <c r="H364" s="188" t="n">
        <v>46181</v>
      </c>
      <c r="I364" s="189" t="s">
        <v>113</v>
      </c>
      <c r="J364" s="189" t="s">
        <v>108</v>
      </c>
      <c r="K364" s="189" t="s">
        <v>742</v>
      </c>
      <c r="L364" s="189" t="s">
        <v>210</v>
      </c>
      <c r="M364" s="189" t="s">
        <v>133</v>
      </c>
      <c r="N364" s="189" t="s">
        <v>743</v>
      </c>
      <c r="O364" s="189" t="s">
        <v>107</v>
      </c>
      <c r="P364" s="189" t="s">
        <v>211</v>
      </c>
      <c r="Q364" s="189" t="s">
        <v>112</v>
      </c>
      <c r="R364" s="189" t="s">
        <v>22</v>
      </c>
      <c r="S364" s="189" t="s">
        <v>152</v>
      </c>
      <c r="T364" s="189" t="s">
        <v>496</v>
      </c>
      <c r="U364" s="189" t="s">
        <v>122</v>
      </c>
      <c r="V364" s="189" t="s">
        <v>167</v>
      </c>
      <c r="W364" s="189" t="s">
        <v>124</v>
      </c>
      <c r="X364" s="189" t="s">
        <v>116</v>
      </c>
      <c r="Y364" s="189" t="s">
        <v>2113</v>
      </c>
      <c r="Z364" s="0" t="n">
        <v>1</v>
      </c>
      <c r="AA364" s="189" t="s">
        <v>122</v>
      </c>
    </row>
    <row r="365" customFormat="false" ht="15" hidden="false" customHeight="true" outlineLevel="0" collapsed="false">
      <c r="A365" s="0" t="n">
        <v>75</v>
      </c>
      <c r="B365" s="188" t="n">
        <v>46191.5599628683</v>
      </c>
      <c r="C365" s="188" t="n">
        <v>46191.5769420349</v>
      </c>
      <c r="D365" s="189" t="s">
        <v>739</v>
      </c>
      <c r="E365" s="189" t="s">
        <v>740</v>
      </c>
      <c r="F365" s="189" t="s">
        <v>740</v>
      </c>
      <c r="G365" s="189" t="s">
        <v>741</v>
      </c>
      <c r="H365" s="188" t="n">
        <v>46181</v>
      </c>
      <c r="I365" s="189" t="s">
        <v>113</v>
      </c>
      <c r="J365" s="189" t="s">
        <v>108</v>
      </c>
      <c r="K365" s="189" t="s">
        <v>742</v>
      </c>
      <c r="L365" s="189" t="s">
        <v>210</v>
      </c>
      <c r="M365" s="189" t="s">
        <v>133</v>
      </c>
      <c r="N365" s="189" t="s">
        <v>743</v>
      </c>
      <c r="O365" s="189" t="s">
        <v>107</v>
      </c>
      <c r="P365" s="189" t="s">
        <v>211</v>
      </c>
      <c r="Q365" s="189" t="s">
        <v>112</v>
      </c>
      <c r="R365" s="189" t="s">
        <v>22</v>
      </c>
      <c r="S365" s="189" t="s">
        <v>152</v>
      </c>
      <c r="T365" s="189" t="s">
        <v>496</v>
      </c>
      <c r="U365" s="189" t="s">
        <v>122</v>
      </c>
      <c r="V365" s="189" t="s">
        <v>167</v>
      </c>
      <c r="W365" s="189" t="s">
        <v>124</v>
      </c>
      <c r="X365" s="189" t="s">
        <v>116</v>
      </c>
      <c r="Y365" s="189" t="s">
        <v>2113</v>
      </c>
      <c r="Z365" s="0" t="n">
        <v>2</v>
      </c>
      <c r="AA365" s="189" t="s">
        <v>2184</v>
      </c>
    </row>
    <row r="366" customFormat="false" ht="15" hidden="false" customHeight="true" outlineLevel="0" collapsed="false">
      <c r="A366" s="0" t="n">
        <v>76</v>
      </c>
      <c r="B366" s="188" t="n">
        <v>46094.2397378354</v>
      </c>
      <c r="C366" s="188" t="n">
        <v>46094.2517980206</v>
      </c>
      <c r="D366" s="189" t="s">
        <v>747</v>
      </c>
      <c r="E366" s="189" t="s">
        <v>748</v>
      </c>
      <c r="F366" s="189" t="s">
        <v>748</v>
      </c>
      <c r="G366" s="189" t="s">
        <v>749</v>
      </c>
      <c r="H366" s="188" t="n">
        <v>46077</v>
      </c>
      <c r="I366" s="189" t="s">
        <v>113</v>
      </c>
      <c r="J366" s="189" t="s">
        <v>108</v>
      </c>
      <c r="K366" s="189" t="s">
        <v>245</v>
      </c>
      <c r="L366" s="189" t="s">
        <v>110</v>
      </c>
      <c r="M366" s="189" t="s">
        <v>365</v>
      </c>
      <c r="N366" s="189" t="s">
        <v>560</v>
      </c>
      <c r="O366" s="189" t="s">
        <v>750</v>
      </c>
      <c r="P366" s="189" t="s">
        <v>111</v>
      </c>
      <c r="Q366" s="189" t="s">
        <v>112</v>
      </c>
      <c r="R366" s="189" t="s">
        <v>22</v>
      </c>
      <c r="S366" s="189" t="s">
        <v>227</v>
      </c>
      <c r="T366" s="189" t="s">
        <v>121</v>
      </c>
      <c r="U366" s="189" t="s">
        <v>291</v>
      </c>
      <c r="V366" s="189" t="s">
        <v>123</v>
      </c>
      <c r="W366" s="189" t="s">
        <v>124</v>
      </c>
      <c r="X366" s="189" t="s">
        <v>339</v>
      </c>
      <c r="Y366" s="189" t="s">
        <v>2108</v>
      </c>
      <c r="Z366" s="0" t="n">
        <v>1</v>
      </c>
      <c r="AA366" s="189" t="s">
        <v>2185</v>
      </c>
    </row>
    <row r="367" customFormat="false" ht="15" hidden="false" customHeight="true" outlineLevel="0" collapsed="false">
      <c r="A367" s="0" t="n">
        <v>76</v>
      </c>
      <c r="B367" s="188" t="n">
        <v>46094.2397378354</v>
      </c>
      <c r="C367" s="188" t="n">
        <v>46094.2517980206</v>
      </c>
      <c r="D367" s="189" t="s">
        <v>747</v>
      </c>
      <c r="E367" s="189" t="s">
        <v>748</v>
      </c>
      <c r="F367" s="189" t="s">
        <v>748</v>
      </c>
      <c r="G367" s="189" t="s">
        <v>749</v>
      </c>
      <c r="H367" s="188" t="n">
        <v>46077</v>
      </c>
      <c r="I367" s="189" t="s">
        <v>113</v>
      </c>
      <c r="J367" s="189" t="s">
        <v>108</v>
      </c>
      <c r="K367" s="189" t="s">
        <v>245</v>
      </c>
      <c r="L367" s="189" t="s">
        <v>110</v>
      </c>
      <c r="M367" s="189" t="s">
        <v>365</v>
      </c>
      <c r="N367" s="189" t="s">
        <v>560</v>
      </c>
      <c r="O367" s="189" t="s">
        <v>750</v>
      </c>
      <c r="P367" s="189" t="s">
        <v>111</v>
      </c>
      <c r="Q367" s="189" t="s">
        <v>112</v>
      </c>
      <c r="R367" s="189" t="s">
        <v>22</v>
      </c>
      <c r="S367" s="189" t="s">
        <v>227</v>
      </c>
      <c r="T367" s="189" t="s">
        <v>121</v>
      </c>
      <c r="U367" s="189" t="s">
        <v>291</v>
      </c>
      <c r="V367" s="189" t="s">
        <v>123</v>
      </c>
      <c r="W367" s="189" t="s">
        <v>124</v>
      </c>
      <c r="X367" s="189" t="s">
        <v>339</v>
      </c>
      <c r="Y367" s="189" t="s">
        <v>2108</v>
      </c>
      <c r="Z367" s="0" t="n">
        <v>2</v>
      </c>
      <c r="AA367" s="189" t="s">
        <v>2243</v>
      </c>
    </row>
    <row r="368" customFormat="false" ht="15" hidden="false" customHeight="true" outlineLevel="0" collapsed="false">
      <c r="A368" s="0" t="n">
        <v>76</v>
      </c>
      <c r="B368" s="188" t="n">
        <v>46094.2397378354</v>
      </c>
      <c r="C368" s="188" t="n">
        <v>46094.2517980206</v>
      </c>
      <c r="D368" s="189" t="s">
        <v>747</v>
      </c>
      <c r="E368" s="189" t="s">
        <v>748</v>
      </c>
      <c r="F368" s="189" t="s">
        <v>748</v>
      </c>
      <c r="G368" s="189" t="s">
        <v>749</v>
      </c>
      <c r="H368" s="188" t="n">
        <v>46077</v>
      </c>
      <c r="I368" s="189" t="s">
        <v>113</v>
      </c>
      <c r="J368" s="189" t="s">
        <v>108</v>
      </c>
      <c r="K368" s="189" t="s">
        <v>245</v>
      </c>
      <c r="L368" s="189" t="s">
        <v>110</v>
      </c>
      <c r="M368" s="189" t="s">
        <v>365</v>
      </c>
      <c r="N368" s="189" t="s">
        <v>560</v>
      </c>
      <c r="O368" s="189" t="s">
        <v>750</v>
      </c>
      <c r="P368" s="189" t="s">
        <v>111</v>
      </c>
      <c r="Q368" s="189" t="s">
        <v>112</v>
      </c>
      <c r="R368" s="189" t="s">
        <v>22</v>
      </c>
      <c r="S368" s="189" t="s">
        <v>227</v>
      </c>
      <c r="T368" s="189" t="s">
        <v>121</v>
      </c>
      <c r="U368" s="189" t="s">
        <v>291</v>
      </c>
      <c r="V368" s="189" t="s">
        <v>123</v>
      </c>
      <c r="W368" s="189" t="s">
        <v>124</v>
      </c>
      <c r="X368" s="189" t="s">
        <v>339</v>
      </c>
      <c r="Y368" s="189" t="s">
        <v>2108</v>
      </c>
      <c r="Z368" s="0" t="n">
        <v>3</v>
      </c>
      <c r="AA368" s="189" t="s">
        <v>2242</v>
      </c>
    </row>
    <row r="369" customFormat="false" ht="15" hidden="false" customHeight="true" outlineLevel="0" collapsed="false">
      <c r="A369" s="0" t="n">
        <v>76</v>
      </c>
      <c r="B369" s="188" t="n">
        <v>46094.2397378354</v>
      </c>
      <c r="C369" s="188" t="n">
        <v>46094.2517980206</v>
      </c>
      <c r="D369" s="189" t="s">
        <v>747</v>
      </c>
      <c r="E369" s="189" t="s">
        <v>748</v>
      </c>
      <c r="F369" s="189" t="s">
        <v>748</v>
      </c>
      <c r="G369" s="189" t="s">
        <v>749</v>
      </c>
      <c r="H369" s="188" t="n">
        <v>46077</v>
      </c>
      <c r="I369" s="189" t="s">
        <v>113</v>
      </c>
      <c r="J369" s="189" t="s">
        <v>108</v>
      </c>
      <c r="K369" s="189" t="s">
        <v>245</v>
      </c>
      <c r="L369" s="189" t="s">
        <v>110</v>
      </c>
      <c r="M369" s="189" t="s">
        <v>365</v>
      </c>
      <c r="N369" s="189" t="s">
        <v>560</v>
      </c>
      <c r="O369" s="189" t="s">
        <v>750</v>
      </c>
      <c r="P369" s="189" t="s">
        <v>111</v>
      </c>
      <c r="Q369" s="189" t="s">
        <v>112</v>
      </c>
      <c r="R369" s="189" t="s">
        <v>22</v>
      </c>
      <c r="S369" s="189" t="s">
        <v>227</v>
      </c>
      <c r="T369" s="189" t="s">
        <v>121</v>
      </c>
      <c r="U369" s="189" t="s">
        <v>291</v>
      </c>
      <c r="V369" s="189" t="s">
        <v>123</v>
      </c>
      <c r="W369" s="189" t="s">
        <v>124</v>
      </c>
      <c r="X369" s="189" t="s">
        <v>339</v>
      </c>
      <c r="Y369" s="189" t="s">
        <v>2110</v>
      </c>
      <c r="Z369" s="0" t="n">
        <v>1</v>
      </c>
      <c r="AA369" s="189" t="s">
        <v>122</v>
      </c>
    </row>
    <row r="370" customFormat="false" ht="15" hidden="false" customHeight="true" outlineLevel="0" collapsed="false">
      <c r="A370" s="0" t="n">
        <v>76</v>
      </c>
      <c r="B370" s="188" t="n">
        <v>46094.2397378354</v>
      </c>
      <c r="C370" s="188" t="n">
        <v>46094.2517980206</v>
      </c>
      <c r="D370" s="189" t="s">
        <v>747</v>
      </c>
      <c r="E370" s="189" t="s">
        <v>748</v>
      </c>
      <c r="F370" s="189" t="s">
        <v>748</v>
      </c>
      <c r="G370" s="189" t="s">
        <v>749</v>
      </c>
      <c r="H370" s="188" t="n">
        <v>46077</v>
      </c>
      <c r="I370" s="189" t="s">
        <v>113</v>
      </c>
      <c r="J370" s="189" t="s">
        <v>108</v>
      </c>
      <c r="K370" s="189" t="s">
        <v>245</v>
      </c>
      <c r="L370" s="189" t="s">
        <v>110</v>
      </c>
      <c r="M370" s="189" t="s">
        <v>365</v>
      </c>
      <c r="N370" s="189" t="s">
        <v>560</v>
      </c>
      <c r="O370" s="189" t="s">
        <v>750</v>
      </c>
      <c r="P370" s="189" t="s">
        <v>111</v>
      </c>
      <c r="Q370" s="189" t="s">
        <v>112</v>
      </c>
      <c r="R370" s="189" t="s">
        <v>22</v>
      </c>
      <c r="S370" s="189" t="s">
        <v>227</v>
      </c>
      <c r="T370" s="189" t="s">
        <v>121</v>
      </c>
      <c r="U370" s="189" t="s">
        <v>291</v>
      </c>
      <c r="V370" s="189" t="s">
        <v>123</v>
      </c>
      <c r="W370" s="189" t="s">
        <v>124</v>
      </c>
      <c r="X370" s="189" t="s">
        <v>339</v>
      </c>
      <c r="Y370" s="189" t="s">
        <v>2110</v>
      </c>
      <c r="Z370" s="0" t="n">
        <v>2</v>
      </c>
      <c r="AA370" s="189" t="s">
        <v>2279</v>
      </c>
    </row>
    <row r="371" customFormat="false" ht="15" hidden="false" customHeight="true" outlineLevel="0" collapsed="false">
      <c r="A371" s="0" t="n">
        <v>76</v>
      </c>
      <c r="B371" s="188" t="n">
        <v>46094.2397378354</v>
      </c>
      <c r="C371" s="188" t="n">
        <v>46094.2517980206</v>
      </c>
      <c r="D371" s="189" t="s">
        <v>747</v>
      </c>
      <c r="E371" s="189" t="s">
        <v>748</v>
      </c>
      <c r="F371" s="189" t="s">
        <v>748</v>
      </c>
      <c r="G371" s="189" t="s">
        <v>749</v>
      </c>
      <c r="H371" s="188" t="n">
        <v>46077</v>
      </c>
      <c r="I371" s="189" t="s">
        <v>113</v>
      </c>
      <c r="J371" s="189" t="s">
        <v>108</v>
      </c>
      <c r="K371" s="189" t="s">
        <v>245</v>
      </c>
      <c r="L371" s="189" t="s">
        <v>110</v>
      </c>
      <c r="M371" s="189" t="s">
        <v>365</v>
      </c>
      <c r="N371" s="189" t="s">
        <v>560</v>
      </c>
      <c r="O371" s="189" t="s">
        <v>750</v>
      </c>
      <c r="P371" s="189" t="s">
        <v>111</v>
      </c>
      <c r="Q371" s="189" t="s">
        <v>112</v>
      </c>
      <c r="R371" s="189" t="s">
        <v>22</v>
      </c>
      <c r="S371" s="189" t="s">
        <v>227</v>
      </c>
      <c r="T371" s="189" t="s">
        <v>121</v>
      </c>
      <c r="U371" s="189" t="s">
        <v>291</v>
      </c>
      <c r="V371" s="189" t="s">
        <v>123</v>
      </c>
      <c r="W371" s="189" t="s">
        <v>124</v>
      </c>
      <c r="X371" s="189" t="s">
        <v>339</v>
      </c>
      <c r="Y371" s="189" t="s">
        <v>2113</v>
      </c>
      <c r="Z371" s="0" t="n">
        <v>1</v>
      </c>
      <c r="AA371" s="189" t="s">
        <v>2279</v>
      </c>
    </row>
    <row r="372" customFormat="false" ht="15" hidden="false" customHeight="true" outlineLevel="0" collapsed="false">
      <c r="A372" s="0" t="n">
        <v>77</v>
      </c>
      <c r="B372" s="188" t="n">
        <v>46066.3904616967</v>
      </c>
      <c r="C372" s="188" t="n">
        <v>46066.3924640115</v>
      </c>
      <c r="D372" s="189" t="s">
        <v>754</v>
      </c>
      <c r="E372" s="189" t="s">
        <v>755</v>
      </c>
      <c r="F372" s="189" t="s">
        <v>755</v>
      </c>
      <c r="G372" s="189" t="s">
        <v>756</v>
      </c>
      <c r="H372" s="188" t="n">
        <v>46064</v>
      </c>
      <c r="I372" s="189" t="s">
        <v>325</v>
      </c>
      <c r="J372" s="189" t="s">
        <v>295</v>
      </c>
      <c r="K372" s="189" t="s">
        <v>173</v>
      </c>
      <c r="L372" s="189" t="s">
        <v>130</v>
      </c>
      <c r="M372" s="189" t="s">
        <v>757</v>
      </c>
      <c r="N372" s="189" t="s">
        <v>758</v>
      </c>
      <c r="O372" s="189" t="s">
        <v>244</v>
      </c>
      <c r="P372" s="189" t="s">
        <v>111</v>
      </c>
      <c r="Q372" s="189" t="s">
        <v>145</v>
      </c>
      <c r="R372" s="189" t="s">
        <v>22</v>
      </c>
      <c r="S372" s="189" t="s">
        <v>152</v>
      </c>
      <c r="T372" s="189" t="s">
        <v>121</v>
      </c>
      <c r="U372" s="189" t="s">
        <v>122</v>
      </c>
      <c r="V372" s="189" t="s">
        <v>123</v>
      </c>
      <c r="W372" s="189" t="s">
        <v>139</v>
      </c>
      <c r="X372" s="189" t="s">
        <v>298</v>
      </c>
      <c r="Y372" s="189" t="s">
        <v>2108</v>
      </c>
      <c r="Z372" s="0" t="n">
        <v>1</v>
      </c>
      <c r="AA372" s="189" t="s">
        <v>2239</v>
      </c>
    </row>
    <row r="373" customFormat="false" ht="15" hidden="false" customHeight="true" outlineLevel="0" collapsed="false">
      <c r="A373" s="0" t="n">
        <v>77</v>
      </c>
      <c r="B373" s="188" t="n">
        <v>46066.3904616967</v>
      </c>
      <c r="C373" s="188" t="n">
        <v>46066.3924640115</v>
      </c>
      <c r="D373" s="189" t="s">
        <v>754</v>
      </c>
      <c r="E373" s="189" t="s">
        <v>755</v>
      </c>
      <c r="F373" s="189" t="s">
        <v>755</v>
      </c>
      <c r="G373" s="189" t="s">
        <v>756</v>
      </c>
      <c r="H373" s="188" t="n">
        <v>46064</v>
      </c>
      <c r="I373" s="189" t="s">
        <v>325</v>
      </c>
      <c r="J373" s="189" t="s">
        <v>295</v>
      </c>
      <c r="K373" s="189" t="s">
        <v>173</v>
      </c>
      <c r="L373" s="189" t="s">
        <v>130</v>
      </c>
      <c r="M373" s="189" t="s">
        <v>757</v>
      </c>
      <c r="N373" s="189" t="s">
        <v>758</v>
      </c>
      <c r="O373" s="189" t="s">
        <v>244</v>
      </c>
      <c r="P373" s="189" t="s">
        <v>111</v>
      </c>
      <c r="Q373" s="189" t="s">
        <v>145</v>
      </c>
      <c r="R373" s="189" t="s">
        <v>22</v>
      </c>
      <c r="S373" s="189" t="s">
        <v>152</v>
      </c>
      <c r="T373" s="189" t="s">
        <v>121</v>
      </c>
      <c r="U373" s="189" t="s">
        <v>122</v>
      </c>
      <c r="V373" s="189" t="s">
        <v>123</v>
      </c>
      <c r="W373" s="189" t="s">
        <v>139</v>
      </c>
      <c r="X373" s="189" t="s">
        <v>298</v>
      </c>
      <c r="Y373" s="189" t="s">
        <v>2108</v>
      </c>
      <c r="Z373" s="0" t="n">
        <v>2</v>
      </c>
      <c r="AA373" s="189" t="s">
        <v>2169</v>
      </c>
    </row>
    <row r="374" customFormat="false" ht="15" hidden="false" customHeight="true" outlineLevel="0" collapsed="false">
      <c r="A374" s="0" t="n">
        <v>77</v>
      </c>
      <c r="B374" s="188" t="n">
        <v>46066.3904616967</v>
      </c>
      <c r="C374" s="188" t="n">
        <v>46066.3924640115</v>
      </c>
      <c r="D374" s="189" t="s">
        <v>754</v>
      </c>
      <c r="E374" s="189" t="s">
        <v>755</v>
      </c>
      <c r="F374" s="189" t="s">
        <v>755</v>
      </c>
      <c r="G374" s="189" t="s">
        <v>756</v>
      </c>
      <c r="H374" s="188" t="n">
        <v>46064</v>
      </c>
      <c r="I374" s="189" t="s">
        <v>325</v>
      </c>
      <c r="J374" s="189" t="s">
        <v>295</v>
      </c>
      <c r="K374" s="189" t="s">
        <v>173</v>
      </c>
      <c r="L374" s="189" t="s">
        <v>130</v>
      </c>
      <c r="M374" s="189" t="s">
        <v>757</v>
      </c>
      <c r="N374" s="189" t="s">
        <v>758</v>
      </c>
      <c r="O374" s="189" t="s">
        <v>244</v>
      </c>
      <c r="P374" s="189" t="s">
        <v>111</v>
      </c>
      <c r="Q374" s="189" t="s">
        <v>145</v>
      </c>
      <c r="R374" s="189" t="s">
        <v>22</v>
      </c>
      <c r="S374" s="189" t="s">
        <v>152</v>
      </c>
      <c r="T374" s="189" t="s">
        <v>121</v>
      </c>
      <c r="U374" s="189" t="s">
        <v>122</v>
      </c>
      <c r="V374" s="189" t="s">
        <v>123</v>
      </c>
      <c r="W374" s="189" t="s">
        <v>139</v>
      </c>
      <c r="X374" s="189" t="s">
        <v>298</v>
      </c>
      <c r="Y374" s="189" t="s">
        <v>2108</v>
      </c>
      <c r="Z374" s="0" t="n">
        <v>3</v>
      </c>
      <c r="AA374" s="189" t="s">
        <v>2280</v>
      </c>
    </row>
    <row r="375" customFormat="false" ht="15" hidden="false" customHeight="true" outlineLevel="0" collapsed="false">
      <c r="A375" s="0" t="n">
        <v>77</v>
      </c>
      <c r="B375" s="188" t="n">
        <v>46066.3904616967</v>
      </c>
      <c r="C375" s="188" t="n">
        <v>46066.3924640115</v>
      </c>
      <c r="D375" s="189" t="s">
        <v>754</v>
      </c>
      <c r="E375" s="189" t="s">
        <v>755</v>
      </c>
      <c r="F375" s="189" t="s">
        <v>755</v>
      </c>
      <c r="G375" s="189" t="s">
        <v>756</v>
      </c>
      <c r="H375" s="188" t="n">
        <v>46064</v>
      </c>
      <c r="I375" s="189" t="s">
        <v>325</v>
      </c>
      <c r="J375" s="189" t="s">
        <v>295</v>
      </c>
      <c r="K375" s="189" t="s">
        <v>173</v>
      </c>
      <c r="L375" s="189" t="s">
        <v>130</v>
      </c>
      <c r="M375" s="189" t="s">
        <v>757</v>
      </c>
      <c r="N375" s="189" t="s">
        <v>758</v>
      </c>
      <c r="O375" s="189" t="s">
        <v>244</v>
      </c>
      <c r="P375" s="189" t="s">
        <v>111</v>
      </c>
      <c r="Q375" s="189" t="s">
        <v>145</v>
      </c>
      <c r="R375" s="189" t="s">
        <v>22</v>
      </c>
      <c r="S375" s="189" t="s">
        <v>152</v>
      </c>
      <c r="T375" s="189" t="s">
        <v>121</v>
      </c>
      <c r="U375" s="189" t="s">
        <v>122</v>
      </c>
      <c r="V375" s="189" t="s">
        <v>123</v>
      </c>
      <c r="W375" s="189" t="s">
        <v>139</v>
      </c>
      <c r="X375" s="189" t="s">
        <v>298</v>
      </c>
      <c r="Y375" s="189" t="s">
        <v>2110</v>
      </c>
      <c r="Z375" s="0" t="n">
        <v>1</v>
      </c>
      <c r="AA375" s="189" t="s">
        <v>2281</v>
      </c>
    </row>
    <row r="376" customFormat="false" ht="15" hidden="false" customHeight="true" outlineLevel="0" collapsed="false">
      <c r="A376" s="0" t="n">
        <v>77</v>
      </c>
      <c r="B376" s="188" t="n">
        <v>46066.3904616967</v>
      </c>
      <c r="C376" s="188" t="n">
        <v>46066.3924640115</v>
      </c>
      <c r="D376" s="189" t="s">
        <v>754</v>
      </c>
      <c r="E376" s="189" t="s">
        <v>755</v>
      </c>
      <c r="F376" s="189" t="s">
        <v>755</v>
      </c>
      <c r="G376" s="189" t="s">
        <v>756</v>
      </c>
      <c r="H376" s="188" t="n">
        <v>46064</v>
      </c>
      <c r="I376" s="189" t="s">
        <v>325</v>
      </c>
      <c r="J376" s="189" t="s">
        <v>295</v>
      </c>
      <c r="K376" s="189" t="s">
        <v>173</v>
      </c>
      <c r="L376" s="189" t="s">
        <v>130</v>
      </c>
      <c r="M376" s="189" t="s">
        <v>757</v>
      </c>
      <c r="N376" s="189" t="s">
        <v>758</v>
      </c>
      <c r="O376" s="189" t="s">
        <v>244</v>
      </c>
      <c r="P376" s="189" t="s">
        <v>111</v>
      </c>
      <c r="Q376" s="189" t="s">
        <v>145</v>
      </c>
      <c r="R376" s="189" t="s">
        <v>22</v>
      </c>
      <c r="S376" s="189" t="s">
        <v>152</v>
      </c>
      <c r="T376" s="189" t="s">
        <v>121</v>
      </c>
      <c r="U376" s="189" t="s">
        <v>122</v>
      </c>
      <c r="V376" s="189" t="s">
        <v>123</v>
      </c>
      <c r="W376" s="189" t="s">
        <v>139</v>
      </c>
      <c r="X376" s="189" t="s">
        <v>298</v>
      </c>
      <c r="Y376" s="189" t="s">
        <v>2110</v>
      </c>
      <c r="Z376" s="0" t="n">
        <v>2</v>
      </c>
      <c r="AA376" s="189" t="s">
        <v>2253</v>
      </c>
    </row>
    <row r="377" customFormat="false" ht="15" hidden="false" customHeight="true" outlineLevel="0" collapsed="false">
      <c r="A377" s="0" t="n">
        <v>77</v>
      </c>
      <c r="B377" s="188" t="n">
        <v>46066.3904616967</v>
      </c>
      <c r="C377" s="188" t="n">
        <v>46066.3924640115</v>
      </c>
      <c r="D377" s="189" t="s">
        <v>754</v>
      </c>
      <c r="E377" s="189" t="s">
        <v>755</v>
      </c>
      <c r="F377" s="189" t="s">
        <v>755</v>
      </c>
      <c r="G377" s="189" t="s">
        <v>756</v>
      </c>
      <c r="H377" s="188" t="n">
        <v>46064</v>
      </c>
      <c r="I377" s="189" t="s">
        <v>325</v>
      </c>
      <c r="J377" s="189" t="s">
        <v>295</v>
      </c>
      <c r="K377" s="189" t="s">
        <v>173</v>
      </c>
      <c r="L377" s="189" t="s">
        <v>130</v>
      </c>
      <c r="M377" s="189" t="s">
        <v>757</v>
      </c>
      <c r="N377" s="189" t="s">
        <v>758</v>
      </c>
      <c r="O377" s="189" t="s">
        <v>244</v>
      </c>
      <c r="P377" s="189" t="s">
        <v>111</v>
      </c>
      <c r="Q377" s="189" t="s">
        <v>145</v>
      </c>
      <c r="R377" s="189" t="s">
        <v>22</v>
      </c>
      <c r="S377" s="189" t="s">
        <v>152</v>
      </c>
      <c r="T377" s="189" t="s">
        <v>121</v>
      </c>
      <c r="U377" s="189" t="s">
        <v>122</v>
      </c>
      <c r="V377" s="189" t="s">
        <v>123</v>
      </c>
      <c r="W377" s="189" t="s">
        <v>139</v>
      </c>
      <c r="X377" s="189" t="s">
        <v>298</v>
      </c>
      <c r="Y377" s="189" t="s">
        <v>2113</v>
      </c>
      <c r="Z377" s="0" t="n">
        <v>1</v>
      </c>
      <c r="AA377" s="189" t="s">
        <v>2259</v>
      </c>
    </row>
    <row r="378" customFormat="false" ht="15" hidden="false" customHeight="true" outlineLevel="0" collapsed="false">
      <c r="A378" s="0" t="n">
        <v>77</v>
      </c>
      <c r="B378" s="188" t="n">
        <v>46066.3904616967</v>
      </c>
      <c r="C378" s="188" t="n">
        <v>46066.3924640115</v>
      </c>
      <c r="D378" s="189" t="s">
        <v>754</v>
      </c>
      <c r="E378" s="189" t="s">
        <v>755</v>
      </c>
      <c r="F378" s="189" t="s">
        <v>755</v>
      </c>
      <c r="G378" s="189" t="s">
        <v>756</v>
      </c>
      <c r="H378" s="188" t="n">
        <v>46064</v>
      </c>
      <c r="I378" s="189" t="s">
        <v>325</v>
      </c>
      <c r="J378" s="189" t="s">
        <v>295</v>
      </c>
      <c r="K378" s="189" t="s">
        <v>173</v>
      </c>
      <c r="L378" s="189" t="s">
        <v>130</v>
      </c>
      <c r="M378" s="189" t="s">
        <v>757</v>
      </c>
      <c r="N378" s="189" t="s">
        <v>758</v>
      </c>
      <c r="O378" s="189" t="s">
        <v>244</v>
      </c>
      <c r="P378" s="189" t="s">
        <v>111</v>
      </c>
      <c r="Q378" s="189" t="s">
        <v>145</v>
      </c>
      <c r="R378" s="189" t="s">
        <v>22</v>
      </c>
      <c r="S378" s="189" t="s">
        <v>152</v>
      </c>
      <c r="T378" s="189" t="s">
        <v>121</v>
      </c>
      <c r="U378" s="189" t="s">
        <v>122</v>
      </c>
      <c r="V378" s="189" t="s">
        <v>123</v>
      </c>
      <c r="W378" s="189" t="s">
        <v>139</v>
      </c>
      <c r="X378" s="189" t="s">
        <v>298</v>
      </c>
      <c r="Y378" s="189" t="s">
        <v>2113</v>
      </c>
      <c r="Z378" s="0" t="n">
        <v>2</v>
      </c>
      <c r="AA378" s="189" t="s">
        <v>2282</v>
      </c>
    </row>
    <row r="379" customFormat="false" ht="15" hidden="false" customHeight="true" outlineLevel="0" collapsed="false">
      <c r="A379" s="0" t="n">
        <v>78</v>
      </c>
      <c r="B379" s="188" t="n">
        <v>46142.6844493493</v>
      </c>
      <c r="C379" s="188" t="n">
        <v>46142.6966831455</v>
      </c>
      <c r="D379" s="189" t="s">
        <v>762</v>
      </c>
      <c r="E379" s="189" t="s">
        <v>763</v>
      </c>
      <c r="F379" s="189" t="s">
        <v>764</v>
      </c>
      <c r="G379" s="189" t="s">
        <v>765</v>
      </c>
      <c r="H379" s="188" t="n">
        <v>46142</v>
      </c>
      <c r="I379" s="189" t="s">
        <v>132</v>
      </c>
      <c r="J379" s="189" t="s">
        <v>108</v>
      </c>
      <c r="K379" s="189" t="s">
        <v>257</v>
      </c>
      <c r="L379" s="189" t="s">
        <v>296</v>
      </c>
      <c r="M379" s="189" t="s">
        <v>269</v>
      </c>
      <c r="N379" s="189" t="s">
        <v>766</v>
      </c>
      <c r="O379" s="189" t="s">
        <v>750</v>
      </c>
      <c r="P379" s="189" t="s">
        <v>111</v>
      </c>
      <c r="Q379" s="189" t="s">
        <v>145</v>
      </c>
      <c r="R379" s="189" t="s">
        <v>22</v>
      </c>
      <c r="S379" s="189" t="s">
        <v>152</v>
      </c>
      <c r="T379" s="189" t="s">
        <v>121</v>
      </c>
      <c r="U379" s="189" t="s">
        <v>770</v>
      </c>
      <c r="V379" s="189" t="s">
        <v>123</v>
      </c>
      <c r="W379" s="189" t="s">
        <v>124</v>
      </c>
      <c r="X379" s="189" t="s">
        <v>176</v>
      </c>
      <c r="Y379" s="189" t="s">
        <v>2108</v>
      </c>
      <c r="Z379" s="0" t="n">
        <v>1</v>
      </c>
      <c r="AA379" s="189" t="s">
        <v>2283</v>
      </c>
    </row>
    <row r="380" customFormat="false" ht="15" hidden="false" customHeight="true" outlineLevel="0" collapsed="false">
      <c r="A380" s="0" t="n">
        <v>78</v>
      </c>
      <c r="B380" s="188" t="n">
        <v>46142.6844493493</v>
      </c>
      <c r="C380" s="188" t="n">
        <v>46142.6966831455</v>
      </c>
      <c r="D380" s="189" t="s">
        <v>762</v>
      </c>
      <c r="E380" s="189" t="s">
        <v>763</v>
      </c>
      <c r="F380" s="189" t="s">
        <v>764</v>
      </c>
      <c r="G380" s="189" t="s">
        <v>765</v>
      </c>
      <c r="H380" s="188" t="n">
        <v>46142</v>
      </c>
      <c r="I380" s="189" t="s">
        <v>132</v>
      </c>
      <c r="J380" s="189" t="s">
        <v>108</v>
      </c>
      <c r="K380" s="189" t="s">
        <v>257</v>
      </c>
      <c r="L380" s="189" t="s">
        <v>296</v>
      </c>
      <c r="M380" s="189" t="s">
        <v>269</v>
      </c>
      <c r="N380" s="189" t="s">
        <v>766</v>
      </c>
      <c r="O380" s="189" t="s">
        <v>750</v>
      </c>
      <c r="P380" s="189" t="s">
        <v>111</v>
      </c>
      <c r="Q380" s="189" t="s">
        <v>145</v>
      </c>
      <c r="R380" s="189" t="s">
        <v>22</v>
      </c>
      <c r="S380" s="189" t="s">
        <v>152</v>
      </c>
      <c r="T380" s="189" t="s">
        <v>121</v>
      </c>
      <c r="U380" s="189" t="s">
        <v>770</v>
      </c>
      <c r="V380" s="189" t="s">
        <v>123</v>
      </c>
      <c r="W380" s="189" t="s">
        <v>124</v>
      </c>
      <c r="X380" s="189" t="s">
        <v>176</v>
      </c>
      <c r="Y380" s="189" t="s">
        <v>2108</v>
      </c>
      <c r="Z380" s="0" t="n">
        <v>2</v>
      </c>
      <c r="AA380" s="189" t="s">
        <v>2128</v>
      </c>
    </row>
    <row r="381" customFormat="false" ht="15" hidden="false" customHeight="true" outlineLevel="0" collapsed="false">
      <c r="A381" s="0" t="n">
        <v>78</v>
      </c>
      <c r="B381" s="188" t="n">
        <v>46142.6844493493</v>
      </c>
      <c r="C381" s="188" t="n">
        <v>46142.6966831455</v>
      </c>
      <c r="D381" s="189" t="s">
        <v>762</v>
      </c>
      <c r="E381" s="189" t="s">
        <v>763</v>
      </c>
      <c r="F381" s="189" t="s">
        <v>764</v>
      </c>
      <c r="G381" s="189" t="s">
        <v>765</v>
      </c>
      <c r="H381" s="188" t="n">
        <v>46142</v>
      </c>
      <c r="I381" s="189" t="s">
        <v>132</v>
      </c>
      <c r="J381" s="189" t="s">
        <v>108</v>
      </c>
      <c r="K381" s="189" t="s">
        <v>257</v>
      </c>
      <c r="L381" s="189" t="s">
        <v>296</v>
      </c>
      <c r="M381" s="189" t="s">
        <v>269</v>
      </c>
      <c r="N381" s="189" t="s">
        <v>766</v>
      </c>
      <c r="O381" s="189" t="s">
        <v>750</v>
      </c>
      <c r="P381" s="189" t="s">
        <v>111</v>
      </c>
      <c r="Q381" s="189" t="s">
        <v>145</v>
      </c>
      <c r="R381" s="189" t="s">
        <v>22</v>
      </c>
      <c r="S381" s="189" t="s">
        <v>152</v>
      </c>
      <c r="T381" s="189" t="s">
        <v>121</v>
      </c>
      <c r="U381" s="189" t="s">
        <v>770</v>
      </c>
      <c r="V381" s="189" t="s">
        <v>123</v>
      </c>
      <c r="W381" s="189" t="s">
        <v>124</v>
      </c>
      <c r="X381" s="189" t="s">
        <v>176</v>
      </c>
      <c r="Y381" s="189" t="s">
        <v>2110</v>
      </c>
      <c r="Z381" s="0" t="n">
        <v>1</v>
      </c>
      <c r="AA381" s="189" t="s">
        <v>2249</v>
      </c>
    </row>
    <row r="382" customFormat="false" ht="15" hidden="false" customHeight="true" outlineLevel="0" collapsed="false">
      <c r="A382" s="0" t="n">
        <v>78</v>
      </c>
      <c r="B382" s="188" t="n">
        <v>46142.6844493493</v>
      </c>
      <c r="C382" s="188" t="n">
        <v>46142.6966831455</v>
      </c>
      <c r="D382" s="189" t="s">
        <v>762</v>
      </c>
      <c r="E382" s="189" t="s">
        <v>763</v>
      </c>
      <c r="F382" s="189" t="s">
        <v>764</v>
      </c>
      <c r="G382" s="189" t="s">
        <v>765</v>
      </c>
      <c r="H382" s="188" t="n">
        <v>46142</v>
      </c>
      <c r="I382" s="189" t="s">
        <v>132</v>
      </c>
      <c r="J382" s="189" t="s">
        <v>108</v>
      </c>
      <c r="K382" s="189" t="s">
        <v>257</v>
      </c>
      <c r="L382" s="189" t="s">
        <v>296</v>
      </c>
      <c r="M382" s="189" t="s">
        <v>269</v>
      </c>
      <c r="N382" s="189" t="s">
        <v>766</v>
      </c>
      <c r="O382" s="189" t="s">
        <v>750</v>
      </c>
      <c r="P382" s="189" t="s">
        <v>111</v>
      </c>
      <c r="Q382" s="189" t="s">
        <v>145</v>
      </c>
      <c r="R382" s="189" t="s">
        <v>22</v>
      </c>
      <c r="S382" s="189" t="s">
        <v>152</v>
      </c>
      <c r="T382" s="189" t="s">
        <v>121</v>
      </c>
      <c r="U382" s="189" t="s">
        <v>770</v>
      </c>
      <c r="V382" s="189" t="s">
        <v>123</v>
      </c>
      <c r="W382" s="189" t="s">
        <v>124</v>
      </c>
      <c r="X382" s="189" t="s">
        <v>176</v>
      </c>
      <c r="Y382" s="189" t="s">
        <v>2110</v>
      </c>
      <c r="Z382" s="0" t="n">
        <v>2</v>
      </c>
      <c r="AA382" s="189" t="s">
        <v>2284</v>
      </c>
    </row>
    <row r="383" customFormat="false" ht="15" hidden="false" customHeight="true" outlineLevel="0" collapsed="false">
      <c r="A383" s="0" t="n">
        <v>78</v>
      </c>
      <c r="B383" s="188" t="n">
        <v>46142.6844493493</v>
      </c>
      <c r="C383" s="188" t="n">
        <v>46142.6966831455</v>
      </c>
      <c r="D383" s="189" t="s">
        <v>762</v>
      </c>
      <c r="E383" s="189" t="s">
        <v>763</v>
      </c>
      <c r="F383" s="189" t="s">
        <v>764</v>
      </c>
      <c r="G383" s="189" t="s">
        <v>765</v>
      </c>
      <c r="H383" s="188" t="n">
        <v>46142</v>
      </c>
      <c r="I383" s="189" t="s">
        <v>132</v>
      </c>
      <c r="J383" s="189" t="s">
        <v>108</v>
      </c>
      <c r="K383" s="189" t="s">
        <v>257</v>
      </c>
      <c r="L383" s="189" t="s">
        <v>296</v>
      </c>
      <c r="M383" s="189" t="s">
        <v>269</v>
      </c>
      <c r="N383" s="189" t="s">
        <v>766</v>
      </c>
      <c r="O383" s="189" t="s">
        <v>750</v>
      </c>
      <c r="P383" s="189" t="s">
        <v>111</v>
      </c>
      <c r="Q383" s="189" t="s">
        <v>145</v>
      </c>
      <c r="R383" s="189" t="s">
        <v>22</v>
      </c>
      <c r="S383" s="189" t="s">
        <v>152</v>
      </c>
      <c r="T383" s="189" t="s">
        <v>121</v>
      </c>
      <c r="U383" s="189" t="s">
        <v>770</v>
      </c>
      <c r="V383" s="189" t="s">
        <v>123</v>
      </c>
      <c r="W383" s="189" t="s">
        <v>124</v>
      </c>
      <c r="X383" s="189" t="s">
        <v>176</v>
      </c>
      <c r="Y383" s="189" t="s">
        <v>2113</v>
      </c>
      <c r="Z383" s="0" t="n">
        <v>1</v>
      </c>
      <c r="AA383" s="189" t="s">
        <v>2285</v>
      </c>
    </row>
    <row r="384" customFormat="false" ht="15" hidden="false" customHeight="true" outlineLevel="0" collapsed="false">
      <c r="A384" s="0" t="n">
        <v>78</v>
      </c>
      <c r="B384" s="188" t="n">
        <v>46142.6844493493</v>
      </c>
      <c r="C384" s="188" t="n">
        <v>46142.6966831455</v>
      </c>
      <c r="D384" s="189" t="s">
        <v>762</v>
      </c>
      <c r="E384" s="189" t="s">
        <v>763</v>
      </c>
      <c r="F384" s="189" t="s">
        <v>764</v>
      </c>
      <c r="G384" s="189" t="s">
        <v>765</v>
      </c>
      <c r="H384" s="188" t="n">
        <v>46142</v>
      </c>
      <c r="I384" s="189" t="s">
        <v>132</v>
      </c>
      <c r="J384" s="189" t="s">
        <v>108</v>
      </c>
      <c r="K384" s="189" t="s">
        <v>257</v>
      </c>
      <c r="L384" s="189" t="s">
        <v>296</v>
      </c>
      <c r="M384" s="189" t="s">
        <v>269</v>
      </c>
      <c r="N384" s="189" t="s">
        <v>766</v>
      </c>
      <c r="O384" s="189" t="s">
        <v>750</v>
      </c>
      <c r="P384" s="189" t="s">
        <v>111</v>
      </c>
      <c r="Q384" s="189" t="s">
        <v>145</v>
      </c>
      <c r="R384" s="189" t="s">
        <v>22</v>
      </c>
      <c r="S384" s="189" t="s">
        <v>152</v>
      </c>
      <c r="T384" s="189" t="s">
        <v>121</v>
      </c>
      <c r="U384" s="189" t="s">
        <v>770</v>
      </c>
      <c r="V384" s="189" t="s">
        <v>123</v>
      </c>
      <c r="W384" s="189" t="s">
        <v>124</v>
      </c>
      <c r="X384" s="189" t="s">
        <v>176</v>
      </c>
      <c r="Y384" s="189" t="s">
        <v>2113</v>
      </c>
      <c r="Z384" s="0" t="n">
        <v>2</v>
      </c>
      <c r="AA384" s="189" t="s">
        <v>2286</v>
      </c>
    </row>
    <row r="385" customFormat="false" ht="15" hidden="false" customHeight="true" outlineLevel="0" collapsed="false">
      <c r="A385" s="0" t="n">
        <v>79</v>
      </c>
      <c r="B385" s="188" t="n">
        <v>46080.2902157093</v>
      </c>
      <c r="C385" s="188" t="n">
        <v>46080.3046370056</v>
      </c>
      <c r="D385" s="189" t="s">
        <v>771</v>
      </c>
      <c r="E385" s="189" t="s">
        <v>772</v>
      </c>
      <c r="F385" s="189" t="s">
        <v>772</v>
      </c>
      <c r="G385" s="189" t="s">
        <v>773</v>
      </c>
      <c r="H385" s="188" t="n">
        <v>46066</v>
      </c>
      <c r="I385" s="189" t="s">
        <v>113</v>
      </c>
      <c r="J385" s="189" t="s">
        <v>108</v>
      </c>
      <c r="K385" s="189" t="s">
        <v>462</v>
      </c>
      <c r="L385" s="189" t="s">
        <v>159</v>
      </c>
      <c r="M385" s="189" t="s">
        <v>774</v>
      </c>
      <c r="N385" s="189" t="s">
        <v>775</v>
      </c>
      <c r="O385" s="189" t="s">
        <v>750</v>
      </c>
      <c r="P385" s="189" t="s">
        <v>111</v>
      </c>
      <c r="Q385" s="189" t="s">
        <v>112</v>
      </c>
      <c r="R385" s="189" t="s">
        <v>22</v>
      </c>
      <c r="S385" s="189" t="s">
        <v>120</v>
      </c>
      <c r="T385" s="189" t="s">
        <v>121</v>
      </c>
      <c r="U385" s="189" t="s">
        <v>153</v>
      </c>
      <c r="V385" s="189" t="s">
        <v>192</v>
      </c>
      <c r="W385" s="189" t="s">
        <v>139</v>
      </c>
      <c r="X385" s="189" t="s">
        <v>339</v>
      </c>
      <c r="Y385" s="189" t="s">
        <v>2108</v>
      </c>
      <c r="Z385" s="0" t="n">
        <v>1</v>
      </c>
      <c r="AA385" s="189" t="s">
        <v>2260</v>
      </c>
    </row>
    <row r="386" customFormat="false" ht="15" hidden="false" customHeight="true" outlineLevel="0" collapsed="false">
      <c r="A386" s="0" t="n">
        <v>79</v>
      </c>
      <c r="B386" s="188" t="n">
        <v>46080.2902157093</v>
      </c>
      <c r="C386" s="188" t="n">
        <v>46080.3046370056</v>
      </c>
      <c r="D386" s="189" t="s">
        <v>771</v>
      </c>
      <c r="E386" s="189" t="s">
        <v>772</v>
      </c>
      <c r="F386" s="189" t="s">
        <v>772</v>
      </c>
      <c r="G386" s="189" t="s">
        <v>773</v>
      </c>
      <c r="H386" s="188" t="n">
        <v>46066</v>
      </c>
      <c r="I386" s="189" t="s">
        <v>113</v>
      </c>
      <c r="J386" s="189" t="s">
        <v>108</v>
      </c>
      <c r="K386" s="189" t="s">
        <v>462</v>
      </c>
      <c r="L386" s="189" t="s">
        <v>159</v>
      </c>
      <c r="M386" s="189" t="s">
        <v>774</v>
      </c>
      <c r="N386" s="189" t="s">
        <v>775</v>
      </c>
      <c r="O386" s="189" t="s">
        <v>750</v>
      </c>
      <c r="P386" s="189" t="s">
        <v>111</v>
      </c>
      <c r="Q386" s="189" t="s">
        <v>112</v>
      </c>
      <c r="R386" s="189" t="s">
        <v>22</v>
      </c>
      <c r="S386" s="189" t="s">
        <v>120</v>
      </c>
      <c r="T386" s="189" t="s">
        <v>121</v>
      </c>
      <c r="U386" s="189" t="s">
        <v>153</v>
      </c>
      <c r="V386" s="189" t="s">
        <v>192</v>
      </c>
      <c r="W386" s="189" t="s">
        <v>139</v>
      </c>
      <c r="X386" s="189" t="s">
        <v>339</v>
      </c>
      <c r="Y386" s="189" t="s">
        <v>2108</v>
      </c>
      <c r="Z386" s="0" t="n">
        <v>2</v>
      </c>
      <c r="AA386" s="189" t="s">
        <v>2242</v>
      </c>
    </row>
    <row r="387" customFormat="false" ht="15" hidden="false" customHeight="true" outlineLevel="0" collapsed="false">
      <c r="A387" s="0" t="n">
        <v>79</v>
      </c>
      <c r="B387" s="188" t="n">
        <v>46080.2902157093</v>
      </c>
      <c r="C387" s="188" t="n">
        <v>46080.3046370056</v>
      </c>
      <c r="D387" s="189" t="s">
        <v>771</v>
      </c>
      <c r="E387" s="189" t="s">
        <v>772</v>
      </c>
      <c r="F387" s="189" t="s">
        <v>772</v>
      </c>
      <c r="G387" s="189" t="s">
        <v>773</v>
      </c>
      <c r="H387" s="188" t="n">
        <v>46066</v>
      </c>
      <c r="I387" s="189" t="s">
        <v>113</v>
      </c>
      <c r="J387" s="189" t="s">
        <v>108</v>
      </c>
      <c r="K387" s="189" t="s">
        <v>462</v>
      </c>
      <c r="L387" s="189" t="s">
        <v>159</v>
      </c>
      <c r="M387" s="189" t="s">
        <v>774</v>
      </c>
      <c r="N387" s="189" t="s">
        <v>775</v>
      </c>
      <c r="O387" s="189" t="s">
        <v>750</v>
      </c>
      <c r="P387" s="189" t="s">
        <v>111</v>
      </c>
      <c r="Q387" s="189" t="s">
        <v>112</v>
      </c>
      <c r="R387" s="189" t="s">
        <v>22</v>
      </c>
      <c r="S387" s="189" t="s">
        <v>120</v>
      </c>
      <c r="T387" s="189" t="s">
        <v>121</v>
      </c>
      <c r="U387" s="189" t="s">
        <v>153</v>
      </c>
      <c r="V387" s="189" t="s">
        <v>192</v>
      </c>
      <c r="W387" s="189" t="s">
        <v>139</v>
      </c>
      <c r="X387" s="189" t="s">
        <v>339</v>
      </c>
      <c r="Y387" s="189" t="s">
        <v>2110</v>
      </c>
      <c r="Z387" s="0" t="n">
        <v>1</v>
      </c>
      <c r="AA387" s="189" t="s">
        <v>2186</v>
      </c>
    </row>
    <row r="388" customFormat="false" ht="15" hidden="false" customHeight="true" outlineLevel="0" collapsed="false">
      <c r="A388" s="0" t="n">
        <v>79</v>
      </c>
      <c r="B388" s="188" t="n">
        <v>46080.2902157093</v>
      </c>
      <c r="C388" s="188" t="n">
        <v>46080.3046370056</v>
      </c>
      <c r="D388" s="189" t="s">
        <v>771</v>
      </c>
      <c r="E388" s="189" t="s">
        <v>772</v>
      </c>
      <c r="F388" s="189" t="s">
        <v>772</v>
      </c>
      <c r="G388" s="189" t="s">
        <v>773</v>
      </c>
      <c r="H388" s="188" t="n">
        <v>46066</v>
      </c>
      <c r="I388" s="189" t="s">
        <v>113</v>
      </c>
      <c r="J388" s="189" t="s">
        <v>108</v>
      </c>
      <c r="K388" s="189" t="s">
        <v>462</v>
      </c>
      <c r="L388" s="189" t="s">
        <v>159</v>
      </c>
      <c r="M388" s="189" t="s">
        <v>774</v>
      </c>
      <c r="N388" s="189" t="s">
        <v>775</v>
      </c>
      <c r="O388" s="189" t="s">
        <v>750</v>
      </c>
      <c r="P388" s="189" t="s">
        <v>111</v>
      </c>
      <c r="Q388" s="189" t="s">
        <v>112</v>
      </c>
      <c r="R388" s="189" t="s">
        <v>22</v>
      </c>
      <c r="S388" s="189" t="s">
        <v>120</v>
      </c>
      <c r="T388" s="189" t="s">
        <v>121</v>
      </c>
      <c r="U388" s="189" t="s">
        <v>153</v>
      </c>
      <c r="V388" s="189" t="s">
        <v>192</v>
      </c>
      <c r="W388" s="189" t="s">
        <v>139</v>
      </c>
      <c r="X388" s="189" t="s">
        <v>339</v>
      </c>
      <c r="Y388" s="189" t="s">
        <v>2110</v>
      </c>
      <c r="Z388" s="0" t="n">
        <v>2</v>
      </c>
      <c r="AA388" s="189" t="s">
        <v>2287</v>
      </c>
    </row>
    <row r="389" customFormat="false" ht="15" hidden="false" customHeight="true" outlineLevel="0" collapsed="false">
      <c r="A389" s="0" t="n">
        <v>79</v>
      </c>
      <c r="B389" s="188" t="n">
        <v>46080.2902157093</v>
      </c>
      <c r="C389" s="188" t="n">
        <v>46080.3046370056</v>
      </c>
      <c r="D389" s="189" t="s">
        <v>771</v>
      </c>
      <c r="E389" s="189" t="s">
        <v>772</v>
      </c>
      <c r="F389" s="189" t="s">
        <v>772</v>
      </c>
      <c r="G389" s="189" t="s">
        <v>773</v>
      </c>
      <c r="H389" s="188" t="n">
        <v>46066</v>
      </c>
      <c r="I389" s="189" t="s">
        <v>113</v>
      </c>
      <c r="J389" s="189" t="s">
        <v>108</v>
      </c>
      <c r="K389" s="189" t="s">
        <v>462</v>
      </c>
      <c r="L389" s="189" t="s">
        <v>159</v>
      </c>
      <c r="M389" s="189" t="s">
        <v>774</v>
      </c>
      <c r="N389" s="189" t="s">
        <v>775</v>
      </c>
      <c r="O389" s="189" t="s">
        <v>750</v>
      </c>
      <c r="P389" s="189" t="s">
        <v>111</v>
      </c>
      <c r="Q389" s="189" t="s">
        <v>112</v>
      </c>
      <c r="R389" s="189" t="s">
        <v>22</v>
      </c>
      <c r="S389" s="189" t="s">
        <v>120</v>
      </c>
      <c r="T389" s="189" t="s">
        <v>121</v>
      </c>
      <c r="U389" s="189" t="s">
        <v>153</v>
      </c>
      <c r="V389" s="189" t="s">
        <v>192</v>
      </c>
      <c r="W389" s="189" t="s">
        <v>139</v>
      </c>
      <c r="X389" s="189" t="s">
        <v>339</v>
      </c>
      <c r="Y389" s="189" t="s">
        <v>2113</v>
      </c>
      <c r="Z389" s="0" t="n">
        <v>1</v>
      </c>
      <c r="AA389" s="189" t="s">
        <v>122</v>
      </c>
    </row>
    <row r="390" customFormat="false" ht="15" hidden="false" customHeight="true" outlineLevel="0" collapsed="false">
      <c r="A390" s="0" t="n">
        <v>79</v>
      </c>
      <c r="B390" s="188" t="n">
        <v>46080.2902157093</v>
      </c>
      <c r="C390" s="188" t="n">
        <v>46080.3046370056</v>
      </c>
      <c r="D390" s="189" t="s">
        <v>771</v>
      </c>
      <c r="E390" s="189" t="s">
        <v>772</v>
      </c>
      <c r="F390" s="189" t="s">
        <v>772</v>
      </c>
      <c r="G390" s="189" t="s">
        <v>773</v>
      </c>
      <c r="H390" s="188" t="n">
        <v>46066</v>
      </c>
      <c r="I390" s="189" t="s">
        <v>113</v>
      </c>
      <c r="J390" s="189" t="s">
        <v>108</v>
      </c>
      <c r="K390" s="189" t="s">
        <v>462</v>
      </c>
      <c r="L390" s="189" t="s">
        <v>159</v>
      </c>
      <c r="M390" s="189" t="s">
        <v>774</v>
      </c>
      <c r="N390" s="189" t="s">
        <v>775</v>
      </c>
      <c r="O390" s="189" t="s">
        <v>750</v>
      </c>
      <c r="P390" s="189" t="s">
        <v>111</v>
      </c>
      <c r="Q390" s="189" t="s">
        <v>112</v>
      </c>
      <c r="R390" s="189" t="s">
        <v>22</v>
      </c>
      <c r="S390" s="189" t="s">
        <v>120</v>
      </c>
      <c r="T390" s="189" t="s">
        <v>121</v>
      </c>
      <c r="U390" s="189" t="s">
        <v>153</v>
      </c>
      <c r="V390" s="189" t="s">
        <v>192</v>
      </c>
      <c r="W390" s="189" t="s">
        <v>139</v>
      </c>
      <c r="X390" s="189" t="s">
        <v>339</v>
      </c>
      <c r="Y390" s="189" t="s">
        <v>2113</v>
      </c>
      <c r="Z390" s="0" t="n">
        <v>2</v>
      </c>
      <c r="AA390" s="189" t="s">
        <v>2279</v>
      </c>
    </row>
    <row r="391" customFormat="false" ht="15" hidden="false" customHeight="true" outlineLevel="0" collapsed="false">
      <c r="A391" s="0" t="n">
        <v>80</v>
      </c>
      <c r="B391" s="188" t="n">
        <v>46202.7342430958</v>
      </c>
      <c r="C391" s="188" t="n">
        <v>46202.7395671699</v>
      </c>
      <c r="D391" s="189" t="s">
        <v>778</v>
      </c>
      <c r="E391" s="189" t="s">
        <v>779</v>
      </c>
      <c r="F391" s="189" t="s">
        <v>779</v>
      </c>
      <c r="G391" s="189" t="s">
        <v>780</v>
      </c>
      <c r="H391" s="188" t="n">
        <v>46184</v>
      </c>
      <c r="I391" s="189" t="s">
        <v>113</v>
      </c>
      <c r="J391" s="189" t="s">
        <v>295</v>
      </c>
      <c r="K391" s="189" t="s">
        <v>257</v>
      </c>
      <c r="L391" s="189" t="s">
        <v>159</v>
      </c>
      <c r="M391" s="189" t="s">
        <v>357</v>
      </c>
      <c r="N391" s="189" t="s">
        <v>606</v>
      </c>
      <c r="O391" s="189" t="s">
        <v>781</v>
      </c>
      <c r="P391" s="189" t="s">
        <v>111</v>
      </c>
      <c r="Q391" s="189" t="s">
        <v>112</v>
      </c>
      <c r="R391" s="189" t="s">
        <v>22</v>
      </c>
      <c r="S391" s="189" t="s">
        <v>152</v>
      </c>
      <c r="T391" s="189" t="s">
        <v>121</v>
      </c>
      <c r="U391" s="189" t="s">
        <v>785</v>
      </c>
      <c r="V391" s="189" t="s">
        <v>167</v>
      </c>
      <c r="W391" s="189" t="s">
        <v>124</v>
      </c>
      <c r="X391" s="189" t="s">
        <v>176</v>
      </c>
      <c r="Y391" s="189" t="s">
        <v>2108</v>
      </c>
      <c r="Z391" s="0" t="n">
        <v>1</v>
      </c>
      <c r="AA391" s="189" t="s">
        <v>2130</v>
      </c>
    </row>
    <row r="392" customFormat="false" ht="15" hidden="false" customHeight="true" outlineLevel="0" collapsed="false">
      <c r="A392" s="0" t="n">
        <v>80</v>
      </c>
      <c r="B392" s="188" t="n">
        <v>46202.7342430958</v>
      </c>
      <c r="C392" s="188" t="n">
        <v>46202.7395671699</v>
      </c>
      <c r="D392" s="189" t="s">
        <v>778</v>
      </c>
      <c r="E392" s="189" t="s">
        <v>779</v>
      </c>
      <c r="F392" s="189" t="s">
        <v>779</v>
      </c>
      <c r="G392" s="189" t="s">
        <v>780</v>
      </c>
      <c r="H392" s="188" t="n">
        <v>46184</v>
      </c>
      <c r="I392" s="189" t="s">
        <v>113</v>
      </c>
      <c r="J392" s="189" t="s">
        <v>295</v>
      </c>
      <c r="K392" s="189" t="s">
        <v>257</v>
      </c>
      <c r="L392" s="189" t="s">
        <v>159</v>
      </c>
      <c r="M392" s="189" t="s">
        <v>357</v>
      </c>
      <c r="N392" s="189" t="s">
        <v>606</v>
      </c>
      <c r="O392" s="189" t="s">
        <v>781</v>
      </c>
      <c r="P392" s="189" t="s">
        <v>111</v>
      </c>
      <c r="Q392" s="189" t="s">
        <v>112</v>
      </c>
      <c r="R392" s="189" t="s">
        <v>22</v>
      </c>
      <c r="S392" s="189" t="s">
        <v>152</v>
      </c>
      <c r="T392" s="189" t="s">
        <v>121</v>
      </c>
      <c r="U392" s="189" t="s">
        <v>785</v>
      </c>
      <c r="V392" s="189" t="s">
        <v>167</v>
      </c>
      <c r="W392" s="189" t="s">
        <v>124</v>
      </c>
      <c r="X392" s="189" t="s">
        <v>176</v>
      </c>
      <c r="Y392" s="189" t="s">
        <v>2108</v>
      </c>
      <c r="Z392" s="0" t="n">
        <v>2</v>
      </c>
      <c r="AA392" s="189" t="s">
        <v>2288</v>
      </c>
    </row>
    <row r="393" customFormat="false" ht="15" hidden="false" customHeight="true" outlineLevel="0" collapsed="false">
      <c r="A393" s="0" t="n">
        <v>80</v>
      </c>
      <c r="B393" s="188" t="n">
        <v>46202.7342430958</v>
      </c>
      <c r="C393" s="188" t="n">
        <v>46202.7395671699</v>
      </c>
      <c r="D393" s="189" t="s">
        <v>778</v>
      </c>
      <c r="E393" s="189" t="s">
        <v>779</v>
      </c>
      <c r="F393" s="189" t="s">
        <v>779</v>
      </c>
      <c r="G393" s="189" t="s">
        <v>780</v>
      </c>
      <c r="H393" s="188" t="n">
        <v>46184</v>
      </c>
      <c r="I393" s="189" t="s">
        <v>113</v>
      </c>
      <c r="J393" s="189" t="s">
        <v>295</v>
      </c>
      <c r="K393" s="189" t="s">
        <v>257</v>
      </c>
      <c r="L393" s="189" t="s">
        <v>159</v>
      </c>
      <c r="M393" s="189" t="s">
        <v>357</v>
      </c>
      <c r="N393" s="189" t="s">
        <v>606</v>
      </c>
      <c r="O393" s="189" t="s">
        <v>781</v>
      </c>
      <c r="P393" s="189" t="s">
        <v>111</v>
      </c>
      <c r="Q393" s="189" t="s">
        <v>112</v>
      </c>
      <c r="R393" s="189" t="s">
        <v>22</v>
      </c>
      <c r="S393" s="189" t="s">
        <v>152</v>
      </c>
      <c r="T393" s="189" t="s">
        <v>121</v>
      </c>
      <c r="U393" s="189" t="s">
        <v>785</v>
      </c>
      <c r="V393" s="189" t="s">
        <v>167</v>
      </c>
      <c r="W393" s="189" t="s">
        <v>124</v>
      </c>
      <c r="X393" s="189" t="s">
        <v>176</v>
      </c>
      <c r="Y393" s="189" t="s">
        <v>2110</v>
      </c>
      <c r="Z393" s="0" t="n">
        <v>1</v>
      </c>
      <c r="AA393" s="189" t="s">
        <v>1174</v>
      </c>
    </row>
    <row r="394" customFormat="false" ht="15" hidden="false" customHeight="true" outlineLevel="0" collapsed="false">
      <c r="A394" s="0" t="n">
        <v>80</v>
      </c>
      <c r="B394" s="188" t="n">
        <v>46202.7342430958</v>
      </c>
      <c r="C394" s="188" t="n">
        <v>46202.7395671699</v>
      </c>
      <c r="D394" s="189" t="s">
        <v>778</v>
      </c>
      <c r="E394" s="189" t="s">
        <v>779</v>
      </c>
      <c r="F394" s="189" t="s">
        <v>779</v>
      </c>
      <c r="G394" s="189" t="s">
        <v>780</v>
      </c>
      <c r="H394" s="188" t="n">
        <v>46184</v>
      </c>
      <c r="I394" s="189" t="s">
        <v>113</v>
      </c>
      <c r="J394" s="189" t="s">
        <v>295</v>
      </c>
      <c r="K394" s="189" t="s">
        <v>257</v>
      </c>
      <c r="L394" s="189" t="s">
        <v>159</v>
      </c>
      <c r="M394" s="189" t="s">
        <v>357</v>
      </c>
      <c r="N394" s="189" t="s">
        <v>606</v>
      </c>
      <c r="O394" s="189" t="s">
        <v>781</v>
      </c>
      <c r="P394" s="189" t="s">
        <v>111</v>
      </c>
      <c r="Q394" s="189" t="s">
        <v>112</v>
      </c>
      <c r="R394" s="189" t="s">
        <v>22</v>
      </c>
      <c r="S394" s="189" t="s">
        <v>152</v>
      </c>
      <c r="T394" s="189" t="s">
        <v>121</v>
      </c>
      <c r="U394" s="189" t="s">
        <v>785</v>
      </c>
      <c r="V394" s="189" t="s">
        <v>167</v>
      </c>
      <c r="W394" s="189" t="s">
        <v>124</v>
      </c>
      <c r="X394" s="189" t="s">
        <v>176</v>
      </c>
      <c r="Y394" s="189" t="s">
        <v>2110</v>
      </c>
      <c r="Z394" s="0" t="n">
        <v>2</v>
      </c>
      <c r="AA394" s="189" t="s">
        <v>122</v>
      </c>
    </row>
    <row r="395" customFormat="false" ht="15" hidden="false" customHeight="true" outlineLevel="0" collapsed="false">
      <c r="A395" s="0" t="n">
        <v>80</v>
      </c>
      <c r="B395" s="188" t="n">
        <v>46202.7342430958</v>
      </c>
      <c r="C395" s="188" t="n">
        <v>46202.7395671699</v>
      </c>
      <c r="D395" s="189" t="s">
        <v>778</v>
      </c>
      <c r="E395" s="189" t="s">
        <v>779</v>
      </c>
      <c r="F395" s="189" t="s">
        <v>779</v>
      </c>
      <c r="G395" s="189" t="s">
        <v>780</v>
      </c>
      <c r="H395" s="188" t="n">
        <v>46184</v>
      </c>
      <c r="I395" s="189" t="s">
        <v>113</v>
      </c>
      <c r="J395" s="189" t="s">
        <v>295</v>
      </c>
      <c r="K395" s="189" t="s">
        <v>257</v>
      </c>
      <c r="L395" s="189" t="s">
        <v>159</v>
      </c>
      <c r="M395" s="189" t="s">
        <v>357</v>
      </c>
      <c r="N395" s="189" t="s">
        <v>606</v>
      </c>
      <c r="O395" s="189" t="s">
        <v>781</v>
      </c>
      <c r="P395" s="189" t="s">
        <v>111</v>
      </c>
      <c r="Q395" s="189" t="s">
        <v>112</v>
      </c>
      <c r="R395" s="189" t="s">
        <v>22</v>
      </c>
      <c r="S395" s="189" t="s">
        <v>152</v>
      </c>
      <c r="T395" s="189" t="s">
        <v>121</v>
      </c>
      <c r="U395" s="189" t="s">
        <v>785</v>
      </c>
      <c r="V395" s="189" t="s">
        <v>167</v>
      </c>
      <c r="W395" s="189" t="s">
        <v>124</v>
      </c>
      <c r="X395" s="189" t="s">
        <v>176</v>
      </c>
      <c r="Y395" s="189" t="s">
        <v>2113</v>
      </c>
      <c r="Z395" s="0" t="n">
        <v>1</v>
      </c>
      <c r="AA395" s="189" t="s">
        <v>2128</v>
      </c>
    </row>
    <row r="396" customFormat="false" ht="15" hidden="false" customHeight="true" outlineLevel="0" collapsed="false">
      <c r="A396" s="0" t="n">
        <v>80</v>
      </c>
      <c r="B396" s="188" t="n">
        <v>46202.7342430958</v>
      </c>
      <c r="C396" s="188" t="n">
        <v>46202.7395671699</v>
      </c>
      <c r="D396" s="189" t="s">
        <v>778</v>
      </c>
      <c r="E396" s="189" t="s">
        <v>779</v>
      </c>
      <c r="F396" s="189" t="s">
        <v>779</v>
      </c>
      <c r="G396" s="189" t="s">
        <v>780</v>
      </c>
      <c r="H396" s="188" t="n">
        <v>46184</v>
      </c>
      <c r="I396" s="189" t="s">
        <v>113</v>
      </c>
      <c r="J396" s="189" t="s">
        <v>295</v>
      </c>
      <c r="K396" s="189" t="s">
        <v>257</v>
      </c>
      <c r="L396" s="189" t="s">
        <v>159</v>
      </c>
      <c r="M396" s="189" t="s">
        <v>357</v>
      </c>
      <c r="N396" s="189" t="s">
        <v>606</v>
      </c>
      <c r="O396" s="189" t="s">
        <v>781</v>
      </c>
      <c r="P396" s="189" t="s">
        <v>111</v>
      </c>
      <c r="Q396" s="189" t="s">
        <v>112</v>
      </c>
      <c r="R396" s="189" t="s">
        <v>22</v>
      </c>
      <c r="S396" s="189" t="s">
        <v>152</v>
      </c>
      <c r="T396" s="189" t="s">
        <v>121</v>
      </c>
      <c r="U396" s="189" t="s">
        <v>785</v>
      </c>
      <c r="V396" s="189" t="s">
        <v>167</v>
      </c>
      <c r="W396" s="189" t="s">
        <v>124</v>
      </c>
      <c r="X396" s="189" t="s">
        <v>176</v>
      </c>
      <c r="Y396" s="189" t="s">
        <v>2113</v>
      </c>
      <c r="Z396" s="0" t="n">
        <v>2</v>
      </c>
      <c r="AA396" s="189" t="s">
        <v>2289</v>
      </c>
    </row>
    <row r="397" customFormat="false" ht="15" hidden="false" customHeight="true" outlineLevel="0" collapsed="false">
      <c r="A397" s="0" t="n">
        <v>81</v>
      </c>
      <c r="B397" s="188" t="n">
        <v>46046.5698838957</v>
      </c>
      <c r="C397" s="188" t="n">
        <v>46046.5836223216</v>
      </c>
      <c r="D397" s="189" t="s">
        <v>786</v>
      </c>
      <c r="E397" s="189" t="s">
        <v>787</v>
      </c>
      <c r="F397" s="189" t="s">
        <v>787</v>
      </c>
      <c r="G397" s="189" t="s">
        <v>788</v>
      </c>
      <c r="H397" s="188" t="n">
        <v>46043</v>
      </c>
      <c r="I397" s="189" t="s">
        <v>132</v>
      </c>
      <c r="J397" s="189" t="s">
        <v>295</v>
      </c>
      <c r="K397" s="189" t="s">
        <v>232</v>
      </c>
      <c r="L397" s="189" t="s">
        <v>197</v>
      </c>
      <c r="M397" s="189" t="s">
        <v>789</v>
      </c>
      <c r="N397" s="189" t="s">
        <v>235</v>
      </c>
      <c r="O397" s="189" t="s">
        <v>172</v>
      </c>
      <c r="P397" s="189" t="s">
        <v>131</v>
      </c>
      <c r="Q397" s="189" t="s">
        <v>112</v>
      </c>
      <c r="R397" s="189" t="s">
        <v>22</v>
      </c>
      <c r="S397" s="189" t="s">
        <v>120</v>
      </c>
      <c r="T397" s="189" t="s">
        <v>180</v>
      </c>
      <c r="U397" s="189" t="s">
        <v>122</v>
      </c>
      <c r="V397" s="189" t="s">
        <v>123</v>
      </c>
      <c r="W397" s="189" t="s">
        <v>124</v>
      </c>
      <c r="X397" s="189" t="s">
        <v>298</v>
      </c>
      <c r="Y397" s="189" t="s">
        <v>2108</v>
      </c>
      <c r="Z397" s="0" t="n">
        <v>1</v>
      </c>
      <c r="AA397" s="189" t="s">
        <v>2252</v>
      </c>
    </row>
    <row r="398" customFormat="false" ht="15" hidden="false" customHeight="true" outlineLevel="0" collapsed="false">
      <c r="A398" s="0" t="n">
        <v>81</v>
      </c>
      <c r="B398" s="188" t="n">
        <v>46046.5698838957</v>
      </c>
      <c r="C398" s="188" t="n">
        <v>46046.5836223216</v>
      </c>
      <c r="D398" s="189" t="s">
        <v>786</v>
      </c>
      <c r="E398" s="189" t="s">
        <v>787</v>
      </c>
      <c r="F398" s="189" t="s">
        <v>787</v>
      </c>
      <c r="G398" s="189" t="s">
        <v>788</v>
      </c>
      <c r="H398" s="188" t="n">
        <v>46043</v>
      </c>
      <c r="I398" s="189" t="s">
        <v>132</v>
      </c>
      <c r="J398" s="189" t="s">
        <v>295</v>
      </c>
      <c r="K398" s="189" t="s">
        <v>232</v>
      </c>
      <c r="L398" s="189" t="s">
        <v>197</v>
      </c>
      <c r="M398" s="189" t="s">
        <v>789</v>
      </c>
      <c r="N398" s="189" t="s">
        <v>235</v>
      </c>
      <c r="O398" s="189" t="s">
        <v>172</v>
      </c>
      <c r="P398" s="189" t="s">
        <v>131</v>
      </c>
      <c r="Q398" s="189" t="s">
        <v>112</v>
      </c>
      <c r="R398" s="189" t="s">
        <v>22</v>
      </c>
      <c r="S398" s="189" t="s">
        <v>120</v>
      </c>
      <c r="T398" s="189" t="s">
        <v>180</v>
      </c>
      <c r="U398" s="189" t="s">
        <v>122</v>
      </c>
      <c r="V398" s="189" t="s">
        <v>123</v>
      </c>
      <c r="W398" s="189" t="s">
        <v>124</v>
      </c>
      <c r="X398" s="189" t="s">
        <v>298</v>
      </c>
      <c r="Y398" s="189" t="s">
        <v>2108</v>
      </c>
      <c r="Z398" s="0" t="n">
        <v>2</v>
      </c>
      <c r="AA398" s="189" t="s">
        <v>2169</v>
      </c>
    </row>
    <row r="399" customFormat="false" ht="15" hidden="false" customHeight="true" outlineLevel="0" collapsed="false">
      <c r="A399" s="0" t="n">
        <v>81</v>
      </c>
      <c r="B399" s="188" t="n">
        <v>46046.5698838957</v>
      </c>
      <c r="C399" s="188" t="n">
        <v>46046.5836223216</v>
      </c>
      <c r="D399" s="189" t="s">
        <v>786</v>
      </c>
      <c r="E399" s="189" t="s">
        <v>787</v>
      </c>
      <c r="F399" s="189" t="s">
        <v>787</v>
      </c>
      <c r="G399" s="189" t="s">
        <v>788</v>
      </c>
      <c r="H399" s="188" t="n">
        <v>46043</v>
      </c>
      <c r="I399" s="189" t="s">
        <v>132</v>
      </c>
      <c r="J399" s="189" t="s">
        <v>295</v>
      </c>
      <c r="K399" s="189" t="s">
        <v>232</v>
      </c>
      <c r="L399" s="189" t="s">
        <v>197</v>
      </c>
      <c r="M399" s="189" t="s">
        <v>789</v>
      </c>
      <c r="N399" s="189" t="s">
        <v>235</v>
      </c>
      <c r="O399" s="189" t="s">
        <v>172</v>
      </c>
      <c r="P399" s="189" t="s">
        <v>131</v>
      </c>
      <c r="Q399" s="189" t="s">
        <v>112</v>
      </c>
      <c r="R399" s="189" t="s">
        <v>22</v>
      </c>
      <c r="S399" s="189" t="s">
        <v>120</v>
      </c>
      <c r="T399" s="189" t="s">
        <v>180</v>
      </c>
      <c r="U399" s="189" t="s">
        <v>122</v>
      </c>
      <c r="V399" s="189" t="s">
        <v>123</v>
      </c>
      <c r="W399" s="189" t="s">
        <v>124</v>
      </c>
      <c r="X399" s="189" t="s">
        <v>298</v>
      </c>
      <c r="Y399" s="189" t="s">
        <v>2108</v>
      </c>
      <c r="Z399" s="0" t="n">
        <v>3</v>
      </c>
      <c r="AA399" s="189" t="s">
        <v>2238</v>
      </c>
    </row>
    <row r="400" customFormat="false" ht="15" hidden="false" customHeight="true" outlineLevel="0" collapsed="false">
      <c r="A400" s="0" t="n">
        <v>81</v>
      </c>
      <c r="B400" s="188" t="n">
        <v>46046.5698838957</v>
      </c>
      <c r="C400" s="188" t="n">
        <v>46046.5836223216</v>
      </c>
      <c r="D400" s="189" t="s">
        <v>786</v>
      </c>
      <c r="E400" s="189" t="s">
        <v>787</v>
      </c>
      <c r="F400" s="189" t="s">
        <v>787</v>
      </c>
      <c r="G400" s="189" t="s">
        <v>788</v>
      </c>
      <c r="H400" s="188" t="n">
        <v>46043</v>
      </c>
      <c r="I400" s="189" t="s">
        <v>132</v>
      </c>
      <c r="J400" s="189" t="s">
        <v>295</v>
      </c>
      <c r="K400" s="189" t="s">
        <v>232</v>
      </c>
      <c r="L400" s="189" t="s">
        <v>197</v>
      </c>
      <c r="M400" s="189" t="s">
        <v>789</v>
      </c>
      <c r="N400" s="189" t="s">
        <v>235</v>
      </c>
      <c r="O400" s="189" t="s">
        <v>172</v>
      </c>
      <c r="P400" s="189" t="s">
        <v>131</v>
      </c>
      <c r="Q400" s="189" t="s">
        <v>112</v>
      </c>
      <c r="R400" s="189" t="s">
        <v>22</v>
      </c>
      <c r="S400" s="189" t="s">
        <v>120</v>
      </c>
      <c r="T400" s="189" t="s">
        <v>180</v>
      </c>
      <c r="U400" s="189" t="s">
        <v>122</v>
      </c>
      <c r="V400" s="189" t="s">
        <v>123</v>
      </c>
      <c r="W400" s="189" t="s">
        <v>124</v>
      </c>
      <c r="X400" s="189" t="s">
        <v>298</v>
      </c>
      <c r="Y400" s="189" t="s">
        <v>2110</v>
      </c>
      <c r="Z400" s="0" t="n">
        <v>1</v>
      </c>
      <c r="AA400" s="189" t="s">
        <v>2290</v>
      </c>
    </row>
    <row r="401" customFormat="false" ht="15" hidden="false" customHeight="true" outlineLevel="0" collapsed="false">
      <c r="A401" s="0" t="n">
        <v>81</v>
      </c>
      <c r="B401" s="188" t="n">
        <v>46046.5698838957</v>
      </c>
      <c r="C401" s="188" t="n">
        <v>46046.5836223216</v>
      </c>
      <c r="D401" s="189" t="s">
        <v>786</v>
      </c>
      <c r="E401" s="189" t="s">
        <v>787</v>
      </c>
      <c r="F401" s="189" t="s">
        <v>787</v>
      </c>
      <c r="G401" s="189" t="s">
        <v>788</v>
      </c>
      <c r="H401" s="188" t="n">
        <v>46043</v>
      </c>
      <c r="I401" s="189" t="s">
        <v>132</v>
      </c>
      <c r="J401" s="189" t="s">
        <v>295</v>
      </c>
      <c r="K401" s="189" t="s">
        <v>232</v>
      </c>
      <c r="L401" s="189" t="s">
        <v>197</v>
      </c>
      <c r="M401" s="189" t="s">
        <v>789</v>
      </c>
      <c r="N401" s="189" t="s">
        <v>235</v>
      </c>
      <c r="O401" s="189" t="s">
        <v>172</v>
      </c>
      <c r="P401" s="189" t="s">
        <v>131</v>
      </c>
      <c r="Q401" s="189" t="s">
        <v>112</v>
      </c>
      <c r="R401" s="189" t="s">
        <v>22</v>
      </c>
      <c r="S401" s="189" t="s">
        <v>120</v>
      </c>
      <c r="T401" s="189" t="s">
        <v>180</v>
      </c>
      <c r="U401" s="189" t="s">
        <v>122</v>
      </c>
      <c r="V401" s="189" t="s">
        <v>123</v>
      </c>
      <c r="W401" s="189" t="s">
        <v>124</v>
      </c>
      <c r="X401" s="189" t="s">
        <v>298</v>
      </c>
      <c r="Y401" s="189" t="s">
        <v>2113</v>
      </c>
      <c r="Z401" s="0" t="n">
        <v>1</v>
      </c>
      <c r="AA401" s="189" t="s">
        <v>2291</v>
      </c>
    </row>
    <row r="402" customFormat="false" ht="15" hidden="false" customHeight="true" outlineLevel="0" collapsed="false">
      <c r="A402" s="0" t="n">
        <v>81</v>
      </c>
      <c r="B402" s="188" t="n">
        <v>46046.5698838957</v>
      </c>
      <c r="C402" s="188" t="n">
        <v>46046.5836223216</v>
      </c>
      <c r="D402" s="189" t="s">
        <v>786</v>
      </c>
      <c r="E402" s="189" t="s">
        <v>787</v>
      </c>
      <c r="F402" s="189" t="s">
        <v>787</v>
      </c>
      <c r="G402" s="189" t="s">
        <v>788</v>
      </c>
      <c r="H402" s="188" t="n">
        <v>46043</v>
      </c>
      <c r="I402" s="189" t="s">
        <v>132</v>
      </c>
      <c r="J402" s="189" t="s">
        <v>295</v>
      </c>
      <c r="K402" s="189" t="s">
        <v>232</v>
      </c>
      <c r="L402" s="189" t="s">
        <v>197</v>
      </c>
      <c r="M402" s="189" t="s">
        <v>789</v>
      </c>
      <c r="N402" s="189" t="s">
        <v>235</v>
      </c>
      <c r="O402" s="189" t="s">
        <v>172</v>
      </c>
      <c r="P402" s="189" t="s">
        <v>131</v>
      </c>
      <c r="Q402" s="189" t="s">
        <v>112</v>
      </c>
      <c r="R402" s="189" t="s">
        <v>22</v>
      </c>
      <c r="S402" s="189" t="s">
        <v>120</v>
      </c>
      <c r="T402" s="189" t="s">
        <v>180</v>
      </c>
      <c r="U402" s="189" t="s">
        <v>122</v>
      </c>
      <c r="V402" s="189" t="s">
        <v>123</v>
      </c>
      <c r="W402" s="189" t="s">
        <v>124</v>
      </c>
      <c r="X402" s="189" t="s">
        <v>298</v>
      </c>
      <c r="Y402" s="189" t="s">
        <v>2113</v>
      </c>
      <c r="Z402" s="0" t="n">
        <v>2</v>
      </c>
      <c r="AA402" s="189" t="s">
        <v>2292</v>
      </c>
    </row>
    <row r="403" customFormat="false" ht="15" hidden="false" customHeight="true" outlineLevel="0" collapsed="false">
      <c r="A403" s="0" t="n">
        <v>82</v>
      </c>
      <c r="B403" s="188" t="n">
        <v>46165.1678119742</v>
      </c>
      <c r="C403" s="188" t="n">
        <v>46165.1693050298</v>
      </c>
      <c r="D403" s="189" t="s">
        <v>793</v>
      </c>
      <c r="E403" s="189" t="s">
        <v>794</v>
      </c>
      <c r="F403" s="189" t="s">
        <v>794</v>
      </c>
      <c r="G403" s="189" t="s">
        <v>795</v>
      </c>
      <c r="H403" s="188" t="n">
        <v>46157</v>
      </c>
      <c r="I403" s="189" t="s">
        <v>113</v>
      </c>
      <c r="J403" s="189" t="s">
        <v>295</v>
      </c>
      <c r="K403" s="189" t="s">
        <v>796</v>
      </c>
      <c r="L403" s="189" t="s">
        <v>114</v>
      </c>
      <c r="M403" s="189" t="s">
        <v>797</v>
      </c>
      <c r="N403" s="189" t="s">
        <v>338</v>
      </c>
      <c r="O403" s="189" t="s">
        <v>278</v>
      </c>
      <c r="P403" s="189" t="s">
        <v>131</v>
      </c>
      <c r="Q403" s="189" t="s">
        <v>112</v>
      </c>
      <c r="R403" s="189" t="s">
        <v>21</v>
      </c>
      <c r="S403" s="189" t="s">
        <v>120</v>
      </c>
      <c r="T403" s="189" t="s">
        <v>180</v>
      </c>
      <c r="U403" s="189" t="s">
        <v>798</v>
      </c>
      <c r="V403" s="189" t="s">
        <v>167</v>
      </c>
      <c r="W403" s="189" t="s">
        <v>124</v>
      </c>
      <c r="X403" s="189" t="s">
        <v>187</v>
      </c>
      <c r="Y403" s="189" t="s">
        <v>2108</v>
      </c>
      <c r="Z403" s="0" t="n">
        <v>1</v>
      </c>
      <c r="AA403" s="189" t="s">
        <v>2133</v>
      </c>
    </row>
    <row r="404" customFormat="false" ht="15" hidden="false" customHeight="true" outlineLevel="0" collapsed="false">
      <c r="A404" s="0" t="n">
        <v>82</v>
      </c>
      <c r="B404" s="188" t="n">
        <v>46165.1678119742</v>
      </c>
      <c r="C404" s="188" t="n">
        <v>46165.1693050298</v>
      </c>
      <c r="D404" s="189" t="s">
        <v>793</v>
      </c>
      <c r="E404" s="189" t="s">
        <v>794</v>
      </c>
      <c r="F404" s="189" t="s">
        <v>794</v>
      </c>
      <c r="G404" s="189" t="s">
        <v>795</v>
      </c>
      <c r="H404" s="188" t="n">
        <v>46157</v>
      </c>
      <c r="I404" s="189" t="s">
        <v>113</v>
      </c>
      <c r="J404" s="189" t="s">
        <v>295</v>
      </c>
      <c r="K404" s="189" t="s">
        <v>796</v>
      </c>
      <c r="L404" s="189" t="s">
        <v>114</v>
      </c>
      <c r="M404" s="189" t="s">
        <v>797</v>
      </c>
      <c r="N404" s="189" t="s">
        <v>338</v>
      </c>
      <c r="O404" s="189" t="s">
        <v>278</v>
      </c>
      <c r="P404" s="189" t="s">
        <v>131</v>
      </c>
      <c r="Q404" s="189" t="s">
        <v>112</v>
      </c>
      <c r="R404" s="189" t="s">
        <v>21</v>
      </c>
      <c r="S404" s="189" t="s">
        <v>120</v>
      </c>
      <c r="T404" s="189" t="s">
        <v>180</v>
      </c>
      <c r="U404" s="189" t="s">
        <v>798</v>
      </c>
      <c r="V404" s="189" t="s">
        <v>167</v>
      </c>
      <c r="W404" s="189" t="s">
        <v>124</v>
      </c>
      <c r="X404" s="189" t="s">
        <v>187</v>
      </c>
      <c r="Y404" s="189" t="s">
        <v>2110</v>
      </c>
      <c r="Z404" s="0" t="n">
        <v>1</v>
      </c>
      <c r="AA404" s="189" t="s">
        <v>2211</v>
      </c>
    </row>
    <row r="405" customFormat="false" ht="15" hidden="false" customHeight="true" outlineLevel="0" collapsed="false">
      <c r="A405" s="0" t="n">
        <v>82</v>
      </c>
      <c r="B405" s="188" t="n">
        <v>46165.1678119742</v>
      </c>
      <c r="C405" s="188" t="n">
        <v>46165.1693050298</v>
      </c>
      <c r="D405" s="189" t="s">
        <v>793</v>
      </c>
      <c r="E405" s="189" t="s">
        <v>794</v>
      </c>
      <c r="F405" s="189" t="s">
        <v>794</v>
      </c>
      <c r="G405" s="189" t="s">
        <v>795</v>
      </c>
      <c r="H405" s="188" t="n">
        <v>46157</v>
      </c>
      <c r="I405" s="189" t="s">
        <v>113</v>
      </c>
      <c r="J405" s="189" t="s">
        <v>295</v>
      </c>
      <c r="K405" s="189" t="s">
        <v>796</v>
      </c>
      <c r="L405" s="189" t="s">
        <v>114</v>
      </c>
      <c r="M405" s="189" t="s">
        <v>797</v>
      </c>
      <c r="N405" s="189" t="s">
        <v>338</v>
      </c>
      <c r="O405" s="189" t="s">
        <v>278</v>
      </c>
      <c r="P405" s="189" t="s">
        <v>131</v>
      </c>
      <c r="Q405" s="189" t="s">
        <v>112</v>
      </c>
      <c r="R405" s="189" t="s">
        <v>21</v>
      </c>
      <c r="S405" s="189" t="s">
        <v>120</v>
      </c>
      <c r="T405" s="189" t="s">
        <v>180</v>
      </c>
      <c r="U405" s="189" t="s">
        <v>798</v>
      </c>
      <c r="V405" s="189" t="s">
        <v>167</v>
      </c>
      <c r="W405" s="189" t="s">
        <v>124</v>
      </c>
      <c r="X405" s="189" t="s">
        <v>187</v>
      </c>
      <c r="Y405" s="189" t="s">
        <v>2110</v>
      </c>
      <c r="Z405" s="0" t="n">
        <v>2</v>
      </c>
      <c r="AA405" s="189" t="s">
        <v>2134</v>
      </c>
    </row>
    <row r="406" customFormat="false" ht="15" hidden="false" customHeight="true" outlineLevel="0" collapsed="false">
      <c r="A406" s="0" t="n">
        <v>82</v>
      </c>
      <c r="B406" s="188" t="n">
        <v>46165.1678119742</v>
      </c>
      <c r="C406" s="188" t="n">
        <v>46165.1693050298</v>
      </c>
      <c r="D406" s="189" t="s">
        <v>793</v>
      </c>
      <c r="E406" s="189" t="s">
        <v>794</v>
      </c>
      <c r="F406" s="189" t="s">
        <v>794</v>
      </c>
      <c r="G406" s="189" t="s">
        <v>795</v>
      </c>
      <c r="H406" s="188" t="n">
        <v>46157</v>
      </c>
      <c r="I406" s="189" t="s">
        <v>113</v>
      </c>
      <c r="J406" s="189" t="s">
        <v>295</v>
      </c>
      <c r="K406" s="189" t="s">
        <v>796</v>
      </c>
      <c r="L406" s="189" t="s">
        <v>114</v>
      </c>
      <c r="M406" s="189" t="s">
        <v>797</v>
      </c>
      <c r="N406" s="189" t="s">
        <v>338</v>
      </c>
      <c r="O406" s="189" t="s">
        <v>278</v>
      </c>
      <c r="P406" s="189" t="s">
        <v>131</v>
      </c>
      <c r="Q406" s="189" t="s">
        <v>112</v>
      </c>
      <c r="R406" s="189" t="s">
        <v>21</v>
      </c>
      <c r="S406" s="189" t="s">
        <v>120</v>
      </c>
      <c r="T406" s="189" t="s">
        <v>180</v>
      </c>
      <c r="U406" s="189" t="s">
        <v>798</v>
      </c>
      <c r="V406" s="189" t="s">
        <v>167</v>
      </c>
      <c r="W406" s="189" t="s">
        <v>124</v>
      </c>
      <c r="X406" s="189" t="s">
        <v>187</v>
      </c>
      <c r="Y406" s="189" t="s">
        <v>2113</v>
      </c>
      <c r="Z406" s="0" t="n">
        <v>1</v>
      </c>
      <c r="AA406" s="189" t="s">
        <v>2135</v>
      </c>
    </row>
    <row r="407" customFormat="false" ht="15" hidden="false" customHeight="true" outlineLevel="0" collapsed="false">
      <c r="A407" s="0" t="n">
        <v>83</v>
      </c>
      <c r="B407" s="188" t="n">
        <v>46107.2443825347</v>
      </c>
      <c r="C407" s="188" t="n">
        <v>46107.2485376273</v>
      </c>
      <c r="D407" s="189" t="s">
        <v>799</v>
      </c>
      <c r="E407" s="189" t="s">
        <v>800</v>
      </c>
      <c r="F407" s="189" t="s">
        <v>800</v>
      </c>
      <c r="G407" s="189" t="s">
        <v>801</v>
      </c>
      <c r="H407" s="188" t="n">
        <v>46103</v>
      </c>
      <c r="I407" s="189" t="s">
        <v>113</v>
      </c>
      <c r="J407" s="189" t="s">
        <v>108</v>
      </c>
      <c r="K407" s="189" t="s">
        <v>802</v>
      </c>
      <c r="L407" s="189" t="s">
        <v>210</v>
      </c>
      <c r="M407" s="189" t="s">
        <v>789</v>
      </c>
      <c r="N407" s="189" t="s">
        <v>523</v>
      </c>
      <c r="O407" s="189" t="s">
        <v>172</v>
      </c>
      <c r="P407" s="189" t="s">
        <v>111</v>
      </c>
      <c r="Q407" s="189" t="s">
        <v>112</v>
      </c>
      <c r="R407" s="189" t="s">
        <v>22</v>
      </c>
      <c r="S407" s="189" t="s">
        <v>152</v>
      </c>
      <c r="T407" s="189" t="s">
        <v>496</v>
      </c>
      <c r="U407" s="189" t="s">
        <v>239</v>
      </c>
      <c r="V407" s="189" t="s">
        <v>192</v>
      </c>
      <c r="W407" s="189" t="s">
        <v>124</v>
      </c>
      <c r="X407" s="189" t="s">
        <v>381</v>
      </c>
      <c r="Y407" s="189" t="s">
        <v>2108</v>
      </c>
      <c r="Z407" s="0" t="n">
        <v>1</v>
      </c>
      <c r="AA407" s="189" t="s">
        <v>2293</v>
      </c>
    </row>
    <row r="408" customFormat="false" ht="15" hidden="false" customHeight="true" outlineLevel="0" collapsed="false">
      <c r="A408" s="0" t="n">
        <v>83</v>
      </c>
      <c r="B408" s="188" t="n">
        <v>46107.2443825347</v>
      </c>
      <c r="C408" s="188" t="n">
        <v>46107.2485376273</v>
      </c>
      <c r="D408" s="189" t="s">
        <v>799</v>
      </c>
      <c r="E408" s="189" t="s">
        <v>800</v>
      </c>
      <c r="F408" s="189" t="s">
        <v>800</v>
      </c>
      <c r="G408" s="189" t="s">
        <v>801</v>
      </c>
      <c r="H408" s="188" t="n">
        <v>46103</v>
      </c>
      <c r="I408" s="189" t="s">
        <v>113</v>
      </c>
      <c r="J408" s="189" t="s">
        <v>108</v>
      </c>
      <c r="K408" s="189" t="s">
        <v>802</v>
      </c>
      <c r="L408" s="189" t="s">
        <v>210</v>
      </c>
      <c r="M408" s="189" t="s">
        <v>789</v>
      </c>
      <c r="N408" s="189" t="s">
        <v>523</v>
      </c>
      <c r="O408" s="189" t="s">
        <v>172</v>
      </c>
      <c r="P408" s="189" t="s">
        <v>111</v>
      </c>
      <c r="Q408" s="189" t="s">
        <v>112</v>
      </c>
      <c r="R408" s="189" t="s">
        <v>22</v>
      </c>
      <c r="S408" s="189" t="s">
        <v>152</v>
      </c>
      <c r="T408" s="189" t="s">
        <v>496</v>
      </c>
      <c r="U408" s="189" t="s">
        <v>239</v>
      </c>
      <c r="V408" s="189" t="s">
        <v>192</v>
      </c>
      <c r="W408" s="189" t="s">
        <v>124</v>
      </c>
      <c r="X408" s="189" t="s">
        <v>381</v>
      </c>
      <c r="Y408" s="189" t="s">
        <v>2108</v>
      </c>
      <c r="Z408" s="0" t="n">
        <v>2</v>
      </c>
      <c r="AA408" s="189" t="s">
        <v>2203</v>
      </c>
    </row>
    <row r="409" customFormat="false" ht="15" hidden="false" customHeight="true" outlineLevel="0" collapsed="false">
      <c r="A409" s="0" t="n">
        <v>83</v>
      </c>
      <c r="B409" s="188" t="n">
        <v>46107.2443825347</v>
      </c>
      <c r="C409" s="188" t="n">
        <v>46107.2485376273</v>
      </c>
      <c r="D409" s="189" t="s">
        <v>799</v>
      </c>
      <c r="E409" s="189" t="s">
        <v>800</v>
      </c>
      <c r="F409" s="189" t="s">
        <v>800</v>
      </c>
      <c r="G409" s="189" t="s">
        <v>801</v>
      </c>
      <c r="H409" s="188" t="n">
        <v>46103</v>
      </c>
      <c r="I409" s="189" t="s">
        <v>113</v>
      </c>
      <c r="J409" s="189" t="s">
        <v>108</v>
      </c>
      <c r="K409" s="189" t="s">
        <v>802</v>
      </c>
      <c r="L409" s="189" t="s">
        <v>210</v>
      </c>
      <c r="M409" s="189" t="s">
        <v>789</v>
      </c>
      <c r="N409" s="189" t="s">
        <v>523</v>
      </c>
      <c r="O409" s="189" t="s">
        <v>172</v>
      </c>
      <c r="P409" s="189" t="s">
        <v>111</v>
      </c>
      <c r="Q409" s="189" t="s">
        <v>112</v>
      </c>
      <c r="R409" s="189" t="s">
        <v>22</v>
      </c>
      <c r="S409" s="189" t="s">
        <v>152</v>
      </c>
      <c r="T409" s="189" t="s">
        <v>496</v>
      </c>
      <c r="U409" s="189" t="s">
        <v>239</v>
      </c>
      <c r="V409" s="189" t="s">
        <v>192</v>
      </c>
      <c r="W409" s="189" t="s">
        <v>124</v>
      </c>
      <c r="X409" s="189" t="s">
        <v>381</v>
      </c>
      <c r="Y409" s="189" t="s">
        <v>2110</v>
      </c>
      <c r="Z409" s="0" t="n">
        <v>1</v>
      </c>
      <c r="AA409" s="189" t="s">
        <v>2205</v>
      </c>
    </row>
    <row r="410" customFormat="false" ht="15" hidden="false" customHeight="true" outlineLevel="0" collapsed="false">
      <c r="A410" s="0" t="n">
        <v>83</v>
      </c>
      <c r="B410" s="188" t="n">
        <v>46107.2443825347</v>
      </c>
      <c r="C410" s="188" t="n">
        <v>46107.2485376273</v>
      </c>
      <c r="D410" s="189" t="s">
        <v>799</v>
      </c>
      <c r="E410" s="189" t="s">
        <v>800</v>
      </c>
      <c r="F410" s="189" t="s">
        <v>800</v>
      </c>
      <c r="G410" s="189" t="s">
        <v>801</v>
      </c>
      <c r="H410" s="188" t="n">
        <v>46103</v>
      </c>
      <c r="I410" s="189" t="s">
        <v>113</v>
      </c>
      <c r="J410" s="189" t="s">
        <v>108</v>
      </c>
      <c r="K410" s="189" t="s">
        <v>802</v>
      </c>
      <c r="L410" s="189" t="s">
        <v>210</v>
      </c>
      <c r="M410" s="189" t="s">
        <v>789</v>
      </c>
      <c r="N410" s="189" t="s">
        <v>523</v>
      </c>
      <c r="O410" s="189" t="s">
        <v>172</v>
      </c>
      <c r="P410" s="189" t="s">
        <v>111</v>
      </c>
      <c r="Q410" s="189" t="s">
        <v>112</v>
      </c>
      <c r="R410" s="189" t="s">
        <v>22</v>
      </c>
      <c r="S410" s="189" t="s">
        <v>152</v>
      </c>
      <c r="T410" s="189" t="s">
        <v>496</v>
      </c>
      <c r="U410" s="189" t="s">
        <v>239</v>
      </c>
      <c r="V410" s="189" t="s">
        <v>192</v>
      </c>
      <c r="W410" s="189" t="s">
        <v>124</v>
      </c>
      <c r="X410" s="189" t="s">
        <v>381</v>
      </c>
      <c r="Y410" s="189" t="s">
        <v>2110</v>
      </c>
      <c r="Z410" s="0" t="n">
        <v>2</v>
      </c>
      <c r="AA410" s="189" t="s">
        <v>2294</v>
      </c>
    </row>
    <row r="411" customFormat="false" ht="15" hidden="false" customHeight="true" outlineLevel="0" collapsed="false">
      <c r="A411" s="0" t="n">
        <v>83</v>
      </c>
      <c r="B411" s="188" t="n">
        <v>46107.2443825347</v>
      </c>
      <c r="C411" s="188" t="n">
        <v>46107.2485376273</v>
      </c>
      <c r="D411" s="189" t="s">
        <v>799</v>
      </c>
      <c r="E411" s="189" t="s">
        <v>800</v>
      </c>
      <c r="F411" s="189" t="s">
        <v>800</v>
      </c>
      <c r="G411" s="189" t="s">
        <v>801</v>
      </c>
      <c r="H411" s="188" t="n">
        <v>46103</v>
      </c>
      <c r="I411" s="189" t="s">
        <v>113</v>
      </c>
      <c r="J411" s="189" t="s">
        <v>108</v>
      </c>
      <c r="K411" s="189" t="s">
        <v>802</v>
      </c>
      <c r="L411" s="189" t="s">
        <v>210</v>
      </c>
      <c r="M411" s="189" t="s">
        <v>789</v>
      </c>
      <c r="N411" s="189" t="s">
        <v>523</v>
      </c>
      <c r="O411" s="189" t="s">
        <v>172</v>
      </c>
      <c r="P411" s="189" t="s">
        <v>111</v>
      </c>
      <c r="Q411" s="189" t="s">
        <v>112</v>
      </c>
      <c r="R411" s="189" t="s">
        <v>22</v>
      </c>
      <c r="S411" s="189" t="s">
        <v>152</v>
      </c>
      <c r="T411" s="189" t="s">
        <v>496</v>
      </c>
      <c r="U411" s="189" t="s">
        <v>239</v>
      </c>
      <c r="V411" s="189" t="s">
        <v>192</v>
      </c>
      <c r="W411" s="189" t="s">
        <v>124</v>
      </c>
      <c r="X411" s="189" t="s">
        <v>381</v>
      </c>
      <c r="Y411" s="189" t="s">
        <v>2113</v>
      </c>
      <c r="Z411" s="0" t="n">
        <v>1</v>
      </c>
      <c r="AA411" s="189" t="s">
        <v>2206</v>
      </c>
    </row>
    <row r="412" customFormat="false" ht="15" hidden="false" customHeight="true" outlineLevel="0" collapsed="false">
      <c r="A412" s="0" t="n">
        <v>83</v>
      </c>
      <c r="B412" s="188" t="n">
        <v>46107.2443825347</v>
      </c>
      <c r="C412" s="188" t="n">
        <v>46107.2485376273</v>
      </c>
      <c r="D412" s="189" t="s">
        <v>799</v>
      </c>
      <c r="E412" s="189" t="s">
        <v>800</v>
      </c>
      <c r="F412" s="189" t="s">
        <v>800</v>
      </c>
      <c r="G412" s="189" t="s">
        <v>801</v>
      </c>
      <c r="H412" s="188" t="n">
        <v>46103</v>
      </c>
      <c r="I412" s="189" t="s">
        <v>113</v>
      </c>
      <c r="J412" s="189" t="s">
        <v>108</v>
      </c>
      <c r="K412" s="189" t="s">
        <v>802</v>
      </c>
      <c r="L412" s="189" t="s">
        <v>210</v>
      </c>
      <c r="M412" s="189" t="s">
        <v>789</v>
      </c>
      <c r="N412" s="189" t="s">
        <v>523</v>
      </c>
      <c r="O412" s="189" t="s">
        <v>172</v>
      </c>
      <c r="P412" s="189" t="s">
        <v>111</v>
      </c>
      <c r="Q412" s="189" t="s">
        <v>112</v>
      </c>
      <c r="R412" s="189" t="s">
        <v>22</v>
      </c>
      <c r="S412" s="189" t="s">
        <v>152</v>
      </c>
      <c r="T412" s="189" t="s">
        <v>496</v>
      </c>
      <c r="U412" s="189" t="s">
        <v>239</v>
      </c>
      <c r="V412" s="189" t="s">
        <v>192</v>
      </c>
      <c r="W412" s="189" t="s">
        <v>124</v>
      </c>
      <c r="X412" s="189" t="s">
        <v>381</v>
      </c>
      <c r="Y412" s="189" t="s">
        <v>2113</v>
      </c>
      <c r="Z412" s="0" t="n">
        <v>2</v>
      </c>
      <c r="AA412" s="189" t="s">
        <v>2278</v>
      </c>
    </row>
    <row r="413" customFormat="false" ht="15" hidden="false" customHeight="true" outlineLevel="0" collapsed="false">
      <c r="A413" s="0" t="n">
        <v>84</v>
      </c>
      <c r="B413" s="188" t="n">
        <v>46157.4223352601</v>
      </c>
      <c r="C413" s="188" t="n">
        <v>46157.4276824823</v>
      </c>
      <c r="D413" s="189" t="s">
        <v>806</v>
      </c>
      <c r="E413" s="189" t="s">
        <v>807</v>
      </c>
      <c r="F413" s="189" t="s">
        <v>807</v>
      </c>
      <c r="G413" s="189" t="s">
        <v>808</v>
      </c>
      <c r="H413" s="188" t="n">
        <v>46150</v>
      </c>
      <c r="I413" s="189" t="s">
        <v>113</v>
      </c>
      <c r="J413" s="189" t="s">
        <v>108</v>
      </c>
      <c r="K413" s="189" t="s">
        <v>364</v>
      </c>
      <c r="L413" s="189" t="s">
        <v>296</v>
      </c>
      <c r="M413" s="189" t="s">
        <v>809</v>
      </c>
      <c r="N413" s="189" t="s">
        <v>810</v>
      </c>
      <c r="O413" s="189" t="s">
        <v>172</v>
      </c>
      <c r="P413" s="189" t="s">
        <v>111</v>
      </c>
      <c r="Q413" s="189" t="s">
        <v>145</v>
      </c>
      <c r="R413" s="189" t="s">
        <v>22</v>
      </c>
      <c r="S413" s="189" t="s">
        <v>152</v>
      </c>
      <c r="T413" s="189" t="s">
        <v>814</v>
      </c>
      <c r="V413" s="189" t="s">
        <v>167</v>
      </c>
      <c r="W413" s="189" t="s">
        <v>124</v>
      </c>
      <c r="X413" s="189" t="s">
        <v>715</v>
      </c>
      <c r="Y413" s="189" t="s">
        <v>2108</v>
      </c>
      <c r="Z413" s="0" t="n">
        <v>1</v>
      </c>
      <c r="AA413" s="189" t="s">
        <v>2295</v>
      </c>
    </row>
    <row r="414" customFormat="false" ht="15" hidden="false" customHeight="true" outlineLevel="0" collapsed="false">
      <c r="A414" s="0" t="n">
        <v>84</v>
      </c>
      <c r="B414" s="188" t="n">
        <v>46157.4223352601</v>
      </c>
      <c r="C414" s="188" t="n">
        <v>46157.4276824823</v>
      </c>
      <c r="D414" s="189" t="s">
        <v>806</v>
      </c>
      <c r="E414" s="189" t="s">
        <v>807</v>
      </c>
      <c r="F414" s="189" t="s">
        <v>807</v>
      </c>
      <c r="G414" s="189" t="s">
        <v>808</v>
      </c>
      <c r="H414" s="188" t="n">
        <v>46150</v>
      </c>
      <c r="I414" s="189" t="s">
        <v>113</v>
      </c>
      <c r="J414" s="189" t="s">
        <v>108</v>
      </c>
      <c r="K414" s="189" t="s">
        <v>364</v>
      </c>
      <c r="L414" s="189" t="s">
        <v>296</v>
      </c>
      <c r="M414" s="189" t="s">
        <v>809</v>
      </c>
      <c r="N414" s="189" t="s">
        <v>810</v>
      </c>
      <c r="O414" s="189" t="s">
        <v>172</v>
      </c>
      <c r="P414" s="189" t="s">
        <v>111</v>
      </c>
      <c r="Q414" s="189" t="s">
        <v>145</v>
      </c>
      <c r="R414" s="189" t="s">
        <v>22</v>
      </c>
      <c r="S414" s="189" t="s">
        <v>152</v>
      </c>
      <c r="T414" s="189" t="s">
        <v>814</v>
      </c>
      <c r="V414" s="189" t="s">
        <v>167</v>
      </c>
      <c r="W414" s="189" t="s">
        <v>124</v>
      </c>
      <c r="X414" s="189" t="s">
        <v>715</v>
      </c>
      <c r="Y414" s="189" t="s">
        <v>2108</v>
      </c>
      <c r="Z414" s="0" t="n">
        <v>2</v>
      </c>
      <c r="AA414" s="189" t="s">
        <v>2296</v>
      </c>
    </row>
    <row r="415" customFormat="false" ht="15" hidden="false" customHeight="true" outlineLevel="0" collapsed="false">
      <c r="A415" s="0" t="n">
        <v>84</v>
      </c>
      <c r="B415" s="188" t="n">
        <v>46157.4223352601</v>
      </c>
      <c r="C415" s="188" t="n">
        <v>46157.4276824823</v>
      </c>
      <c r="D415" s="189" t="s">
        <v>806</v>
      </c>
      <c r="E415" s="189" t="s">
        <v>807</v>
      </c>
      <c r="F415" s="189" t="s">
        <v>807</v>
      </c>
      <c r="G415" s="189" t="s">
        <v>808</v>
      </c>
      <c r="H415" s="188" t="n">
        <v>46150</v>
      </c>
      <c r="I415" s="189" t="s">
        <v>113</v>
      </c>
      <c r="J415" s="189" t="s">
        <v>108</v>
      </c>
      <c r="K415" s="189" t="s">
        <v>364</v>
      </c>
      <c r="L415" s="189" t="s">
        <v>296</v>
      </c>
      <c r="M415" s="189" t="s">
        <v>809</v>
      </c>
      <c r="N415" s="189" t="s">
        <v>810</v>
      </c>
      <c r="O415" s="189" t="s">
        <v>172</v>
      </c>
      <c r="P415" s="189" t="s">
        <v>111</v>
      </c>
      <c r="Q415" s="189" t="s">
        <v>145</v>
      </c>
      <c r="R415" s="189" t="s">
        <v>22</v>
      </c>
      <c r="S415" s="189" t="s">
        <v>152</v>
      </c>
      <c r="T415" s="189" t="s">
        <v>814</v>
      </c>
      <c r="V415" s="189" t="s">
        <v>167</v>
      </c>
      <c r="W415" s="189" t="s">
        <v>124</v>
      </c>
      <c r="X415" s="189" t="s">
        <v>715</v>
      </c>
      <c r="Y415" s="189" t="s">
        <v>2108</v>
      </c>
      <c r="Z415" s="0" t="n">
        <v>3</v>
      </c>
      <c r="AA415" s="189" t="s">
        <v>2268</v>
      </c>
    </row>
    <row r="416" customFormat="false" ht="15" hidden="false" customHeight="true" outlineLevel="0" collapsed="false">
      <c r="A416" s="0" t="n">
        <v>84</v>
      </c>
      <c r="B416" s="188" t="n">
        <v>46157.4223352601</v>
      </c>
      <c r="C416" s="188" t="n">
        <v>46157.4276824823</v>
      </c>
      <c r="D416" s="189" t="s">
        <v>806</v>
      </c>
      <c r="E416" s="189" t="s">
        <v>807</v>
      </c>
      <c r="F416" s="189" t="s">
        <v>807</v>
      </c>
      <c r="G416" s="189" t="s">
        <v>808</v>
      </c>
      <c r="H416" s="188" t="n">
        <v>46150</v>
      </c>
      <c r="I416" s="189" t="s">
        <v>113</v>
      </c>
      <c r="J416" s="189" t="s">
        <v>108</v>
      </c>
      <c r="K416" s="189" t="s">
        <v>364</v>
      </c>
      <c r="L416" s="189" t="s">
        <v>296</v>
      </c>
      <c r="M416" s="189" t="s">
        <v>809</v>
      </c>
      <c r="N416" s="189" t="s">
        <v>810</v>
      </c>
      <c r="O416" s="189" t="s">
        <v>172</v>
      </c>
      <c r="P416" s="189" t="s">
        <v>111</v>
      </c>
      <c r="Q416" s="189" t="s">
        <v>145</v>
      </c>
      <c r="R416" s="189" t="s">
        <v>22</v>
      </c>
      <c r="S416" s="189" t="s">
        <v>152</v>
      </c>
      <c r="T416" s="189" t="s">
        <v>814</v>
      </c>
      <c r="V416" s="189" t="s">
        <v>167</v>
      </c>
      <c r="W416" s="189" t="s">
        <v>124</v>
      </c>
      <c r="X416" s="189" t="s">
        <v>715</v>
      </c>
      <c r="Y416" s="189" t="s">
        <v>2110</v>
      </c>
      <c r="Z416" s="0" t="n">
        <v>1</v>
      </c>
      <c r="AA416" s="189" t="s">
        <v>2297</v>
      </c>
    </row>
    <row r="417" customFormat="false" ht="15" hidden="false" customHeight="true" outlineLevel="0" collapsed="false">
      <c r="A417" s="0" t="n">
        <v>84</v>
      </c>
      <c r="B417" s="188" t="n">
        <v>46157.4223352601</v>
      </c>
      <c r="C417" s="188" t="n">
        <v>46157.4276824823</v>
      </c>
      <c r="D417" s="189" t="s">
        <v>806</v>
      </c>
      <c r="E417" s="189" t="s">
        <v>807</v>
      </c>
      <c r="F417" s="189" t="s">
        <v>807</v>
      </c>
      <c r="G417" s="189" t="s">
        <v>808</v>
      </c>
      <c r="H417" s="188" t="n">
        <v>46150</v>
      </c>
      <c r="I417" s="189" t="s">
        <v>113</v>
      </c>
      <c r="J417" s="189" t="s">
        <v>108</v>
      </c>
      <c r="K417" s="189" t="s">
        <v>364</v>
      </c>
      <c r="L417" s="189" t="s">
        <v>296</v>
      </c>
      <c r="M417" s="189" t="s">
        <v>809</v>
      </c>
      <c r="N417" s="189" t="s">
        <v>810</v>
      </c>
      <c r="O417" s="189" t="s">
        <v>172</v>
      </c>
      <c r="P417" s="189" t="s">
        <v>111</v>
      </c>
      <c r="Q417" s="189" t="s">
        <v>145</v>
      </c>
      <c r="R417" s="189" t="s">
        <v>22</v>
      </c>
      <c r="S417" s="189" t="s">
        <v>152</v>
      </c>
      <c r="T417" s="189" t="s">
        <v>814</v>
      </c>
      <c r="V417" s="189" t="s">
        <v>167</v>
      </c>
      <c r="W417" s="189" t="s">
        <v>124</v>
      </c>
      <c r="X417" s="189" t="s">
        <v>715</v>
      </c>
      <c r="Y417" s="189" t="s">
        <v>2110</v>
      </c>
      <c r="Z417" s="0" t="n">
        <v>2</v>
      </c>
      <c r="AA417" s="189" t="s">
        <v>2275</v>
      </c>
    </row>
    <row r="418" customFormat="false" ht="15" hidden="false" customHeight="true" outlineLevel="0" collapsed="false">
      <c r="A418" s="0" t="n">
        <v>84</v>
      </c>
      <c r="B418" s="188" t="n">
        <v>46157.4223352601</v>
      </c>
      <c r="C418" s="188" t="n">
        <v>46157.4276824823</v>
      </c>
      <c r="D418" s="189" t="s">
        <v>806</v>
      </c>
      <c r="E418" s="189" t="s">
        <v>807</v>
      </c>
      <c r="F418" s="189" t="s">
        <v>807</v>
      </c>
      <c r="G418" s="189" t="s">
        <v>808</v>
      </c>
      <c r="H418" s="188" t="n">
        <v>46150</v>
      </c>
      <c r="I418" s="189" t="s">
        <v>113</v>
      </c>
      <c r="J418" s="189" t="s">
        <v>108</v>
      </c>
      <c r="K418" s="189" t="s">
        <v>364</v>
      </c>
      <c r="L418" s="189" t="s">
        <v>296</v>
      </c>
      <c r="M418" s="189" t="s">
        <v>809</v>
      </c>
      <c r="N418" s="189" t="s">
        <v>810</v>
      </c>
      <c r="O418" s="189" t="s">
        <v>172</v>
      </c>
      <c r="P418" s="189" t="s">
        <v>111</v>
      </c>
      <c r="Q418" s="189" t="s">
        <v>145</v>
      </c>
      <c r="R418" s="189" t="s">
        <v>22</v>
      </c>
      <c r="S418" s="189" t="s">
        <v>152</v>
      </c>
      <c r="T418" s="189" t="s">
        <v>814</v>
      </c>
      <c r="V418" s="189" t="s">
        <v>167</v>
      </c>
      <c r="W418" s="189" t="s">
        <v>124</v>
      </c>
      <c r="X418" s="189" t="s">
        <v>715</v>
      </c>
      <c r="Y418" s="189" t="s">
        <v>2113</v>
      </c>
      <c r="Z418" s="0" t="n">
        <v>1</v>
      </c>
      <c r="AA418" s="189" t="s">
        <v>2298</v>
      </c>
    </row>
    <row r="419" customFormat="false" ht="15" hidden="false" customHeight="true" outlineLevel="0" collapsed="false">
      <c r="A419" s="0" t="n">
        <v>84</v>
      </c>
      <c r="B419" s="188" t="n">
        <v>46157.4223352601</v>
      </c>
      <c r="C419" s="188" t="n">
        <v>46157.4276824823</v>
      </c>
      <c r="D419" s="189" t="s">
        <v>806</v>
      </c>
      <c r="E419" s="189" t="s">
        <v>807</v>
      </c>
      <c r="F419" s="189" t="s">
        <v>807</v>
      </c>
      <c r="G419" s="189" t="s">
        <v>808</v>
      </c>
      <c r="H419" s="188" t="n">
        <v>46150</v>
      </c>
      <c r="I419" s="189" t="s">
        <v>113</v>
      </c>
      <c r="J419" s="189" t="s">
        <v>108</v>
      </c>
      <c r="K419" s="189" t="s">
        <v>364</v>
      </c>
      <c r="L419" s="189" t="s">
        <v>296</v>
      </c>
      <c r="M419" s="189" t="s">
        <v>809</v>
      </c>
      <c r="N419" s="189" t="s">
        <v>810</v>
      </c>
      <c r="O419" s="189" t="s">
        <v>172</v>
      </c>
      <c r="P419" s="189" t="s">
        <v>111</v>
      </c>
      <c r="Q419" s="189" t="s">
        <v>145</v>
      </c>
      <c r="R419" s="189" t="s">
        <v>22</v>
      </c>
      <c r="S419" s="189" t="s">
        <v>152</v>
      </c>
      <c r="T419" s="189" t="s">
        <v>814</v>
      </c>
      <c r="V419" s="189" t="s">
        <v>167</v>
      </c>
      <c r="W419" s="189" t="s">
        <v>124</v>
      </c>
      <c r="X419" s="189" t="s">
        <v>715</v>
      </c>
      <c r="Y419" s="189" t="s">
        <v>2113</v>
      </c>
      <c r="Z419" s="0" t="n">
        <v>2</v>
      </c>
      <c r="AA419" s="189" t="s">
        <v>2272</v>
      </c>
    </row>
    <row r="420" customFormat="false" ht="15" hidden="false" customHeight="true" outlineLevel="0" collapsed="false">
      <c r="A420" s="0" t="n">
        <v>85</v>
      </c>
      <c r="B420" s="188" t="n">
        <v>46133.8077640304</v>
      </c>
      <c r="C420" s="188" t="n">
        <v>46133.8254839378</v>
      </c>
      <c r="D420" s="189" t="s">
        <v>815</v>
      </c>
      <c r="E420" s="189" t="s">
        <v>816</v>
      </c>
      <c r="F420" s="189" t="s">
        <v>816</v>
      </c>
      <c r="G420" s="189" t="s">
        <v>817</v>
      </c>
      <c r="H420" s="188" t="n">
        <v>46114</v>
      </c>
      <c r="I420" s="189" t="s">
        <v>113</v>
      </c>
      <c r="J420" s="189" t="s">
        <v>108</v>
      </c>
      <c r="K420" s="189" t="s">
        <v>818</v>
      </c>
      <c r="L420" s="189" t="s">
        <v>286</v>
      </c>
      <c r="M420" s="189" t="s">
        <v>578</v>
      </c>
      <c r="N420" s="189" t="s">
        <v>819</v>
      </c>
      <c r="O420" s="189" t="s">
        <v>244</v>
      </c>
      <c r="P420" s="189" t="s">
        <v>131</v>
      </c>
      <c r="Q420" s="189" t="s">
        <v>145</v>
      </c>
      <c r="R420" s="189" t="s">
        <v>22</v>
      </c>
      <c r="S420" s="189" t="s">
        <v>227</v>
      </c>
      <c r="T420" s="189" t="s">
        <v>352</v>
      </c>
      <c r="U420" s="189" t="s">
        <v>822</v>
      </c>
      <c r="V420" s="189" t="s">
        <v>167</v>
      </c>
      <c r="W420" s="189" t="s">
        <v>124</v>
      </c>
      <c r="X420" s="189" t="s">
        <v>298</v>
      </c>
      <c r="Y420" s="189" t="s">
        <v>2108</v>
      </c>
      <c r="Z420" s="0" t="n">
        <v>1</v>
      </c>
      <c r="AA420" s="189" t="s">
        <v>2238</v>
      </c>
    </row>
    <row r="421" customFormat="false" ht="15" hidden="false" customHeight="true" outlineLevel="0" collapsed="false">
      <c r="A421" s="0" t="n">
        <v>85</v>
      </c>
      <c r="B421" s="188" t="n">
        <v>46133.8077640304</v>
      </c>
      <c r="C421" s="188" t="n">
        <v>46133.8254839378</v>
      </c>
      <c r="D421" s="189" t="s">
        <v>815</v>
      </c>
      <c r="E421" s="189" t="s">
        <v>816</v>
      </c>
      <c r="F421" s="189" t="s">
        <v>816</v>
      </c>
      <c r="G421" s="189" t="s">
        <v>817</v>
      </c>
      <c r="H421" s="188" t="n">
        <v>46114</v>
      </c>
      <c r="I421" s="189" t="s">
        <v>113</v>
      </c>
      <c r="J421" s="189" t="s">
        <v>108</v>
      </c>
      <c r="K421" s="189" t="s">
        <v>818</v>
      </c>
      <c r="L421" s="189" t="s">
        <v>286</v>
      </c>
      <c r="M421" s="189" t="s">
        <v>578</v>
      </c>
      <c r="N421" s="189" t="s">
        <v>819</v>
      </c>
      <c r="O421" s="189" t="s">
        <v>244</v>
      </c>
      <c r="P421" s="189" t="s">
        <v>131</v>
      </c>
      <c r="Q421" s="189" t="s">
        <v>145</v>
      </c>
      <c r="R421" s="189" t="s">
        <v>22</v>
      </c>
      <c r="S421" s="189" t="s">
        <v>227</v>
      </c>
      <c r="T421" s="189" t="s">
        <v>352</v>
      </c>
      <c r="U421" s="189" t="s">
        <v>822</v>
      </c>
      <c r="V421" s="189" t="s">
        <v>167</v>
      </c>
      <c r="W421" s="189" t="s">
        <v>124</v>
      </c>
      <c r="X421" s="189" t="s">
        <v>298</v>
      </c>
      <c r="Y421" s="189" t="s">
        <v>2108</v>
      </c>
      <c r="Z421" s="0" t="n">
        <v>2</v>
      </c>
      <c r="AA421" s="189" t="s">
        <v>2168</v>
      </c>
    </row>
    <row r="422" customFormat="false" ht="15" hidden="false" customHeight="true" outlineLevel="0" collapsed="false">
      <c r="A422" s="0" t="n">
        <v>85</v>
      </c>
      <c r="B422" s="188" t="n">
        <v>46133.8077640304</v>
      </c>
      <c r="C422" s="188" t="n">
        <v>46133.8254839378</v>
      </c>
      <c r="D422" s="189" t="s">
        <v>815</v>
      </c>
      <c r="E422" s="189" t="s">
        <v>816</v>
      </c>
      <c r="F422" s="189" t="s">
        <v>816</v>
      </c>
      <c r="G422" s="189" t="s">
        <v>817</v>
      </c>
      <c r="H422" s="188" t="n">
        <v>46114</v>
      </c>
      <c r="I422" s="189" t="s">
        <v>113</v>
      </c>
      <c r="J422" s="189" t="s">
        <v>108</v>
      </c>
      <c r="K422" s="189" t="s">
        <v>818</v>
      </c>
      <c r="L422" s="189" t="s">
        <v>286</v>
      </c>
      <c r="M422" s="189" t="s">
        <v>578</v>
      </c>
      <c r="N422" s="189" t="s">
        <v>819</v>
      </c>
      <c r="O422" s="189" t="s">
        <v>244</v>
      </c>
      <c r="P422" s="189" t="s">
        <v>131</v>
      </c>
      <c r="Q422" s="189" t="s">
        <v>145</v>
      </c>
      <c r="R422" s="189" t="s">
        <v>22</v>
      </c>
      <c r="S422" s="189" t="s">
        <v>227</v>
      </c>
      <c r="T422" s="189" t="s">
        <v>352</v>
      </c>
      <c r="U422" s="189" t="s">
        <v>822</v>
      </c>
      <c r="V422" s="189" t="s">
        <v>167</v>
      </c>
      <c r="W422" s="189" t="s">
        <v>124</v>
      </c>
      <c r="X422" s="189" t="s">
        <v>298</v>
      </c>
      <c r="Y422" s="189" t="s">
        <v>2110</v>
      </c>
      <c r="Z422" s="0" t="n">
        <v>1</v>
      </c>
      <c r="AA422" s="189" t="s">
        <v>2299</v>
      </c>
    </row>
    <row r="423" customFormat="false" ht="15" hidden="false" customHeight="true" outlineLevel="0" collapsed="false">
      <c r="A423" s="0" t="n">
        <v>85</v>
      </c>
      <c r="B423" s="188" t="n">
        <v>46133.8077640304</v>
      </c>
      <c r="C423" s="188" t="n">
        <v>46133.8254839378</v>
      </c>
      <c r="D423" s="189" t="s">
        <v>815</v>
      </c>
      <c r="E423" s="189" t="s">
        <v>816</v>
      </c>
      <c r="F423" s="189" t="s">
        <v>816</v>
      </c>
      <c r="G423" s="189" t="s">
        <v>817</v>
      </c>
      <c r="H423" s="188" t="n">
        <v>46114</v>
      </c>
      <c r="I423" s="189" t="s">
        <v>113</v>
      </c>
      <c r="J423" s="189" t="s">
        <v>108</v>
      </c>
      <c r="K423" s="189" t="s">
        <v>818</v>
      </c>
      <c r="L423" s="189" t="s">
        <v>286</v>
      </c>
      <c r="M423" s="189" t="s">
        <v>578</v>
      </c>
      <c r="N423" s="189" t="s">
        <v>819</v>
      </c>
      <c r="O423" s="189" t="s">
        <v>244</v>
      </c>
      <c r="P423" s="189" t="s">
        <v>131</v>
      </c>
      <c r="Q423" s="189" t="s">
        <v>145</v>
      </c>
      <c r="R423" s="189" t="s">
        <v>22</v>
      </c>
      <c r="S423" s="189" t="s">
        <v>227</v>
      </c>
      <c r="T423" s="189" t="s">
        <v>352</v>
      </c>
      <c r="U423" s="189" t="s">
        <v>822</v>
      </c>
      <c r="V423" s="189" t="s">
        <v>167</v>
      </c>
      <c r="W423" s="189" t="s">
        <v>124</v>
      </c>
      <c r="X423" s="189" t="s">
        <v>298</v>
      </c>
      <c r="Y423" s="189" t="s">
        <v>2110</v>
      </c>
      <c r="Z423" s="0" t="n">
        <v>2</v>
      </c>
      <c r="AA423" s="189" t="s">
        <v>2170</v>
      </c>
    </row>
    <row r="424" customFormat="false" ht="15" hidden="false" customHeight="true" outlineLevel="0" collapsed="false">
      <c r="A424" s="0" t="n">
        <v>85</v>
      </c>
      <c r="B424" s="188" t="n">
        <v>46133.8077640304</v>
      </c>
      <c r="C424" s="188" t="n">
        <v>46133.8254839378</v>
      </c>
      <c r="D424" s="189" t="s">
        <v>815</v>
      </c>
      <c r="E424" s="189" t="s">
        <v>816</v>
      </c>
      <c r="F424" s="189" t="s">
        <v>816</v>
      </c>
      <c r="G424" s="189" t="s">
        <v>817</v>
      </c>
      <c r="H424" s="188" t="n">
        <v>46114</v>
      </c>
      <c r="I424" s="189" t="s">
        <v>113</v>
      </c>
      <c r="J424" s="189" t="s">
        <v>108</v>
      </c>
      <c r="K424" s="189" t="s">
        <v>818</v>
      </c>
      <c r="L424" s="189" t="s">
        <v>286</v>
      </c>
      <c r="M424" s="189" t="s">
        <v>578</v>
      </c>
      <c r="N424" s="189" t="s">
        <v>819</v>
      </c>
      <c r="O424" s="189" t="s">
        <v>244</v>
      </c>
      <c r="P424" s="189" t="s">
        <v>131</v>
      </c>
      <c r="Q424" s="189" t="s">
        <v>145</v>
      </c>
      <c r="R424" s="189" t="s">
        <v>22</v>
      </c>
      <c r="S424" s="189" t="s">
        <v>227</v>
      </c>
      <c r="T424" s="189" t="s">
        <v>352</v>
      </c>
      <c r="U424" s="189" t="s">
        <v>822</v>
      </c>
      <c r="V424" s="189" t="s">
        <v>167</v>
      </c>
      <c r="W424" s="189" t="s">
        <v>124</v>
      </c>
      <c r="X424" s="189" t="s">
        <v>298</v>
      </c>
      <c r="Y424" s="189" t="s">
        <v>2113</v>
      </c>
      <c r="Z424" s="0" t="n">
        <v>1</v>
      </c>
      <c r="AA424" s="189" t="s">
        <v>2259</v>
      </c>
    </row>
    <row r="425" customFormat="false" ht="15" hidden="false" customHeight="true" outlineLevel="0" collapsed="false">
      <c r="A425" s="0" t="n">
        <v>86</v>
      </c>
      <c r="B425" s="188" t="n">
        <v>46177.2149650801</v>
      </c>
      <c r="C425" s="188" t="n">
        <v>46177.2222104505</v>
      </c>
      <c r="D425" s="189" t="s">
        <v>823</v>
      </c>
      <c r="E425" s="189" t="s">
        <v>824</v>
      </c>
      <c r="F425" s="189" t="s">
        <v>824</v>
      </c>
      <c r="G425" s="189" t="s">
        <v>825</v>
      </c>
      <c r="H425" s="188" t="n">
        <v>46165</v>
      </c>
      <c r="I425" s="189" t="s">
        <v>325</v>
      </c>
      <c r="J425" s="189" t="s">
        <v>108</v>
      </c>
      <c r="K425" s="189" t="s">
        <v>826</v>
      </c>
      <c r="L425" s="189" t="s">
        <v>159</v>
      </c>
      <c r="M425" s="189" t="s">
        <v>326</v>
      </c>
      <c r="N425" s="189" t="s">
        <v>827</v>
      </c>
      <c r="O425" s="189" t="s">
        <v>172</v>
      </c>
      <c r="P425" s="189" t="s">
        <v>111</v>
      </c>
      <c r="Q425" s="189" t="s">
        <v>112</v>
      </c>
      <c r="R425" s="189" t="s">
        <v>22</v>
      </c>
      <c r="S425" s="189" t="s">
        <v>227</v>
      </c>
      <c r="T425" s="189" t="s">
        <v>180</v>
      </c>
      <c r="U425" s="189" t="s">
        <v>831</v>
      </c>
      <c r="V425" s="189" t="s">
        <v>192</v>
      </c>
      <c r="W425" s="189" t="s">
        <v>124</v>
      </c>
      <c r="X425" s="189" t="s">
        <v>715</v>
      </c>
      <c r="Y425" s="189" t="s">
        <v>2108</v>
      </c>
      <c r="Z425" s="0" t="n">
        <v>1</v>
      </c>
      <c r="AA425" s="189" t="s">
        <v>2295</v>
      </c>
    </row>
    <row r="426" customFormat="false" ht="15" hidden="false" customHeight="true" outlineLevel="0" collapsed="false">
      <c r="A426" s="0" t="n">
        <v>86</v>
      </c>
      <c r="B426" s="188" t="n">
        <v>46177.2149650801</v>
      </c>
      <c r="C426" s="188" t="n">
        <v>46177.2222104505</v>
      </c>
      <c r="D426" s="189" t="s">
        <v>823</v>
      </c>
      <c r="E426" s="189" t="s">
        <v>824</v>
      </c>
      <c r="F426" s="189" t="s">
        <v>824</v>
      </c>
      <c r="G426" s="189" t="s">
        <v>825</v>
      </c>
      <c r="H426" s="188" t="n">
        <v>46165</v>
      </c>
      <c r="I426" s="189" t="s">
        <v>325</v>
      </c>
      <c r="J426" s="189" t="s">
        <v>108</v>
      </c>
      <c r="K426" s="189" t="s">
        <v>826</v>
      </c>
      <c r="L426" s="189" t="s">
        <v>159</v>
      </c>
      <c r="M426" s="189" t="s">
        <v>326</v>
      </c>
      <c r="N426" s="189" t="s">
        <v>827</v>
      </c>
      <c r="O426" s="189" t="s">
        <v>172</v>
      </c>
      <c r="P426" s="189" t="s">
        <v>111</v>
      </c>
      <c r="Q426" s="189" t="s">
        <v>112</v>
      </c>
      <c r="R426" s="189" t="s">
        <v>22</v>
      </c>
      <c r="S426" s="189" t="s">
        <v>227</v>
      </c>
      <c r="T426" s="189" t="s">
        <v>180</v>
      </c>
      <c r="U426" s="189" t="s">
        <v>831</v>
      </c>
      <c r="V426" s="189" t="s">
        <v>192</v>
      </c>
      <c r="W426" s="189" t="s">
        <v>124</v>
      </c>
      <c r="X426" s="189" t="s">
        <v>715</v>
      </c>
      <c r="Y426" s="189" t="s">
        <v>2108</v>
      </c>
      <c r="Z426" s="0" t="n">
        <v>2</v>
      </c>
      <c r="AA426" s="189" t="s">
        <v>2269</v>
      </c>
    </row>
    <row r="427" customFormat="false" ht="15" hidden="false" customHeight="true" outlineLevel="0" collapsed="false">
      <c r="A427" s="0" t="n">
        <v>86</v>
      </c>
      <c r="B427" s="188" t="n">
        <v>46177.2149650801</v>
      </c>
      <c r="C427" s="188" t="n">
        <v>46177.2222104505</v>
      </c>
      <c r="D427" s="189" t="s">
        <v>823</v>
      </c>
      <c r="E427" s="189" t="s">
        <v>824</v>
      </c>
      <c r="F427" s="189" t="s">
        <v>824</v>
      </c>
      <c r="G427" s="189" t="s">
        <v>825</v>
      </c>
      <c r="H427" s="188" t="n">
        <v>46165</v>
      </c>
      <c r="I427" s="189" t="s">
        <v>325</v>
      </c>
      <c r="J427" s="189" t="s">
        <v>108</v>
      </c>
      <c r="K427" s="189" t="s">
        <v>826</v>
      </c>
      <c r="L427" s="189" t="s">
        <v>159</v>
      </c>
      <c r="M427" s="189" t="s">
        <v>326</v>
      </c>
      <c r="N427" s="189" t="s">
        <v>827</v>
      </c>
      <c r="O427" s="189" t="s">
        <v>172</v>
      </c>
      <c r="P427" s="189" t="s">
        <v>111</v>
      </c>
      <c r="Q427" s="189" t="s">
        <v>112</v>
      </c>
      <c r="R427" s="189" t="s">
        <v>22</v>
      </c>
      <c r="S427" s="189" t="s">
        <v>227</v>
      </c>
      <c r="T427" s="189" t="s">
        <v>180</v>
      </c>
      <c r="U427" s="189" t="s">
        <v>831</v>
      </c>
      <c r="V427" s="189" t="s">
        <v>192</v>
      </c>
      <c r="W427" s="189" t="s">
        <v>124</v>
      </c>
      <c r="X427" s="189" t="s">
        <v>715</v>
      </c>
      <c r="Y427" s="189" t="s">
        <v>2108</v>
      </c>
      <c r="Z427" s="0" t="n">
        <v>3</v>
      </c>
      <c r="AA427" s="189" t="s">
        <v>2300</v>
      </c>
    </row>
    <row r="428" customFormat="false" ht="15" hidden="false" customHeight="true" outlineLevel="0" collapsed="false">
      <c r="A428" s="0" t="n">
        <v>86</v>
      </c>
      <c r="B428" s="188" t="n">
        <v>46177.2149650801</v>
      </c>
      <c r="C428" s="188" t="n">
        <v>46177.2222104505</v>
      </c>
      <c r="D428" s="189" t="s">
        <v>823</v>
      </c>
      <c r="E428" s="189" t="s">
        <v>824</v>
      </c>
      <c r="F428" s="189" t="s">
        <v>824</v>
      </c>
      <c r="G428" s="189" t="s">
        <v>825</v>
      </c>
      <c r="H428" s="188" t="n">
        <v>46165</v>
      </c>
      <c r="I428" s="189" t="s">
        <v>325</v>
      </c>
      <c r="J428" s="189" t="s">
        <v>108</v>
      </c>
      <c r="K428" s="189" t="s">
        <v>826</v>
      </c>
      <c r="L428" s="189" t="s">
        <v>159</v>
      </c>
      <c r="M428" s="189" t="s">
        <v>326</v>
      </c>
      <c r="N428" s="189" t="s">
        <v>827</v>
      </c>
      <c r="O428" s="189" t="s">
        <v>172</v>
      </c>
      <c r="P428" s="189" t="s">
        <v>111</v>
      </c>
      <c r="Q428" s="189" t="s">
        <v>112</v>
      </c>
      <c r="R428" s="189" t="s">
        <v>22</v>
      </c>
      <c r="S428" s="189" t="s">
        <v>227</v>
      </c>
      <c r="T428" s="189" t="s">
        <v>180</v>
      </c>
      <c r="U428" s="189" t="s">
        <v>831</v>
      </c>
      <c r="V428" s="189" t="s">
        <v>192</v>
      </c>
      <c r="W428" s="189" t="s">
        <v>124</v>
      </c>
      <c r="X428" s="189" t="s">
        <v>715</v>
      </c>
      <c r="Y428" s="189" t="s">
        <v>2110</v>
      </c>
      <c r="Z428" s="0" t="n">
        <v>1</v>
      </c>
      <c r="AA428" s="189" t="s">
        <v>2297</v>
      </c>
    </row>
    <row r="429" customFormat="false" ht="15" hidden="false" customHeight="true" outlineLevel="0" collapsed="false">
      <c r="A429" s="0" t="n">
        <v>86</v>
      </c>
      <c r="B429" s="188" t="n">
        <v>46177.2149650801</v>
      </c>
      <c r="C429" s="188" t="n">
        <v>46177.2222104505</v>
      </c>
      <c r="D429" s="189" t="s">
        <v>823</v>
      </c>
      <c r="E429" s="189" t="s">
        <v>824</v>
      </c>
      <c r="F429" s="189" t="s">
        <v>824</v>
      </c>
      <c r="G429" s="189" t="s">
        <v>825</v>
      </c>
      <c r="H429" s="188" t="n">
        <v>46165</v>
      </c>
      <c r="I429" s="189" t="s">
        <v>325</v>
      </c>
      <c r="J429" s="189" t="s">
        <v>108</v>
      </c>
      <c r="K429" s="189" t="s">
        <v>826</v>
      </c>
      <c r="L429" s="189" t="s">
        <v>159</v>
      </c>
      <c r="M429" s="189" t="s">
        <v>326</v>
      </c>
      <c r="N429" s="189" t="s">
        <v>827</v>
      </c>
      <c r="O429" s="189" t="s">
        <v>172</v>
      </c>
      <c r="P429" s="189" t="s">
        <v>111</v>
      </c>
      <c r="Q429" s="189" t="s">
        <v>112</v>
      </c>
      <c r="R429" s="189" t="s">
        <v>22</v>
      </c>
      <c r="S429" s="189" t="s">
        <v>227</v>
      </c>
      <c r="T429" s="189" t="s">
        <v>180</v>
      </c>
      <c r="U429" s="189" t="s">
        <v>831</v>
      </c>
      <c r="V429" s="189" t="s">
        <v>192</v>
      </c>
      <c r="W429" s="189" t="s">
        <v>124</v>
      </c>
      <c r="X429" s="189" t="s">
        <v>715</v>
      </c>
      <c r="Y429" s="189" t="s">
        <v>2110</v>
      </c>
      <c r="Z429" s="0" t="n">
        <v>2</v>
      </c>
      <c r="AA429" s="189" t="s">
        <v>2270</v>
      </c>
    </row>
    <row r="430" customFormat="false" ht="15" hidden="false" customHeight="true" outlineLevel="0" collapsed="false">
      <c r="A430" s="0" t="n">
        <v>86</v>
      </c>
      <c r="B430" s="188" t="n">
        <v>46177.2149650801</v>
      </c>
      <c r="C430" s="188" t="n">
        <v>46177.2222104505</v>
      </c>
      <c r="D430" s="189" t="s">
        <v>823</v>
      </c>
      <c r="E430" s="189" t="s">
        <v>824</v>
      </c>
      <c r="F430" s="189" t="s">
        <v>824</v>
      </c>
      <c r="G430" s="189" t="s">
        <v>825</v>
      </c>
      <c r="H430" s="188" t="n">
        <v>46165</v>
      </c>
      <c r="I430" s="189" t="s">
        <v>325</v>
      </c>
      <c r="J430" s="189" t="s">
        <v>108</v>
      </c>
      <c r="K430" s="189" t="s">
        <v>826</v>
      </c>
      <c r="L430" s="189" t="s">
        <v>159</v>
      </c>
      <c r="M430" s="189" t="s">
        <v>326</v>
      </c>
      <c r="N430" s="189" t="s">
        <v>827</v>
      </c>
      <c r="O430" s="189" t="s">
        <v>172</v>
      </c>
      <c r="P430" s="189" t="s">
        <v>111</v>
      </c>
      <c r="Q430" s="189" t="s">
        <v>112</v>
      </c>
      <c r="R430" s="189" t="s">
        <v>22</v>
      </c>
      <c r="S430" s="189" t="s">
        <v>227</v>
      </c>
      <c r="T430" s="189" t="s">
        <v>180</v>
      </c>
      <c r="U430" s="189" t="s">
        <v>831</v>
      </c>
      <c r="V430" s="189" t="s">
        <v>192</v>
      </c>
      <c r="W430" s="189" t="s">
        <v>124</v>
      </c>
      <c r="X430" s="189" t="s">
        <v>715</v>
      </c>
      <c r="Y430" s="189" t="s">
        <v>2113</v>
      </c>
      <c r="Z430" s="0" t="n">
        <v>1</v>
      </c>
      <c r="AA430" s="189" t="s">
        <v>2301</v>
      </c>
    </row>
    <row r="431" customFormat="false" ht="15" hidden="false" customHeight="true" outlineLevel="0" collapsed="false">
      <c r="A431" s="0" t="n">
        <v>87</v>
      </c>
      <c r="B431" s="188" t="n">
        <v>46127.0977417984</v>
      </c>
      <c r="C431" s="188" t="n">
        <v>46127.1058436503</v>
      </c>
      <c r="D431" s="189" t="s">
        <v>832</v>
      </c>
      <c r="E431" s="189" t="s">
        <v>833</v>
      </c>
      <c r="F431" s="189" t="s">
        <v>833</v>
      </c>
      <c r="G431" s="189" t="s">
        <v>834</v>
      </c>
      <c r="H431" s="188" t="n">
        <v>46123</v>
      </c>
      <c r="I431" s="189" t="s">
        <v>113</v>
      </c>
      <c r="J431" s="189" t="s">
        <v>108</v>
      </c>
      <c r="K431" s="189" t="s">
        <v>173</v>
      </c>
      <c r="L431" s="189" t="s">
        <v>197</v>
      </c>
      <c r="M431" s="189" t="s">
        <v>566</v>
      </c>
      <c r="N431" s="189" t="s">
        <v>259</v>
      </c>
      <c r="O431" s="189" t="s">
        <v>244</v>
      </c>
      <c r="P431" s="189" t="s">
        <v>111</v>
      </c>
      <c r="Q431" s="189" t="s">
        <v>145</v>
      </c>
      <c r="R431" s="189" t="s">
        <v>22</v>
      </c>
      <c r="S431" s="189" t="s">
        <v>152</v>
      </c>
      <c r="T431" s="189" t="s">
        <v>121</v>
      </c>
      <c r="U431" s="189" t="s">
        <v>321</v>
      </c>
      <c r="V431" s="189" t="s">
        <v>123</v>
      </c>
      <c r="W431" s="189" t="s">
        <v>124</v>
      </c>
      <c r="X431" s="189" t="s">
        <v>135</v>
      </c>
      <c r="Y431" s="189" t="s">
        <v>2108</v>
      </c>
      <c r="Z431" s="0" t="n">
        <v>1</v>
      </c>
      <c r="AA431" s="189" t="s">
        <v>2115</v>
      </c>
    </row>
    <row r="432" customFormat="false" ht="15" hidden="false" customHeight="true" outlineLevel="0" collapsed="false">
      <c r="A432" s="0" t="n">
        <v>87</v>
      </c>
      <c r="B432" s="188" t="n">
        <v>46127.0977417984</v>
      </c>
      <c r="C432" s="188" t="n">
        <v>46127.1058436503</v>
      </c>
      <c r="D432" s="189" t="s">
        <v>832</v>
      </c>
      <c r="E432" s="189" t="s">
        <v>833</v>
      </c>
      <c r="F432" s="189" t="s">
        <v>833</v>
      </c>
      <c r="G432" s="189" t="s">
        <v>834</v>
      </c>
      <c r="H432" s="188" t="n">
        <v>46123</v>
      </c>
      <c r="I432" s="189" t="s">
        <v>113</v>
      </c>
      <c r="J432" s="189" t="s">
        <v>108</v>
      </c>
      <c r="K432" s="189" t="s">
        <v>173</v>
      </c>
      <c r="L432" s="189" t="s">
        <v>197</v>
      </c>
      <c r="M432" s="189" t="s">
        <v>566</v>
      </c>
      <c r="N432" s="189" t="s">
        <v>259</v>
      </c>
      <c r="O432" s="189" t="s">
        <v>244</v>
      </c>
      <c r="P432" s="189" t="s">
        <v>111</v>
      </c>
      <c r="Q432" s="189" t="s">
        <v>145</v>
      </c>
      <c r="R432" s="189" t="s">
        <v>22</v>
      </c>
      <c r="S432" s="189" t="s">
        <v>152</v>
      </c>
      <c r="T432" s="189" t="s">
        <v>121</v>
      </c>
      <c r="U432" s="189" t="s">
        <v>321</v>
      </c>
      <c r="V432" s="189" t="s">
        <v>123</v>
      </c>
      <c r="W432" s="189" t="s">
        <v>124</v>
      </c>
      <c r="X432" s="189" t="s">
        <v>135</v>
      </c>
      <c r="Y432" s="189" t="s">
        <v>2108</v>
      </c>
      <c r="Z432" s="0" t="n">
        <v>2</v>
      </c>
      <c r="AA432" s="189" t="s">
        <v>2246</v>
      </c>
    </row>
    <row r="433" customFormat="false" ht="15" hidden="false" customHeight="true" outlineLevel="0" collapsed="false">
      <c r="A433" s="0" t="n">
        <v>87</v>
      </c>
      <c r="B433" s="188" t="n">
        <v>46127.0977417984</v>
      </c>
      <c r="C433" s="188" t="n">
        <v>46127.1058436503</v>
      </c>
      <c r="D433" s="189" t="s">
        <v>832</v>
      </c>
      <c r="E433" s="189" t="s">
        <v>833</v>
      </c>
      <c r="F433" s="189" t="s">
        <v>833</v>
      </c>
      <c r="G433" s="189" t="s">
        <v>834</v>
      </c>
      <c r="H433" s="188" t="n">
        <v>46123</v>
      </c>
      <c r="I433" s="189" t="s">
        <v>113</v>
      </c>
      <c r="J433" s="189" t="s">
        <v>108</v>
      </c>
      <c r="K433" s="189" t="s">
        <v>173</v>
      </c>
      <c r="L433" s="189" t="s">
        <v>197</v>
      </c>
      <c r="M433" s="189" t="s">
        <v>566</v>
      </c>
      <c r="N433" s="189" t="s">
        <v>259</v>
      </c>
      <c r="O433" s="189" t="s">
        <v>244</v>
      </c>
      <c r="P433" s="189" t="s">
        <v>111</v>
      </c>
      <c r="Q433" s="189" t="s">
        <v>145</v>
      </c>
      <c r="R433" s="189" t="s">
        <v>22</v>
      </c>
      <c r="S433" s="189" t="s">
        <v>152</v>
      </c>
      <c r="T433" s="189" t="s">
        <v>121</v>
      </c>
      <c r="U433" s="189" t="s">
        <v>321</v>
      </c>
      <c r="V433" s="189" t="s">
        <v>123</v>
      </c>
      <c r="W433" s="189" t="s">
        <v>124</v>
      </c>
      <c r="X433" s="189" t="s">
        <v>135</v>
      </c>
      <c r="Y433" s="189" t="s">
        <v>2110</v>
      </c>
      <c r="Z433" s="0" t="n">
        <v>1</v>
      </c>
      <c r="AA433" s="189" t="s">
        <v>2236</v>
      </c>
    </row>
    <row r="434" customFormat="false" ht="15" hidden="false" customHeight="true" outlineLevel="0" collapsed="false">
      <c r="A434" s="0" t="n">
        <v>87</v>
      </c>
      <c r="B434" s="188" t="n">
        <v>46127.0977417984</v>
      </c>
      <c r="C434" s="188" t="n">
        <v>46127.1058436503</v>
      </c>
      <c r="D434" s="189" t="s">
        <v>832</v>
      </c>
      <c r="E434" s="189" t="s">
        <v>833</v>
      </c>
      <c r="F434" s="189" t="s">
        <v>833</v>
      </c>
      <c r="G434" s="189" t="s">
        <v>834</v>
      </c>
      <c r="H434" s="188" t="n">
        <v>46123</v>
      </c>
      <c r="I434" s="189" t="s">
        <v>113</v>
      </c>
      <c r="J434" s="189" t="s">
        <v>108</v>
      </c>
      <c r="K434" s="189" t="s">
        <v>173</v>
      </c>
      <c r="L434" s="189" t="s">
        <v>197</v>
      </c>
      <c r="M434" s="189" t="s">
        <v>566</v>
      </c>
      <c r="N434" s="189" t="s">
        <v>259</v>
      </c>
      <c r="O434" s="189" t="s">
        <v>244</v>
      </c>
      <c r="P434" s="189" t="s">
        <v>111</v>
      </c>
      <c r="Q434" s="189" t="s">
        <v>145</v>
      </c>
      <c r="R434" s="189" t="s">
        <v>22</v>
      </c>
      <c r="S434" s="189" t="s">
        <v>152</v>
      </c>
      <c r="T434" s="189" t="s">
        <v>121</v>
      </c>
      <c r="U434" s="189" t="s">
        <v>321</v>
      </c>
      <c r="V434" s="189" t="s">
        <v>123</v>
      </c>
      <c r="W434" s="189" t="s">
        <v>124</v>
      </c>
      <c r="X434" s="189" t="s">
        <v>135</v>
      </c>
      <c r="Y434" s="189" t="s">
        <v>2110</v>
      </c>
      <c r="Z434" s="0" t="n">
        <v>2</v>
      </c>
      <c r="AA434" s="189" t="s">
        <v>2228</v>
      </c>
    </row>
    <row r="435" customFormat="false" ht="15" hidden="false" customHeight="true" outlineLevel="0" collapsed="false">
      <c r="A435" s="0" t="n">
        <v>87</v>
      </c>
      <c r="B435" s="188" t="n">
        <v>46127.0977417984</v>
      </c>
      <c r="C435" s="188" t="n">
        <v>46127.1058436503</v>
      </c>
      <c r="D435" s="189" t="s">
        <v>832</v>
      </c>
      <c r="E435" s="189" t="s">
        <v>833</v>
      </c>
      <c r="F435" s="189" t="s">
        <v>833</v>
      </c>
      <c r="G435" s="189" t="s">
        <v>834</v>
      </c>
      <c r="H435" s="188" t="n">
        <v>46123</v>
      </c>
      <c r="I435" s="189" t="s">
        <v>113</v>
      </c>
      <c r="J435" s="189" t="s">
        <v>108</v>
      </c>
      <c r="K435" s="189" t="s">
        <v>173</v>
      </c>
      <c r="L435" s="189" t="s">
        <v>197</v>
      </c>
      <c r="M435" s="189" t="s">
        <v>566</v>
      </c>
      <c r="N435" s="189" t="s">
        <v>259</v>
      </c>
      <c r="O435" s="189" t="s">
        <v>244</v>
      </c>
      <c r="P435" s="189" t="s">
        <v>111</v>
      </c>
      <c r="Q435" s="189" t="s">
        <v>145</v>
      </c>
      <c r="R435" s="189" t="s">
        <v>22</v>
      </c>
      <c r="S435" s="189" t="s">
        <v>152</v>
      </c>
      <c r="T435" s="189" t="s">
        <v>121</v>
      </c>
      <c r="U435" s="189" t="s">
        <v>321</v>
      </c>
      <c r="V435" s="189" t="s">
        <v>123</v>
      </c>
      <c r="W435" s="189" t="s">
        <v>124</v>
      </c>
      <c r="X435" s="189" t="s">
        <v>135</v>
      </c>
      <c r="Y435" s="189" t="s">
        <v>2113</v>
      </c>
      <c r="Z435" s="0" t="n">
        <v>1</v>
      </c>
      <c r="AA435" s="189" t="s">
        <v>2247</v>
      </c>
    </row>
    <row r="436" customFormat="false" ht="15" hidden="false" customHeight="true" outlineLevel="0" collapsed="false">
      <c r="A436" s="0" t="n">
        <v>87</v>
      </c>
      <c r="B436" s="188" t="n">
        <v>46127.0977417984</v>
      </c>
      <c r="C436" s="188" t="n">
        <v>46127.1058436503</v>
      </c>
      <c r="D436" s="189" t="s">
        <v>832</v>
      </c>
      <c r="E436" s="189" t="s">
        <v>833</v>
      </c>
      <c r="F436" s="189" t="s">
        <v>833</v>
      </c>
      <c r="G436" s="189" t="s">
        <v>834</v>
      </c>
      <c r="H436" s="188" t="n">
        <v>46123</v>
      </c>
      <c r="I436" s="189" t="s">
        <v>113</v>
      </c>
      <c r="J436" s="189" t="s">
        <v>108</v>
      </c>
      <c r="K436" s="189" t="s">
        <v>173</v>
      </c>
      <c r="L436" s="189" t="s">
        <v>197</v>
      </c>
      <c r="M436" s="189" t="s">
        <v>566</v>
      </c>
      <c r="N436" s="189" t="s">
        <v>259</v>
      </c>
      <c r="O436" s="189" t="s">
        <v>244</v>
      </c>
      <c r="P436" s="189" t="s">
        <v>111</v>
      </c>
      <c r="Q436" s="189" t="s">
        <v>145</v>
      </c>
      <c r="R436" s="189" t="s">
        <v>22</v>
      </c>
      <c r="S436" s="189" t="s">
        <v>152</v>
      </c>
      <c r="T436" s="189" t="s">
        <v>121</v>
      </c>
      <c r="U436" s="189" t="s">
        <v>321</v>
      </c>
      <c r="V436" s="189" t="s">
        <v>123</v>
      </c>
      <c r="W436" s="189" t="s">
        <v>124</v>
      </c>
      <c r="X436" s="189" t="s">
        <v>135</v>
      </c>
      <c r="Y436" s="189" t="s">
        <v>2113</v>
      </c>
      <c r="Z436" s="0" t="n">
        <v>2</v>
      </c>
      <c r="AA436" s="189" t="s">
        <v>2302</v>
      </c>
    </row>
    <row r="437" customFormat="false" ht="15" hidden="false" customHeight="true" outlineLevel="0" collapsed="false">
      <c r="A437" s="0" t="n">
        <v>88</v>
      </c>
      <c r="B437" s="188" t="n">
        <v>46127.8785647386</v>
      </c>
      <c r="C437" s="188" t="n">
        <v>46127.8954860349</v>
      </c>
      <c r="D437" s="189" t="s">
        <v>838</v>
      </c>
      <c r="E437" s="189" t="s">
        <v>839</v>
      </c>
      <c r="F437" s="189" t="s">
        <v>839</v>
      </c>
      <c r="G437" s="189" t="s">
        <v>840</v>
      </c>
      <c r="H437" s="188" t="n">
        <v>46127</v>
      </c>
      <c r="I437" s="189" t="s">
        <v>113</v>
      </c>
      <c r="J437" s="189" t="s">
        <v>108</v>
      </c>
      <c r="K437" s="189" t="s">
        <v>196</v>
      </c>
      <c r="L437" s="189" t="s">
        <v>246</v>
      </c>
      <c r="M437" s="189" t="s">
        <v>406</v>
      </c>
      <c r="N437" s="189" t="s">
        <v>841</v>
      </c>
      <c r="O437" s="189" t="s">
        <v>107</v>
      </c>
      <c r="P437" s="189" t="s">
        <v>111</v>
      </c>
      <c r="Q437" s="189" t="s">
        <v>112</v>
      </c>
      <c r="R437" s="189" t="s">
        <v>22</v>
      </c>
      <c r="S437" s="189" t="s">
        <v>152</v>
      </c>
      <c r="T437" s="189" t="s">
        <v>121</v>
      </c>
      <c r="U437" s="189" t="s">
        <v>122</v>
      </c>
      <c r="V437" s="189" t="s">
        <v>167</v>
      </c>
      <c r="W437" s="189" t="s">
        <v>124</v>
      </c>
      <c r="X437" s="189" t="s">
        <v>381</v>
      </c>
      <c r="Y437" s="189" t="s">
        <v>2108</v>
      </c>
      <c r="Z437" s="0" t="n">
        <v>1</v>
      </c>
      <c r="AA437" s="189" t="s">
        <v>2293</v>
      </c>
    </row>
    <row r="438" customFormat="false" ht="15" hidden="false" customHeight="true" outlineLevel="0" collapsed="false">
      <c r="A438" s="0" t="n">
        <v>88</v>
      </c>
      <c r="B438" s="188" t="n">
        <v>46127.8785647386</v>
      </c>
      <c r="C438" s="188" t="n">
        <v>46127.8954860349</v>
      </c>
      <c r="D438" s="189" t="s">
        <v>838</v>
      </c>
      <c r="E438" s="189" t="s">
        <v>839</v>
      </c>
      <c r="F438" s="189" t="s">
        <v>839</v>
      </c>
      <c r="G438" s="189" t="s">
        <v>840</v>
      </c>
      <c r="H438" s="188" t="n">
        <v>46127</v>
      </c>
      <c r="I438" s="189" t="s">
        <v>113</v>
      </c>
      <c r="J438" s="189" t="s">
        <v>108</v>
      </c>
      <c r="K438" s="189" t="s">
        <v>196</v>
      </c>
      <c r="L438" s="189" t="s">
        <v>246</v>
      </c>
      <c r="M438" s="189" t="s">
        <v>406</v>
      </c>
      <c r="N438" s="189" t="s">
        <v>841</v>
      </c>
      <c r="O438" s="189" t="s">
        <v>107</v>
      </c>
      <c r="P438" s="189" t="s">
        <v>111</v>
      </c>
      <c r="Q438" s="189" t="s">
        <v>112</v>
      </c>
      <c r="R438" s="189" t="s">
        <v>22</v>
      </c>
      <c r="S438" s="189" t="s">
        <v>152</v>
      </c>
      <c r="T438" s="189" t="s">
        <v>121</v>
      </c>
      <c r="U438" s="189" t="s">
        <v>122</v>
      </c>
      <c r="V438" s="189" t="s">
        <v>167</v>
      </c>
      <c r="W438" s="189" t="s">
        <v>124</v>
      </c>
      <c r="X438" s="189" t="s">
        <v>381</v>
      </c>
      <c r="Y438" s="189" t="s">
        <v>2110</v>
      </c>
      <c r="Z438" s="0" t="n">
        <v>1</v>
      </c>
      <c r="AA438" s="189" t="s">
        <v>2294</v>
      </c>
    </row>
    <row r="439" customFormat="false" ht="15" hidden="false" customHeight="true" outlineLevel="0" collapsed="false">
      <c r="A439" s="0" t="n">
        <v>88</v>
      </c>
      <c r="B439" s="188" t="n">
        <v>46127.8785647386</v>
      </c>
      <c r="C439" s="188" t="n">
        <v>46127.8954860349</v>
      </c>
      <c r="D439" s="189" t="s">
        <v>838</v>
      </c>
      <c r="E439" s="189" t="s">
        <v>839</v>
      </c>
      <c r="F439" s="189" t="s">
        <v>839</v>
      </c>
      <c r="G439" s="189" t="s">
        <v>840</v>
      </c>
      <c r="H439" s="188" t="n">
        <v>46127</v>
      </c>
      <c r="I439" s="189" t="s">
        <v>113</v>
      </c>
      <c r="J439" s="189" t="s">
        <v>108</v>
      </c>
      <c r="K439" s="189" t="s">
        <v>196</v>
      </c>
      <c r="L439" s="189" t="s">
        <v>246</v>
      </c>
      <c r="M439" s="189" t="s">
        <v>406</v>
      </c>
      <c r="N439" s="189" t="s">
        <v>841</v>
      </c>
      <c r="O439" s="189" t="s">
        <v>107</v>
      </c>
      <c r="P439" s="189" t="s">
        <v>111</v>
      </c>
      <c r="Q439" s="189" t="s">
        <v>112</v>
      </c>
      <c r="R439" s="189" t="s">
        <v>22</v>
      </c>
      <c r="S439" s="189" t="s">
        <v>152</v>
      </c>
      <c r="T439" s="189" t="s">
        <v>121</v>
      </c>
      <c r="U439" s="189" t="s">
        <v>122</v>
      </c>
      <c r="V439" s="189" t="s">
        <v>167</v>
      </c>
      <c r="W439" s="189" t="s">
        <v>124</v>
      </c>
      <c r="X439" s="189" t="s">
        <v>381</v>
      </c>
      <c r="Y439" s="189" t="s">
        <v>2110</v>
      </c>
      <c r="Z439" s="0" t="n">
        <v>2</v>
      </c>
      <c r="AA439" s="189" t="s">
        <v>2204</v>
      </c>
    </row>
    <row r="440" customFormat="false" ht="15" hidden="false" customHeight="true" outlineLevel="0" collapsed="false">
      <c r="A440" s="0" t="n">
        <v>88</v>
      </c>
      <c r="B440" s="188" t="n">
        <v>46127.8785647386</v>
      </c>
      <c r="C440" s="188" t="n">
        <v>46127.8954860349</v>
      </c>
      <c r="D440" s="189" t="s">
        <v>838</v>
      </c>
      <c r="E440" s="189" t="s">
        <v>839</v>
      </c>
      <c r="F440" s="189" t="s">
        <v>839</v>
      </c>
      <c r="G440" s="189" t="s">
        <v>840</v>
      </c>
      <c r="H440" s="188" t="n">
        <v>46127</v>
      </c>
      <c r="I440" s="189" t="s">
        <v>113</v>
      </c>
      <c r="J440" s="189" t="s">
        <v>108</v>
      </c>
      <c r="K440" s="189" t="s">
        <v>196</v>
      </c>
      <c r="L440" s="189" t="s">
        <v>246</v>
      </c>
      <c r="M440" s="189" t="s">
        <v>406</v>
      </c>
      <c r="N440" s="189" t="s">
        <v>841</v>
      </c>
      <c r="O440" s="189" t="s">
        <v>107</v>
      </c>
      <c r="P440" s="189" t="s">
        <v>111</v>
      </c>
      <c r="Q440" s="189" t="s">
        <v>112</v>
      </c>
      <c r="R440" s="189" t="s">
        <v>22</v>
      </c>
      <c r="S440" s="189" t="s">
        <v>152</v>
      </c>
      <c r="T440" s="189" t="s">
        <v>121</v>
      </c>
      <c r="U440" s="189" t="s">
        <v>122</v>
      </c>
      <c r="V440" s="189" t="s">
        <v>167</v>
      </c>
      <c r="W440" s="189" t="s">
        <v>124</v>
      </c>
      <c r="X440" s="189" t="s">
        <v>381</v>
      </c>
      <c r="Y440" s="189" t="s">
        <v>2113</v>
      </c>
      <c r="Z440" s="0" t="n">
        <v>1</v>
      </c>
      <c r="AA440" s="189" t="s">
        <v>2225</v>
      </c>
    </row>
    <row r="441" customFormat="false" ht="15" hidden="false" customHeight="true" outlineLevel="0" collapsed="false">
      <c r="A441" s="0" t="n">
        <v>89</v>
      </c>
      <c r="B441" s="188" t="n">
        <v>46156.596929679</v>
      </c>
      <c r="C441" s="188" t="n">
        <v>46156.6127745864</v>
      </c>
      <c r="D441" s="189" t="s">
        <v>845</v>
      </c>
      <c r="E441" s="189" t="s">
        <v>846</v>
      </c>
      <c r="F441" s="189" t="s">
        <v>846</v>
      </c>
      <c r="G441" s="189" t="s">
        <v>847</v>
      </c>
      <c r="H441" s="188" t="n">
        <v>46145</v>
      </c>
      <c r="I441" s="189" t="s">
        <v>113</v>
      </c>
      <c r="J441" s="189" t="s">
        <v>108</v>
      </c>
      <c r="K441" s="189" t="s">
        <v>848</v>
      </c>
      <c r="L441" s="189" t="s">
        <v>159</v>
      </c>
      <c r="M441" s="189" t="s">
        <v>439</v>
      </c>
      <c r="N441" s="189" t="s">
        <v>849</v>
      </c>
      <c r="O441" s="189" t="s">
        <v>278</v>
      </c>
      <c r="P441" s="189" t="s">
        <v>111</v>
      </c>
      <c r="Q441" s="189" t="s">
        <v>112</v>
      </c>
      <c r="R441" s="189" t="s">
        <v>22</v>
      </c>
      <c r="S441" s="189" t="s">
        <v>152</v>
      </c>
      <c r="T441" s="189" t="s">
        <v>180</v>
      </c>
      <c r="U441" s="189" t="s">
        <v>853</v>
      </c>
      <c r="V441" s="189" t="s">
        <v>192</v>
      </c>
      <c r="W441" s="189" t="s">
        <v>124</v>
      </c>
      <c r="X441" s="189" t="s">
        <v>148</v>
      </c>
      <c r="Y441" s="189" t="s">
        <v>2108</v>
      </c>
      <c r="Z441" s="0" t="n">
        <v>1</v>
      </c>
      <c r="AA441" s="189" t="s">
        <v>2166</v>
      </c>
    </row>
    <row r="442" customFormat="false" ht="15" hidden="false" customHeight="true" outlineLevel="0" collapsed="false">
      <c r="A442" s="0" t="n">
        <v>89</v>
      </c>
      <c r="B442" s="188" t="n">
        <v>46156.596929679</v>
      </c>
      <c r="C442" s="188" t="n">
        <v>46156.6127745864</v>
      </c>
      <c r="D442" s="189" t="s">
        <v>845</v>
      </c>
      <c r="E442" s="189" t="s">
        <v>846</v>
      </c>
      <c r="F442" s="189" t="s">
        <v>846</v>
      </c>
      <c r="G442" s="189" t="s">
        <v>847</v>
      </c>
      <c r="H442" s="188" t="n">
        <v>46145</v>
      </c>
      <c r="I442" s="189" t="s">
        <v>113</v>
      </c>
      <c r="J442" s="189" t="s">
        <v>108</v>
      </c>
      <c r="K442" s="189" t="s">
        <v>848</v>
      </c>
      <c r="L442" s="189" t="s">
        <v>159</v>
      </c>
      <c r="M442" s="189" t="s">
        <v>439</v>
      </c>
      <c r="N442" s="189" t="s">
        <v>849</v>
      </c>
      <c r="O442" s="189" t="s">
        <v>278</v>
      </c>
      <c r="P442" s="189" t="s">
        <v>111</v>
      </c>
      <c r="Q442" s="189" t="s">
        <v>112</v>
      </c>
      <c r="R442" s="189" t="s">
        <v>22</v>
      </c>
      <c r="S442" s="189" t="s">
        <v>152</v>
      </c>
      <c r="T442" s="189" t="s">
        <v>180</v>
      </c>
      <c r="U442" s="189" t="s">
        <v>853</v>
      </c>
      <c r="V442" s="189" t="s">
        <v>192</v>
      </c>
      <c r="W442" s="189" t="s">
        <v>124</v>
      </c>
      <c r="X442" s="189" t="s">
        <v>148</v>
      </c>
      <c r="Y442" s="189" t="s">
        <v>2108</v>
      </c>
      <c r="Z442" s="0" t="n">
        <v>2</v>
      </c>
      <c r="AA442" s="189" t="s">
        <v>2230</v>
      </c>
    </row>
    <row r="443" customFormat="false" ht="15" hidden="false" customHeight="true" outlineLevel="0" collapsed="false">
      <c r="A443" s="0" t="n">
        <v>89</v>
      </c>
      <c r="B443" s="188" t="n">
        <v>46156.596929679</v>
      </c>
      <c r="C443" s="188" t="n">
        <v>46156.6127745864</v>
      </c>
      <c r="D443" s="189" t="s">
        <v>845</v>
      </c>
      <c r="E443" s="189" t="s">
        <v>846</v>
      </c>
      <c r="F443" s="189" t="s">
        <v>846</v>
      </c>
      <c r="G443" s="189" t="s">
        <v>847</v>
      </c>
      <c r="H443" s="188" t="n">
        <v>46145</v>
      </c>
      <c r="I443" s="189" t="s">
        <v>113</v>
      </c>
      <c r="J443" s="189" t="s">
        <v>108</v>
      </c>
      <c r="K443" s="189" t="s">
        <v>848</v>
      </c>
      <c r="L443" s="189" t="s">
        <v>159</v>
      </c>
      <c r="M443" s="189" t="s">
        <v>439</v>
      </c>
      <c r="N443" s="189" t="s">
        <v>849</v>
      </c>
      <c r="O443" s="189" t="s">
        <v>278</v>
      </c>
      <c r="P443" s="189" t="s">
        <v>111</v>
      </c>
      <c r="Q443" s="189" t="s">
        <v>112</v>
      </c>
      <c r="R443" s="189" t="s">
        <v>22</v>
      </c>
      <c r="S443" s="189" t="s">
        <v>152</v>
      </c>
      <c r="T443" s="189" t="s">
        <v>180</v>
      </c>
      <c r="U443" s="189" t="s">
        <v>853</v>
      </c>
      <c r="V443" s="189" t="s">
        <v>192</v>
      </c>
      <c r="W443" s="189" t="s">
        <v>124</v>
      </c>
      <c r="X443" s="189" t="s">
        <v>148</v>
      </c>
      <c r="Y443" s="189" t="s">
        <v>2108</v>
      </c>
      <c r="Z443" s="0" t="n">
        <v>3</v>
      </c>
      <c r="AA443" s="189" t="s">
        <v>2136</v>
      </c>
    </row>
    <row r="444" customFormat="false" ht="15" hidden="false" customHeight="true" outlineLevel="0" collapsed="false">
      <c r="A444" s="0" t="n">
        <v>89</v>
      </c>
      <c r="B444" s="188" t="n">
        <v>46156.596929679</v>
      </c>
      <c r="C444" s="188" t="n">
        <v>46156.6127745864</v>
      </c>
      <c r="D444" s="189" t="s">
        <v>845</v>
      </c>
      <c r="E444" s="189" t="s">
        <v>846</v>
      </c>
      <c r="F444" s="189" t="s">
        <v>846</v>
      </c>
      <c r="G444" s="189" t="s">
        <v>847</v>
      </c>
      <c r="H444" s="188" t="n">
        <v>46145</v>
      </c>
      <c r="I444" s="189" t="s">
        <v>113</v>
      </c>
      <c r="J444" s="189" t="s">
        <v>108</v>
      </c>
      <c r="K444" s="189" t="s">
        <v>848</v>
      </c>
      <c r="L444" s="189" t="s">
        <v>159</v>
      </c>
      <c r="M444" s="189" t="s">
        <v>439</v>
      </c>
      <c r="N444" s="189" t="s">
        <v>849</v>
      </c>
      <c r="O444" s="189" t="s">
        <v>278</v>
      </c>
      <c r="P444" s="189" t="s">
        <v>111</v>
      </c>
      <c r="Q444" s="189" t="s">
        <v>112</v>
      </c>
      <c r="R444" s="189" t="s">
        <v>22</v>
      </c>
      <c r="S444" s="189" t="s">
        <v>152</v>
      </c>
      <c r="T444" s="189" t="s">
        <v>180</v>
      </c>
      <c r="U444" s="189" t="s">
        <v>853</v>
      </c>
      <c r="V444" s="189" t="s">
        <v>192</v>
      </c>
      <c r="W444" s="189" t="s">
        <v>124</v>
      </c>
      <c r="X444" s="189" t="s">
        <v>148</v>
      </c>
      <c r="Y444" s="189" t="s">
        <v>2110</v>
      </c>
      <c r="Z444" s="0" t="n">
        <v>1</v>
      </c>
      <c r="AA444" s="189" t="s">
        <v>2121</v>
      </c>
    </row>
    <row r="445" customFormat="false" ht="15" hidden="false" customHeight="true" outlineLevel="0" collapsed="false">
      <c r="A445" s="0" t="n">
        <v>89</v>
      </c>
      <c r="B445" s="188" t="n">
        <v>46156.596929679</v>
      </c>
      <c r="C445" s="188" t="n">
        <v>46156.6127745864</v>
      </c>
      <c r="D445" s="189" t="s">
        <v>845</v>
      </c>
      <c r="E445" s="189" t="s">
        <v>846</v>
      </c>
      <c r="F445" s="189" t="s">
        <v>846</v>
      </c>
      <c r="G445" s="189" t="s">
        <v>847</v>
      </c>
      <c r="H445" s="188" t="n">
        <v>46145</v>
      </c>
      <c r="I445" s="189" t="s">
        <v>113</v>
      </c>
      <c r="J445" s="189" t="s">
        <v>108</v>
      </c>
      <c r="K445" s="189" t="s">
        <v>848</v>
      </c>
      <c r="L445" s="189" t="s">
        <v>159</v>
      </c>
      <c r="M445" s="189" t="s">
        <v>439</v>
      </c>
      <c r="N445" s="189" t="s">
        <v>849</v>
      </c>
      <c r="O445" s="189" t="s">
        <v>278</v>
      </c>
      <c r="P445" s="189" t="s">
        <v>111</v>
      </c>
      <c r="Q445" s="189" t="s">
        <v>112</v>
      </c>
      <c r="R445" s="189" t="s">
        <v>22</v>
      </c>
      <c r="S445" s="189" t="s">
        <v>152</v>
      </c>
      <c r="T445" s="189" t="s">
        <v>180</v>
      </c>
      <c r="U445" s="189" t="s">
        <v>853</v>
      </c>
      <c r="V445" s="189" t="s">
        <v>192</v>
      </c>
      <c r="W445" s="189" t="s">
        <v>124</v>
      </c>
      <c r="X445" s="189" t="s">
        <v>148</v>
      </c>
      <c r="Y445" s="189" t="s">
        <v>2110</v>
      </c>
      <c r="Z445" s="0" t="n">
        <v>2</v>
      </c>
      <c r="AA445" s="189" t="s">
        <v>122</v>
      </c>
    </row>
    <row r="446" customFormat="false" ht="15" hidden="false" customHeight="true" outlineLevel="0" collapsed="false">
      <c r="A446" s="0" t="n">
        <v>89</v>
      </c>
      <c r="B446" s="188" t="n">
        <v>46156.596929679</v>
      </c>
      <c r="C446" s="188" t="n">
        <v>46156.6127745864</v>
      </c>
      <c r="D446" s="189" t="s">
        <v>845</v>
      </c>
      <c r="E446" s="189" t="s">
        <v>846</v>
      </c>
      <c r="F446" s="189" t="s">
        <v>846</v>
      </c>
      <c r="G446" s="189" t="s">
        <v>847</v>
      </c>
      <c r="H446" s="188" t="n">
        <v>46145</v>
      </c>
      <c r="I446" s="189" t="s">
        <v>113</v>
      </c>
      <c r="J446" s="189" t="s">
        <v>108</v>
      </c>
      <c r="K446" s="189" t="s">
        <v>848</v>
      </c>
      <c r="L446" s="189" t="s">
        <v>159</v>
      </c>
      <c r="M446" s="189" t="s">
        <v>439</v>
      </c>
      <c r="N446" s="189" t="s">
        <v>849</v>
      </c>
      <c r="O446" s="189" t="s">
        <v>278</v>
      </c>
      <c r="P446" s="189" t="s">
        <v>111</v>
      </c>
      <c r="Q446" s="189" t="s">
        <v>112</v>
      </c>
      <c r="R446" s="189" t="s">
        <v>22</v>
      </c>
      <c r="S446" s="189" t="s">
        <v>152</v>
      </c>
      <c r="T446" s="189" t="s">
        <v>180</v>
      </c>
      <c r="U446" s="189" t="s">
        <v>853</v>
      </c>
      <c r="V446" s="189" t="s">
        <v>192</v>
      </c>
      <c r="W446" s="189" t="s">
        <v>124</v>
      </c>
      <c r="X446" s="189" t="s">
        <v>148</v>
      </c>
      <c r="Y446" s="189" t="s">
        <v>2113</v>
      </c>
      <c r="Z446" s="0" t="n">
        <v>1</v>
      </c>
      <c r="AA446" s="189" t="s">
        <v>2123</v>
      </c>
    </row>
    <row r="447" customFormat="false" ht="15" hidden="false" customHeight="true" outlineLevel="0" collapsed="false">
      <c r="A447" s="0" t="n">
        <v>89</v>
      </c>
      <c r="B447" s="188" t="n">
        <v>46156.596929679</v>
      </c>
      <c r="C447" s="188" t="n">
        <v>46156.6127745864</v>
      </c>
      <c r="D447" s="189" t="s">
        <v>845</v>
      </c>
      <c r="E447" s="189" t="s">
        <v>846</v>
      </c>
      <c r="F447" s="189" t="s">
        <v>846</v>
      </c>
      <c r="G447" s="189" t="s">
        <v>847</v>
      </c>
      <c r="H447" s="188" t="n">
        <v>46145</v>
      </c>
      <c r="I447" s="189" t="s">
        <v>113</v>
      </c>
      <c r="J447" s="189" t="s">
        <v>108</v>
      </c>
      <c r="K447" s="189" t="s">
        <v>848</v>
      </c>
      <c r="L447" s="189" t="s">
        <v>159</v>
      </c>
      <c r="M447" s="189" t="s">
        <v>439</v>
      </c>
      <c r="N447" s="189" t="s">
        <v>849</v>
      </c>
      <c r="O447" s="189" t="s">
        <v>278</v>
      </c>
      <c r="P447" s="189" t="s">
        <v>111</v>
      </c>
      <c r="Q447" s="189" t="s">
        <v>112</v>
      </c>
      <c r="R447" s="189" t="s">
        <v>22</v>
      </c>
      <c r="S447" s="189" t="s">
        <v>152</v>
      </c>
      <c r="T447" s="189" t="s">
        <v>180</v>
      </c>
      <c r="U447" s="189" t="s">
        <v>853</v>
      </c>
      <c r="V447" s="189" t="s">
        <v>192</v>
      </c>
      <c r="W447" s="189" t="s">
        <v>124</v>
      </c>
      <c r="X447" s="189" t="s">
        <v>148</v>
      </c>
      <c r="Y447" s="189" t="s">
        <v>2113</v>
      </c>
      <c r="Z447" s="0" t="n">
        <v>2</v>
      </c>
      <c r="AA447" s="189" t="s">
        <v>2232</v>
      </c>
    </row>
    <row r="448" customFormat="false" ht="15" hidden="false" customHeight="true" outlineLevel="0" collapsed="false">
      <c r="A448" s="0" t="n">
        <v>90</v>
      </c>
      <c r="B448" s="188" t="n">
        <v>46078.4869250341</v>
      </c>
      <c r="C448" s="188" t="n">
        <v>46078.5005824415</v>
      </c>
      <c r="D448" s="189" t="s">
        <v>854</v>
      </c>
      <c r="E448" s="189" t="s">
        <v>855</v>
      </c>
      <c r="F448" s="189" t="s">
        <v>855</v>
      </c>
      <c r="G448" s="189" t="s">
        <v>856</v>
      </c>
      <c r="H448" s="188" t="n">
        <v>46066</v>
      </c>
      <c r="I448" s="189" t="s">
        <v>113</v>
      </c>
      <c r="J448" s="189" t="s">
        <v>108</v>
      </c>
      <c r="K448" s="189" t="s">
        <v>143</v>
      </c>
      <c r="L448" s="189" t="s">
        <v>389</v>
      </c>
      <c r="M448" s="189" t="s">
        <v>365</v>
      </c>
      <c r="N448" s="189" t="s">
        <v>161</v>
      </c>
      <c r="O448" s="189" t="s">
        <v>172</v>
      </c>
      <c r="P448" s="189" t="s">
        <v>111</v>
      </c>
      <c r="Q448" s="189" t="s">
        <v>112</v>
      </c>
      <c r="R448" s="189" t="s">
        <v>24</v>
      </c>
      <c r="S448" s="189" t="s">
        <v>227</v>
      </c>
      <c r="T448" s="189" t="s">
        <v>352</v>
      </c>
      <c r="V448" s="189" t="s">
        <v>123</v>
      </c>
      <c r="W448" s="189" t="s">
        <v>124</v>
      </c>
      <c r="X448" s="189" t="s">
        <v>260</v>
      </c>
      <c r="Y448" s="189" t="s">
        <v>2108</v>
      </c>
      <c r="Z448" s="0" t="n">
        <v>1</v>
      </c>
      <c r="AA448" s="189" t="s">
        <v>122</v>
      </c>
    </row>
    <row r="449" customFormat="false" ht="15" hidden="false" customHeight="true" outlineLevel="0" collapsed="false">
      <c r="A449" s="0" t="n">
        <v>90</v>
      </c>
      <c r="B449" s="188" t="n">
        <v>46078.4869250341</v>
      </c>
      <c r="C449" s="188" t="n">
        <v>46078.5005824415</v>
      </c>
      <c r="D449" s="189" t="s">
        <v>854</v>
      </c>
      <c r="E449" s="189" t="s">
        <v>855</v>
      </c>
      <c r="F449" s="189" t="s">
        <v>855</v>
      </c>
      <c r="G449" s="189" t="s">
        <v>856</v>
      </c>
      <c r="H449" s="188" t="n">
        <v>46066</v>
      </c>
      <c r="I449" s="189" t="s">
        <v>113</v>
      </c>
      <c r="J449" s="189" t="s">
        <v>108</v>
      </c>
      <c r="K449" s="189" t="s">
        <v>143</v>
      </c>
      <c r="L449" s="189" t="s">
        <v>389</v>
      </c>
      <c r="M449" s="189" t="s">
        <v>365</v>
      </c>
      <c r="N449" s="189" t="s">
        <v>161</v>
      </c>
      <c r="O449" s="189" t="s">
        <v>172</v>
      </c>
      <c r="P449" s="189" t="s">
        <v>111</v>
      </c>
      <c r="Q449" s="189" t="s">
        <v>112</v>
      </c>
      <c r="R449" s="189" t="s">
        <v>24</v>
      </c>
      <c r="S449" s="189" t="s">
        <v>227</v>
      </c>
      <c r="T449" s="189" t="s">
        <v>352</v>
      </c>
      <c r="V449" s="189" t="s">
        <v>123</v>
      </c>
      <c r="W449" s="189" t="s">
        <v>124</v>
      </c>
      <c r="X449" s="189" t="s">
        <v>260</v>
      </c>
      <c r="Y449" s="189" t="s">
        <v>2108</v>
      </c>
      <c r="Z449" s="0" t="n">
        <v>2</v>
      </c>
      <c r="AA449" s="189" t="s">
        <v>2303</v>
      </c>
    </row>
    <row r="450" customFormat="false" ht="15" hidden="false" customHeight="true" outlineLevel="0" collapsed="false">
      <c r="A450" s="0" t="n">
        <v>90</v>
      </c>
      <c r="B450" s="188" t="n">
        <v>46078.4869250341</v>
      </c>
      <c r="C450" s="188" t="n">
        <v>46078.5005824415</v>
      </c>
      <c r="D450" s="189" t="s">
        <v>854</v>
      </c>
      <c r="E450" s="189" t="s">
        <v>855</v>
      </c>
      <c r="F450" s="189" t="s">
        <v>855</v>
      </c>
      <c r="G450" s="189" t="s">
        <v>856</v>
      </c>
      <c r="H450" s="188" t="n">
        <v>46066</v>
      </c>
      <c r="I450" s="189" t="s">
        <v>113</v>
      </c>
      <c r="J450" s="189" t="s">
        <v>108</v>
      </c>
      <c r="K450" s="189" t="s">
        <v>143</v>
      </c>
      <c r="L450" s="189" t="s">
        <v>389</v>
      </c>
      <c r="M450" s="189" t="s">
        <v>365</v>
      </c>
      <c r="N450" s="189" t="s">
        <v>161</v>
      </c>
      <c r="O450" s="189" t="s">
        <v>172</v>
      </c>
      <c r="P450" s="189" t="s">
        <v>111</v>
      </c>
      <c r="Q450" s="189" t="s">
        <v>112</v>
      </c>
      <c r="R450" s="189" t="s">
        <v>24</v>
      </c>
      <c r="S450" s="189" t="s">
        <v>227</v>
      </c>
      <c r="T450" s="189" t="s">
        <v>352</v>
      </c>
      <c r="V450" s="189" t="s">
        <v>123</v>
      </c>
      <c r="W450" s="189" t="s">
        <v>124</v>
      </c>
      <c r="X450" s="189" t="s">
        <v>260</v>
      </c>
      <c r="Y450" s="189" t="s">
        <v>2110</v>
      </c>
      <c r="Z450" s="0" t="n">
        <v>1</v>
      </c>
      <c r="AA450" s="189" t="s">
        <v>606</v>
      </c>
    </row>
    <row r="451" customFormat="false" ht="15" hidden="false" customHeight="true" outlineLevel="0" collapsed="false">
      <c r="A451" s="0" t="n">
        <v>90</v>
      </c>
      <c r="B451" s="188" t="n">
        <v>46078.4869250341</v>
      </c>
      <c r="C451" s="188" t="n">
        <v>46078.5005824415</v>
      </c>
      <c r="D451" s="189" t="s">
        <v>854</v>
      </c>
      <c r="E451" s="189" t="s">
        <v>855</v>
      </c>
      <c r="F451" s="189" t="s">
        <v>855</v>
      </c>
      <c r="G451" s="189" t="s">
        <v>856</v>
      </c>
      <c r="H451" s="188" t="n">
        <v>46066</v>
      </c>
      <c r="I451" s="189" t="s">
        <v>113</v>
      </c>
      <c r="J451" s="189" t="s">
        <v>108</v>
      </c>
      <c r="K451" s="189" t="s">
        <v>143</v>
      </c>
      <c r="L451" s="189" t="s">
        <v>389</v>
      </c>
      <c r="M451" s="189" t="s">
        <v>365</v>
      </c>
      <c r="N451" s="189" t="s">
        <v>161</v>
      </c>
      <c r="O451" s="189" t="s">
        <v>172</v>
      </c>
      <c r="P451" s="189" t="s">
        <v>111</v>
      </c>
      <c r="Q451" s="189" t="s">
        <v>112</v>
      </c>
      <c r="R451" s="189" t="s">
        <v>24</v>
      </c>
      <c r="S451" s="189" t="s">
        <v>227</v>
      </c>
      <c r="T451" s="189" t="s">
        <v>352</v>
      </c>
      <c r="V451" s="189" t="s">
        <v>123</v>
      </c>
      <c r="W451" s="189" t="s">
        <v>124</v>
      </c>
      <c r="X451" s="189" t="s">
        <v>260</v>
      </c>
      <c r="Y451" s="189" t="s">
        <v>2110</v>
      </c>
      <c r="Z451" s="0" t="n">
        <v>2</v>
      </c>
      <c r="AA451" s="189" t="s">
        <v>122</v>
      </c>
    </row>
    <row r="452" customFormat="false" ht="15" hidden="false" customHeight="true" outlineLevel="0" collapsed="false">
      <c r="A452" s="0" t="n">
        <v>90</v>
      </c>
      <c r="B452" s="188" t="n">
        <v>46078.4869250341</v>
      </c>
      <c r="C452" s="188" t="n">
        <v>46078.5005824415</v>
      </c>
      <c r="D452" s="189" t="s">
        <v>854</v>
      </c>
      <c r="E452" s="189" t="s">
        <v>855</v>
      </c>
      <c r="F452" s="189" t="s">
        <v>855</v>
      </c>
      <c r="G452" s="189" t="s">
        <v>856</v>
      </c>
      <c r="H452" s="188" t="n">
        <v>46066</v>
      </c>
      <c r="I452" s="189" t="s">
        <v>113</v>
      </c>
      <c r="J452" s="189" t="s">
        <v>108</v>
      </c>
      <c r="K452" s="189" t="s">
        <v>143</v>
      </c>
      <c r="L452" s="189" t="s">
        <v>389</v>
      </c>
      <c r="M452" s="189" t="s">
        <v>365</v>
      </c>
      <c r="N452" s="189" t="s">
        <v>161</v>
      </c>
      <c r="O452" s="189" t="s">
        <v>172</v>
      </c>
      <c r="P452" s="189" t="s">
        <v>111</v>
      </c>
      <c r="Q452" s="189" t="s">
        <v>112</v>
      </c>
      <c r="R452" s="189" t="s">
        <v>24</v>
      </c>
      <c r="S452" s="189" t="s">
        <v>227</v>
      </c>
      <c r="T452" s="189" t="s">
        <v>352</v>
      </c>
      <c r="V452" s="189" t="s">
        <v>123</v>
      </c>
      <c r="W452" s="189" t="s">
        <v>124</v>
      </c>
      <c r="X452" s="189" t="s">
        <v>260</v>
      </c>
      <c r="Y452" s="189" t="s">
        <v>2113</v>
      </c>
      <c r="Z452" s="0" t="n">
        <v>1</v>
      </c>
      <c r="AA452" s="189" t="s">
        <v>2304</v>
      </c>
    </row>
    <row r="453" customFormat="false" ht="15" hidden="false" customHeight="true" outlineLevel="0" collapsed="false">
      <c r="A453" s="0" t="n">
        <v>91</v>
      </c>
      <c r="B453" s="188" t="n">
        <v>46109.4420372162</v>
      </c>
      <c r="C453" s="188" t="n">
        <v>46109.4583219384</v>
      </c>
      <c r="D453" s="189" t="s">
        <v>860</v>
      </c>
      <c r="E453" s="189" t="s">
        <v>861</v>
      </c>
      <c r="F453" s="189" t="s">
        <v>861</v>
      </c>
      <c r="G453" s="189" t="s">
        <v>862</v>
      </c>
      <c r="H453" s="188" t="n">
        <v>46096</v>
      </c>
      <c r="I453" s="189" t="s">
        <v>863</v>
      </c>
      <c r="J453" s="189" t="s">
        <v>108</v>
      </c>
      <c r="K453" s="189" t="s">
        <v>364</v>
      </c>
      <c r="L453" s="189" t="s">
        <v>346</v>
      </c>
      <c r="M453" s="189" t="s">
        <v>864</v>
      </c>
      <c r="N453" s="189" t="s">
        <v>234</v>
      </c>
      <c r="O453" s="189" t="s">
        <v>172</v>
      </c>
      <c r="P453" s="189" t="s">
        <v>111</v>
      </c>
      <c r="Q453" s="189" t="s">
        <v>112</v>
      </c>
      <c r="R453" s="189" t="s">
        <v>22</v>
      </c>
      <c r="S453" s="189" t="s">
        <v>152</v>
      </c>
      <c r="T453" s="189" t="s">
        <v>121</v>
      </c>
      <c r="U453" s="189" t="s">
        <v>122</v>
      </c>
      <c r="V453" s="189" t="s">
        <v>123</v>
      </c>
      <c r="W453" s="189" t="s">
        <v>124</v>
      </c>
      <c r="X453" s="189" t="s">
        <v>339</v>
      </c>
      <c r="Y453" s="189" t="s">
        <v>2108</v>
      </c>
      <c r="Z453" s="0" t="n">
        <v>1</v>
      </c>
      <c r="AA453" s="189" t="s">
        <v>2185</v>
      </c>
    </row>
    <row r="454" customFormat="false" ht="15" hidden="false" customHeight="true" outlineLevel="0" collapsed="false">
      <c r="A454" s="0" t="n">
        <v>91</v>
      </c>
      <c r="B454" s="188" t="n">
        <v>46109.4420372162</v>
      </c>
      <c r="C454" s="188" t="n">
        <v>46109.4583219384</v>
      </c>
      <c r="D454" s="189" t="s">
        <v>860</v>
      </c>
      <c r="E454" s="189" t="s">
        <v>861</v>
      </c>
      <c r="F454" s="189" t="s">
        <v>861</v>
      </c>
      <c r="G454" s="189" t="s">
        <v>862</v>
      </c>
      <c r="H454" s="188" t="n">
        <v>46096</v>
      </c>
      <c r="I454" s="189" t="s">
        <v>863</v>
      </c>
      <c r="J454" s="189" t="s">
        <v>108</v>
      </c>
      <c r="K454" s="189" t="s">
        <v>364</v>
      </c>
      <c r="L454" s="189" t="s">
        <v>346</v>
      </c>
      <c r="M454" s="189" t="s">
        <v>864</v>
      </c>
      <c r="N454" s="189" t="s">
        <v>234</v>
      </c>
      <c r="O454" s="189" t="s">
        <v>172</v>
      </c>
      <c r="P454" s="189" t="s">
        <v>111</v>
      </c>
      <c r="Q454" s="189" t="s">
        <v>112</v>
      </c>
      <c r="R454" s="189" t="s">
        <v>22</v>
      </c>
      <c r="S454" s="189" t="s">
        <v>152</v>
      </c>
      <c r="T454" s="189" t="s">
        <v>121</v>
      </c>
      <c r="U454" s="189" t="s">
        <v>122</v>
      </c>
      <c r="V454" s="189" t="s">
        <v>123</v>
      </c>
      <c r="W454" s="189" t="s">
        <v>124</v>
      </c>
      <c r="X454" s="189" t="s">
        <v>339</v>
      </c>
      <c r="Y454" s="189" t="s">
        <v>2108</v>
      </c>
      <c r="Z454" s="0" t="n">
        <v>2</v>
      </c>
      <c r="AA454" s="189" t="s">
        <v>2260</v>
      </c>
    </row>
    <row r="455" customFormat="false" ht="15" hidden="false" customHeight="true" outlineLevel="0" collapsed="false">
      <c r="A455" s="0" t="n">
        <v>91</v>
      </c>
      <c r="B455" s="188" t="n">
        <v>46109.4420372162</v>
      </c>
      <c r="C455" s="188" t="n">
        <v>46109.4583219384</v>
      </c>
      <c r="D455" s="189" t="s">
        <v>860</v>
      </c>
      <c r="E455" s="189" t="s">
        <v>861</v>
      </c>
      <c r="F455" s="189" t="s">
        <v>861</v>
      </c>
      <c r="G455" s="189" t="s">
        <v>862</v>
      </c>
      <c r="H455" s="188" t="n">
        <v>46096</v>
      </c>
      <c r="I455" s="189" t="s">
        <v>863</v>
      </c>
      <c r="J455" s="189" t="s">
        <v>108</v>
      </c>
      <c r="K455" s="189" t="s">
        <v>364</v>
      </c>
      <c r="L455" s="189" t="s">
        <v>346</v>
      </c>
      <c r="M455" s="189" t="s">
        <v>864</v>
      </c>
      <c r="N455" s="189" t="s">
        <v>234</v>
      </c>
      <c r="O455" s="189" t="s">
        <v>172</v>
      </c>
      <c r="P455" s="189" t="s">
        <v>111</v>
      </c>
      <c r="Q455" s="189" t="s">
        <v>112</v>
      </c>
      <c r="R455" s="189" t="s">
        <v>22</v>
      </c>
      <c r="S455" s="189" t="s">
        <v>152</v>
      </c>
      <c r="T455" s="189" t="s">
        <v>121</v>
      </c>
      <c r="U455" s="189" t="s">
        <v>122</v>
      </c>
      <c r="V455" s="189" t="s">
        <v>123</v>
      </c>
      <c r="W455" s="189" t="s">
        <v>124</v>
      </c>
      <c r="X455" s="189" t="s">
        <v>339</v>
      </c>
      <c r="Y455" s="189" t="s">
        <v>2108</v>
      </c>
      <c r="Z455" s="0" t="n">
        <v>3</v>
      </c>
      <c r="AA455" s="189" t="s">
        <v>2213</v>
      </c>
    </row>
    <row r="456" customFormat="false" ht="15" hidden="false" customHeight="true" outlineLevel="0" collapsed="false">
      <c r="A456" s="0" t="n">
        <v>91</v>
      </c>
      <c r="B456" s="188" t="n">
        <v>46109.4420372162</v>
      </c>
      <c r="C456" s="188" t="n">
        <v>46109.4583219384</v>
      </c>
      <c r="D456" s="189" t="s">
        <v>860</v>
      </c>
      <c r="E456" s="189" t="s">
        <v>861</v>
      </c>
      <c r="F456" s="189" t="s">
        <v>861</v>
      </c>
      <c r="G456" s="189" t="s">
        <v>862</v>
      </c>
      <c r="H456" s="188" t="n">
        <v>46096</v>
      </c>
      <c r="I456" s="189" t="s">
        <v>863</v>
      </c>
      <c r="J456" s="189" t="s">
        <v>108</v>
      </c>
      <c r="K456" s="189" t="s">
        <v>364</v>
      </c>
      <c r="L456" s="189" t="s">
        <v>346</v>
      </c>
      <c r="M456" s="189" t="s">
        <v>864</v>
      </c>
      <c r="N456" s="189" t="s">
        <v>234</v>
      </c>
      <c r="O456" s="189" t="s">
        <v>172</v>
      </c>
      <c r="P456" s="189" t="s">
        <v>111</v>
      </c>
      <c r="Q456" s="189" t="s">
        <v>112</v>
      </c>
      <c r="R456" s="189" t="s">
        <v>22</v>
      </c>
      <c r="S456" s="189" t="s">
        <v>152</v>
      </c>
      <c r="T456" s="189" t="s">
        <v>121</v>
      </c>
      <c r="U456" s="189" t="s">
        <v>122</v>
      </c>
      <c r="V456" s="189" t="s">
        <v>123</v>
      </c>
      <c r="W456" s="189" t="s">
        <v>124</v>
      </c>
      <c r="X456" s="189" t="s">
        <v>339</v>
      </c>
      <c r="Y456" s="189" t="s">
        <v>2110</v>
      </c>
      <c r="Z456" s="0" t="n">
        <v>1</v>
      </c>
      <c r="AA456" s="189" t="s">
        <v>2187</v>
      </c>
    </row>
    <row r="457" customFormat="false" ht="15" hidden="false" customHeight="true" outlineLevel="0" collapsed="false">
      <c r="A457" s="0" t="n">
        <v>91</v>
      </c>
      <c r="B457" s="188" t="n">
        <v>46109.4420372162</v>
      </c>
      <c r="C457" s="188" t="n">
        <v>46109.4583219384</v>
      </c>
      <c r="D457" s="189" t="s">
        <v>860</v>
      </c>
      <c r="E457" s="189" t="s">
        <v>861</v>
      </c>
      <c r="F457" s="189" t="s">
        <v>861</v>
      </c>
      <c r="G457" s="189" t="s">
        <v>862</v>
      </c>
      <c r="H457" s="188" t="n">
        <v>46096</v>
      </c>
      <c r="I457" s="189" t="s">
        <v>863</v>
      </c>
      <c r="J457" s="189" t="s">
        <v>108</v>
      </c>
      <c r="K457" s="189" t="s">
        <v>364</v>
      </c>
      <c r="L457" s="189" t="s">
        <v>346</v>
      </c>
      <c r="M457" s="189" t="s">
        <v>864</v>
      </c>
      <c r="N457" s="189" t="s">
        <v>234</v>
      </c>
      <c r="O457" s="189" t="s">
        <v>172</v>
      </c>
      <c r="P457" s="189" t="s">
        <v>111</v>
      </c>
      <c r="Q457" s="189" t="s">
        <v>112</v>
      </c>
      <c r="R457" s="189" t="s">
        <v>22</v>
      </c>
      <c r="S457" s="189" t="s">
        <v>152</v>
      </c>
      <c r="T457" s="189" t="s">
        <v>121</v>
      </c>
      <c r="U457" s="189" t="s">
        <v>122</v>
      </c>
      <c r="V457" s="189" t="s">
        <v>123</v>
      </c>
      <c r="W457" s="189" t="s">
        <v>124</v>
      </c>
      <c r="X457" s="189" t="s">
        <v>339</v>
      </c>
      <c r="Y457" s="189" t="s">
        <v>2110</v>
      </c>
      <c r="Z457" s="0" t="n">
        <v>2</v>
      </c>
      <c r="AA457" s="189" t="s">
        <v>2305</v>
      </c>
    </row>
    <row r="458" customFormat="false" ht="15" hidden="false" customHeight="true" outlineLevel="0" collapsed="false">
      <c r="A458" s="0" t="n">
        <v>91</v>
      </c>
      <c r="B458" s="188" t="n">
        <v>46109.4420372162</v>
      </c>
      <c r="C458" s="188" t="n">
        <v>46109.4583219384</v>
      </c>
      <c r="D458" s="189" t="s">
        <v>860</v>
      </c>
      <c r="E458" s="189" t="s">
        <v>861</v>
      </c>
      <c r="F458" s="189" t="s">
        <v>861</v>
      </c>
      <c r="G458" s="189" t="s">
        <v>862</v>
      </c>
      <c r="H458" s="188" t="n">
        <v>46096</v>
      </c>
      <c r="I458" s="189" t="s">
        <v>863</v>
      </c>
      <c r="J458" s="189" t="s">
        <v>108</v>
      </c>
      <c r="K458" s="189" t="s">
        <v>364</v>
      </c>
      <c r="L458" s="189" t="s">
        <v>346</v>
      </c>
      <c r="M458" s="189" t="s">
        <v>864</v>
      </c>
      <c r="N458" s="189" t="s">
        <v>234</v>
      </c>
      <c r="O458" s="189" t="s">
        <v>172</v>
      </c>
      <c r="P458" s="189" t="s">
        <v>111</v>
      </c>
      <c r="Q458" s="189" t="s">
        <v>112</v>
      </c>
      <c r="R458" s="189" t="s">
        <v>22</v>
      </c>
      <c r="S458" s="189" t="s">
        <v>152</v>
      </c>
      <c r="T458" s="189" t="s">
        <v>121</v>
      </c>
      <c r="U458" s="189" t="s">
        <v>122</v>
      </c>
      <c r="V458" s="189" t="s">
        <v>123</v>
      </c>
      <c r="W458" s="189" t="s">
        <v>124</v>
      </c>
      <c r="X458" s="189" t="s">
        <v>339</v>
      </c>
      <c r="Y458" s="189" t="s">
        <v>2113</v>
      </c>
      <c r="Z458" s="0" t="n">
        <v>1</v>
      </c>
      <c r="AA458" s="189" t="s">
        <v>2261</v>
      </c>
    </row>
    <row r="459" customFormat="false" ht="15" hidden="false" customHeight="true" outlineLevel="0" collapsed="false">
      <c r="A459" s="0" t="n">
        <v>92</v>
      </c>
      <c r="B459" s="188" t="n">
        <v>46106.7429044211</v>
      </c>
      <c r="C459" s="188" t="n">
        <v>46106.7609136804</v>
      </c>
      <c r="D459" s="189" t="s">
        <v>867</v>
      </c>
      <c r="E459" s="189" t="s">
        <v>868</v>
      </c>
      <c r="F459" s="189" t="s">
        <v>868</v>
      </c>
      <c r="G459" s="189" t="s">
        <v>869</v>
      </c>
      <c r="H459" s="188" t="n">
        <v>46095</v>
      </c>
      <c r="I459" s="189" t="s">
        <v>113</v>
      </c>
      <c r="J459" s="189" t="s">
        <v>295</v>
      </c>
      <c r="K459" s="189" t="s">
        <v>364</v>
      </c>
      <c r="L459" s="189" t="s">
        <v>491</v>
      </c>
      <c r="M459" s="189" t="s">
        <v>870</v>
      </c>
      <c r="N459" s="189" t="s">
        <v>757</v>
      </c>
      <c r="O459" s="189" t="s">
        <v>244</v>
      </c>
      <c r="P459" s="189" t="s">
        <v>111</v>
      </c>
      <c r="Q459" s="189" t="s">
        <v>145</v>
      </c>
      <c r="R459" s="189" t="s">
        <v>23</v>
      </c>
      <c r="S459" s="189" t="s">
        <v>120</v>
      </c>
      <c r="T459" s="189" t="s">
        <v>121</v>
      </c>
      <c r="U459" s="189" t="s">
        <v>122</v>
      </c>
      <c r="V459" s="189" t="s">
        <v>192</v>
      </c>
      <c r="W459" s="189" t="s">
        <v>124</v>
      </c>
      <c r="X459" s="189" t="s">
        <v>503</v>
      </c>
      <c r="Y459" s="189" t="s">
        <v>2216</v>
      </c>
      <c r="Z459" s="0" t="n">
        <v>1</v>
      </c>
      <c r="AA459" s="189" t="s">
        <v>871</v>
      </c>
    </row>
    <row r="460" customFormat="false" ht="15" hidden="false" customHeight="true" outlineLevel="0" collapsed="false">
      <c r="A460" s="0" t="n">
        <v>93</v>
      </c>
      <c r="B460" s="188" t="n">
        <v>46175.8755565321</v>
      </c>
      <c r="C460" s="188" t="n">
        <v>46175.8903713469</v>
      </c>
      <c r="D460" s="189" t="s">
        <v>872</v>
      </c>
      <c r="E460" s="189" t="s">
        <v>873</v>
      </c>
      <c r="F460" s="189" t="s">
        <v>873</v>
      </c>
      <c r="G460" s="189" t="s">
        <v>874</v>
      </c>
      <c r="H460" s="188" t="n">
        <v>46167</v>
      </c>
      <c r="I460" s="189" t="s">
        <v>132</v>
      </c>
      <c r="J460" s="189" t="s">
        <v>128</v>
      </c>
      <c r="K460" s="189" t="s">
        <v>462</v>
      </c>
      <c r="L460" s="189" t="s">
        <v>184</v>
      </c>
      <c r="M460" s="189" t="s">
        <v>736</v>
      </c>
      <c r="N460" s="189" t="s">
        <v>758</v>
      </c>
      <c r="O460" s="189" t="s">
        <v>278</v>
      </c>
      <c r="P460" s="189" t="s">
        <v>111</v>
      </c>
      <c r="Q460" s="189" t="s">
        <v>112</v>
      </c>
      <c r="R460" s="189" t="s">
        <v>21</v>
      </c>
      <c r="S460" s="189" t="s">
        <v>152</v>
      </c>
      <c r="T460" s="189" t="s">
        <v>228</v>
      </c>
      <c r="U460" s="189" t="s">
        <v>122</v>
      </c>
      <c r="V460" s="189" t="s">
        <v>192</v>
      </c>
      <c r="W460" s="189" t="s">
        <v>124</v>
      </c>
      <c r="X460" s="189" t="s">
        <v>250</v>
      </c>
      <c r="Y460" s="189" t="s">
        <v>2108</v>
      </c>
      <c r="Z460" s="0" t="n">
        <v>1</v>
      </c>
      <c r="AA460" s="189" t="s">
        <v>2151</v>
      </c>
    </row>
    <row r="461" customFormat="false" ht="15" hidden="false" customHeight="true" outlineLevel="0" collapsed="false">
      <c r="A461" s="0" t="n">
        <v>93</v>
      </c>
      <c r="B461" s="188" t="n">
        <v>46175.8755565321</v>
      </c>
      <c r="C461" s="188" t="n">
        <v>46175.8903713469</v>
      </c>
      <c r="D461" s="189" t="s">
        <v>872</v>
      </c>
      <c r="E461" s="189" t="s">
        <v>873</v>
      </c>
      <c r="F461" s="189" t="s">
        <v>873</v>
      </c>
      <c r="G461" s="189" t="s">
        <v>874</v>
      </c>
      <c r="H461" s="188" t="n">
        <v>46167</v>
      </c>
      <c r="I461" s="189" t="s">
        <v>132</v>
      </c>
      <c r="J461" s="189" t="s">
        <v>128</v>
      </c>
      <c r="K461" s="189" t="s">
        <v>462</v>
      </c>
      <c r="L461" s="189" t="s">
        <v>184</v>
      </c>
      <c r="M461" s="189" t="s">
        <v>736</v>
      </c>
      <c r="N461" s="189" t="s">
        <v>758</v>
      </c>
      <c r="O461" s="189" t="s">
        <v>278</v>
      </c>
      <c r="P461" s="189" t="s">
        <v>111</v>
      </c>
      <c r="Q461" s="189" t="s">
        <v>112</v>
      </c>
      <c r="R461" s="189" t="s">
        <v>21</v>
      </c>
      <c r="S461" s="189" t="s">
        <v>152</v>
      </c>
      <c r="T461" s="189" t="s">
        <v>228</v>
      </c>
      <c r="U461" s="189" t="s">
        <v>122</v>
      </c>
      <c r="V461" s="189" t="s">
        <v>192</v>
      </c>
      <c r="W461" s="189" t="s">
        <v>124</v>
      </c>
      <c r="X461" s="189" t="s">
        <v>250</v>
      </c>
      <c r="Y461" s="189" t="s">
        <v>2108</v>
      </c>
      <c r="Z461" s="0" t="n">
        <v>2</v>
      </c>
      <c r="AA461" s="189" t="s">
        <v>2109</v>
      </c>
    </row>
    <row r="462" customFormat="false" ht="15" hidden="false" customHeight="true" outlineLevel="0" collapsed="false">
      <c r="A462" s="0" t="n">
        <v>93</v>
      </c>
      <c r="B462" s="188" t="n">
        <v>46175.8755565321</v>
      </c>
      <c r="C462" s="188" t="n">
        <v>46175.8903713469</v>
      </c>
      <c r="D462" s="189" t="s">
        <v>872</v>
      </c>
      <c r="E462" s="189" t="s">
        <v>873</v>
      </c>
      <c r="F462" s="189" t="s">
        <v>873</v>
      </c>
      <c r="G462" s="189" t="s">
        <v>874</v>
      </c>
      <c r="H462" s="188" t="n">
        <v>46167</v>
      </c>
      <c r="I462" s="189" t="s">
        <v>132</v>
      </c>
      <c r="J462" s="189" t="s">
        <v>128</v>
      </c>
      <c r="K462" s="189" t="s">
        <v>462</v>
      </c>
      <c r="L462" s="189" t="s">
        <v>184</v>
      </c>
      <c r="M462" s="189" t="s">
        <v>736</v>
      </c>
      <c r="N462" s="189" t="s">
        <v>758</v>
      </c>
      <c r="O462" s="189" t="s">
        <v>278</v>
      </c>
      <c r="P462" s="189" t="s">
        <v>111</v>
      </c>
      <c r="Q462" s="189" t="s">
        <v>112</v>
      </c>
      <c r="R462" s="189" t="s">
        <v>21</v>
      </c>
      <c r="S462" s="189" t="s">
        <v>152</v>
      </c>
      <c r="T462" s="189" t="s">
        <v>228</v>
      </c>
      <c r="U462" s="189" t="s">
        <v>122</v>
      </c>
      <c r="V462" s="189" t="s">
        <v>192</v>
      </c>
      <c r="W462" s="189" t="s">
        <v>124</v>
      </c>
      <c r="X462" s="189" t="s">
        <v>250</v>
      </c>
      <c r="Y462" s="189" t="s">
        <v>2110</v>
      </c>
      <c r="Z462" s="0" t="n">
        <v>1</v>
      </c>
      <c r="AA462" s="189" t="s">
        <v>2255</v>
      </c>
    </row>
    <row r="463" customFormat="false" ht="15" hidden="false" customHeight="true" outlineLevel="0" collapsed="false">
      <c r="A463" s="0" t="n">
        <v>93</v>
      </c>
      <c r="B463" s="188" t="n">
        <v>46175.8755565321</v>
      </c>
      <c r="C463" s="188" t="n">
        <v>46175.8903713469</v>
      </c>
      <c r="D463" s="189" t="s">
        <v>872</v>
      </c>
      <c r="E463" s="189" t="s">
        <v>873</v>
      </c>
      <c r="F463" s="189" t="s">
        <v>873</v>
      </c>
      <c r="G463" s="189" t="s">
        <v>874</v>
      </c>
      <c r="H463" s="188" t="n">
        <v>46167</v>
      </c>
      <c r="I463" s="189" t="s">
        <v>132</v>
      </c>
      <c r="J463" s="189" t="s">
        <v>128</v>
      </c>
      <c r="K463" s="189" t="s">
        <v>462</v>
      </c>
      <c r="L463" s="189" t="s">
        <v>184</v>
      </c>
      <c r="M463" s="189" t="s">
        <v>736</v>
      </c>
      <c r="N463" s="189" t="s">
        <v>758</v>
      </c>
      <c r="O463" s="189" t="s">
        <v>278</v>
      </c>
      <c r="P463" s="189" t="s">
        <v>111</v>
      </c>
      <c r="Q463" s="189" t="s">
        <v>112</v>
      </c>
      <c r="R463" s="189" t="s">
        <v>21</v>
      </c>
      <c r="S463" s="189" t="s">
        <v>152</v>
      </c>
      <c r="T463" s="189" t="s">
        <v>228</v>
      </c>
      <c r="U463" s="189" t="s">
        <v>122</v>
      </c>
      <c r="V463" s="189" t="s">
        <v>192</v>
      </c>
      <c r="W463" s="189" t="s">
        <v>124</v>
      </c>
      <c r="X463" s="189" t="s">
        <v>250</v>
      </c>
      <c r="Y463" s="189" t="s">
        <v>2113</v>
      </c>
      <c r="Z463" s="0" t="n">
        <v>1</v>
      </c>
      <c r="AA463" s="189" t="s">
        <v>2114</v>
      </c>
    </row>
    <row r="464" customFormat="false" ht="15" hidden="false" customHeight="true" outlineLevel="0" collapsed="false">
      <c r="A464" s="0" t="n">
        <v>93</v>
      </c>
      <c r="B464" s="188" t="n">
        <v>46175.8755565321</v>
      </c>
      <c r="C464" s="188" t="n">
        <v>46175.8903713469</v>
      </c>
      <c r="D464" s="189" t="s">
        <v>872</v>
      </c>
      <c r="E464" s="189" t="s">
        <v>873</v>
      </c>
      <c r="F464" s="189" t="s">
        <v>873</v>
      </c>
      <c r="G464" s="189" t="s">
        <v>874</v>
      </c>
      <c r="H464" s="188" t="n">
        <v>46167</v>
      </c>
      <c r="I464" s="189" t="s">
        <v>132</v>
      </c>
      <c r="J464" s="189" t="s">
        <v>128</v>
      </c>
      <c r="K464" s="189" t="s">
        <v>462</v>
      </c>
      <c r="L464" s="189" t="s">
        <v>184</v>
      </c>
      <c r="M464" s="189" t="s">
        <v>736</v>
      </c>
      <c r="N464" s="189" t="s">
        <v>758</v>
      </c>
      <c r="O464" s="189" t="s">
        <v>278</v>
      </c>
      <c r="P464" s="189" t="s">
        <v>111</v>
      </c>
      <c r="Q464" s="189" t="s">
        <v>112</v>
      </c>
      <c r="R464" s="189" t="s">
        <v>21</v>
      </c>
      <c r="S464" s="189" t="s">
        <v>152</v>
      </c>
      <c r="T464" s="189" t="s">
        <v>228</v>
      </c>
      <c r="U464" s="189" t="s">
        <v>122</v>
      </c>
      <c r="V464" s="189" t="s">
        <v>192</v>
      </c>
      <c r="W464" s="189" t="s">
        <v>124</v>
      </c>
      <c r="X464" s="189" t="s">
        <v>250</v>
      </c>
      <c r="Y464" s="189" t="s">
        <v>2113</v>
      </c>
      <c r="Z464" s="0" t="n">
        <v>2</v>
      </c>
      <c r="AA464" s="189" t="s">
        <v>2152</v>
      </c>
    </row>
    <row r="465" customFormat="false" ht="15" hidden="false" customHeight="true" outlineLevel="0" collapsed="false">
      <c r="A465" s="0" t="n">
        <v>94</v>
      </c>
      <c r="B465" s="188" t="n">
        <v>46118.5879088214</v>
      </c>
      <c r="C465" s="188" t="n">
        <v>46118.6015199325</v>
      </c>
      <c r="D465" s="189" t="s">
        <v>877</v>
      </c>
      <c r="E465" s="189" t="s">
        <v>878</v>
      </c>
      <c r="F465" s="189" t="s">
        <v>878</v>
      </c>
      <c r="G465" s="189" t="s">
        <v>879</v>
      </c>
      <c r="H465" s="188" t="n">
        <v>46116</v>
      </c>
      <c r="I465" s="189" t="s">
        <v>113</v>
      </c>
      <c r="J465" s="189" t="s">
        <v>128</v>
      </c>
      <c r="K465" s="189" t="s">
        <v>232</v>
      </c>
      <c r="L465" s="189" t="s">
        <v>144</v>
      </c>
      <c r="M465" s="189" t="s">
        <v>652</v>
      </c>
      <c r="N465" s="189" t="s">
        <v>613</v>
      </c>
      <c r="O465" s="189" t="s">
        <v>157</v>
      </c>
      <c r="P465" s="189" t="s">
        <v>111</v>
      </c>
      <c r="Q465" s="189" t="s">
        <v>112</v>
      </c>
      <c r="R465" s="189" t="s">
        <v>24</v>
      </c>
      <c r="S465" s="189" t="s">
        <v>152</v>
      </c>
      <c r="T465" s="189" t="s">
        <v>180</v>
      </c>
      <c r="U465" s="189" t="s">
        <v>122</v>
      </c>
      <c r="V465" s="189" t="s">
        <v>123</v>
      </c>
      <c r="W465" s="189" t="s">
        <v>168</v>
      </c>
      <c r="X465" s="189" t="s">
        <v>19</v>
      </c>
      <c r="Y465" s="189" t="s">
        <v>2216</v>
      </c>
      <c r="Z465" s="0" t="n">
        <v>1</v>
      </c>
      <c r="AA465" s="189" t="s">
        <v>880</v>
      </c>
    </row>
    <row r="466" customFormat="false" ht="15" hidden="false" customHeight="true" outlineLevel="0" collapsed="false">
      <c r="A466" s="0" t="n">
        <v>95</v>
      </c>
      <c r="B466" s="188" t="n">
        <v>46058.1353174352</v>
      </c>
      <c r="C466" s="188" t="n">
        <v>46058.1464169722</v>
      </c>
      <c r="D466" s="189" t="s">
        <v>881</v>
      </c>
      <c r="E466" s="189" t="s">
        <v>882</v>
      </c>
      <c r="F466" s="189" t="s">
        <v>882</v>
      </c>
      <c r="G466" s="189" t="s">
        <v>883</v>
      </c>
      <c r="H466" s="188" t="n">
        <v>46047</v>
      </c>
      <c r="I466" s="189" t="s">
        <v>132</v>
      </c>
      <c r="J466" s="189" t="s">
        <v>295</v>
      </c>
      <c r="K466" s="189" t="s">
        <v>884</v>
      </c>
      <c r="L466" s="189" t="s">
        <v>144</v>
      </c>
      <c r="M466" s="189" t="s">
        <v>885</v>
      </c>
      <c r="N466" s="189" t="s">
        <v>175</v>
      </c>
      <c r="O466" s="189" t="s">
        <v>244</v>
      </c>
      <c r="P466" s="189" t="s">
        <v>111</v>
      </c>
      <c r="Q466" s="189" t="s">
        <v>112</v>
      </c>
      <c r="R466" s="189" t="s">
        <v>21</v>
      </c>
      <c r="S466" s="189" t="s">
        <v>227</v>
      </c>
      <c r="T466" s="189" t="s">
        <v>264</v>
      </c>
      <c r="U466" s="189" t="s">
        <v>122</v>
      </c>
      <c r="V466" s="189" t="s">
        <v>123</v>
      </c>
      <c r="W466" s="189" t="s">
        <v>139</v>
      </c>
      <c r="X466" s="189" t="s">
        <v>457</v>
      </c>
      <c r="Y466" s="189" t="s">
        <v>2108</v>
      </c>
      <c r="Z466" s="0" t="n">
        <v>1</v>
      </c>
      <c r="AA466" s="189" t="s">
        <v>2139</v>
      </c>
    </row>
    <row r="467" customFormat="false" ht="15" hidden="false" customHeight="true" outlineLevel="0" collapsed="false">
      <c r="A467" s="0" t="n">
        <v>95</v>
      </c>
      <c r="B467" s="188" t="n">
        <v>46058.1353174352</v>
      </c>
      <c r="C467" s="188" t="n">
        <v>46058.1464169722</v>
      </c>
      <c r="D467" s="189" t="s">
        <v>881</v>
      </c>
      <c r="E467" s="189" t="s">
        <v>882</v>
      </c>
      <c r="F467" s="189" t="s">
        <v>882</v>
      </c>
      <c r="G467" s="189" t="s">
        <v>883</v>
      </c>
      <c r="H467" s="188" t="n">
        <v>46047</v>
      </c>
      <c r="I467" s="189" t="s">
        <v>132</v>
      </c>
      <c r="J467" s="189" t="s">
        <v>295</v>
      </c>
      <c r="K467" s="189" t="s">
        <v>884</v>
      </c>
      <c r="L467" s="189" t="s">
        <v>144</v>
      </c>
      <c r="M467" s="189" t="s">
        <v>885</v>
      </c>
      <c r="N467" s="189" t="s">
        <v>175</v>
      </c>
      <c r="O467" s="189" t="s">
        <v>244</v>
      </c>
      <c r="P467" s="189" t="s">
        <v>111</v>
      </c>
      <c r="Q467" s="189" t="s">
        <v>112</v>
      </c>
      <c r="R467" s="189" t="s">
        <v>21</v>
      </c>
      <c r="S467" s="189" t="s">
        <v>227</v>
      </c>
      <c r="T467" s="189" t="s">
        <v>264</v>
      </c>
      <c r="U467" s="189" t="s">
        <v>122</v>
      </c>
      <c r="V467" s="189" t="s">
        <v>123</v>
      </c>
      <c r="W467" s="189" t="s">
        <v>139</v>
      </c>
      <c r="X467" s="189" t="s">
        <v>457</v>
      </c>
      <c r="Y467" s="189" t="s">
        <v>2110</v>
      </c>
      <c r="Z467" s="0" t="n">
        <v>1</v>
      </c>
      <c r="AA467" s="189" t="s">
        <v>122</v>
      </c>
    </row>
    <row r="468" customFormat="false" ht="15" hidden="false" customHeight="true" outlineLevel="0" collapsed="false">
      <c r="A468" s="0" t="n">
        <v>95</v>
      </c>
      <c r="B468" s="188" t="n">
        <v>46058.1353174352</v>
      </c>
      <c r="C468" s="188" t="n">
        <v>46058.1464169722</v>
      </c>
      <c r="D468" s="189" t="s">
        <v>881</v>
      </c>
      <c r="E468" s="189" t="s">
        <v>882</v>
      </c>
      <c r="F468" s="189" t="s">
        <v>882</v>
      </c>
      <c r="G468" s="189" t="s">
        <v>883</v>
      </c>
      <c r="H468" s="188" t="n">
        <v>46047</v>
      </c>
      <c r="I468" s="189" t="s">
        <v>132</v>
      </c>
      <c r="J468" s="189" t="s">
        <v>295</v>
      </c>
      <c r="K468" s="189" t="s">
        <v>884</v>
      </c>
      <c r="L468" s="189" t="s">
        <v>144</v>
      </c>
      <c r="M468" s="189" t="s">
        <v>885</v>
      </c>
      <c r="N468" s="189" t="s">
        <v>175</v>
      </c>
      <c r="O468" s="189" t="s">
        <v>244</v>
      </c>
      <c r="P468" s="189" t="s">
        <v>111</v>
      </c>
      <c r="Q468" s="189" t="s">
        <v>112</v>
      </c>
      <c r="R468" s="189" t="s">
        <v>21</v>
      </c>
      <c r="S468" s="189" t="s">
        <v>227</v>
      </c>
      <c r="T468" s="189" t="s">
        <v>264</v>
      </c>
      <c r="U468" s="189" t="s">
        <v>122</v>
      </c>
      <c r="V468" s="189" t="s">
        <v>123</v>
      </c>
      <c r="W468" s="189" t="s">
        <v>139</v>
      </c>
      <c r="X468" s="189" t="s">
        <v>457</v>
      </c>
      <c r="Y468" s="189" t="s">
        <v>2110</v>
      </c>
      <c r="Z468" s="0" t="n">
        <v>2</v>
      </c>
      <c r="AA468" s="189" t="s">
        <v>2111</v>
      </c>
    </row>
    <row r="469" customFormat="false" ht="15" hidden="false" customHeight="true" outlineLevel="0" collapsed="false">
      <c r="A469" s="0" t="n">
        <v>95</v>
      </c>
      <c r="B469" s="188" t="n">
        <v>46058.1353174352</v>
      </c>
      <c r="C469" s="188" t="n">
        <v>46058.1464169722</v>
      </c>
      <c r="D469" s="189" t="s">
        <v>881</v>
      </c>
      <c r="E469" s="189" t="s">
        <v>882</v>
      </c>
      <c r="F469" s="189" t="s">
        <v>882</v>
      </c>
      <c r="G469" s="189" t="s">
        <v>883</v>
      </c>
      <c r="H469" s="188" t="n">
        <v>46047</v>
      </c>
      <c r="I469" s="189" t="s">
        <v>132</v>
      </c>
      <c r="J469" s="189" t="s">
        <v>295</v>
      </c>
      <c r="K469" s="189" t="s">
        <v>884</v>
      </c>
      <c r="L469" s="189" t="s">
        <v>144</v>
      </c>
      <c r="M469" s="189" t="s">
        <v>885</v>
      </c>
      <c r="N469" s="189" t="s">
        <v>175</v>
      </c>
      <c r="O469" s="189" t="s">
        <v>244</v>
      </c>
      <c r="P469" s="189" t="s">
        <v>111</v>
      </c>
      <c r="Q469" s="189" t="s">
        <v>112</v>
      </c>
      <c r="R469" s="189" t="s">
        <v>21</v>
      </c>
      <c r="S469" s="189" t="s">
        <v>227</v>
      </c>
      <c r="T469" s="189" t="s">
        <v>264</v>
      </c>
      <c r="U469" s="189" t="s">
        <v>122</v>
      </c>
      <c r="V469" s="189" t="s">
        <v>123</v>
      </c>
      <c r="W469" s="189" t="s">
        <v>139</v>
      </c>
      <c r="X469" s="189" t="s">
        <v>457</v>
      </c>
      <c r="Y469" s="189" t="s">
        <v>2113</v>
      </c>
      <c r="Z469" s="0" t="n">
        <v>1</v>
      </c>
      <c r="AA469" s="189" t="s">
        <v>122</v>
      </c>
    </row>
    <row r="470" customFormat="false" ht="15" hidden="false" customHeight="true" outlineLevel="0" collapsed="false">
      <c r="A470" s="0" t="n">
        <v>95</v>
      </c>
      <c r="B470" s="188" t="n">
        <v>46058.1353174352</v>
      </c>
      <c r="C470" s="188" t="n">
        <v>46058.1464169722</v>
      </c>
      <c r="D470" s="189" t="s">
        <v>881</v>
      </c>
      <c r="E470" s="189" t="s">
        <v>882</v>
      </c>
      <c r="F470" s="189" t="s">
        <v>882</v>
      </c>
      <c r="G470" s="189" t="s">
        <v>883</v>
      </c>
      <c r="H470" s="188" t="n">
        <v>46047</v>
      </c>
      <c r="I470" s="189" t="s">
        <v>132</v>
      </c>
      <c r="J470" s="189" t="s">
        <v>295</v>
      </c>
      <c r="K470" s="189" t="s">
        <v>884</v>
      </c>
      <c r="L470" s="189" t="s">
        <v>144</v>
      </c>
      <c r="M470" s="189" t="s">
        <v>885</v>
      </c>
      <c r="N470" s="189" t="s">
        <v>175</v>
      </c>
      <c r="O470" s="189" t="s">
        <v>244</v>
      </c>
      <c r="P470" s="189" t="s">
        <v>111</v>
      </c>
      <c r="Q470" s="189" t="s">
        <v>112</v>
      </c>
      <c r="R470" s="189" t="s">
        <v>21</v>
      </c>
      <c r="S470" s="189" t="s">
        <v>227</v>
      </c>
      <c r="T470" s="189" t="s">
        <v>264</v>
      </c>
      <c r="U470" s="189" t="s">
        <v>122</v>
      </c>
      <c r="V470" s="189" t="s">
        <v>123</v>
      </c>
      <c r="W470" s="189" t="s">
        <v>139</v>
      </c>
      <c r="X470" s="189" t="s">
        <v>457</v>
      </c>
      <c r="Y470" s="189" t="s">
        <v>2113</v>
      </c>
      <c r="Z470" s="0" t="n">
        <v>2</v>
      </c>
      <c r="AA470" s="189" t="s">
        <v>2184</v>
      </c>
    </row>
    <row r="471" customFormat="false" ht="15" hidden="false" customHeight="true" outlineLevel="0" collapsed="false">
      <c r="A471" s="0" t="n">
        <v>96</v>
      </c>
      <c r="B471" s="188" t="n">
        <v>46115.1864163651</v>
      </c>
      <c r="C471" s="188" t="n">
        <v>46115.2072381244</v>
      </c>
      <c r="D471" s="189" t="s">
        <v>888</v>
      </c>
      <c r="E471" s="189" t="s">
        <v>889</v>
      </c>
      <c r="F471" s="189" t="s">
        <v>890</v>
      </c>
      <c r="G471" s="189" t="s">
        <v>891</v>
      </c>
      <c r="H471" s="188" t="n">
        <v>46097</v>
      </c>
      <c r="I471" s="189" t="s">
        <v>325</v>
      </c>
      <c r="J471" s="189" t="s">
        <v>295</v>
      </c>
      <c r="K471" s="189" t="s">
        <v>892</v>
      </c>
      <c r="L471" s="189" t="s">
        <v>130</v>
      </c>
      <c r="M471" s="189" t="s">
        <v>397</v>
      </c>
      <c r="N471" s="189" t="s">
        <v>893</v>
      </c>
      <c r="O471" s="189" t="s">
        <v>107</v>
      </c>
      <c r="P471" s="189" t="s">
        <v>111</v>
      </c>
      <c r="Q471" s="189" t="s">
        <v>112</v>
      </c>
      <c r="R471" s="189" t="s">
        <v>22</v>
      </c>
      <c r="S471" s="189" t="s">
        <v>152</v>
      </c>
      <c r="T471" s="189" t="s">
        <v>121</v>
      </c>
      <c r="V471" s="189" t="s">
        <v>123</v>
      </c>
      <c r="W471" s="189" t="s">
        <v>168</v>
      </c>
      <c r="X471" s="189" t="s">
        <v>381</v>
      </c>
      <c r="Y471" s="189" t="s">
        <v>2108</v>
      </c>
      <c r="Z471" s="0" t="n">
        <v>1</v>
      </c>
      <c r="AA471" s="189" t="s">
        <v>2293</v>
      </c>
    </row>
    <row r="472" customFormat="false" ht="15" hidden="false" customHeight="true" outlineLevel="0" collapsed="false">
      <c r="A472" s="0" t="n">
        <v>96</v>
      </c>
      <c r="B472" s="188" t="n">
        <v>46115.1864163651</v>
      </c>
      <c r="C472" s="188" t="n">
        <v>46115.2072381244</v>
      </c>
      <c r="D472" s="189" t="s">
        <v>888</v>
      </c>
      <c r="E472" s="189" t="s">
        <v>889</v>
      </c>
      <c r="F472" s="189" t="s">
        <v>890</v>
      </c>
      <c r="G472" s="189" t="s">
        <v>891</v>
      </c>
      <c r="H472" s="188" t="n">
        <v>46097</v>
      </c>
      <c r="I472" s="189" t="s">
        <v>325</v>
      </c>
      <c r="J472" s="189" t="s">
        <v>295</v>
      </c>
      <c r="K472" s="189" t="s">
        <v>892</v>
      </c>
      <c r="L472" s="189" t="s">
        <v>130</v>
      </c>
      <c r="M472" s="189" t="s">
        <v>397</v>
      </c>
      <c r="N472" s="189" t="s">
        <v>893</v>
      </c>
      <c r="O472" s="189" t="s">
        <v>107</v>
      </c>
      <c r="P472" s="189" t="s">
        <v>111</v>
      </c>
      <c r="Q472" s="189" t="s">
        <v>112</v>
      </c>
      <c r="R472" s="189" t="s">
        <v>22</v>
      </c>
      <c r="S472" s="189" t="s">
        <v>152</v>
      </c>
      <c r="T472" s="189" t="s">
        <v>121</v>
      </c>
      <c r="V472" s="189" t="s">
        <v>123</v>
      </c>
      <c r="W472" s="189" t="s">
        <v>168</v>
      </c>
      <c r="X472" s="189" t="s">
        <v>381</v>
      </c>
      <c r="Y472" s="189" t="s">
        <v>2108</v>
      </c>
      <c r="Z472" s="0" t="n">
        <v>2</v>
      </c>
      <c r="AA472" s="189" t="s">
        <v>2203</v>
      </c>
    </row>
    <row r="473" customFormat="false" ht="15" hidden="false" customHeight="true" outlineLevel="0" collapsed="false">
      <c r="A473" s="0" t="n">
        <v>96</v>
      </c>
      <c r="B473" s="188" t="n">
        <v>46115.1864163651</v>
      </c>
      <c r="C473" s="188" t="n">
        <v>46115.2072381244</v>
      </c>
      <c r="D473" s="189" t="s">
        <v>888</v>
      </c>
      <c r="E473" s="189" t="s">
        <v>889</v>
      </c>
      <c r="F473" s="189" t="s">
        <v>890</v>
      </c>
      <c r="G473" s="189" t="s">
        <v>891</v>
      </c>
      <c r="H473" s="188" t="n">
        <v>46097</v>
      </c>
      <c r="I473" s="189" t="s">
        <v>325</v>
      </c>
      <c r="J473" s="189" t="s">
        <v>295</v>
      </c>
      <c r="K473" s="189" t="s">
        <v>892</v>
      </c>
      <c r="L473" s="189" t="s">
        <v>130</v>
      </c>
      <c r="M473" s="189" t="s">
        <v>397</v>
      </c>
      <c r="N473" s="189" t="s">
        <v>893</v>
      </c>
      <c r="O473" s="189" t="s">
        <v>107</v>
      </c>
      <c r="P473" s="189" t="s">
        <v>111</v>
      </c>
      <c r="Q473" s="189" t="s">
        <v>112</v>
      </c>
      <c r="R473" s="189" t="s">
        <v>22</v>
      </c>
      <c r="S473" s="189" t="s">
        <v>152</v>
      </c>
      <c r="T473" s="189" t="s">
        <v>121</v>
      </c>
      <c r="V473" s="189" t="s">
        <v>123</v>
      </c>
      <c r="W473" s="189" t="s">
        <v>168</v>
      </c>
      <c r="X473" s="189" t="s">
        <v>381</v>
      </c>
      <c r="Y473" s="189" t="s">
        <v>2110</v>
      </c>
      <c r="Z473" s="0" t="n">
        <v>1</v>
      </c>
      <c r="AA473" s="189" t="s">
        <v>2294</v>
      </c>
    </row>
    <row r="474" customFormat="false" ht="15" hidden="false" customHeight="true" outlineLevel="0" collapsed="false">
      <c r="A474" s="0" t="n">
        <v>96</v>
      </c>
      <c r="B474" s="188" t="n">
        <v>46115.1864163651</v>
      </c>
      <c r="C474" s="188" t="n">
        <v>46115.2072381244</v>
      </c>
      <c r="D474" s="189" t="s">
        <v>888</v>
      </c>
      <c r="E474" s="189" t="s">
        <v>889</v>
      </c>
      <c r="F474" s="189" t="s">
        <v>890</v>
      </c>
      <c r="G474" s="189" t="s">
        <v>891</v>
      </c>
      <c r="H474" s="188" t="n">
        <v>46097</v>
      </c>
      <c r="I474" s="189" t="s">
        <v>325</v>
      </c>
      <c r="J474" s="189" t="s">
        <v>295</v>
      </c>
      <c r="K474" s="189" t="s">
        <v>892</v>
      </c>
      <c r="L474" s="189" t="s">
        <v>130</v>
      </c>
      <c r="M474" s="189" t="s">
        <v>397</v>
      </c>
      <c r="N474" s="189" t="s">
        <v>893</v>
      </c>
      <c r="O474" s="189" t="s">
        <v>107</v>
      </c>
      <c r="P474" s="189" t="s">
        <v>111</v>
      </c>
      <c r="Q474" s="189" t="s">
        <v>112</v>
      </c>
      <c r="R474" s="189" t="s">
        <v>22</v>
      </c>
      <c r="S474" s="189" t="s">
        <v>152</v>
      </c>
      <c r="T474" s="189" t="s">
        <v>121</v>
      </c>
      <c r="V474" s="189" t="s">
        <v>123</v>
      </c>
      <c r="W474" s="189" t="s">
        <v>168</v>
      </c>
      <c r="X474" s="189" t="s">
        <v>381</v>
      </c>
      <c r="Y474" s="189" t="s">
        <v>2113</v>
      </c>
      <c r="Z474" s="0" t="n">
        <v>1</v>
      </c>
      <c r="AA474" s="189" t="s">
        <v>2278</v>
      </c>
    </row>
    <row r="475" customFormat="false" ht="15" hidden="false" customHeight="true" outlineLevel="0" collapsed="false">
      <c r="A475" s="0" t="n">
        <v>97</v>
      </c>
      <c r="B475" s="188" t="n">
        <v>46083.9177899003</v>
      </c>
      <c r="C475" s="188" t="n">
        <v>46083.9213199929</v>
      </c>
      <c r="D475" s="189" t="s">
        <v>895</v>
      </c>
      <c r="E475" s="189" t="s">
        <v>896</v>
      </c>
      <c r="F475" s="189" t="s">
        <v>896</v>
      </c>
      <c r="G475" s="189" t="s">
        <v>897</v>
      </c>
      <c r="H475" s="188" t="n">
        <v>46074</v>
      </c>
      <c r="I475" s="189" t="s">
        <v>336</v>
      </c>
      <c r="J475" s="189" t="s">
        <v>295</v>
      </c>
      <c r="K475" s="189" t="s">
        <v>898</v>
      </c>
      <c r="L475" s="189" t="s">
        <v>144</v>
      </c>
      <c r="M475" s="189" t="s">
        <v>199</v>
      </c>
      <c r="N475" s="189" t="s">
        <v>899</v>
      </c>
      <c r="O475" s="189" t="s">
        <v>278</v>
      </c>
      <c r="P475" s="189" t="s">
        <v>111</v>
      </c>
      <c r="Q475" s="189" t="s">
        <v>145</v>
      </c>
      <c r="R475" s="189" t="s">
        <v>21</v>
      </c>
      <c r="S475" s="189" t="s">
        <v>152</v>
      </c>
      <c r="T475" s="189" t="s">
        <v>352</v>
      </c>
      <c r="V475" s="189" t="s">
        <v>192</v>
      </c>
      <c r="W475" s="189" t="s">
        <v>124</v>
      </c>
      <c r="X475" s="189" t="s">
        <v>250</v>
      </c>
      <c r="Y475" s="189" t="s">
        <v>2108</v>
      </c>
      <c r="Z475" s="0" t="n">
        <v>1</v>
      </c>
      <c r="AA475" s="189" t="s">
        <v>2151</v>
      </c>
    </row>
    <row r="476" customFormat="false" ht="15" hidden="false" customHeight="true" outlineLevel="0" collapsed="false">
      <c r="A476" s="0" t="n">
        <v>97</v>
      </c>
      <c r="B476" s="188" t="n">
        <v>46083.9177899003</v>
      </c>
      <c r="C476" s="188" t="n">
        <v>46083.9213199929</v>
      </c>
      <c r="D476" s="189" t="s">
        <v>895</v>
      </c>
      <c r="E476" s="189" t="s">
        <v>896</v>
      </c>
      <c r="F476" s="189" t="s">
        <v>896</v>
      </c>
      <c r="G476" s="189" t="s">
        <v>897</v>
      </c>
      <c r="H476" s="188" t="n">
        <v>46074</v>
      </c>
      <c r="I476" s="189" t="s">
        <v>336</v>
      </c>
      <c r="J476" s="189" t="s">
        <v>295</v>
      </c>
      <c r="K476" s="189" t="s">
        <v>898</v>
      </c>
      <c r="L476" s="189" t="s">
        <v>144</v>
      </c>
      <c r="M476" s="189" t="s">
        <v>199</v>
      </c>
      <c r="N476" s="189" t="s">
        <v>899</v>
      </c>
      <c r="O476" s="189" t="s">
        <v>278</v>
      </c>
      <c r="P476" s="189" t="s">
        <v>111</v>
      </c>
      <c r="Q476" s="189" t="s">
        <v>145</v>
      </c>
      <c r="R476" s="189" t="s">
        <v>21</v>
      </c>
      <c r="S476" s="189" t="s">
        <v>152</v>
      </c>
      <c r="T476" s="189" t="s">
        <v>352</v>
      </c>
      <c r="V476" s="189" t="s">
        <v>192</v>
      </c>
      <c r="W476" s="189" t="s">
        <v>124</v>
      </c>
      <c r="X476" s="189" t="s">
        <v>250</v>
      </c>
      <c r="Y476" s="189" t="s">
        <v>2108</v>
      </c>
      <c r="Z476" s="0" t="n">
        <v>2</v>
      </c>
      <c r="AA476" s="189" t="s">
        <v>2125</v>
      </c>
    </row>
    <row r="477" customFormat="false" ht="15" hidden="false" customHeight="true" outlineLevel="0" collapsed="false">
      <c r="A477" s="0" t="n">
        <v>97</v>
      </c>
      <c r="B477" s="188" t="n">
        <v>46083.9177899003</v>
      </c>
      <c r="C477" s="188" t="n">
        <v>46083.9213199929</v>
      </c>
      <c r="D477" s="189" t="s">
        <v>895</v>
      </c>
      <c r="E477" s="189" t="s">
        <v>896</v>
      </c>
      <c r="F477" s="189" t="s">
        <v>896</v>
      </c>
      <c r="G477" s="189" t="s">
        <v>897</v>
      </c>
      <c r="H477" s="188" t="n">
        <v>46074</v>
      </c>
      <c r="I477" s="189" t="s">
        <v>336</v>
      </c>
      <c r="J477" s="189" t="s">
        <v>295</v>
      </c>
      <c r="K477" s="189" t="s">
        <v>898</v>
      </c>
      <c r="L477" s="189" t="s">
        <v>144</v>
      </c>
      <c r="M477" s="189" t="s">
        <v>199</v>
      </c>
      <c r="N477" s="189" t="s">
        <v>899</v>
      </c>
      <c r="O477" s="189" t="s">
        <v>278</v>
      </c>
      <c r="P477" s="189" t="s">
        <v>111</v>
      </c>
      <c r="Q477" s="189" t="s">
        <v>145</v>
      </c>
      <c r="R477" s="189" t="s">
        <v>21</v>
      </c>
      <c r="S477" s="189" t="s">
        <v>152</v>
      </c>
      <c r="T477" s="189" t="s">
        <v>352</v>
      </c>
      <c r="V477" s="189" t="s">
        <v>192</v>
      </c>
      <c r="W477" s="189" t="s">
        <v>124</v>
      </c>
      <c r="X477" s="189" t="s">
        <v>250</v>
      </c>
      <c r="Y477" s="189" t="s">
        <v>2110</v>
      </c>
      <c r="Z477" s="0" t="n">
        <v>1</v>
      </c>
      <c r="AA477" s="189" t="s">
        <v>2112</v>
      </c>
    </row>
    <row r="478" customFormat="false" ht="15" hidden="false" customHeight="true" outlineLevel="0" collapsed="false">
      <c r="A478" s="0" t="n">
        <v>97</v>
      </c>
      <c r="B478" s="188" t="n">
        <v>46083.9177899003</v>
      </c>
      <c r="C478" s="188" t="n">
        <v>46083.9213199929</v>
      </c>
      <c r="D478" s="189" t="s">
        <v>895</v>
      </c>
      <c r="E478" s="189" t="s">
        <v>896</v>
      </c>
      <c r="F478" s="189" t="s">
        <v>896</v>
      </c>
      <c r="G478" s="189" t="s">
        <v>897</v>
      </c>
      <c r="H478" s="188" t="n">
        <v>46074</v>
      </c>
      <c r="I478" s="189" t="s">
        <v>336</v>
      </c>
      <c r="J478" s="189" t="s">
        <v>295</v>
      </c>
      <c r="K478" s="189" t="s">
        <v>898</v>
      </c>
      <c r="L478" s="189" t="s">
        <v>144</v>
      </c>
      <c r="M478" s="189" t="s">
        <v>199</v>
      </c>
      <c r="N478" s="189" t="s">
        <v>899</v>
      </c>
      <c r="O478" s="189" t="s">
        <v>278</v>
      </c>
      <c r="P478" s="189" t="s">
        <v>111</v>
      </c>
      <c r="Q478" s="189" t="s">
        <v>145</v>
      </c>
      <c r="R478" s="189" t="s">
        <v>21</v>
      </c>
      <c r="S478" s="189" t="s">
        <v>152</v>
      </c>
      <c r="T478" s="189" t="s">
        <v>352</v>
      </c>
      <c r="V478" s="189" t="s">
        <v>192</v>
      </c>
      <c r="W478" s="189" t="s">
        <v>124</v>
      </c>
      <c r="X478" s="189" t="s">
        <v>250</v>
      </c>
      <c r="Y478" s="189" t="s">
        <v>2110</v>
      </c>
      <c r="Z478" s="0" t="n">
        <v>2</v>
      </c>
      <c r="AA478" s="189" t="s">
        <v>2111</v>
      </c>
    </row>
    <row r="479" customFormat="false" ht="15" hidden="false" customHeight="true" outlineLevel="0" collapsed="false">
      <c r="A479" s="0" t="n">
        <v>97</v>
      </c>
      <c r="B479" s="188" t="n">
        <v>46083.9177899003</v>
      </c>
      <c r="C479" s="188" t="n">
        <v>46083.9213199929</v>
      </c>
      <c r="D479" s="189" t="s">
        <v>895</v>
      </c>
      <c r="E479" s="189" t="s">
        <v>896</v>
      </c>
      <c r="F479" s="189" t="s">
        <v>896</v>
      </c>
      <c r="G479" s="189" t="s">
        <v>897</v>
      </c>
      <c r="H479" s="188" t="n">
        <v>46074</v>
      </c>
      <c r="I479" s="189" t="s">
        <v>336</v>
      </c>
      <c r="J479" s="189" t="s">
        <v>295</v>
      </c>
      <c r="K479" s="189" t="s">
        <v>898</v>
      </c>
      <c r="L479" s="189" t="s">
        <v>144</v>
      </c>
      <c r="M479" s="189" t="s">
        <v>199</v>
      </c>
      <c r="N479" s="189" t="s">
        <v>899</v>
      </c>
      <c r="O479" s="189" t="s">
        <v>278</v>
      </c>
      <c r="P479" s="189" t="s">
        <v>111</v>
      </c>
      <c r="Q479" s="189" t="s">
        <v>145</v>
      </c>
      <c r="R479" s="189" t="s">
        <v>21</v>
      </c>
      <c r="S479" s="189" t="s">
        <v>152</v>
      </c>
      <c r="T479" s="189" t="s">
        <v>352</v>
      </c>
      <c r="V479" s="189" t="s">
        <v>192</v>
      </c>
      <c r="W479" s="189" t="s">
        <v>124</v>
      </c>
      <c r="X479" s="189" t="s">
        <v>250</v>
      </c>
      <c r="Y479" s="189" t="s">
        <v>2113</v>
      </c>
      <c r="Z479" s="0" t="n">
        <v>1</v>
      </c>
      <c r="AA479" s="189" t="s">
        <v>2127</v>
      </c>
    </row>
    <row r="480" customFormat="false" ht="15" hidden="false" customHeight="true" outlineLevel="0" collapsed="false">
      <c r="A480" s="0" t="n">
        <v>98</v>
      </c>
      <c r="B480" s="188" t="n">
        <v>46092.1516543167</v>
      </c>
      <c r="C480" s="188" t="n">
        <v>46092.1683209833</v>
      </c>
      <c r="D480" s="189" t="s">
        <v>902</v>
      </c>
      <c r="E480" s="189" t="s">
        <v>903</v>
      </c>
      <c r="F480" s="189" t="s">
        <v>903</v>
      </c>
      <c r="G480" s="189" t="s">
        <v>904</v>
      </c>
      <c r="H480" s="188" t="n">
        <v>46084</v>
      </c>
      <c r="I480" s="189" t="s">
        <v>132</v>
      </c>
      <c r="J480" s="189" t="s">
        <v>108</v>
      </c>
      <c r="K480" s="189" t="s">
        <v>143</v>
      </c>
      <c r="L480" s="189" t="s">
        <v>296</v>
      </c>
      <c r="M480" s="189" t="s">
        <v>864</v>
      </c>
      <c r="N480" s="189" t="s">
        <v>905</v>
      </c>
      <c r="O480" s="189" t="s">
        <v>713</v>
      </c>
      <c r="P480" s="189" t="s">
        <v>131</v>
      </c>
      <c r="Q480" s="189" t="s">
        <v>112</v>
      </c>
      <c r="R480" s="189" t="s">
        <v>21</v>
      </c>
      <c r="S480" s="189" t="s">
        <v>120</v>
      </c>
      <c r="T480" s="189" t="s">
        <v>121</v>
      </c>
      <c r="V480" s="189" t="s">
        <v>123</v>
      </c>
      <c r="W480" s="189" t="s">
        <v>168</v>
      </c>
      <c r="X480" s="189" t="s">
        <v>374</v>
      </c>
      <c r="Y480" s="189" t="s">
        <v>2108</v>
      </c>
      <c r="Z480" s="0" t="n">
        <v>1</v>
      </c>
      <c r="AA480" s="189" t="s">
        <v>2199</v>
      </c>
    </row>
    <row r="481" customFormat="false" ht="15" hidden="false" customHeight="true" outlineLevel="0" collapsed="false">
      <c r="A481" s="0" t="n">
        <v>98</v>
      </c>
      <c r="B481" s="188" t="n">
        <v>46092.1516543167</v>
      </c>
      <c r="C481" s="188" t="n">
        <v>46092.1683209833</v>
      </c>
      <c r="D481" s="189" t="s">
        <v>902</v>
      </c>
      <c r="E481" s="189" t="s">
        <v>903</v>
      </c>
      <c r="F481" s="189" t="s">
        <v>903</v>
      </c>
      <c r="G481" s="189" t="s">
        <v>904</v>
      </c>
      <c r="H481" s="188" t="n">
        <v>46084</v>
      </c>
      <c r="I481" s="189" t="s">
        <v>132</v>
      </c>
      <c r="J481" s="189" t="s">
        <v>108</v>
      </c>
      <c r="K481" s="189" t="s">
        <v>143</v>
      </c>
      <c r="L481" s="189" t="s">
        <v>296</v>
      </c>
      <c r="M481" s="189" t="s">
        <v>864</v>
      </c>
      <c r="N481" s="189" t="s">
        <v>905</v>
      </c>
      <c r="O481" s="189" t="s">
        <v>713</v>
      </c>
      <c r="P481" s="189" t="s">
        <v>131</v>
      </c>
      <c r="Q481" s="189" t="s">
        <v>112</v>
      </c>
      <c r="R481" s="189" t="s">
        <v>21</v>
      </c>
      <c r="S481" s="189" t="s">
        <v>120</v>
      </c>
      <c r="T481" s="189" t="s">
        <v>121</v>
      </c>
      <c r="V481" s="189" t="s">
        <v>123</v>
      </c>
      <c r="W481" s="189" t="s">
        <v>168</v>
      </c>
      <c r="X481" s="189" t="s">
        <v>374</v>
      </c>
      <c r="Y481" s="189" t="s">
        <v>2110</v>
      </c>
      <c r="Z481" s="0" t="n">
        <v>1</v>
      </c>
      <c r="AA481" s="189" t="s">
        <v>2258</v>
      </c>
    </row>
    <row r="482" customFormat="false" ht="15" hidden="false" customHeight="true" outlineLevel="0" collapsed="false">
      <c r="A482" s="0" t="n">
        <v>98</v>
      </c>
      <c r="B482" s="188" t="n">
        <v>46092.1516543167</v>
      </c>
      <c r="C482" s="188" t="n">
        <v>46092.1683209833</v>
      </c>
      <c r="D482" s="189" t="s">
        <v>902</v>
      </c>
      <c r="E482" s="189" t="s">
        <v>903</v>
      </c>
      <c r="F482" s="189" t="s">
        <v>903</v>
      </c>
      <c r="G482" s="189" t="s">
        <v>904</v>
      </c>
      <c r="H482" s="188" t="n">
        <v>46084</v>
      </c>
      <c r="I482" s="189" t="s">
        <v>132</v>
      </c>
      <c r="J482" s="189" t="s">
        <v>108</v>
      </c>
      <c r="K482" s="189" t="s">
        <v>143</v>
      </c>
      <c r="L482" s="189" t="s">
        <v>296</v>
      </c>
      <c r="M482" s="189" t="s">
        <v>864</v>
      </c>
      <c r="N482" s="189" t="s">
        <v>905</v>
      </c>
      <c r="O482" s="189" t="s">
        <v>713</v>
      </c>
      <c r="P482" s="189" t="s">
        <v>131</v>
      </c>
      <c r="Q482" s="189" t="s">
        <v>112</v>
      </c>
      <c r="R482" s="189" t="s">
        <v>21</v>
      </c>
      <c r="S482" s="189" t="s">
        <v>120</v>
      </c>
      <c r="T482" s="189" t="s">
        <v>121</v>
      </c>
      <c r="V482" s="189" t="s">
        <v>123</v>
      </c>
      <c r="W482" s="189" t="s">
        <v>168</v>
      </c>
      <c r="X482" s="189" t="s">
        <v>374</v>
      </c>
      <c r="Y482" s="189" t="s">
        <v>2110</v>
      </c>
      <c r="Z482" s="0" t="n">
        <v>2</v>
      </c>
      <c r="AA482" s="189" t="s">
        <v>2306</v>
      </c>
    </row>
    <row r="483" customFormat="false" ht="15" hidden="false" customHeight="true" outlineLevel="0" collapsed="false">
      <c r="A483" s="0" t="n">
        <v>98</v>
      </c>
      <c r="B483" s="188" t="n">
        <v>46092.1516543167</v>
      </c>
      <c r="C483" s="188" t="n">
        <v>46092.1683209833</v>
      </c>
      <c r="D483" s="189" t="s">
        <v>902</v>
      </c>
      <c r="E483" s="189" t="s">
        <v>903</v>
      </c>
      <c r="F483" s="189" t="s">
        <v>903</v>
      </c>
      <c r="G483" s="189" t="s">
        <v>904</v>
      </c>
      <c r="H483" s="188" t="n">
        <v>46084</v>
      </c>
      <c r="I483" s="189" t="s">
        <v>132</v>
      </c>
      <c r="J483" s="189" t="s">
        <v>108</v>
      </c>
      <c r="K483" s="189" t="s">
        <v>143</v>
      </c>
      <c r="L483" s="189" t="s">
        <v>296</v>
      </c>
      <c r="M483" s="189" t="s">
        <v>864</v>
      </c>
      <c r="N483" s="189" t="s">
        <v>905</v>
      </c>
      <c r="O483" s="189" t="s">
        <v>713</v>
      </c>
      <c r="P483" s="189" t="s">
        <v>131</v>
      </c>
      <c r="Q483" s="189" t="s">
        <v>112</v>
      </c>
      <c r="R483" s="189" t="s">
        <v>21</v>
      </c>
      <c r="S483" s="189" t="s">
        <v>120</v>
      </c>
      <c r="T483" s="189" t="s">
        <v>121</v>
      </c>
      <c r="V483" s="189" t="s">
        <v>123</v>
      </c>
      <c r="W483" s="189" t="s">
        <v>168</v>
      </c>
      <c r="X483" s="189" t="s">
        <v>374</v>
      </c>
      <c r="Y483" s="189" t="s">
        <v>2113</v>
      </c>
      <c r="Z483" s="0" t="n">
        <v>1</v>
      </c>
      <c r="AA483" s="189" t="s">
        <v>2202</v>
      </c>
    </row>
    <row r="484" customFormat="false" ht="15" hidden="false" customHeight="true" outlineLevel="0" collapsed="false">
      <c r="A484" s="0" t="n">
        <v>98</v>
      </c>
      <c r="B484" s="188" t="n">
        <v>46092.1516543167</v>
      </c>
      <c r="C484" s="188" t="n">
        <v>46092.1683209833</v>
      </c>
      <c r="D484" s="189" t="s">
        <v>902</v>
      </c>
      <c r="E484" s="189" t="s">
        <v>903</v>
      </c>
      <c r="F484" s="189" t="s">
        <v>903</v>
      </c>
      <c r="G484" s="189" t="s">
        <v>904</v>
      </c>
      <c r="H484" s="188" t="n">
        <v>46084</v>
      </c>
      <c r="I484" s="189" t="s">
        <v>132</v>
      </c>
      <c r="J484" s="189" t="s">
        <v>108</v>
      </c>
      <c r="K484" s="189" t="s">
        <v>143</v>
      </c>
      <c r="L484" s="189" t="s">
        <v>296</v>
      </c>
      <c r="M484" s="189" t="s">
        <v>864</v>
      </c>
      <c r="N484" s="189" t="s">
        <v>905</v>
      </c>
      <c r="O484" s="189" t="s">
        <v>713</v>
      </c>
      <c r="P484" s="189" t="s">
        <v>131</v>
      </c>
      <c r="Q484" s="189" t="s">
        <v>112</v>
      </c>
      <c r="R484" s="189" t="s">
        <v>21</v>
      </c>
      <c r="S484" s="189" t="s">
        <v>120</v>
      </c>
      <c r="T484" s="189" t="s">
        <v>121</v>
      </c>
      <c r="V484" s="189" t="s">
        <v>123</v>
      </c>
      <c r="W484" s="189" t="s">
        <v>168</v>
      </c>
      <c r="X484" s="189" t="s">
        <v>374</v>
      </c>
      <c r="Y484" s="189" t="s">
        <v>2113</v>
      </c>
      <c r="Z484" s="0" t="n">
        <v>2</v>
      </c>
      <c r="AA484" s="189" t="s">
        <v>2201</v>
      </c>
    </row>
    <row r="485" customFormat="false" ht="15" hidden="false" customHeight="true" outlineLevel="0" collapsed="false">
      <c r="A485" s="0" t="n">
        <v>99</v>
      </c>
      <c r="B485" s="188" t="n">
        <v>46076.0081091689</v>
      </c>
      <c r="C485" s="188" t="n">
        <v>46076.0164887985</v>
      </c>
      <c r="D485" s="189" t="s">
        <v>909</v>
      </c>
      <c r="E485" s="189" t="s">
        <v>910</v>
      </c>
      <c r="F485" s="189" t="s">
        <v>910</v>
      </c>
      <c r="G485" s="189" t="s">
        <v>911</v>
      </c>
      <c r="H485" s="188" t="n">
        <v>46059</v>
      </c>
      <c r="I485" s="189" t="s">
        <v>113</v>
      </c>
      <c r="J485" s="189" t="s">
        <v>108</v>
      </c>
      <c r="K485" s="189" t="s">
        <v>245</v>
      </c>
      <c r="L485" s="189" t="s">
        <v>286</v>
      </c>
      <c r="M485" s="189" t="s">
        <v>864</v>
      </c>
      <c r="N485" s="189" t="s">
        <v>249</v>
      </c>
      <c r="O485" s="189" t="s">
        <v>172</v>
      </c>
      <c r="P485" s="189" t="s">
        <v>111</v>
      </c>
      <c r="Q485" s="189" t="s">
        <v>145</v>
      </c>
      <c r="R485" s="189" t="s">
        <v>24</v>
      </c>
      <c r="S485" s="189" t="s">
        <v>152</v>
      </c>
      <c r="T485" s="189" t="s">
        <v>180</v>
      </c>
      <c r="U485" s="189" t="s">
        <v>122</v>
      </c>
      <c r="V485" s="189" t="s">
        <v>123</v>
      </c>
      <c r="W485" s="189" t="s">
        <v>168</v>
      </c>
      <c r="X485" s="189" t="s">
        <v>214</v>
      </c>
      <c r="Y485" s="189" t="s">
        <v>2108</v>
      </c>
      <c r="Z485" s="0" t="n">
        <v>1</v>
      </c>
      <c r="AA485" s="189" t="s">
        <v>2183</v>
      </c>
    </row>
    <row r="486" customFormat="false" ht="15" hidden="false" customHeight="true" outlineLevel="0" collapsed="false">
      <c r="A486" s="0" t="n">
        <v>99</v>
      </c>
      <c r="B486" s="188" t="n">
        <v>46076.0081091689</v>
      </c>
      <c r="C486" s="188" t="n">
        <v>46076.0164887985</v>
      </c>
      <c r="D486" s="189" t="s">
        <v>909</v>
      </c>
      <c r="E486" s="189" t="s">
        <v>910</v>
      </c>
      <c r="F486" s="189" t="s">
        <v>910</v>
      </c>
      <c r="G486" s="189" t="s">
        <v>911</v>
      </c>
      <c r="H486" s="188" t="n">
        <v>46059</v>
      </c>
      <c r="I486" s="189" t="s">
        <v>113</v>
      </c>
      <c r="J486" s="189" t="s">
        <v>108</v>
      </c>
      <c r="K486" s="189" t="s">
        <v>245</v>
      </c>
      <c r="L486" s="189" t="s">
        <v>286</v>
      </c>
      <c r="M486" s="189" t="s">
        <v>864</v>
      </c>
      <c r="N486" s="189" t="s">
        <v>249</v>
      </c>
      <c r="O486" s="189" t="s">
        <v>172</v>
      </c>
      <c r="P486" s="189" t="s">
        <v>111</v>
      </c>
      <c r="Q486" s="189" t="s">
        <v>145</v>
      </c>
      <c r="R486" s="189" t="s">
        <v>24</v>
      </c>
      <c r="S486" s="189" t="s">
        <v>152</v>
      </c>
      <c r="T486" s="189" t="s">
        <v>180</v>
      </c>
      <c r="U486" s="189" t="s">
        <v>122</v>
      </c>
      <c r="V486" s="189" t="s">
        <v>123</v>
      </c>
      <c r="W486" s="189" t="s">
        <v>168</v>
      </c>
      <c r="X486" s="189" t="s">
        <v>214</v>
      </c>
      <c r="Y486" s="189" t="s">
        <v>2108</v>
      </c>
      <c r="Z486" s="0" t="n">
        <v>2</v>
      </c>
      <c r="AA486" s="189" t="s">
        <v>2139</v>
      </c>
    </row>
    <row r="487" customFormat="false" ht="15" hidden="false" customHeight="true" outlineLevel="0" collapsed="false">
      <c r="A487" s="0" t="n">
        <v>99</v>
      </c>
      <c r="B487" s="188" t="n">
        <v>46076.0081091689</v>
      </c>
      <c r="C487" s="188" t="n">
        <v>46076.0164887985</v>
      </c>
      <c r="D487" s="189" t="s">
        <v>909</v>
      </c>
      <c r="E487" s="189" t="s">
        <v>910</v>
      </c>
      <c r="F487" s="189" t="s">
        <v>910</v>
      </c>
      <c r="G487" s="189" t="s">
        <v>911</v>
      </c>
      <c r="H487" s="188" t="n">
        <v>46059</v>
      </c>
      <c r="I487" s="189" t="s">
        <v>113</v>
      </c>
      <c r="J487" s="189" t="s">
        <v>108</v>
      </c>
      <c r="K487" s="189" t="s">
        <v>245</v>
      </c>
      <c r="L487" s="189" t="s">
        <v>286</v>
      </c>
      <c r="M487" s="189" t="s">
        <v>864</v>
      </c>
      <c r="N487" s="189" t="s">
        <v>249</v>
      </c>
      <c r="O487" s="189" t="s">
        <v>172</v>
      </c>
      <c r="P487" s="189" t="s">
        <v>111</v>
      </c>
      <c r="Q487" s="189" t="s">
        <v>145</v>
      </c>
      <c r="R487" s="189" t="s">
        <v>24</v>
      </c>
      <c r="S487" s="189" t="s">
        <v>152</v>
      </c>
      <c r="T487" s="189" t="s">
        <v>180</v>
      </c>
      <c r="U487" s="189" t="s">
        <v>122</v>
      </c>
      <c r="V487" s="189" t="s">
        <v>123</v>
      </c>
      <c r="W487" s="189" t="s">
        <v>168</v>
      </c>
      <c r="X487" s="189" t="s">
        <v>214</v>
      </c>
      <c r="Y487" s="189" t="s">
        <v>2108</v>
      </c>
      <c r="Z487" s="0" t="n">
        <v>3</v>
      </c>
      <c r="AA487" s="189" t="s">
        <v>2109</v>
      </c>
    </row>
    <row r="488" customFormat="false" ht="15" hidden="false" customHeight="true" outlineLevel="0" collapsed="false">
      <c r="A488" s="0" t="n">
        <v>99</v>
      </c>
      <c r="B488" s="188" t="n">
        <v>46076.0081091689</v>
      </c>
      <c r="C488" s="188" t="n">
        <v>46076.0164887985</v>
      </c>
      <c r="D488" s="189" t="s">
        <v>909</v>
      </c>
      <c r="E488" s="189" t="s">
        <v>910</v>
      </c>
      <c r="F488" s="189" t="s">
        <v>910</v>
      </c>
      <c r="G488" s="189" t="s">
        <v>911</v>
      </c>
      <c r="H488" s="188" t="n">
        <v>46059</v>
      </c>
      <c r="I488" s="189" t="s">
        <v>113</v>
      </c>
      <c r="J488" s="189" t="s">
        <v>108</v>
      </c>
      <c r="K488" s="189" t="s">
        <v>245</v>
      </c>
      <c r="L488" s="189" t="s">
        <v>286</v>
      </c>
      <c r="M488" s="189" t="s">
        <v>864</v>
      </c>
      <c r="N488" s="189" t="s">
        <v>249</v>
      </c>
      <c r="O488" s="189" t="s">
        <v>172</v>
      </c>
      <c r="P488" s="189" t="s">
        <v>111</v>
      </c>
      <c r="Q488" s="189" t="s">
        <v>145</v>
      </c>
      <c r="R488" s="189" t="s">
        <v>24</v>
      </c>
      <c r="S488" s="189" t="s">
        <v>152</v>
      </c>
      <c r="T488" s="189" t="s">
        <v>180</v>
      </c>
      <c r="U488" s="189" t="s">
        <v>122</v>
      </c>
      <c r="V488" s="189" t="s">
        <v>123</v>
      </c>
      <c r="W488" s="189" t="s">
        <v>168</v>
      </c>
      <c r="X488" s="189" t="s">
        <v>214</v>
      </c>
      <c r="Y488" s="189" t="s">
        <v>2110</v>
      </c>
      <c r="Z488" s="0" t="n">
        <v>1</v>
      </c>
      <c r="AA488" s="189" t="s">
        <v>2126</v>
      </c>
    </row>
    <row r="489" customFormat="false" ht="15" hidden="false" customHeight="true" outlineLevel="0" collapsed="false">
      <c r="A489" s="0" t="n">
        <v>99</v>
      </c>
      <c r="B489" s="188" t="n">
        <v>46076.0081091689</v>
      </c>
      <c r="C489" s="188" t="n">
        <v>46076.0164887985</v>
      </c>
      <c r="D489" s="189" t="s">
        <v>909</v>
      </c>
      <c r="E489" s="189" t="s">
        <v>910</v>
      </c>
      <c r="F489" s="189" t="s">
        <v>910</v>
      </c>
      <c r="G489" s="189" t="s">
        <v>911</v>
      </c>
      <c r="H489" s="188" t="n">
        <v>46059</v>
      </c>
      <c r="I489" s="189" t="s">
        <v>113</v>
      </c>
      <c r="J489" s="189" t="s">
        <v>108</v>
      </c>
      <c r="K489" s="189" t="s">
        <v>245</v>
      </c>
      <c r="L489" s="189" t="s">
        <v>286</v>
      </c>
      <c r="M489" s="189" t="s">
        <v>864</v>
      </c>
      <c r="N489" s="189" t="s">
        <v>249</v>
      </c>
      <c r="O489" s="189" t="s">
        <v>172</v>
      </c>
      <c r="P489" s="189" t="s">
        <v>111</v>
      </c>
      <c r="Q489" s="189" t="s">
        <v>145</v>
      </c>
      <c r="R489" s="189" t="s">
        <v>24</v>
      </c>
      <c r="S489" s="189" t="s">
        <v>152</v>
      </c>
      <c r="T489" s="189" t="s">
        <v>180</v>
      </c>
      <c r="U489" s="189" t="s">
        <v>122</v>
      </c>
      <c r="V489" s="189" t="s">
        <v>123</v>
      </c>
      <c r="W489" s="189" t="s">
        <v>168</v>
      </c>
      <c r="X489" s="189" t="s">
        <v>214</v>
      </c>
      <c r="Y489" s="189" t="s">
        <v>2110</v>
      </c>
      <c r="Z489" s="0" t="n">
        <v>2</v>
      </c>
      <c r="AA489" s="189" t="s">
        <v>2255</v>
      </c>
    </row>
    <row r="490" customFormat="false" ht="15" hidden="false" customHeight="true" outlineLevel="0" collapsed="false">
      <c r="A490" s="0" t="n">
        <v>99</v>
      </c>
      <c r="B490" s="188" t="n">
        <v>46076.0081091689</v>
      </c>
      <c r="C490" s="188" t="n">
        <v>46076.0164887985</v>
      </c>
      <c r="D490" s="189" t="s">
        <v>909</v>
      </c>
      <c r="E490" s="189" t="s">
        <v>910</v>
      </c>
      <c r="F490" s="189" t="s">
        <v>910</v>
      </c>
      <c r="G490" s="189" t="s">
        <v>911</v>
      </c>
      <c r="H490" s="188" t="n">
        <v>46059</v>
      </c>
      <c r="I490" s="189" t="s">
        <v>113</v>
      </c>
      <c r="J490" s="189" t="s">
        <v>108</v>
      </c>
      <c r="K490" s="189" t="s">
        <v>245</v>
      </c>
      <c r="L490" s="189" t="s">
        <v>286</v>
      </c>
      <c r="M490" s="189" t="s">
        <v>864</v>
      </c>
      <c r="N490" s="189" t="s">
        <v>249</v>
      </c>
      <c r="O490" s="189" t="s">
        <v>172</v>
      </c>
      <c r="P490" s="189" t="s">
        <v>111</v>
      </c>
      <c r="Q490" s="189" t="s">
        <v>145</v>
      </c>
      <c r="R490" s="189" t="s">
        <v>24</v>
      </c>
      <c r="S490" s="189" t="s">
        <v>152</v>
      </c>
      <c r="T490" s="189" t="s">
        <v>180</v>
      </c>
      <c r="U490" s="189" t="s">
        <v>122</v>
      </c>
      <c r="V490" s="189" t="s">
        <v>123</v>
      </c>
      <c r="W490" s="189" t="s">
        <v>168</v>
      </c>
      <c r="X490" s="189" t="s">
        <v>214</v>
      </c>
      <c r="Y490" s="189" t="s">
        <v>2113</v>
      </c>
      <c r="Z490" s="0" t="n">
        <v>1</v>
      </c>
      <c r="AA490" s="189" t="s">
        <v>2152</v>
      </c>
    </row>
    <row r="491" customFormat="false" ht="15" hidden="false" customHeight="true" outlineLevel="0" collapsed="false">
      <c r="A491" s="0" t="n">
        <v>99</v>
      </c>
      <c r="B491" s="188" t="n">
        <v>46076.0081091689</v>
      </c>
      <c r="C491" s="188" t="n">
        <v>46076.0164887985</v>
      </c>
      <c r="D491" s="189" t="s">
        <v>909</v>
      </c>
      <c r="E491" s="189" t="s">
        <v>910</v>
      </c>
      <c r="F491" s="189" t="s">
        <v>910</v>
      </c>
      <c r="G491" s="189" t="s">
        <v>911</v>
      </c>
      <c r="H491" s="188" t="n">
        <v>46059</v>
      </c>
      <c r="I491" s="189" t="s">
        <v>113</v>
      </c>
      <c r="J491" s="189" t="s">
        <v>108</v>
      </c>
      <c r="K491" s="189" t="s">
        <v>245</v>
      </c>
      <c r="L491" s="189" t="s">
        <v>286</v>
      </c>
      <c r="M491" s="189" t="s">
        <v>864</v>
      </c>
      <c r="N491" s="189" t="s">
        <v>249</v>
      </c>
      <c r="O491" s="189" t="s">
        <v>172</v>
      </c>
      <c r="P491" s="189" t="s">
        <v>111</v>
      </c>
      <c r="Q491" s="189" t="s">
        <v>145</v>
      </c>
      <c r="R491" s="189" t="s">
        <v>24</v>
      </c>
      <c r="S491" s="189" t="s">
        <v>152</v>
      </c>
      <c r="T491" s="189" t="s">
        <v>180</v>
      </c>
      <c r="U491" s="189" t="s">
        <v>122</v>
      </c>
      <c r="V491" s="189" t="s">
        <v>123</v>
      </c>
      <c r="W491" s="189" t="s">
        <v>168</v>
      </c>
      <c r="X491" s="189" t="s">
        <v>214</v>
      </c>
      <c r="Y491" s="189" t="s">
        <v>2113</v>
      </c>
      <c r="Z491" s="0" t="n">
        <v>2</v>
      </c>
      <c r="AA491" s="189" t="s">
        <v>2114</v>
      </c>
    </row>
    <row r="492" customFormat="false" ht="15" hidden="false" customHeight="true" outlineLevel="0" collapsed="false">
      <c r="A492" s="0" t="n">
        <v>100</v>
      </c>
      <c r="B492" s="188" t="n">
        <v>46109.5199522482</v>
      </c>
      <c r="C492" s="188" t="n">
        <v>46109.5268503964</v>
      </c>
      <c r="D492" s="189" t="s">
        <v>915</v>
      </c>
      <c r="E492" s="189" t="s">
        <v>916</v>
      </c>
      <c r="F492" s="189" t="s">
        <v>917</v>
      </c>
      <c r="G492" s="189" t="s">
        <v>918</v>
      </c>
      <c r="H492" s="188" t="n">
        <v>46102</v>
      </c>
      <c r="I492" s="189" t="s">
        <v>113</v>
      </c>
      <c r="J492" s="189" t="s">
        <v>295</v>
      </c>
      <c r="K492" s="189" t="s">
        <v>173</v>
      </c>
      <c r="L492" s="189" t="s">
        <v>184</v>
      </c>
      <c r="M492" s="189" t="s">
        <v>174</v>
      </c>
      <c r="N492" s="189" t="s">
        <v>523</v>
      </c>
      <c r="O492" s="189" t="s">
        <v>107</v>
      </c>
      <c r="P492" s="189" t="s">
        <v>111</v>
      </c>
      <c r="Q492" s="189" t="s">
        <v>198</v>
      </c>
      <c r="R492" s="189" t="s">
        <v>22</v>
      </c>
      <c r="S492" s="189" t="s">
        <v>152</v>
      </c>
      <c r="T492" s="189" t="s">
        <v>121</v>
      </c>
      <c r="V492" s="189" t="s">
        <v>192</v>
      </c>
      <c r="W492" s="189" t="s">
        <v>124</v>
      </c>
      <c r="X492" s="189" t="s">
        <v>271</v>
      </c>
      <c r="Y492" s="189" t="s">
        <v>2108</v>
      </c>
      <c r="Z492" s="0" t="n">
        <v>1</v>
      </c>
      <c r="AA492" s="189" t="s">
        <v>2180</v>
      </c>
    </row>
    <row r="493" customFormat="false" ht="15" hidden="false" customHeight="true" outlineLevel="0" collapsed="false">
      <c r="A493" s="0" t="n">
        <v>100</v>
      </c>
      <c r="B493" s="188" t="n">
        <v>46109.5199522482</v>
      </c>
      <c r="C493" s="188" t="n">
        <v>46109.5268503964</v>
      </c>
      <c r="D493" s="189" t="s">
        <v>915</v>
      </c>
      <c r="E493" s="189" t="s">
        <v>916</v>
      </c>
      <c r="F493" s="189" t="s">
        <v>917</v>
      </c>
      <c r="G493" s="189" t="s">
        <v>918</v>
      </c>
      <c r="H493" s="188" t="n">
        <v>46102</v>
      </c>
      <c r="I493" s="189" t="s">
        <v>113</v>
      </c>
      <c r="J493" s="189" t="s">
        <v>295</v>
      </c>
      <c r="K493" s="189" t="s">
        <v>173</v>
      </c>
      <c r="L493" s="189" t="s">
        <v>184</v>
      </c>
      <c r="M493" s="189" t="s">
        <v>174</v>
      </c>
      <c r="N493" s="189" t="s">
        <v>523</v>
      </c>
      <c r="O493" s="189" t="s">
        <v>107</v>
      </c>
      <c r="P493" s="189" t="s">
        <v>111</v>
      </c>
      <c r="Q493" s="189" t="s">
        <v>198</v>
      </c>
      <c r="R493" s="189" t="s">
        <v>22</v>
      </c>
      <c r="S493" s="189" t="s">
        <v>152</v>
      </c>
      <c r="T493" s="189" t="s">
        <v>121</v>
      </c>
      <c r="V493" s="189" t="s">
        <v>192</v>
      </c>
      <c r="W493" s="189" t="s">
        <v>124</v>
      </c>
      <c r="X493" s="189" t="s">
        <v>271</v>
      </c>
      <c r="Y493" s="189" t="s">
        <v>2108</v>
      </c>
      <c r="Z493" s="0" t="n">
        <v>2</v>
      </c>
      <c r="AA493" s="189" t="s">
        <v>2159</v>
      </c>
    </row>
    <row r="494" customFormat="false" ht="15" hidden="false" customHeight="true" outlineLevel="0" collapsed="false">
      <c r="A494" s="0" t="n">
        <v>100</v>
      </c>
      <c r="B494" s="188" t="n">
        <v>46109.5199522482</v>
      </c>
      <c r="C494" s="188" t="n">
        <v>46109.5268503964</v>
      </c>
      <c r="D494" s="189" t="s">
        <v>915</v>
      </c>
      <c r="E494" s="189" t="s">
        <v>916</v>
      </c>
      <c r="F494" s="189" t="s">
        <v>917</v>
      </c>
      <c r="G494" s="189" t="s">
        <v>918</v>
      </c>
      <c r="H494" s="188" t="n">
        <v>46102</v>
      </c>
      <c r="I494" s="189" t="s">
        <v>113</v>
      </c>
      <c r="J494" s="189" t="s">
        <v>295</v>
      </c>
      <c r="K494" s="189" t="s">
        <v>173</v>
      </c>
      <c r="L494" s="189" t="s">
        <v>184</v>
      </c>
      <c r="M494" s="189" t="s">
        <v>174</v>
      </c>
      <c r="N494" s="189" t="s">
        <v>523</v>
      </c>
      <c r="O494" s="189" t="s">
        <v>107</v>
      </c>
      <c r="P494" s="189" t="s">
        <v>111</v>
      </c>
      <c r="Q494" s="189" t="s">
        <v>198</v>
      </c>
      <c r="R494" s="189" t="s">
        <v>22</v>
      </c>
      <c r="S494" s="189" t="s">
        <v>152</v>
      </c>
      <c r="T494" s="189" t="s">
        <v>121</v>
      </c>
      <c r="V494" s="189" t="s">
        <v>192</v>
      </c>
      <c r="W494" s="189" t="s">
        <v>124</v>
      </c>
      <c r="X494" s="189" t="s">
        <v>271</v>
      </c>
      <c r="Y494" s="189" t="s">
        <v>2108</v>
      </c>
      <c r="Z494" s="0" t="n">
        <v>3</v>
      </c>
      <c r="AA494" s="189" t="s">
        <v>2158</v>
      </c>
    </row>
    <row r="495" customFormat="false" ht="15" hidden="false" customHeight="true" outlineLevel="0" collapsed="false">
      <c r="A495" s="0" t="n">
        <v>100</v>
      </c>
      <c r="B495" s="188" t="n">
        <v>46109.5199522482</v>
      </c>
      <c r="C495" s="188" t="n">
        <v>46109.5268503964</v>
      </c>
      <c r="D495" s="189" t="s">
        <v>915</v>
      </c>
      <c r="E495" s="189" t="s">
        <v>916</v>
      </c>
      <c r="F495" s="189" t="s">
        <v>917</v>
      </c>
      <c r="G495" s="189" t="s">
        <v>918</v>
      </c>
      <c r="H495" s="188" t="n">
        <v>46102</v>
      </c>
      <c r="I495" s="189" t="s">
        <v>113</v>
      </c>
      <c r="J495" s="189" t="s">
        <v>295</v>
      </c>
      <c r="K495" s="189" t="s">
        <v>173</v>
      </c>
      <c r="L495" s="189" t="s">
        <v>184</v>
      </c>
      <c r="M495" s="189" t="s">
        <v>174</v>
      </c>
      <c r="N495" s="189" t="s">
        <v>523</v>
      </c>
      <c r="O495" s="189" t="s">
        <v>107</v>
      </c>
      <c r="P495" s="189" t="s">
        <v>111</v>
      </c>
      <c r="Q495" s="189" t="s">
        <v>198</v>
      </c>
      <c r="R495" s="189" t="s">
        <v>22</v>
      </c>
      <c r="S495" s="189" t="s">
        <v>152</v>
      </c>
      <c r="T495" s="189" t="s">
        <v>121</v>
      </c>
      <c r="V495" s="189" t="s">
        <v>192</v>
      </c>
      <c r="W495" s="189" t="s">
        <v>124</v>
      </c>
      <c r="X495" s="189" t="s">
        <v>271</v>
      </c>
      <c r="Y495" s="189" t="s">
        <v>2110</v>
      </c>
      <c r="Z495" s="0" t="n">
        <v>1</v>
      </c>
      <c r="AA495" s="189" t="s">
        <v>2160</v>
      </c>
    </row>
    <row r="496" customFormat="false" ht="15" hidden="false" customHeight="true" outlineLevel="0" collapsed="false">
      <c r="A496" s="0" t="n">
        <v>100</v>
      </c>
      <c r="B496" s="188" t="n">
        <v>46109.5199522482</v>
      </c>
      <c r="C496" s="188" t="n">
        <v>46109.5268503964</v>
      </c>
      <c r="D496" s="189" t="s">
        <v>915</v>
      </c>
      <c r="E496" s="189" t="s">
        <v>916</v>
      </c>
      <c r="F496" s="189" t="s">
        <v>917</v>
      </c>
      <c r="G496" s="189" t="s">
        <v>918</v>
      </c>
      <c r="H496" s="188" t="n">
        <v>46102</v>
      </c>
      <c r="I496" s="189" t="s">
        <v>113</v>
      </c>
      <c r="J496" s="189" t="s">
        <v>295</v>
      </c>
      <c r="K496" s="189" t="s">
        <v>173</v>
      </c>
      <c r="L496" s="189" t="s">
        <v>184</v>
      </c>
      <c r="M496" s="189" t="s">
        <v>174</v>
      </c>
      <c r="N496" s="189" t="s">
        <v>523</v>
      </c>
      <c r="O496" s="189" t="s">
        <v>107</v>
      </c>
      <c r="P496" s="189" t="s">
        <v>111</v>
      </c>
      <c r="Q496" s="189" t="s">
        <v>198</v>
      </c>
      <c r="R496" s="189" t="s">
        <v>22</v>
      </c>
      <c r="S496" s="189" t="s">
        <v>152</v>
      </c>
      <c r="T496" s="189" t="s">
        <v>121</v>
      </c>
      <c r="V496" s="189" t="s">
        <v>192</v>
      </c>
      <c r="W496" s="189" t="s">
        <v>124</v>
      </c>
      <c r="X496" s="189" t="s">
        <v>271</v>
      </c>
      <c r="Y496" s="189" t="s">
        <v>2110</v>
      </c>
      <c r="Z496" s="0" t="n">
        <v>2</v>
      </c>
      <c r="AA496" s="189" t="s">
        <v>2161</v>
      </c>
    </row>
    <row r="497" customFormat="false" ht="15" hidden="false" customHeight="true" outlineLevel="0" collapsed="false">
      <c r="A497" s="0" t="n">
        <v>100</v>
      </c>
      <c r="B497" s="188" t="n">
        <v>46109.5199522482</v>
      </c>
      <c r="C497" s="188" t="n">
        <v>46109.5268503964</v>
      </c>
      <c r="D497" s="189" t="s">
        <v>915</v>
      </c>
      <c r="E497" s="189" t="s">
        <v>916</v>
      </c>
      <c r="F497" s="189" t="s">
        <v>917</v>
      </c>
      <c r="G497" s="189" t="s">
        <v>918</v>
      </c>
      <c r="H497" s="188" t="n">
        <v>46102</v>
      </c>
      <c r="I497" s="189" t="s">
        <v>113</v>
      </c>
      <c r="J497" s="189" t="s">
        <v>295</v>
      </c>
      <c r="K497" s="189" t="s">
        <v>173</v>
      </c>
      <c r="L497" s="189" t="s">
        <v>184</v>
      </c>
      <c r="M497" s="189" t="s">
        <v>174</v>
      </c>
      <c r="N497" s="189" t="s">
        <v>523</v>
      </c>
      <c r="O497" s="189" t="s">
        <v>107</v>
      </c>
      <c r="P497" s="189" t="s">
        <v>111</v>
      </c>
      <c r="Q497" s="189" t="s">
        <v>198</v>
      </c>
      <c r="R497" s="189" t="s">
        <v>22</v>
      </c>
      <c r="S497" s="189" t="s">
        <v>152</v>
      </c>
      <c r="T497" s="189" t="s">
        <v>121</v>
      </c>
      <c r="V497" s="189" t="s">
        <v>192</v>
      </c>
      <c r="W497" s="189" t="s">
        <v>124</v>
      </c>
      <c r="X497" s="189" t="s">
        <v>271</v>
      </c>
      <c r="Y497" s="189" t="s">
        <v>2113</v>
      </c>
      <c r="Z497" s="0" t="n">
        <v>1</v>
      </c>
      <c r="AA497" s="189" t="s">
        <v>2163</v>
      </c>
    </row>
    <row r="498" customFormat="false" ht="15" hidden="false" customHeight="true" outlineLevel="0" collapsed="false">
      <c r="A498" s="0" t="n">
        <v>101</v>
      </c>
      <c r="B498" s="188" t="n">
        <v>46104.8855717369</v>
      </c>
      <c r="C498" s="188" t="n">
        <v>46104.9060694221</v>
      </c>
      <c r="D498" s="189" t="s">
        <v>921</v>
      </c>
      <c r="E498" s="189" t="s">
        <v>922</v>
      </c>
      <c r="F498" s="189" t="s">
        <v>922</v>
      </c>
      <c r="G498" s="189" t="s">
        <v>923</v>
      </c>
      <c r="H498" s="188" t="n">
        <v>46099</v>
      </c>
      <c r="I498" s="189" t="s">
        <v>325</v>
      </c>
      <c r="J498" s="189" t="s">
        <v>295</v>
      </c>
      <c r="K498" s="189" t="s">
        <v>173</v>
      </c>
      <c r="L498" s="189" t="s">
        <v>431</v>
      </c>
      <c r="M498" s="189" t="s">
        <v>543</v>
      </c>
      <c r="N498" s="189" t="s">
        <v>161</v>
      </c>
      <c r="O498" s="189" t="s">
        <v>713</v>
      </c>
      <c r="P498" s="189" t="s">
        <v>111</v>
      </c>
      <c r="Q498" s="189" t="s">
        <v>145</v>
      </c>
      <c r="R498" s="189" t="s">
        <v>24</v>
      </c>
      <c r="S498" s="189" t="s">
        <v>120</v>
      </c>
      <c r="T498" s="189" t="s">
        <v>121</v>
      </c>
      <c r="U498" s="189" t="s">
        <v>927</v>
      </c>
      <c r="V498" s="189" t="s">
        <v>192</v>
      </c>
      <c r="W498" s="189" t="s">
        <v>124</v>
      </c>
      <c r="X498" s="189" t="s">
        <v>260</v>
      </c>
      <c r="Y498" s="189" t="s">
        <v>2108</v>
      </c>
      <c r="Z498" s="0" t="n">
        <v>1</v>
      </c>
      <c r="AA498" s="189" t="s">
        <v>606</v>
      </c>
    </row>
    <row r="499" customFormat="false" ht="15" hidden="false" customHeight="true" outlineLevel="0" collapsed="false">
      <c r="A499" s="0" t="n">
        <v>101</v>
      </c>
      <c r="B499" s="188" t="n">
        <v>46104.8855717369</v>
      </c>
      <c r="C499" s="188" t="n">
        <v>46104.9060694221</v>
      </c>
      <c r="D499" s="189" t="s">
        <v>921</v>
      </c>
      <c r="E499" s="189" t="s">
        <v>922</v>
      </c>
      <c r="F499" s="189" t="s">
        <v>922</v>
      </c>
      <c r="G499" s="189" t="s">
        <v>923</v>
      </c>
      <c r="H499" s="188" t="n">
        <v>46099</v>
      </c>
      <c r="I499" s="189" t="s">
        <v>325</v>
      </c>
      <c r="J499" s="189" t="s">
        <v>295</v>
      </c>
      <c r="K499" s="189" t="s">
        <v>173</v>
      </c>
      <c r="L499" s="189" t="s">
        <v>431</v>
      </c>
      <c r="M499" s="189" t="s">
        <v>543</v>
      </c>
      <c r="N499" s="189" t="s">
        <v>161</v>
      </c>
      <c r="O499" s="189" t="s">
        <v>713</v>
      </c>
      <c r="P499" s="189" t="s">
        <v>111</v>
      </c>
      <c r="Q499" s="189" t="s">
        <v>145</v>
      </c>
      <c r="R499" s="189" t="s">
        <v>24</v>
      </c>
      <c r="S499" s="189" t="s">
        <v>120</v>
      </c>
      <c r="T499" s="189" t="s">
        <v>121</v>
      </c>
      <c r="U499" s="189" t="s">
        <v>927</v>
      </c>
      <c r="V499" s="189" t="s">
        <v>192</v>
      </c>
      <c r="W499" s="189" t="s">
        <v>124</v>
      </c>
      <c r="X499" s="189" t="s">
        <v>260</v>
      </c>
      <c r="Y499" s="189" t="s">
        <v>2108</v>
      </c>
      <c r="Z499" s="0" t="n">
        <v>2</v>
      </c>
      <c r="AA499" s="189" t="s">
        <v>2307</v>
      </c>
    </row>
    <row r="500" customFormat="false" ht="15" hidden="false" customHeight="true" outlineLevel="0" collapsed="false">
      <c r="A500" s="0" t="n">
        <v>101</v>
      </c>
      <c r="B500" s="188" t="n">
        <v>46104.8855717369</v>
      </c>
      <c r="C500" s="188" t="n">
        <v>46104.9060694221</v>
      </c>
      <c r="D500" s="189" t="s">
        <v>921</v>
      </c>
      <c r="E500" s="189" t="s">
        <v>922</v>
      </c>
      <c r="F500" s="189" t="s">
        <v>922</v>
      </c>
      <c r="G500" s="189" t="s">
        <v>923</v>
      </c>
      <c r="H500" s="188" t="n">
        <v>46099</v>
      </c>
      <c r="I500" s="189" t="s">
        <v>325</v>
      </c>
      <c r="J500" s="189" t="s">
        <v>295</v>
      </c>
      <c r="K500" s="189" t="s">
        <v>173</v>
      </c>
      <c r="L500" s="189" t="s">
        <v>431</v>
      </c>
      <c r="M500" s="189" t="s">
        <v>543</v>
      </c>
      <c r="N500" s="189" t="s">
        <v>161</v>
      </c>
      <c r="O500" s="189" t="s">
        <v>713</v>
      </c>
      <c r="P500" s="189" t="s">
        <v>111</v>
      </c>
      <c r="Q500" s="189" t="s">
        <v>145</v>
      </c>
      <c r="R500" s="189" t="s">
        <v>24</v>
      </c>
      <c r="S500" s="189" t="s">
        <v>120</v>
      </c>
      <c r="T500" s="189" t="s">
        <v>121</v>
      </c>
      <c r="U500" s="189" t="s">
        <v>927</v>
      </c>
      <c r="V500" s="189" t="s">
        <v>192</v>
      </c>
      <c r="W500" s="189" t="s">
        <v>124</v>
      </c>
      <c r="X500" s="189" t="s">
        <v>260</v>
      </c>
      <c r="Y500" s="189" t="s">
        <v>2110</v>
      </c>
      <c r="Z500" s="0" t="n">
        <v>1</v>
      </c>
      <c r="AA500" s="189" t="s">
        <v>191</v>
      </c>
    </row>
    <row r="501" customFormat="false" ht="15" hidden="false" customHeight="true" outlineLevel="0" collapsed="false">
      <c r="A501" s="0" t="n">
        <v>101</v>
      </c>
      <c r="B501" s="188" t="n">
        <v>46104.8855717369</v>
      </c>
      <c r="C501" s="188" t="n">
        <v>46104.9060694221</v>
      </c>
      <c r="D501" s="189" t="s">
        <v>921</v>
      </c>
      <c r="E501" s="189" t="s">
        <v>922</v>
      </c>
      <c r="F501" s="189" t="s">
        <v>922</v>
      </c>
      <c r="G501" s="189" t="s">
        <v>923</v>
      </c>
      <c r="H501" s="188" t="n">
        <v>46099</v>
      </c>
      <c r="I501" s="189" t="s">
        <v>325</v>
      </c>
      <c r="J501" s="189" t="s">
        <v>295</v>
      </c>
      <c r="K501" s="189" t="s">
        <v>173</v>
      </c>
      <c r="L501" s="189" t="s">
        <v>431</v>
      </c>
      <c r="M501" s="189" t="s">
        <v>543</v>
      </c>
      <c r="N501" s="189" t="s">
        <v>161</v>
      </c>
      <c r="O501" s="189" t="s">
        <v>713</v>
      </c>
      <c r="P501" s="189" t="s">
        <v>111</v>
      </c>
      <c r="Q501" s="189" t="s">
        <v>145</v>
      </c>
      <c r="R501" s="189" t="s">
        <v>24</v>
      </c>
      <c r="S501" s="189" t="s">
        <v>120</v>
      </c>
      <c r="T501" s="189" t="s">
        <v>121</v>
      </c>
      <c r="U501" s="189" t="s">
        <v>927</v>
      </c>
      <c r="V501" s="189" t="s">
        <v>192</v>
      </c>
      <c r="W501" s="189" t="s">
        <v>124</v>
      </c>
      <c r="X501" s="189" t="s">
        <v>260</v>
      </c>
      <c r="Y501" s="189" t="s">
        <v>2110</v>
      </c>
      <c r="Z501" s="0" t="n">
        <v>2</v>
      </c>
      <c r="AA501" s="189" t="s">
        <v>122</v>
      </c>
    </row>
    <row r="502" customFormat="false" ht="15" hidden="false" customHeight="true" outlineLevel="0" collapsed="false">
      <c r="A502" s="0" t="n">
        <v>101</v>
      </c>
      <c r="B502" s="188" t="n">
        <v>46104.8855717369</v>
      </c>
      <c r="C502" s="188" t="n">
        <v>46104.9060694221</v>
      </c>
      <c r="D502" s="189" t="s">
        <v>921</v>
      </c>
      <c r="E502" s="189" t="s">
        <v>922</v>
      </c>
      <c r="F502" s="189" t="s">
        <v>922</v>
      </c>
      <c r="G502" s="189" t="s">
        <v>923</v>
      </c>
      <c r="H502" s="188" t="n">
        <v>46099</v>
      </c>
      <c r="I502" s="189" t="s">
        <v>325</v>
      </c>
      <c r="J502" s="189" t="s">
        <v>295</v>
      </c>
      <c r="K502" s="189" t="s">
        <v>173</v>
      </c>
      <c r="L502" s="189" t="s">
        <v>431</v>
      </c>
      <c r="M502" s="189" t="s">
        <v>543</v>
      </c>
      <c r="N502" s="189" t="s">
        <v>161</v>
      </c>
      <c r="O502" s="189" t="s">
        <v>713</v>
      </c>
      <c r="P502" s="189" t="s">
        <v>111</v>
      </c>
      <c r="Q502" s="189" t="s">
        <v>145</v>
      </c>
      <c r="R502" s="189" t="s">
        <v>24</v>
      </c>
      <c r="S502" s="189" t="s">
        <v>120</v>
      </c>
      <c r="T502" s="189" t="s">
        <v>121</v>
      </c>
      <c r="U502" s="189" t="s">
        <v>927</v>
      </c>
      <c r="V502" s="189" t="s">
        <v>192</v>
      </c>
      <c r="W502" s="189" t="s">
        <v>124</v>
      </c>
      <c r="X502" s="189" t="s">
        <v>260</v>
      </c>
      <c r="Y502" s="189" t="s">
        <v>2113</v>
      </c>
      <c r="Z502" s="0" t="n">
        <v>1</v>
      </c>
      <c r="AA502" s="189" t="s">
        <v>2157</v>
      </c>
    </row>
    <row r="503" customFormat="false" ht="15" hidden="false" customHeight="true" outlineLevel="0" collapsed="false">
      <c r="A503" s="0" t="n">
        <v>102</v>
      </c>
      <c r="B503" s="188" t="n">
        <v>46034.8744170646</v>
      </c>
      <c r="C503" s="188" t="n">
        <v>46034.8842550276</v>
      </c>
      <c r="D503" s="189" t="s">
        <v>929</v>
      </c>
      <c r="E503" s="189" t="s">
        <v>930</v>
      </c>
      <c r="F503" s="189" t="s">
        <v>930</v>
      </c>
      <c r="G503" s="189" t="s">
        <v>931</v>
      </c>
      <c r="H503" s="188" t="n">
        <v>46029</v>
      </c>
      <c r="I503" s="189" t="s">
        <v>336</v>
      </c>
      <c r="J503" s="189" t="s">
        <v>295</v>
      </c>
      <c r="K503" s="189" t="s">
        <v>932</v>
      </c>
      <c r="L503" s="189" t="s">
        <v>268</v>
      </c>
      <c r="M503" s="189" t="s">
        <v>199</v>
      </c>
      <c r="N503" s="189" t="s">
        <v>552</v>
      </c>
      <c r="O503" s="189" t="s">
        <v>172</v>
      </c>
      <c r="P503" s="189" t="s">
        <v>111</v>
      </c>
      <c r="Q503" s="189" t="s">
        <v>247</v>
      </c>
      <c r="R503" s="189" t="s">
        <v>25</v>
      </c>
      <c r="S503" s="189" t="s">
        <v>152</v>
      </c>
      <c r="T503" s="189" t="s">
        <v>352</v>
      </c>
      <c r="U503" s="189" t="s">
        <v>122</v>
      </c>
      <c r="V503" s="189" t="s">
        <v>123</v>
      </c>
      <c r="W503" s="189" t="s">
        <v>168</v>
      </c>
      <c r="X503" s="189" t="s">
        <v>327</v>
      </c>
      <c r="Y503" s="189" t="s">
        <v>2108</v>
      </c>
      <c r="Z503" s="0" t="n">
        <v>1</v>
      </c>
      <c r="AA503" s="189" t="s">
        <v>2109</v>
      </c>
    </row>
    <row r="504" customFormat="false" ht="15" hidden="false" customHeight="true" outlineLevel="0" collapsed="false">
      <c r="A504" s="0" t="n">
        <v>102</v>
      </c>
      <c r="B504" s="188" t="n">
        <v>46034.8744170646</v>
      </c>
      <c r="C504" s="188" t="n">
        <v>46034.8842550276</v>
      </c>
      <c r="D504" s="189" t="s">
        <v>929</v>
      </c>
      <c r="E504" s="189" t="s">
        <v>930</v>
      </c>
      <c r="F504" s="189" t="s">
        <v>930</v>
      </c>
      <c r="G504" s="189" t="s">
        <v>931</v>
      </c>
      <c r="H504" s="188" t="n">
        <v>46029</v>
      </c>
      <c r="I504" s="189" t="s">
        <v>336</v>
      </c>
      <c r="J504" s="189" t="s">
        <v>295</v>
      </c>
      <c r="K504" s="189" t="s">
        <v>932</v>
      </c>
      <c r="L504" s="189" t="s">
        <v>268</v>
      </c>
      <c r="M504" s="189" t="s">
        <v>199</v>
      </c>
      <c r="N504" s="189" t="s">
        <v>552</v>
      </c>
      <c r="O504" s="189" t="s">
        <v>172</v>
      </c>
      <c r="P504" s="189" t="s">
        <v>111</v>
      </c>
      <c r="Q504" s="189" t="s">
        <v>247</v>
      </c>
      <c r="R504" s="189" t="s">
        <v>25</v>
      </c>
      <c r="S504" s="189" t="s">
        <v>152</v>
      </c>
      <c r="T504" s="189" t="s">
        <v>352</v>
      </c>
      <c r="U504" s="189" t="s">
        <v>122</v>
      </c>
      <c r="V504" s="189" t="s">
        <v>123</v>
      </c>
      <c r="W504" s="189" t="s">
        <v>168</v>
      </c>
      <c r="X504" s="189" t="s">
        <v>327</v>
      </c>
      <c r="Y504" s="189" t="s">
        <v>2110</v>
      </c>
      <c r="Z504" s="0" t="n">
        <v>1</v>
      </c>
      <c r="AA504" s="189" t="s">
        <v>2255</v>
      </c>
    </row>
    <row r="505" customFormat="false" ht="15" hidden="false" customHeight="true" outlineLevel="0" collapsed="false">
      <c r="A505" s="0" t="n">
        <v>102</v>
      </c>
      <c r="B505" s="188" t="n">
        <v>46034.8744170646</v>
      </c>
      <c r="C505" s="188" t="n">
        <v>46034.8842550276</v>
      </c>
      <c r="D505" s="189" t="s">
        <v>929</v>
      </c>
      <c r="E505" s="189" t="s">
        <v>930</v>
      </c>
      <c r="F505" s="189" t="s">
        <v>930</v>
      </c>
      <c r="G505" s="189" t="s">
        <v>931</v>
      </c>
      <c r="H505" s="188" t="n">
        <v>46029</v>
      </c>
      <c r="I505" s="189" t="s">
        <v>336</v>
      </c>
      <c r="J505" s="189" t="s">
        <v>295</v>
      </c>
      <c r="K505" s="189" t="s">
        <v>932</v>
      </c>
      <c r="L505" s="189" t="s">
        <v>268</v>
      </c>
      <c r="M505" s="189" t="s">
        <v>199</v>
      </c>
      <c r="N505" s="189" t="s">
        <v>552</v>
      </c>
      <c r="O505" s="189" t="s">
        <v>172</v>
      </c>
      <c r="P505" s="189" t="s">
        <v>111</v>
      </c>
      <c r="Q505" s="189" t="s">
        <v>247</v>
      </c>
      <c r="R505" s="189" t="s">
        <v>25</v>
      </c>
      <c r="S505" s="189" t="s">
        <v>152</v>
      </c>
      <c r="T505" s="189" t="s">
        <v>352</v>
      </c>
      <c r="U505" s="189" t="s">
        <v>122</v>
      </c>
      <c r="V505" s="189" t="s">
        <v>123</v>
      </c>
      <c r="W505" s="189" t="s">
        <v>168</v>
      </c>
      <c r="X505" s="189" t="s">
        <v>327</v>
      </c>
      <c r="Y505" s="189" t="s">
        <v>2110</v>
      </c>
      <c r="Z505" s="0" t="n">
        <v>2</v>
      </c>
      <c r="AA505" s="189" t="s">
        <v>2111</v>
      </c>
    </row>
    <row r="506" customFormat="false" ht="15" hidden="false" customHeight="true" outlineLevel="0" collapsed="false">
      <c r="A506" s="0" t="n">
        <v>102</v>
      </c>
      <c r="B506" s="188" t="n">
        <v>46034.8744170646</v>
      </c>
      <c r="C506" s="188" t="n">
        <v>46034.8842550276</v>
      </c>
      <c r="D506" s="189" t="s">
        <v>929</v>
      </c>
      <c r="E506" s="189" t="s">
        <v>930</v>
      </c>
      <c r="F506" s="189" t="s">
        <v>930</v>
      </c>
      <c r="G506" s="189" t="s">
        <v>931</v>
      </c>
      <c r="H506" s="188" t="n">
        <v>46029</v>
      </c>
      <c r="I506" s="189" t="s">
        <v>336</v>
      </c>
      <c r="J506" s="189" t="s">
        <v>295</v>
      </c>
      <c r="K506" s="189" t="s">
        <v>932</v>
      </c>
      <c r="L506" s="189" t="s">
        <v>268</v>
      </c>
      <c r="M506" s="189" t="s">
        <v>199</v>
      </c>
      <c r="N506" s="189" t="s">
        <v>552</v>
      </c>
      <c r="O506" s="189" t="s">
        <v>172</v>
      </c>
      <c r="P506" s="189" t="s">
        <v>111</v>
      </c>
      <c r="Q506" s="189" t="s">
        <v>247</v>
      </c>
      <c r="R506" s="189" t="s">
        <v>25</v>
      </c>
      <c r="S506" s="189" t="s">
        <v>152</v>
      </c>
      <c r="T506" s="189" t="s">
        <v>352</v>
      </c>
      <c r="U506" s="189" t="s">
        <v>122</v>
      </c>
      <c r="V506" s="189" t="s">
        <v>123</v>
      </c>
      <c r="W506" s="189" t="s">
        <v>168</v>
      </c>
      <c r="X506" s="189" t="s">
        <v>327</v>
      </c>
      <c r="Y506" s="189" t="s">
        <v>2113</v>
      </c>
      <c r="Z506" s="0" t="n">
        <v>1</v>
      </c>
      <c r="AA506" s="189" t="s">
        <v>2127</v>
      </c>
    </row>
    <row r="507" customFormat="false" ht="15" hidden="false" customHeight="true" outlineLevel="0" collapsed="false">
      <c r="A507" s="0" t="n">
        <v>103</v>
      </c>
      <c r="B507" s="188" t="n">
        <v>46170.2348237908</v>
      </c>
      <c r="C507" s="188" t="n">
        <v>46170.2441640685</v>
      </c>
      <c r="D507" s="189" t="s">
        <v>934</v>
      </c>
      <c r="E507" s="189" t="s">
        <v>935</v>
      </c>
      <c r="F507" s="189" t="s">
        <v>936</v>
      </c>
      <c r="G507" s="189" t="s">
        <v>937</v>
      </c>
      <c r="H507" s="188" t="n">
        <v>46164</v>
      </c>
      <c r="I507" s="189" t="s">
        <v>113</v>
      </c>
      <c r="J507" s="189" t="s">
        <v>108</v>
      </c>
      <c r="K507" s="189" t="s">
        <v>938</v>
      </c>
      <c r="L507" s="189" t="s">
        <v>114</v>
      </c>
      <c r="M507" s="189" t="s">
        <v>279</v>
      </c>
      <c r="N507" s="189" t="s">
        <v>939</v>
      </c>
      <c r="O507" s="189" t="s">
        <v>107</v>
      </c>
      <c r="P507" s="189" t="s">
        <v>111</v>
      </c>
      <c r="Q507" s="189" t="s">
        <v>112</v>
      </c>
      <c r="R507" s="189" t="s">
        <v>24</v>
      </c>
      <c r="S507" s="189" t="s">
        <v>152</v>
      </c>
      <c r="T507" s="189" t="s">
        <v>352</v>
      </c>
      <c r="V507" s="189" t="s">
        <v>123</v>
      </c>
      <c r="W507" s="189" t="s">
        <v>124</v>
      </c>
      <c r="X507" s="189" t="s">
        <v>214</v>
      </c>
      <c r="Y507" s="189" t="s">
        <v>2108</v>
      </c>
      <c r="Z507" s="0" t="n">
        <v>1</v>
      </c>
      <c r="AA507" s="189" t="s">
        <v>2183</v>
      </c>
    </row>
    <row r="508" customFormat="false" ht="15" hidden="false" customHeight="true" outlineLevel="0" collapsed="false">
      <c r="A508" s="0" t="n">
        <v>103</v>
      </c>
      <c r="B508" s="188" t="n">
        <v>46170.2348237908</v>
      </c>
      <c r="C508" s="188" t="n">
        <v>46170.2441640685</v>
      </c>
      <c r="D508" s="189" t="s">
        <v>934</v>
      </c>
      <c r="E508" s="189" t="s">
        <v>935</v>
      </c>
      <c r="F508" s="189" t="s">
        <v>936</v>
      </c>
      <c r="G508" s="189" t="s">
        <v>937</v>
      </c>
      <c r="H508" s="188" t="n">
        <v>46164</v>
      </c>
      <c r="I508" s="189" t="s">
        <v>113</v>
      </c>
      <c r="J508" s="189" t="s">
        <v>108</v>
      </c>
      <c r="K508" s="189" t="s">
        <v>938</v>
      </c>
      <c r="L508" s="189" t="s">
        <v>114</v>
      </c>
      <c r="M508" s="189" t="s">
        <v>279</v>
      </c>
      <c r="N508" s="189" t="s">
        <v>939</v>
      </c>
      <c r="O508" s="189" t="s">
        <v>107</v>
      </c>
      <c r="P508" s="189" t="s">
        <v>111</v>
      </c>
      <c r="Q508" s="189" t="s">
        <v>112</v>
      </c>
      <c r="R508" s="189" t="s">
        <v>24</v>
      </c>
      <c r="S508" s="189" t="s">
        <v>152</v>
      </c>
      <c r="T508" s="189" t="s">
        <v>352</v>
      </c>
      <c r="V508" s="189" t="s">
        <v>123</v>
      </c>
      <c r="W508" s="189" t="s">
        <v>124</v>
      </c>
      <c r="X508" s="189" t="s">
        <v>214</v>
      </c>
      <c r="Y508" s="189" t="s">
        <v>2108</v>
      </c>
      <c r="Z508" s="0" t="n">
        <v>2</v>
      </c>
      <c r="AA508" s="189" t="s">
        <v>2139</v>
      </c>
    </row>
    <row r="509" customFormat="false" ht="15" hidden="false" customHeight="true" outlineLevel="0" collapsed="false">
      <c r="A509" s="0" t="n">
        <v>103</v>
      </c>
      <c r="B509" s="188" t="n">
        <v>46170.2348237908</v>
      </c>
      <c r="C509" s="188" t="n">
        <v>46170.2441640685</v>
      </c>
      <c r="D509" s="189" t="s">
        <v>934</v>
      </c>
      <c r="E509" s="189" t="s">
        <v>935</v>
      </c>
      <c r="F509" s="189" t="s">
        <v>936</v>
      </c>
      <c r="G509" s="189" t="s">
        <v>937</v>
      </c>
      <c r="H509" s="188" t="n">
        <v>46164</v>
      </c>
      <c r="I509" s="189" t="s">
        <v>113</v>
      </c>
      <c r="J509" s="189" t="s">
        <v>108</v>
      </c>
      <c r="K509" s="189" t="s">
        <v>938</v>
      </c>
      <c r="L509" s="189" t="s">
        <v>114</v>
      </c>
      <c r="M509" s="189" t="s">
        <v>279</v>
      </c>
      <c r="N509" s="189" t="s">
        <v>939</v>
      </c>
      <c r="O509" s="189" t="s">
        <v>107</v>
      </c>
      <c r="P509" s="189" t="s">
        <v>111</v>
      </c>
      <c r="Q509" s="189" t="s">
        <v>112</v>
      </c>
      <c r="R509" s="189" t="s">
        <v>24</v>
      </c>
      <c r="S509" s="189" t="s">
        <v>152</v>
      </c>
      <c r="T509" s="189" t="s">
        <v>352</v>
      </c>
      <c r="V509" s="189" t="s">
        <v>123</v>
      </c>
      <c r="W509" s="189" t="s">
        <v>124</v>
      </c>
      <c r="X509" s="189" t="s">
        <v>214</v>
      </c>
      <c r="Y509" s="189" t="s">
        <v>2110</v>
      </c>
      <c r="Z509" s="0" t="n">
        <v>1</v>
      </c>
      <c r="AA509" s="189" t="s">
        <v>2112</v>
      </c>
    </row>
    <row r="510" customFormat="false" ht="15" hidden="false" customHeight="true" outlineLevel="0" collapsed="false">
      <c r="A510" s="0" t="n">
        <v>103</v>
      </c>
      <c r="B510" s="188" t="n">
        <v>46170.2348237908</v>
      </c>
      <c r="C510" s="188" t="n">
        <v>46170.2441640685</v>
      </c>
      <c r="D510" s="189" t="s">
        <v>934</v>
      </c>
      <c r="E510" s="189" t="s">
        <v>935</v>
      </c>
      <c r="F510" s="189" t="s">
        <v>936</v>
      </c>
      <c r="G510" s="189" t="s">
        <v>937</v>
      </c>
      <c r="H510" s="188" t="n">
        <v>46164</v>
      </c>
      <c r="I510" s="189" t="s">
        <v>113</v>
      </c>
      <c r="J510" s="189" t="s">
        <v>108</v>
      </c>
      <c r="K510" s="189" t="s">
        <v>938</v>
      </c>
      <c r="L510" s="189" t="s">
        <v>114</v>
      </c>
      <c r="M510" s="189" t="s">
        <v>279</v>
      </c>
      <c r="N510" s="189" t="s">
        <v>939</v>
      </c>
      <c r="O510" s="189" t="s">
        <v>107</v>
      </c>
      <c r="P510" s="189" t="s">
        <v>111</v>
      </c>
      <c r="Q510" s="189" t="s">
        <v>112</v>
      </c>
      <c r="R510" s="189" t="s">
        <v>24</v>
      </c>
      <c r="S510" s="189" t="s">
        <v>152</v>
      </c>
      <c r="T510" s="189" t="s">
        <v>352</v>
      </c>
      <c r="V510" s="189" t="s">
        <v>123</v>
      </c>
      <c r="W510" s="189" t="s">
        <v>124</v>
      </c>
      <c r="X510" s="189" t="s">
        <v>214</v>
      </c>
      <c r="Y510" s="189" t="s">
        <v>2113</v>
      </c>
      <c r="Z510" s="0" t="n">
        <v>1</v>
      </c>
      <c r="AA510" s="189" t="s">
        <v>2114</v>
      </c>
    </row>
    <row r="511" customFormat="false" ht="15" hidden="false" customHeight="true" outlineLevel="0" collapsed="false">
      <c r="A511" s="0" t="n">
        <v>104</v>
      </c>
      <c r="B511" s="188" t="n">
        <v>46095.1486282047</v>
      </c>
      <c r="C511" s="188" t="n">
        <v>46095.1517879269</v>
      </c>
      <c r="D511" s="189" t="s">
        <v>941</v>
      </c>
      <c r="E511" s="189" t="s">
        <v>942</v>
      </c>
      <c r="F511" s="189" t="s">
        <v>942</v>
      </c>
      <c r="G511" s="189" t="s">
        <v>943</v>
      </c>
      <c r="H511" s="188" t="n">
        <v>46093</v>
      </c>
      <c r="I511" s="189" t="s">
        <v>305</v>
      </c>
      <c r="J511" s="189" t="s">
        <v>128</v>
      </c>
      <c r="K511" s="189" t="s">
        <v>173</v>
      </c>
      <c r="L511" s="189" t="s">
        <v>159</v>
      </c>
      <c r="M511" s="189" t="s">
        <v>944</v>
      </c>
      <c r="N511" s="189" t="s">
        <v>945</v>
      </c>
      <c r="O511" s="189" t="s">
        <v>172</v>
      </c>
      <c r="P511" s="189" t="s">
        <v>211</v>
      </c>
      <c r="Q511" s="189" t="s">
        <v>112</v>
      </c>
      <c r="R511" s="189" t="s">
        <v>21</v>
      </c>
      <c r="S511" s="189" t="s">
        <v>152</v>
      </c>
      <c r="T511" s="189" t="s">
        <v>180</v>
      </c>
      <c r="U511" s="189" t="s">
        <v>948</v>
      </c>
      <c r="V511" s="189" t="s">
        <v>123</v>
      </c>
      <c r="W511" s="189" t="s">
        <v>124</v>
      </c>
      <c r="X511" s="189" t="s">
        <v>348</v>
      </c>
      <c r="Y511" s="189" t="s">
        <v>2108</v>
      </c>
      <c r="Z511" s="0" t="n">
        <v>1</v>
      </c>
      <c r="AA511" s="189" t="s">
        <v>2208</v>
      </c>
    </row>
    <row r="512" customFormat="false" ht="15" hidden="false" customHeight="true" outlineLevel="0" collapsed="false">
      <c r="A512" s="0" t="n">
        <v>104</v>
      </c>
      <c r="B512" s="188" t="n">
        <v>46095.1486282047</v>
      </c>
      <c r="C512" s="188" t="n">
        <v>46095.1517879269</v>
      </c>
      <c r="D512" s="189" t="s">
        <v>941</v>
      </c>
      <c r="E512" s="189" t="s">
        <v>942</v>
      </c>
      <c r="F512" s="189" t="s">
        <v>942</v>
      </c>
      <c r="G512" s="189" t="s">
        <v>943</v>
      </c>
      <c r="H512" s="188" t="n">
        <v>46093</v>
      </c>
      <c r="I512" s="189" t="s">
        <v>305</v>
      </c>
      <c r="J512" s="189" t="s">
        <v>128</v>
      </c>
      <c r="K512" s="189" t="s">
        <v>173</v>
      </c>
      <c r="L512" s="189" t="s">
        <v>159</v>
      </c>
      <c r="M512" s="189" t="s">
        <v>944</v>
      </c>
      <c r="N512" s="189" t="s">
        <v>945</v>
      </c>
      <c r="O512" s="189" t="s">
        <v>172</v>
      </c>
      <c r="P512" s="189" t="s">
        <v>211</v>
      </c>
      <c r="Q512" s="189" t="s">
        <v>112</v>
      </c>
      <c r="R512" s="189" t="s">
        <v>21</v>
      </c>
      <c r="S512" s="189" t="s">
        <v>152</v>
      </c>
      <c r="T512" s="189" t="s">
        <v>180</v>
      </c>
      <c r="U512" s="189" t="s">
        <v>948</v>
      </c>
      <c r="V512" s="189" t="s">
        <v>123</v>
      </c>
      <c r="W512" s="189" t="s">
        <v>124</v>
      </c>
      <c r="X512" s="189" t="s">
        <v>348</v>
      </c>
      <c r="Y512" s="189" t="s">
        <v>2110</v>
      </c>
      <c r="Z512" s="0" t="n">
        <v>1</v>
      </c>
      <c r="AA512" s="189" t="s">
        <v>2191</v>
      </c>
    </row>
    <row r="513" customFormat="false" ht="15" hidden="false" customHeight="true" outlineLevel="0" collapsed="false">
      <c r="A513" s="0" t="n">
        <v>104</v>
      </c>
      <c r="B513" s="188" t="n">
        <v>46095.1486282047</v>
      </c>
      <c r="C513" s="188" t="n">
        <v>46095.1517879269</v>
      </c>
      <c r="D513" s="189" t="s">
        <v>941</v>
      </c>
      <c r="E513" s="189" t="s">
        <v>942</v>
      </c>
      <c r="F513" s="189" t="s">
        <v>942</v>
      </c>
      <c r="G513" s="189" t="s">
        <v>943</v>
      </c>
      <c r="H513" s="188" t="n">
        <v>46093</v>
      </c>
      <c r="I513" s="189" t="s">
        <v>305</v>
      </c>
      <c r="J513" s="189" t="s">
        <v>128</v>
      </c>
      <c r="K513" s="189" t="s">
        <v>173</v>
      </c>
      <c r="L513" s="189" t="s">
        <v>159</v>
      </c>
      <c r="M513" s="189" t="s">
        <v>944</v>
      </c>
      <c r="N513" s="189" t="s">
        <v>945</v>
      </c>
      <c r="O513" s="189" t="s">
        <v>172</v>
      </c>
      <c r="P513" s="189" t="s">
        <v>211</v>
      </c>
      <c r="Q513" s="189" t="s">
        <v>112</v>
      </c>
      <c r="R513" s="189" t="s">
        <v>21</v>
      </c>
      <c r="S513" s="189" t="s">
        <v>152</v>
      </c>
      <c r="T513" s="189" t="s">
        <v>180</v>
      </c>
      <c r="U513" s="189" t="s">
        <v>948</v>
      </c>
      <c r="V513" s="189" t="s">
        <v>123</v>
      </c>
      <c r="W513" s="189" t="s">
        <v>124</v>
      </c>
      <c r="X513" s="189" t="s">
        <v>348</v>
      </c>
      <c r="Y513" s="189" t="s">
        <v>2113</v>
      </c>
      <c r="Z513" s="0" t="n">
        <v>1</v>
      </c>
      <c r="AA513" s="189" t="s">
        <v>2308</v>
      </c>
    </row>
    <row r="514" customFormat="false" ht="15" hidden="false" customHeight="true" outlineLevel="0" collapsed="false">
      <c r="A514" s="0" t="n">
        <v>104</v>
      </c>
      <c r="B514" s="188" t="n">
        <v>46095.1486282047</v>
      </c>
      <c r="C514" s="188" t="n">
        <v>46095.1517879269</v>
      </c>
      <c r="D514" s="189" t="s">
        <v>941</v>
      </c>
      <c r="E514" s="189" t="s">
        <v>942</v>
      </c>
      <c r="F514" s="189" t="s">
        <v>942</v>
      </c>
      <c r="G514" s="189" t="s">
        <v>943</v>
      </c>
      <c r="H514" s="188" t="n">
        <v>46093</v>
      </c>
      <c r="I514" s="189" t="s">
        <v>305</v>
      </c>
      <c r="J514" s="189" t="s">
        <v>128</v>
      </c>
      <c r="K514" s="189" t="s">
        <v>173</v>
      </c>
      <c r="L514" s="189" t="s">
        <v>159</v>
      </c>
      <c r="M514" s="189" t="s">
        <v>944</v>
      </c>
      <c r="N514" s="189" t="s">
        <v>945</v>
      </c>
      <c r="O514" s="189" t="s">
        <v>172</v>
      </c>
      <c r="P514" s="189" t="s">
        <v>211</v>
      </c>
      <c r="Q514" s="189" t="s">
        <v>112</v>
      </c>
      <c r="R514" s="189" t="s">
        <v>21</v>
      </c>
      <c r="S514" s="189" t="s">
        <v>152</v>
      </c>
      <c r="T514" s="189" t="s">
        <v>180</v>
      </c>
      <c r="U514" s="189" t="s">
        <v>948</v>
      </c>
      <c r="V514" s="189" t="s">
        <v>123</v>
      </c>
      <c r="W514" s="189" t="s">
        <v>124</v>
      </c>
      <c r="X514" s="189" t="s">
        <v>348</v>
      </c>
      <c r="Y514" s="189" t="s">
        <v>2113</v>
      </c>
      <c r="Z514" s="0" t="n">
        <v>2</v>
      </c>
      <c r="AA514" s="189" t="s">
        <v>2192</v>
      </c>
    </row>
    <row r="515" customFormat="false" ht="15" hidden="false" customHeight="true" outlineLevel="0" collapsed="false">
      <c r="A515" s="0" t="n">
        <v>105</v>
      </c>
      <c r="B515" s="188" t="n">
        <v>46201.6330004934</v>
      </c>
      <c r="C515" s="188" t="n">
        <v>46201.6457666971</v>
      </c>
      <c r="D515" s="189" t="s">
        <v>949</v>
      </c>
      <c r="E515" s="189" t="s">
        <v>950</v>
      </c>
      <c r="F515" s="189" t="s">
        <v>951</v>
      </c>
      <c r="G515" s="189" t="s">
        <v>952</v>
      </c>
      <c r="H515" s="188" t="n">
        <v>46195</v>
      </c>
      <c r="I515" s="189" t="s">
        <v>113</v>
      </c>
      <c r="J515" s="189" t="s">
        <v>108</v>
      </c>
      <c r="K515" s="189" t="s">
        <v>953</v>
      </c>
      <c r="L515" s="189" t="s">
        <v>114</v>
      </c>
      <c r="M515" s="189" t="s">
        <v>234</v>
      </c>
      <c r="N515" s="189" t="s">
        <v>213</v>
      </c>
      <c r="O515" s="189" t="s">
        <v>107</v>
      </c>
      <c r="P515" s="189" t="s">
        <v>111</v>
      </c>
      <c r="Q515" s="189" t="s">
        <v>112</v>
      </c>
      <c r="R515" s="189" t="s">
        <v>21</v>
      </c>
      <c r="S515" s="189" t="s">
        <v>152</v>
      </c>
      <c r="T515" s="189" t="s">
        <v>121</v>
      </c>
      <c r="U515" s="189" t="s">
        <v>956</v>
      </c>
      <c r="V515" s="189" t="s">
        <v>123</v>
      </c>
      <c r="W515" s="189" t="s">
        <v>168</v>
      </c>
      <c r="X515" s="189" t="s">
        <v>457</v>
      </c>
      <c r="Y515" s="189" t="s">
        <v>2108</v>
      </c>
      <c r="Z515" s="0" t="n">
        <v>1</v>
      </c>
      <c r="AA515" s="189" t="s">
        <v>2151</v>
      </c>
    </row>
    <row r="516" customFormat="false" ht="15" hidden="false" customHeight="true" outlineLevel="0" collapsed="false">
      <c r="A516" s="0" t="n">
        <v>105</v>
      </c>
      <c r="B516" s="188" t="n">
        <v>46201.6330004934</v>
      </c>
      <c r="C516" s="188" t="n">
        <v>46201.6457666971</v>
      </c>
      <c r="D516" s="189" t="s">
        <v>949</v>
      </c>
      <c r="E516" s="189" t="s">
        <v>950</v>
      </c>
      <c r="F516" s="189" t="s">
        <v>951</v>
      </c>
      <c r="G516" s="189" t="s">
        <v>952</v>
      </c>
      <c r="H516" s="188" t="n">
        <v>46195</v>
      </c>
      <c r="I516" s="189" t="s">
        <v>113</v>
      </c>
      <c r="J516" s="189" t="s">
        <v>108</v>
      </c>
      <c r="K516" s="189" t="s">
        <v>953</v>
      </c>
      <c r="L516" s="189" t="s">
        <v>114</v>
      </c>
      <c r="M516" s="189" t="s">
        <v>234</v>
      </c>
      <c r="N516" s="189" t="s">
        <v>213</v>
      </c>
      <c r="O516" s="189" t="s">
        <v>107</v>
      </c>
      <c r="P516" s="189" t="s">
        <v>111</v>
      </c>
      <c r="Q516" s="189" t="s">
        <v>112</v>
      </c>
      <c r="R516" s="189" t="s">
        <v>21</v>
      </c>
      <c r="S516" s="189" t="s">
        <v>152</v>
      </c>
      <c r="T516" s="189" t="s">
        <v>121</v>
      </c>
      <c r="U516" s="189" t="s">
        <v>956</v>
      </c>
      <c r="V516" s="189" t="s">
        <v>123</v>
      </c>
      <c r="W516" s="189" t="s">
        <v>168</v>
      </c>
      <c r="X516" s="189" t="s">
        <v>457</v>
      </c>
      <c r="Y516" s="189" t="s">
        <v>2108</v>
      </c>
      <c r="Z516" s="0" t="n">
        <v>2</v>
      </c>
      <c r="AA516" s="189" t="s">
        <v>2183</v>
      </c>
    </row>
    <row r="517" customFormat="false" ht="15" hidden="false" customHeight="true" outlineLevel="0" collapsed="false">
      <c r="A517" s="0" t="n">
        <v>105</v>
      </c>
      <c r="B517" s="188" t="n">
        <v>46201.6330004934</v>
      </c>
      <c r="C517" s="188" t="n">
        <v>46201.6457666971</v>
      </c>
      <c r="D517" s="189" t="s">
        <v>949</v>
      </c>
      <c r="E517" s="189" t="s">
        <v>950</v>
      </c>
      <c r="F517" s="189" t="s">
        <v>951</v>
      </c>
      <c r="G517" s="189" t="s">
        <v>952</v>
      </c>
      <c r="H517" s="188" t="n">
        <v>46195</v>
      </c>
      <c r="I517" s="189" t="s">
        <v>113</v>
      </c>
      <c r="J517" s="189" t="s">
        <v>108</v>
      </c>
      <c r="K517" s="189" t="s">
        <v>953</v>
      </c>
      <c r="L517" s="189" t="s">
        <v>114</v>
      </c>
      <c r="M517" s="189" t="s">
        <v>234</v>
      </c>
      <c r="N517" s="189" t="s">
        <v>213</v>
      </c>
      <c r="O517" s="189" t="s">
        <v>107</v>
      </c>
      <c r="P517" s="189" t="s">
        <v>111</v>
      </c>
      <c r="Q517" s="189" t="s">
        <v>112</v>
      </c>
      <c r="R517" s="189" t="s">
        <v>21</v>
      </c>
      <c r="S517" s="189" t="s">
        <v>152</v>
      </c>
      <c r="T517" s="189" t="s">
        <v>121</v>
      </c>
      <c r="U517" s="189" t="s">
        <v>956</v>
      </c>
      <c r="V517" s="189" t="s">
        <v>123</v>
      </c>
      <c r="W517" s="189" t="s">
        <v>168</v>
      </c>
      <c r="X517" s="189" t="s">
        <v>457</v>
      </c>
      <c r="Y517" s="189" t="s">
        <v>2110</v>
      </c>
      <c r="Z517" s="0" t="n">
        <v>1</v>
      </c>
      <c r="AA517" s="189" t="s">
        <v>2126</v>
      </c>
    </row>
    <row r="518" customFormat="false" ht="15" hidden="false" customHeight="true" outlineLevel="0" collapsed="false">
      <c r="A518" s="0" t="n">
        <v>105</v>
      </c>
      <c r="B518" s="188" t="n">
        <v>46201.6330004934</v>
      </c>
      <c r="C518" s="188" t="n">
        <v>46201.6457666971</v>
      </c>
      <c r="D518" s="189" t="s">
        <v>949</v>
      </c>
      <c r="E518" s="189" t="s">
        <v>950</v>
      </c>
      <c r="F518" s="189" t="s">
        <v>951</v>
      </c>
      <c r="G518" s="189" t="s">
        <v>952</v>
      </c>
      <c r="H518" s="188" t="n">
        <v>46195</v>
      </c>
      <c r="I518" s="189" t="s">
        <v>113</v>
      </c>
      <c r="J518" s="189" t="s">
        <v>108</v>
      </c>
      <c r="K518" s="189" t="s">
        <v>953</v>
      </c>
      <c r="L518" s="189" t="s">
        <v>114</v>
      </c>
      <c r="M518" s="189" t="s">
        <v>234</v>
      </c>
      <c r="N518" s="189" t="s">
        <v>213</v>
      </c>
      <c r="O518" s="189" t="s">
        <v>107</v>
      </c>
      <c r="P518" s="189" t="s">
        <v>111</v>
      </c>
      <c r="Q518" s="189" t="s">
        <v>112</v>
      </c>
      <c r="R518" s="189" t="s">
        <v>21</v>
      </c>
      <c r="S518" s="189" t="s">
        <v>152</v>
      </c>
      <c r="T518" s="189" t="s">
        <v>121</v>
      </c>
      <c r="U518" s="189" t="s">
        <v>956</v>
      </c>
      <c r="V518" s="189" t="s">
        <v>123</v>
      </c>
      <c r="W518" s="189" t="s">
        <v>168</v>
      </c>
      <c r="X518" s="189" t="s">
        <v>457</v>
      </c>
      <c r="Y518" s="189" t="s">
        <v>2110</v>
      </c>
      <c r="Z518" s="0" t="n">
        <v>2</v>
      </c>
      <c r="AA518" s="189" t="s">
        <v>2111</v>
      </c>
    </row>
    <row r="519" customFormat="false" ht="15" hidden="false" customHeight="true" outlineLevel="0" collapsed="false">
      <c r="A519" s="0" t="n">
        <v>105</v>
      </c>
      <c r="B519" s="188" t="n">
        <v>46201.6330004934</v>
      </c>
      <c r="C519" s="188" t="n">
        <v>46201.6457666971</v>
      </c>
      <c r="D519" s="189" t="s">
        <v>949</v>
      </c>
      <c r="E519" s="189" t="s">
        <v>950</v>
      </c>
      <c r="F519" s="189" t="s">
        <v>951</v>
      </c>
      <c r="G519" s="189" t="s">
        <v>952</v>
      </c>
      <c r="H519" s="188" t="n">
        <v>46195</v>
      </c>
      <c r="I519" s="189" t="s">
        <v>113</v>
      </c>
      <c r="J519" s="189" t="s">
        <v>108</v>
      </c>
      <c r="K519" s="189" t="s">
        <v>953</v>
      </c>
      <c r="L519" s="189" t="s">
        <v>114</v>
      </c>
      <c r="M519" s="189" t="s">
        <v>234</v>
      </c>
      <c r="N519" s="189" t="s">
        <v>213</v>
      </c>
      <c r="O519" s="189" t="s">
        <v>107</v>
      </c>
      <c r="P519" s="189" t="s">
        <v>111</v>
      </c>
      <c r="Q519" s="189" t="s">
        <v>112</v>
      </c>
      <c r="R519" s="189" t="s">
        <v>21</v>
      </c>
      <c r="S519" s="189" t="s">
        <v>152</v>
      </c>
      <c r="T519" s="189" t="s">
        <v>121</v>
      </c>
      <c r="U519" s="189" t="s">
        <v>956</v>
      </c>
      <c r="V519" s="189" t="s">
        <v>123</v>
      </c>
      <c r="W519" s="189" t="s">
        <v>168</v>
      </c>
      <c r="X519" s="189" t="s">
        <v>457</v>
      </c>
      <c r="Y519" s="189" t="s">
        <v>2113</v>
      </c>
      <c r="Z519" s="0" t="n">
        <v>1</v>
      </c>
      <c r="AA519" s="189" t="s">
        <v>122</v>
      </c>
    </row>
    <row r="520" customFormat="false" ht="15" hidden="false" customHeight="true" outlineLevel="0" collapsed="false">
      <c r="A520" s="0" t="n">
        <v>105</v>
      </c>
      <c r="B520" s="188" t="n">
        <v>46201.6330004934</v>
      </c>
      <c r="C520" s="188" t="n">
        <v>46201.6457666971</v>
      </c>
      <c r="D520" s="189" t="s">
        <v>949</v>
      </c>
      <c r="E520" s="189" t="s">
        <v>950</v>
      </c>
      <c r="F520" s="189" t="s">
        <v>951</v>
      </c>
      <c r="G520" s="189" t="s">
        <v>952</v>
      </c>
      <c r="H520" s="188" t="n">
        <v>46195</v>
      </c>
      <c r="I520" s="189" t="s">
        <v>113</v>
      </c>
      <c r="J520" s="189" t="s">
        <v>108</v>
      </c>
      <c r="K520" s="189" t="s">
        <v>953</v>
      </c>
      <c r="L520" s="189" t="s">
        <v>114</v>
      </c>
      <c r="M520" s="189" t="s">
        <v>234</v>
      </c>
      <c r="N520" s="189" t="s">
        <v>213</v>
      </c>
      <c r="O520" s="189" t="s">
        <v>107</v>
      </c>
      <c r="P520" s="189" t="s">
        <v>111</v>
      </c>
      <c r="Q520" s="189" t="s">
        <v>112</v>
      </c>
      <c r="R520" s="189" t="s">
        <v>21</v>
      </c>
      <c r="S520" s="189" t="s">
        <v>152</v>
      </c>
      <c r="T520" s="189" t="s">
        <v>121</v>
      </c>
      <c r="U520" s="189" t="s">
        <v>956</v>
      </c>
      <c r="V520" s="189" t="s">
        <v>123</v>
      </c>
      <c r="W520" s="189" t="s">
        <v>168</v>
      </c>
      <c r="X520" s="189" t="s">
        <v>457</v>
      </c>
      <c r="Y520" s="189" t="s">
        <v>2113</v>
      </c>
      <c r="Z520" s="0" t="n">
        <v>2</v>
      </c>
      <c r="AA520" s="189" t="s">
        <v>2152</v>
      </c>
    </row>
    <row r="521" customFormat="false" ht="15" hidden="false" customHeight="true" outlineLevel="0" collapsed="false">
      <c r="A521" s="0" t="n">
        <v>106</v>
      </c>
      <c r="B521" s="188" t="n">
        <v>46042.9762151932</v>
      </c>
      <c r="C521" s="188" t="n">
        <v>46042.9904281562</v>
      </c>
      <c r="D521" s="189" t="s">
        <v>957</v>
      </c>
      <c r="E521" s="189" t="s">
        <v>958</v>
      </c>
      <c r="F521" s="189" t="s">
        <v>958</v>
      </c>
      <c r="G521" s="189" t="s">
        <v>959</v>
      </c>
      <c r="H521" s="188" t="n">
        <v>46024</v>
      </c>
      <c r="I521" s="189" t="s">
        <v>113</v>
      </c>
      <c r="J521" s="189" t="s">
        <v>108</v>
      </c>
      <c r="K521" s="189" t="s">
        <v>245</v>
      </c>
      <c r="L521" s="189" t="s">
        <v>389</v>
      </c>
      <c r="M521" s="189" t="s">
        <v>199</v>
      </c>
      <c r="N521" s="189" t="s">
        <v>653</v>
      </c>
      <c r="O521" s="189" t="s">
        <v>107</v>
      </c>
      <c r="P521" s="189" t="s">
        <v>111</v>
      </c>
      <c r="Q521" s="189" t="s">
        <v>112</v>
      </c>
      <c r="R521" s="189" t="s">
        <v>21</v>
      </c>
      <c r="S521" s="189" t="s">
        <v>152</v>
      </c>
      <c r="T521" s="189" t="s">
        <v>121</v>
      </c>
      <c r="U521" s="189" t="s">
        <v>961</v>
      </c>
      <c r="V521" s="189" t="s">
        <v>123</v>
      </c>
      <c r="W521" s="189" t="s">
        <v>168</v>
      </c>
      <c r="X521" s="189" t="s">
        <v>457</v>
      </c>
      <c r="Y521" s="189" t="s">
        <v>2108</v>
      </c>
      <c r="Z521" s="0" t="n">
        <v>1</v>
      </c>
      <c r="AA521" s="189" t="s">
        <v>2109</v>
      </c>
    </row>
    <row r="522" customFormat="false" ht="15" hidden="false" customHeight="true" outlineLevel="0" collapsed="false">
      <c r="A522" s="0" t="n">
        <v>106</v>
      </c>
      <c r="B522" s="188" t="n">
        <v>46042.9762151932</v>
      </c>
      <c r="C522" s="188" t="n">
        <v>46042.9904281562</v>
      </c>
      <c r="D522" s="189" t="s">
        <v>957</v>
      </c>
      <c r="E522" s="189" t="s">
        <v>958</v>
      </c>
      <c r="F522" s="189" t="s">
        <v>958</v>
      </c>
      <c r="G522" s="189" t="s">
        <v>959</v>
      </c>
      <c r="H522" s="188" t="n">
        <v>46024</v>
      </c>
      <c r="I522" s="189" t="s">
        <v>113</v>
      </c>
      <c r="J522" s="189" t="s">
        <v>108</v>
      </c>
      <c r="K522" s="189" t="s">
        <v>245</v>
      </c>
      <c r="L522" s="189" t="s">
        <v>389</v>
      </c>
      <c r="M522" s="189" t="s">
        <v>199</v>
      </c>
      <c r="N522" s="189" t="s">
        <v>653</v>
      </c>
      <c r="O522" s="189" t="s">
        <v>107</v>
      </c>
      <c r="P522" s="189" t="s">
        <v>111</v>
      </c>
      <c r="Q522" s="189" t="s">
        <v>112</v>
      </c>
      <c r="R522" s="189" t="s">
        <v>21</v>
      </c>
      <c r="S522" s="189" t="s">
        <v>152</v>
      </c>
      <c r="T522" s="189" t="s">
        <v>121</v>
      </c>
      <c r="U522" s="189" t="s">
        <v>961</v>
      </c>
      <c r="V522" s="189" t="s">
        <v>123</v>
      </c>
      <c r="W522" s="189" t="s">
        <v>168</v>
      </c>
      <c r="X522" s="189" t="s">
        <v>457</v>
      </c>
      <c r="Y522" s="189" t="s">
        <v>2108</v>
      </c>
      <c r="Z522" s="0" t="n">
        <v>2</v>
      </c>
      <c r="AA522" s="189" t="s">
        <v>2151</v>
      </c>
    </row>
    <row r="523" customFormat="false" ht="15" hidden="false" customHeight="true" outlineLevel="0" collapsed="false">
      <c r="A523" s="0" t="n">
        <v>106</v>
      </c>
      <c r="B523" s="188" t="n">
        <v>46042.9762151932</v>
      </c>
      <c r="C523" s="188" t="n">
        <v>46042.9904281562</v>
      </c>
      <c r="D523" s="189" t="s">
        <v>957</v>
      </c>
      <c r="E523" s="189" t="s">
        <v>958</v>
      </c>
      <c r="F523" s="189" t="s">
        <v>958</v>
      </c>
      <c r="G523" s="189" t="s">
        <v>959</v>
      </c>
      <c r="H523" s="188" t="n">
        <v>46024</v>
      </c>
      <c r="I523" s="189" t="s">
        <v>113</v>
      </c>
      <c r="J523" s="189" t="s">
        <v>108</v>
      </c>
      <c r="K523" s="189" t="s">
        <v>245</v>
      </c>
      <c r="L523" s="189" t="s">
        <v>389</v>
      </c>
      <c r="M523" s="189" t="s">
        <v>199</v>
      </c>
      <c r="N523" s="189" t="s">
        <v>653</v>
      </c>
      <c r="O523" s="189" t="s">
        <v>107</v>
      </c>
      <c r="P523" s="189" t="s">
        <v>111</v>
      </c>
      <c r="Q523" s="189" t="s">
        <v>112</v>
      </c>
      <c r="R523" s="189" t="s">
        <v>21</v>
      </c>
      <c r="S523" s="189" t="s">
        <v>152</v>
      </c>
      <c r="T523" s="189" t="s">
        <v>121</v>
      </c>
      <c r="U523" s="189" t="s">
        <v>961</v>
      </c>
      <c r="V523" s="189" t="s">
        <v>123</v>
      </c>
      <c r="W523" s="189" t="s">
        <v>168</v>
      </c>
      <c r="X523" s="189" t="s">
        <v>457</v>
      </c>
      <c r="Y523" s="189" t="s">
        <v>2108</v>
      </c>
      <c r="Z523" s="0" t="n">
        <v>3</v>
      </c>
      <c r="AA523" s="189" t="s">
        <v>2125</v>
      </c>
    </row>
    <row r="524" customFormat="false" ht="15" hidden="false" customHeight="true" outlineLevel="0" collapsed="false">
      <c r="A524" s="0" t="n">
        <v>106</v>
      </c>
      <c r="B524" s="188" t="n">
        <v>46042.9762151932</v>
      </c>
      <c r="C524" s="188" t="n">
        <v>46042.9904281562</v>
      </c>
      <c r="D524" s="189" t="s">
        <v>957</v>
      </c>
      <c r="E524" s="189" t="s">
        <v>958</v>
      </c>
      <c r="F524" s="189" t="s">
        <v>958</v>
      </c>
      <c r="G524" s="189" t="s">
        <v>959</v>
      </c>
      <c r="H524" s="188" t="n">
        <v>46024</v>
      </c>
      <c r="I524" s="189" t="s">
        <v>113</v>
      </c>
      <c r="J524" s="189" t="s">
        <v>108</v>
      </c>
      <c r="K524" s="189" t="s">
        <v>245</v>
      </c>
      <c r="L524" s="189" t="s">
        <v>389</v>
      </c>
      <c r="M524" s="189" t="s">
        <v>199</v>
      </c>
      <c r="N524" s="189" t="s">
        <v>653</v>
      </c>
      <c r="O524" s="189" t="s">
        <v>107</v>
      </c>
      <c r="P524" s="189" t="s">
        <v>111</v>
      </c>
      <c r="Q524" s="189" t="s">
        <v>112</v>
      </c>
      <c r="R524" s="189" t="s">
        <v>21</v>
      </c>
      <c r="S524" s="189" t="s">
        <v>152</v>
      </c>
      <c r="T524" s="189" t="s">
        <v>121</v>
      </c>
      <c r="U524" s="189" t="s">
        <v>961</v>
      </c>
      <c r="V524" s="189" t="s">
        <v>123</v>
      </c>
      <c r="W524" s="189" t="s">
        <v>168</v>
      </c>
      <c r="X524" s="189" t="s">
        <v>457</v>
      </c>
      <c r="Y524" s="189" t="s">
        <v>2110</v>
      </c>
      <c r="Z524" s="0" t="n">
        <v>1</v>
      </c>
      <c r="AA524" s="189" t="s">
        <v>2111</v>
      </c>
    </row>
    <row r="525" customFormat="false" ht="15" hidden="false" customHeight="true" outlineLevel="0" collapsed="false">
      <c r="A525" s="0" t="n">
        <v>106</v>
      </c>
      <c r="B525" s="188" t="n">
        <v>46042.9762151932</v>
      </c>
      <c r="C525" s="188" t="n">
        <v>46042.9904281562</v>
      </c>
      <c r="D525" s="189" t="s">
        <v>957</v>
      </c>
      <c r="E525" s="189" t="s">
        <v>958</v>
      </c>
      <c r="F525" s="189" t="s">
        <v>958</v>
      </c>
      <c r="G525" s="189" t="s">
        <v>959</v>
      </c>
      <c r="H525" s="188" t="n">
        <v>46024</v>
      </c>
      <c r="I525" s="189" t="s">
        <v>113</v>
      </c>
      <c r="J525" s="189" t="s">
        <v>108</v>
      </c>
      <c r="K525" s="189" t="s">
        <v>245</v>
      </c>
      <c r="L525" s="189" t="s">
        <v>389</v>
      </c>
      <c r="M525" s="189" t="s">
        <v>199</v>
      </c>
      <c r="N525" s="189" t="s">
        <v>653</v>
      </c>
      <c r="O525" s="189" t="s">
        <v>107</v>
      </c>
      <c r="P525" s="189" t="s">
        <v>111</v>
      </c>
      <c r="Q525" s="189" t="s">
        <v>112</v>
      </c>
      <c r="R525" s="189" t="s">
        <v>21</v>
      </c>
      <c r="S525" s="189" t="s">
        <v>152</v>
      </c>
      <c r="T525" s="189" t="s">
        <v>121</v>
      </c>
      <c r="U525" s="189" t="s">
        <v>961</v>
      </c>
      <c r="V525" s="189" t="s">
        <v>123</v>
      </c>
      <c r="W525" s="189" t="s">
        <v>168</v>
      </c>
      <c r="X525" s="189" t="s">
        <v>457</v>
      </c>
      <c r="Y525" s="189" t="s">
        <v>2110</v>
      </c>
      <c r="Z525" s="0" t="n">
        <v>2</v>
      </c>
      <c r="AA525" s="189" t="s">
        <v>2255</v>
      </c>
    </row>
    <row r="526" customFormat="false" ht="15" hidden="false" customHeight="true" outlineLevel="0" collapsed="false">
      <c r="A526" s="0" t="n">
        <v>106</v>
      </c>
      <c r="B526" s="188" t="n">
        <v>46042.9762151932</v>
      </c>
      <c r="C526" s="188" t="n">
        <v>46042.9904281562</v>
      </c>
      <c r="D526" s="189" t="s">
        <v>957</v>
      </c>
      <c r="E526" s="189" t="s">
        <v>958</v>
      </c>
      <c r="F526" s="189" t="s">
        <v>958</v>
      </c>
      <c r="G526" s="189" t="s">
        <v>959</v>
      </c>
      <c r="H526" s="188" t="n">
        <v>46024</v>
      </c>
      <c r="I526" s="189" t="s">
        <v>113</v>
      </c>
      <c r="J526" s="189" t="s">
        <v>108</v>
      </c>
      <c r="K526" s="189" t="s">
        <v>245</v>
      </c>
      <c r="L526" s="189" t="s">
        <v>389</v>
      </c>
      <c r="M526" s="189" t="s">
        <v>199</v>
      </c>
      <c r="N526" s="189" t="s">
        <v>653</v>
      </c>
      <c r="O526" s="189" t="s">
        <v>107</v>
      </c>
      <c r="P526" s="189" t="s">
        <v>111</v>
      </c>
      <c r="Q526" s="189" t="s">
        <v>112</v>
      </c>
      <c r="R526" s="189" t="s">
        <v>21</v>
      </c>
      <c r="S526" s="189" t="s">
        <v>152</v>
      </c>
      <c r="T526" s="189" t="s">
        <v>121</v>
      </c>
      <c r="U526" s="189" t="s">
        <v>961</v>
      </c>
      <c r="V526" s="189" t="s">
        <v>123</v>
      </c>
      <c r="W526" s="189" t="s">
        <v>168</v>
      </c>
      <c r="X526" s="189" t="s">
        <v>457</v>
      </c>
      <c r="Y526" s="189" t="s">
        <v>2113</v>
      </c>
      <c r="Z526" s="0" t="n">
        <v>1</v>
      </c>
      <c r="AA526" s="189" t="s">
        <v>2114</v>
      </c>
    </row>
    <row r="527" customFormat="false" ht="15" hidden="false" customHeight="true" outlineLevel="0" collapsed="false">
      <c r="A527" s="0" t="n">
        <v>107</v>
      </c>
      <c r="B527" s="188" t="n">
        <v>46116.7899846909</v>
      </c>
      <c r="C527" s="188" t="n">
        <v>46116.8086073761</v>
      </c>
      <c r="D527" s="189" t="s">
        <v>962</v>
      </c>
      <c r="E527" s="189" t="s">
        <v>963</v>
      </c>
      <c r="F527" s="189" t="s">
        <v>964</v>
      </c>
      <c r="G527" s="189" t="s">
        <v>965</v>
      </c>
      <c r="H527" s="188" t="n">
        <v>46104</v>
      </c>
      <c r="I527" s="189" t="s">
        <v>113</v>
      </c>
      <c r="J527" s="189" t="s">
        <v>108</v>
      </c>
      <c r="K527" s="189" t="s">
        <v>196</v>
      </c>
      <c r="L527" s="189" t="s">
        <v>246</v>
      </c>
      <c r="M527" s="189" t="s">
        <v>279</v>
      </c>
      <c r="N527" s="189" t="s">
        <v>810</v>
      </c>
      <c r="O527" s="189" t="s">
        <v>244</v>
      </c>
      <c r="P527" s="189" t="s">
        <v>111</v>
      </c>
      <c r="Q527" s="189" t="s">
        <v>112</v>
      </c>
      <c r="R527" s="189" t="s">
        <v>22</v>
      </c>
      <c r="S527" s="189" t="s">
        <v>152</v>
      </c>
      <c r="T527" s="189" t="s">
        <v>121</v>
      </c>
      <c r="U527" s="132" t="s">
        <v>969</v>
      </c>
      <c r="V527" s="189" t="s">
        <v>123</v>
      </c>
      <c r="W527" s="189" t="s">
        <v>124</v>
      </c>
      <c r="X527" s="189" t="s">
        <v>298</v>
      </c>
      <c r="Y527" s="189" t="s">
        <v>2108</v>
      </c>
      <c r="Z527" s="0" t="n">
        <v>1</v>
      </c>
      <c r="AA527" s="189" t="s">
        <v>2280</v>
      </c>
    </row>
    <row r="528" customFormat="false" ht="15" hidden="false" customHeight="true" outlineLevel="0" collapsed="false">
      <c r="A528" s="0" t="n">
        <v>107</v>
      </c>
      <c r="B528" s="188" t="n">
        <v>46116.7899846909</v>
      </c>
      <c r="C528" s="188" t="n">
        <v>46116.8086073761</v>
      </c>
      <c r="D528" s="189" t="s">
        <v>962</v>
      </c>
      <c r="E528" s="189" t="s">
        <v>963</v>
      </c>
      <c r="F528" s="189" t="s">
        <v>964</v>
      </c>
      <c r="G528" s="189" t="s">
        <v>965</v>
      </c>
      <c r="H528" s="188" t="n">
        <v>46104</v>
      </c>
      <c r="I528" s="189" t="s">
        <v>113</v>
      </c>
      <c r="J528" s="189" t="s">
        <v>108</v>
      </c>
      <c r="K528" s="189" t="s">
        <v>196</v>
      </c>
      <c r="L528" s="189" t="s">
        <v>246</v>
      </c>
      <c r="M528" s="189" t="s">
        <v>279</v>
      </c>
      <c r="N528" s="189" t="s">
        <v>810</v>
      </c>
      <c r="O528" s="189" t="s">
        <v>244</v>
      </c>
      <c r="P528" s="189" t="s">
        <v>111</v>
      </c>
      <c r="Q528" s="189" t="s">
        <v>112</v>
      </c>
      <c r="R528" s="189" t="s">
        <v>22</v>
      </c>
      <c r="S528" s="189" t="s">
        <v>152</v>
      </c>
      <c r="T528" s="189" t="s">
        <v>121</v>
      </c>
      <c r="U528" s="132" t="s">
        <v>969</v>
      </c>
      <c r="V528" s="189" t="s">
        <v>123</v>
      </c>
      <c r="W528" s="189" t="s">
        <v>124</v>
      </c>
      <c r="X528" s="189" t="s">
        <v>298</v>
      </c>
      <c r="Y528" s="189" t="s">
        <v>2108</v>
      </c>
      <c r="Z528" s="0" t="n">
        <v>2</v>
      </c>
      <c r="AA528" s="189" t="s">
        <v>2168</v>
      </c>
    </row>
    <row r="529" customFormat="false" ht="15" hidden="false" customHeight="true" outlineLevel="0" collapsed="false">
      <c r="A529" s="0" t="n">
        <v>107</v>
      </c>
      <c r="B529" s="188" t="n">
        <v>46116.7899846909</v>
      </c>
      <c r="C529" s="188" t="n">
        <v>46116.8086073761</v>
      </c>
      <c r="D529" s="189" t="s">
        <v>962</v>
      </c>
      <c r="E529" s="189" t="s">
        <v>963</v>
      </c>
      <c r="F529" s="189" t="s">
        <v>964</v>
      </c>
      <c r="G529" s="189" t="s">
        <v>965</v>
      </c>
      <c r="H529" s="188" t="n">
        <v>46104</v>
      </c>
      <c r="I529" s="189" t="s">
        <v>113</v>
      </c>
      <c r="J529" s="189" t="s">
        <v>108</v>
      </c>
      <c r="K529" s="189" t="s">
        <v>196</v>
      </c>
      <c r="L529" s="189" t="s">
        <v>246</v>
      </c>
      <c r="M529" s="189" t="s">
        <v>279</v>
      </c>
      <c r="N529" s="189" t="s">
        <v>810</v>
      </c>
      <c r="O529" s="189" t="s">
        <v>244</v>
      </c>
      <c r="P529" s="189" t="s">
        <v>111</v>
      </c>
      <c r="Q529" s="189" t="s">
        <v>112</v>
      </c>
      <c r="R529" s="189" t="s">
        <v>22</v>
      </c>
      <c r="S529" s="189" t="s">
        <v>152</v>
      </c>
      <c r="T529" s="189" t="s">
        <v>121</v>
      </c>
      <c r="U529" s="132" t="s">
        <v>969</v>
      </c>
      <c r="V529" s="189" t="s">
        <v>123</v>
      </c>
      <c r="W529" s="189" t="s">
        <v>124</v>
      </c>
      <c r="X529" s="189" t="s">
        <v>298</v>
      </c>
      <c r="Y529" s="189" t="s">
        <v>2108</v>
      </c>
      <c r="Z529" s="0" t="n">
        <v>3</v>
      </c>
      <c r="AA529" s="189" t="s">
        <v>2238</v>
      </c>
    </row>
    <row r="530" customFormat="false" ht="15" hidden="false" customHeight="true" outlineLevel="0" collapsed="false">
      <c r="A530" s="0" t="n">
        <v>107</v>
      </c>
      <c r="B530" s="188" t="n">
        <v>46116.7899846909</v>
      </c>
      <c r="C530" s="188" t="n">
        <v>46116.8086073761</v>
      </c>
      <c r="D530" s="189" t="s">
        <v>962</v>
      </c>
      <c r="E530" s="189" t="s">
        <v>963</v>
      </c>
      <c r="F530" s="189" t="s">
        <v>964</v>
      </c>
      <c r="G530" s="189" t="s">
        <v>965</v>
      </c>
      <c r="H530" s="188" t="n">
        <v>46104</v>
      </c>
      <c r="I530" s="189" t="s">
        <v>113</v>
      </c>
      <c r="J530" s="189" t="s">
        <v>108</v>
      </c>
      <c r="K530" s="189" t="s">
        <v>196</v>
      </c>
      <c r="L530" s="189" t="s">
        <v>246</v>
      </c>
      <c r="M530" s="189" t="s">
        <v>279</v>
      </c>
      <c r="N530" s="189" t="s">
        <v>810</v>
      </c>
      <c r="O530" s="189" t="s">
        <v>244</v>
      </c>
      <c r="P530" s="189" t="s">
        <v>111</v>
      </c>
      <c r="Q530" s="189" t="s">
        <v>112</v>
      </c>
      <c r="R530" s="189" t="s">
        <v>22</v>
      </c>
      <c r="S530" s="189" t="s">
        <v>152</v>
      </c>
      <c r="T530" s="189" t="s">
        <v>121</v>
      </c>
      <c r="U530" s="132" t="s">
        <v>969</v>
      </c>
      <c r="V530" s="189" t="s">
        <v>123</v>
      </c>
      <c r="W530" s="189" t="s">
        <v>124</v>
      </c>
      <c r="X530" s="189" t="s">
        <v>298</v>
      </c>
      <c r="Y530" s="189" t="s">
        <v>2110</v>
      </c>
      <c r="Z530" s="0" t="n">
        <v>1</v>
      </c>
      <c r="AA530" s="189" t="s">
        <v>2281</v>
      </c>
    </row>
    <row r="531" customFormat="false" ht="15" hidden="false" customHeight="true" outlineLevel="0" collapsed="false">
      <c r="A531" s="0" t="n">
        <v>107</v>
      </c>
      <c r="B531" s="188" t="n">
        <v>46116.7899846909</v>
      </c>
      <c r="C531" s="188" t="n">
        <v>46116.8086073761</v>
      </c>
      <c r="D531" s="189" t="s">
        <v>962</v>
      </c>
      <c r="E531" s="189" t="s">
        <v>963</v>
      </c>
      <c r="F531" s="189" t="s">
        <v>964</v>
      </c>
      <c r="G531" s="189" t="s">
        <v>965</v>
      </c>
      <c r="H531" s="188" t="n">
        <v>46104</v>
      </c>
      <c r="I531" s="189" t="s">
        <v>113</v>
      </c>
      <c r="J531" s="189" t="s">
        <v>108</v>
      </c>
      <c r="K531" s="189" t="s">
        <v>196</v>
      </c>
      <c r="L531" s="189" t="s">
        <v>246</v>
      </c>
      <c r="M531" s="189" t="s">
        <v>279</v>
      </c>
      <c r="N531" s="189" t="s">
        <v>810</v>
      </c>
      <c r="O531" s="189" t="s">
        <v>244</v>
      </c>
      <c r="P531" s="189" t="s">
        <v>111</v>
      </c>
      <c r="Q531" s="189" t="s">
        <v>112</v>
      </c>
      <c r="R531" s="189" t="s">
        <v>22</v>
      </c>
      <c r="S531" s="189" t="s">
        <v>152</v>
      </c>
      <c r="T531" s="189" t="s">
        <v>121</v>
      </c>
      <c r="U531" s="132" t="s">
        <v>969</v>
      </c>
      <c r="V531" s="189" t="s">
        <v>123</v>
      </c>
      <c r="W531" s="189" t="s">
        <v>124</v>
      </c>
      <c r="X531" s="189" t="s">
        <v>298</v>
      </c>
      <c r="Y531" s="189" t="s">
        <v>2113</v>
      </c>
      <c r="Z531" s="0" t="n">
        <v>1</v>
      </c>
      <c r="AA531" s="189" t="s">
        <v>2254</v>
      </c>
    </row>
    <row r="532" customFormat="false" ht="15" hidden="false" customHeight="true" outlineLevel="0" collapsed="false">
      <c r="A532" s="0" t="n">
        <v>107</v>
      </c>
      <c r="B532" s="188" t="n">
        <v>46116.7899846909</v>
      </c>
      <c r="C532" s="188" t="n">
        <v>46116.8086073761</v>
      </c>
      <c r="D532" s="189" t="s">
        <v>962</v>
      </c>
      <c r="E532" s="189" t="s">
        <v>963</v>
      </c>
      <c r="F532" s="189" t="s">
        <v>964</v>
      </c>
      <c r="G532" s="189" t="s">
        <v>965</v>
      </c>
      <c r="H532" s="188" t="n">
        <v>46104</v>
      </c>
      <c r="I532" s="189" t="s">
        <v>113</v>
      </c>
      <c r="J532" s="189" t="s">
        <v>108</v>
      </c>
      <c r="K532" s="189" t="s">
        <v>196</v>
      </c>
      <c r="L532" s="189" t="s">
        <v>246</v>
      </c>
      <c r="M532" s="189" t="s">
        <v>279</v>
      </c>
      <c r="N532" s="189" t="s">
        <v>810</v>
      </c>
      <c r="O532" s="189" t="s">
        <v>244</v>
      </c>
      <c r="P532" s="189" t="s">
        <v>111</v>
      </c>
      <c r="Q532" s="189" t="s">
        <v>112</v>
      </c>
      <c r="R532" s="189" t="s">
        <v>22</v>
      </c>
      <c r="S532" s="189" t="s">
        <v>152</v>
      </c>
      <c r="T532" s="189" t="s">
        <v>121</v>
      </c>
      <c r="U532" s="132" t="s">
        <v>969</v>
      </c>
      <c r="V532" s="189" t="s">
        <v>123</v>
      </c>
      <c r="W532" s="189" t="s">
        <v>124</v>
      </c>
      <c r="X532" s="189" t="s">
        <v>298</v>
      </c>
      <c r="Y532" s="189" t="s">
        <v>2113</v>
      </c>
      <c r="Z532" s="0" t="n">
        <v>2</v>
      </c>
      <c r="AA532" s="189" t="s">
        <v>2241</v>
      </c>
    </row>
    <row r="533" customFormat="false" ht="15" hidden="false" customHeight="true" outlineLevel="0" collapsed="false">
      <c r="A533" s="0" t="n">
        <v>108</v>
      </c>
      <c r="B533" s="188" t="n">
        <v>46119.6386676345</v>
      </c>
      <c r="C533" s="188" t="n">
        <v>46119.6494315234</v>
      </c>
      <c r="D533" s="189" t="s">
        <v>970</v>
      </c>
      <c r="E533" s="189" t="s">
        <v>971</v>
      </c>
      <c r="F533" s="189" t="s">
        <v>971</v>
      </c>
      <c r="G533" s="189" t="s">
        <v>972</v>
      </c>
      <c r="H533" s="188" t="n">
        <v>46118</v>
      </c>
      <c r="I533" s="189" t="s">
        <v>113</v>
      </c>
      <c r="J533" s="189" t="s">
        <v>128</v>
      </c>
      <c r="K533" s="189" t="s">
        <v>173</v>
      </c>
      <c r="L533" s="189" t="s">
        <v>144</v>
      </c>
      <c r="M533" s="189" t="s">
        <v>973</v>
      </c>
      <c r="N533" s="189" t="s">
        <v>306</v>
      </c>
      <c r="O533" s="189" t="s">
        <v>278</v>
      </c>
      <c r="P533" s="189" t="s">
        <v>131</v>
      </c>
      <c r="Q533" s="189" t="s">
        <v>112</v>
      </c>
      <c r="R533" s="189" t="s">
        <v>22</v>
      </c>
      <c r="S533" s="189" t="s">
        <v>152</v>
      </c>
      <c r="T533" s="189" t="s">
        <v>121</v>
      </c>
      <c r="U533" s="189" t="s">
        <v>725</v>
      </c>
      <c r="V533" s="189" t="s">
        <v>192</v>
      </c>
      <c r="W533" s="189" t="s">
        <v>168</v>
      </c>
      <c r="X533" s="189" t="s">
        <v>176</v>
      </c>
      <c r="Y533" s="189" t="s">
        <v>2108</v>
      </c>
      <c r="Z533" s="0" t="n">
        <v>1</v>
      </c>
      <c r="AA533" s="189" t="s">
        <v>2309</v>
      </c>
    </row>
    <row r="534" customFormat="false" ht="15" hidden="false" customHeight="true" outlineLevel="0" collapsed="false">
      <c r="A534" s="0" t="n">
        <v>108</v>
      </c>
      <c r="B534" s="188" t="n">
        <v>46119.6386676345</v>
      </c>
      <c r="C534" s="188" t="n">
        <v>46119.6494315234</v>
      </c>
      <c r="D534" s="189" t="s">
        <v>970</v>
      </c>
      <c r="E534" s="189" t="s">
        <v>971</v>
      </c>
      <c r="F534" s="189" t="s">
        <v>971</v>
      </c>
      <c r="G534" s="189" t="s">
        <v>972</v>
      </c>
      <c r="H534" s="188" t="n">
        <v>46118</v>
      </c>
      <c r="I534" s="189" t="s">
        <v>113</v>
      </c>
      <c r="J534" s="189" t="s">
        <v>128</v>
      </c>
      <c r="K534" s="189" t="s">
        <v>173</v>
      </c>
      <c r="L534" s="189" t="s">
        <v>144</v>
      </c>
      <c r="M534" s="189" t="s">
        <v>973</v>
      </c>
      <c r="N534" s="189" t="s">
        <v>306</v>
      </c>
      <c r="O534" s="189" t="s">
        <v>278</v>
      </c>
      <c r="P534" s="189" t="s">
        <v>131</v>
      </c>
      <c r="Q534" s="189" t="s">
        <v>112</v>
      </c>
      <c r="R534" s="189" t="s">
        <v>22</v>
      </c>
      <c r="S534" s="189" t="s">
        <v>152</v>
      </c>
      <c r="T534" s="189" t="s">
        <v>121</v>
      </c>
      <c r="U534" s="189" t="s">
        <v>725</v>
      </c>
      <c r="V534" s="189" t="s">
        <v>192</v>
      </c>
      <c r="W534" s="189" t="s">
        <v>168</v>
      </c>
      <c r="X534" s="189" t="s">
        <v>176</v>
      </c>
      <c r="Y534" s="189" t="s">
        <v>2110</v>
      </c>
      <c r="Z534" s="0" t="n">
        <v>1</v>
      </c>
      <c r="AA534" s="189" t="s">
        <v>2249</v>
      </c>
    </row>
    <row r="535" customFormat="false" ht="15" hidden="false" customHeight="true" outlineLevel="0" collapsed="false">
      <c r="A535" s="0" t="n">
        <v>108</v>
      </c>
      <c r="B535" s="188" t="n">
        <v>46119.6386676345</v>
      </c>
      <c r="C535" s="188" t="n">
        <v>46119.6494315234</v>
      </c>
      <c r="D535" s="189" t="s">
        <v>970</v>
      </c>
      <c r="E535" s="189" t="s">
        <v>971</v>
      </c>
      <c r="F535" s="189" t="s">
        <v>971</v>
      </c>
      <c r="G535" s="189" t="s">
        <v>972</v>
      </c>
      <c r="H535" s="188" t="n">
        <v>46118</v>
      </c>
      <c r="I535" s="189" t="s">
        <v>113</v>
      </c>
      <c r="J535" s="189" t="s">
        <v>128</v>
      </c>
      <c r="K535" s="189" t="s">
        <v>173</v>
      </c>
      <c r="L535" s="189" t="s">
        <v>144</v>
      </c>
      <c r="M535" s="189" t="s">
        <v>973</v>
      </c>
      <c r="N535" s="189" t="s">
        <v>306</v>
      </c>
      <c r="O535" s="189" t="s">
        <v>278</v>
      </c>
      <c r="P535" s="189" t="s">
        <v>131</v>
      </c>
      <c r="Q535" s="189" t="s">
        <v>112</v>
      </c>
      <c r="R535" s="189" t="s">
        <v>22</v>
      </c>
      <c r="S535" s="189" t="s">
        <v>152</v>
      </c>
      <c r="T535" s="189" t="s">
        <v>121</v>
      </c>
      <c r="U535" s="189" t="s">
        <v>725</v>
      </c>
      <c r="V535" s="189" t="s">
        <v>192</v>
      </c>
      <c r="W535" s="189" t="s">
        <v>168</v>
      </c>
      <c r="X535" s="189" t="s">
        <v>176</v>
      </c>
      <c r="Y535" s="189" t="s">
        <v>2110</v>
      </c>
      <c r="Z535" s="0" t="n">
        <v>2</v>
      </c>
      <c r="AA535" s="189" t="s">
        <v>2310</v>
      </c>
    </row>
    <row r="536" customFormat="false" ht="15" hidden="false" customHeight="true" outlineLevel="0" collapsed="false">
      <c r="A536" s="0" t="n">
        <v>108</v>
      </c>
      <c r="B536" s="188" t="n">
        <v>46119.6386676345</v>
      </c>
      <c r="C536" s="188" t="n">
        <v>46119.6494315234</v>
      </c>
      <c r="D536" s="189" t="s">
        <v>970</v>
      </c>
      <c r="E536" s="189" t="s">
        <v>971</v>
      </c>
      <c r="F536" s="189" t="s">
        <v>971</v>
      </c>
      <c r="G536" s="189" t="s">
        <v>972</v>
      </c>
      <c r="H536" s="188" t="n">
        <v>46118</v>
      </c>
      <c r="I536" s="189" t="s">
        <v>113</v>
      </c>
      <c r="J536" s="189" t="s">
        <v>128</v>
      </c>
      <c r="K536" s="189" t="s">
        <v>173</v>
      </c>
      <c r="L536" s="189" t="s">
        <v>144</v>
      </c>
      <c r="M536" s="189" t="s">
        <v>973</v>
      </c>
      <c r="N536" s="189" t="s">
        <v>306</v>
      </c>
      <c r="O536" s="189" t="s">
        <v>278</v>
      </c>
      <c r="P536" s="189" t="s">
        <v>131</v>
      </c>
      <c r="Q536" s="189" t="s">
        <v>112</v>
      </c>
      <c r="R536" s="189" t="s">
        <v>22</v>
      </c>
      <c r="S536" s="189" t="s">
        <v>152</v>
      </c>
      <c r="T536" s="189" t="s">
        <v>121</v>
      </c>
      <c r="U536" s="189" t="s">
        <v>725</v>
      </c>
      <c r="V536" s="189" t="s">
        <v>192</v>
      </c>
      <c r="W536" s="189" t="s">
        <v>168</v>
      </c>
      <c r="X536" s="189" t="s">
        <v>176</v>
      </c>
      <c r="Y536" s="189" t="s">
        <v>2113</v>
      </c>
      <c r="Z536" s="0" t="n">
        <v>1</v>
      </c>
      <c r="AA536" s="189" t="s">
        <v>2285</v>
      </c>
    </row>
    <row r="537" customFormat="false" ht="15" hidden="false" customHeight="true" outlineLevel="0" collapsed="false">
      <c r="A537" s="0" t="n">
        <v>108</v>
      </c>
      <c r="B537" s="188" t="n">
        <v>46119.6386676345</v>
      </c>
      <c r="C537" s="188" t="n">
        <v>46119.6494315234</v>
      </c>
      <c r="D537" s="189" t="s">
        <v>970</v>
      </c>
      <c r="E537" s="189" t="s">
        <v>971</v>
      </c>
      <c r="F537" s="189" t="s">
        <v>971</v>
      </c>
      <c r="G537" s="189" t="s">
        <v>972</v>
      </c>
      <c r="H537" s="188" t="n">
        <v>46118</v>
      </c>
      <c r="I537" s="189" t="s">
        <v>113</v>
      </c>
      <c r="J537" s="189" t="s">
        <v>128</v>
      </c>
      <c r="K537" s="189" t="s">
        <v>173</v>
      </c>
      <c r="L537" s="189" t="s">
        <v>144</v>
      </c>
      <c r="M537" s="189" t="s">
        <v>973</v>
      </c>
      <c r="N537" s="189" t="s">
        <v>306</v>
      </c>
      <c r="O537" s="189" t="s">
        <v>278</v>
      </c>
      <c r="P537" s="189" t="s">
        <v>131</v>
      </c>
      <c r="Q537" s="189" t="s">
        <v>112</v>
      </c>
      <c r="R537" s="189" t="s">
        <v>22</v>
      </c>
      <c r="S537" s="189" t="s">
        <v>152</v>
      </c>
      <c r="T537" s="189" t="s">
        <v>121</v>
      </c>
      <c r="U537" s="189" t="s">
        <v>725</v>
      </c>
      <c r="V537" s="189" t="s">
        <v>192</v>
      </c>
      <c r="W537" s="189" t="s">
        <v>168</v>
      </c>
      <c r="X537" s="189" t="s">
        <v>176</v>
      </c>
      <c r="Y537" s="189" t="s">
        <v>2113</v>
      </c>
      <c r="Z537" s="0" t="n">
        <v>2</v>
      </c>
      <c r="AA537" s="189" t="s">
        <v>2132</v>
      </c>
    </row>
    <row r="538" customFormat="false" ht="15" hidden="false" customHeight="true" outlineLevel="0" collapsed="false">
      <c r="A538" s="0" t="n">
        <v>109</v>
      </c>
      <c r="B538" s="188" t="n">
        <v>46152.4625637889</v>
      </c>
      <c r="C538" s="188" t="n">
        <v>46152.4677142518</v>
      </c>
      <c r="D538" s="189" t="s">
        <v>977</v>
      </c>
      <c r="E538" s="189" t="s">
        <v>978</v>
      </c>
      <c r="F538" s="189" t="s">
        <v>978</v>
      </c>
      <c r="G538" s="189" t="s">
        <v>979</v>
      </c>
      <c r="H538" s="188" t="n">
        <v>46136</v>
      </c>
      <c r="I538" s="189" t="s">
        <v>132</v>
      </c>
      <c r="J538" s="189" t="s">
        <v>295</v>
      </c>
      <c r="K538" s="189" t="s">
        <v>173</v>
      </c>
      <c r="L538" s="189" t="s">
        <v>268</v>
      </c>
      <c r="M538" s="189" t="s">
        <v>286</v>
      </c>
      <c r="N538" s="189" t="s">
        <v>980</v>
      </c>
      <c r="O538" s="189" t="s">
        <v>172</v>
      </c>
      <c r="P538" s="189" t="s">
        <v>111</v>
      </c>
      <c r="Q538" s="189" t="s">
        <v>145</v>
      </c>
      <c r="R538" s="189" t="s">
        <v>22</v>
      </c>
      <c r="S538" s="189" t="s">
        <v>152</v>
      </c>
      <c r="T538" s="189" t="s">
        <v>121</v>
      </c>
      <c r="V538" s="189" t="s">
        <v>167</v>
      </c>
      <c r="W538" s="189" t="s">
        <v>124</v>
      </c>
      <c r="X538" s="189" t="s">
        <v>271</v>
      </c>
      <c r="Y538" s="189" t="s">
        <v>2108</v>
      </c>
      <c r="Z538" s="0" t="n">
        <v>1</v>
      </c>
      <c r="AA538" s="189" t="s">
        <v>2274</v>
      </c>
    </row>
    <row r="539" customFormat="false" ht="15" hidden="false" customHeight="true" outlineLevel="0" collapsed="false">
      <c r="A539" s="0" t="n">
        <v>109</v>
      </c>
      <c r="B539" s="188" t="n">
        <v>46152.4625637889</v>
      </c>
      <c r="C539" s="188" t="n">
        <v>46152.4677142518</v>
      </c>
      <c r="D539" s="189" t="s">
        <v>977</v>
      </c>
      <c r="E539" s="189" t="s">
        <v>978</v>
      </c>
      <c r="F539" s="189" t="s">
        <v>978</v>
      </c>
      <c r="G539" s="189" t="s">
        <v>979</v>
      </c>
      <c r="H539" s="188" t="n">
        <v>46136</v>
      </c>
      <c r="I539" s="189" t="s">
        <v>132</v>
      </c>
      <c r="J539" s="189" t="s">
        <v>295</v>
      </c>
      <c r="K539" s="189" t="s">
        <v>173</v>
      </c>
      <c r="L539" s="189" t="s">
        <v>268</v>
      </c>
      <c r="M539" s="189" t="s">
        <v>286</v>
      </c>
      <c r="N539" s="189" t="s">
        <v>980</v>
      </c>
      <c r="O539" s="189" t="s">
        <v>172</v>
      </c>
      <c r="P539" s="189" t="s">
        <v>111</v>
      </c>
      <c r="Q539" s="189" t="s">
        <v>145</v>
      </c>
      <c r="R539" s="189" t="s">
        <v>22</v>
      </c>
      <c r="S539" s="189" t="s">
        <v>152</v>
      </c>
      <c r="T539" s="189" t="s">
        <v>121</v>
      </c>
      <c r="V539" s="189" t="s">
        <v>167</v>
      </c>
      <c r="W539" s="189" t="s">
        <v>124</v>
      </c>
      <c r="X539" s="189" t="s">
        <v>271</v>
      </c>
      <c r="Y539" s="189" t="s">
        <v>2108</v>
      </c>
      <c r="Z539" s="0" t="n">
        <v>2</v>
      </c>
      <c r="AA539" s="189" t="s">
        <v>2180</v>
      </c>
    </row>
    <row r="540" customFormat="false" ht="15" hidden="false" customHeight="true" outlineLevel="0" collapsed="false">
      <c r="A540" s="0" t="n">
        <v>109</v>
      </c>
      <c r="B540" s="188" t="n">
        <v>46152.4625637889</v>
      </c>
      <c r="C540" s="188" t="n">
        <v>46152.4677142518</v>
      </c>
      <c r="D540" s="189" t="s">
        <v>977</v>
      </c>
      <c r="E540" s="189" t="s">
        <v>978</v>
      </c>
      <c r="F540" s="189" t="s">
        <v>978</v>
      </c>
      <c r="G540" s="189" t="s">
        <v>979</v>
      </c>
      <c r="H540" s="188" t="n">
        <v>46136</v>
      </c>
      <c r="I540" s="189" t="s">
        <v>132</v>
      </c>
      <c r="J540" s="189" t="s">
        <v>295</v>
      </c>
      <c r="K540" s="189" t="s">
        <v>173</v>
      </c>
      <c r="L540" s="189" t="s">
        <v>268</v>
      </c>
      <c r="M540" s="189" t="s">
        <v>286</v>
      </c>
      <c r="N540" s="189" t="s">
        <v>980</v>
      </c>
      <c r="O540" s="189" t="s">
        <v>172</v>
      </c>
      <c r="P540" s="189" t="s">
        <v>111</v>
      </c>
      <c r="Q540" s="189" t="s">
        <v>145</v>
      </c>
      <c r="R540" s="189" t="s">
        <v>22</v>
      </c>
      <c r="S540" s="189" t="s">
        <v>152</v>
      </c>
      <c r="T540" s="189" t="s">
        <v>121</v>
      </c>
      <c r="V540" s="189" t="s">
        <v>167</v>
      </c>
      <c r="W540" s="189" t="s">
        <v>124</v>
      </c>
      <c r="X540" s="189" t="s">
        <v>271</v>
      </c>
      <c r="Y540" s="189" t="s">
        <v>2108</v>
      </c>
      <c r="Z540" s="0" t="n">
        <v>3</v>
      </c>
      <c r="AA540" s="189" t="s">
        <v>2158</v>
      </c>
    </row>
    <row r="541" customFormat="false" ht="15" hidden="false" customHeight="true" outlineLevel="0" collapsed="false">
      <c r="A541" s="0" t="n">
        <v>109</v>
      </c>
      <c r="B541" s="188" t="n">
        <v>46152.4625637889</v>
      </c>
      <c r="C541" s="188" t="n">
        <v>46152.4677142518</v>
      </c>
      <c r="D541" s="189" t="s">
        <v>977</v>
      </c>
      <c r="E541" s="189" t="s">
        <v>978</v>
      </c>
      <c r="F541" s="189" t="s">
        <v>978</v>
      </c>
      <c r="G541" s="189" t="s">
        <v>979</v>
      </c>
      <c r="H541" s="188" t="n">
        <v>46136</v>
      </c>
      <c r="I541" s="189" t="s">
        <v>132</v>
      </c>
      <c r="J541" s="189" t="s">
        <v>295</v>
      </c>
      <c r="K541" s="189" t="s">
        <v>173</v>
      </c>
      <c r="L541" s="189" t="s">
        <v>268</v>
      </c>
      <c r="M541" s="189" t="s">
        <v>286</v>
      </c>
      <c r="N541" s="189" t="s">
        <v>980</v>
      </c>
      <c r="O541" s="189" t="s">
        <v>172</v>
      </c>
      <c r="P541" s="189" t="s">
        <v>111</v>
      </c>
      <c r="Q541" s="189" t="s">
        <v>145</v>
      </c>
      <c r="R541" s="189" t="s">
        <v>22</v>
      </c>
      <c r="S541" s="189" t="s">
        <v>152</v>
      </c>
      <c r="T541" s="189" t="s">
        <v>121</v>
      </c>
      <c r="V541" s="189" t="s">
        <v>167</v>
      </c>
      <c r="W541" s="189" t="s">
        <v>124</v>
      </c>
      <c r="X541" s="189" t="s">
        <v>271</v>
      </c>
      <c r="Y541" s="189" t="s">
        <v>2110</v>
      </c>
      <c r="Z541" s="0" t="n">
        <v>1</v>
      </c>
      <c r="AA541" s="189" t="s">
        <v>2160</v>
      </c>
    </row>
    <row r="542" customFormat="false" ht="15" hidden="false" customHeight="true" outlineLevel="0" collapsed="false">
      <c r="A542" s="0" t="n">
        <v>109</v>
      </c>
      <c r="B542" s="188" t="n">
        <v>46152.4625637889</v>
      </c>
      <c r="C542" s="188" t="n">
        <v>46152.4677142518</v>
      </c>
      <c r="D542" s="189" t="s">
        <v>977</v>
      </c>
      <c r="E542" s="189" t="s">
        <v>978</v>
      </c>
      <c r="F542" s="189" t="s">
        <v>978</v>
      </c>
      <c r="G542" s="189" t="s">
        <v>979</v>
      </c>
      <c r="H542" s="188" t="n">
        <v>46136</v>
      </c>
      <c r="I542" s="189" t="s">
        <v>132</v>
      </c>
      <c r="J542" s="189" t="s">
        <v>295</v>
      </c>
      <c r="K542" s="189" t="s">
        <v>173</v>
      </c>
      <c r="L542" s="189" t="s">
        <v>268</v>
      </c>
      <c r="M542" s="189" t="s">
        <v>286</v>
      </c>
      <c r="N542" s="189" t="s">
        <v>980</v>
      </c>
      <c r="O542" s="189" t="s">
        <v>172</v>
      </c>
      <c r="P542" s="189" t="s">
        <v>111</v>
      </c>
      <c r="Q542" s="189" t="s">
        <v>145</v>
      </c>
      <c r="R542" s="189" t="s">
        <v>22</v>
      </c>
      <c r="S542" s="189" t="s">
        <v>152</v>
      </c>
      <c r="T542" s="189" t="s">
        <v>121</v>
      </c>
      <c r="V542" s="189" t="s">
        <v>167</v>
      </c>
      <c r="W542" s="189" t="s">
        <v>124</v>
      </c>
      <c r="X542" s="189" t="s">
        <v>271</v>
      </c>
      <c r="Y542" s="189" t="s">
        <v>2110</v>
      </c>
      <c r="Z542" s="0" t="n">
        <v>2</v>
      </c>
      <c r="AA542" s="189" t="s">
        <v>2311</v>
      </c>
    </row>
    <row r="543" customFormat="false" ht="15" hidden="false" customHeight="true" outlineLevel="0" collapsed="false">
      <c r="A543" s="0" t="n">
        <v>109</v>
      </c>
      <c r="B543" s="188" t="n">
        <v>46152.4625637889</v>
      </c>
      <c r="C543" s="188" t="n">
        <v>46152.4677142518</v>
      </c>
      <c r="D543" s="189" t="s">
        <v>977</v>
      </c>
      <c r="E543" s="189" t="s">
        <v>978</v>
      </c>
      <c r="F543" s="189" t="s">
        <v>978</v>
      </c>
      <c r="G543" s="189" t="s">
        <v>979</v>
      </c>
      <c r="H543" s="188" t="n">
        <v>46136</v>
      </c>
      <c r="I543" s="189" t="s">
        <v>132</v>
      </c>
      <c r="J543" s="189" t="s">
        <v>295</v>
      </c>
      <c r="K543" s="189" t="s">
        <v>173</v>
      </c>
      <c r="L543" s="189" t="s">
        <v>268</v>
      </c>
      <c r="M543" s="189" t="s">
        <v>286</v>
      </c>
      <c r="N543" s="189" t="s">
        <v>980</v>
      </c>
      <c r="O543" s="189" t="s">
        <v>172</v>
      </c>
      <c r="P543" s="189" t="s">
        <v>111</v>
      </c>
      <c r="Q543" s="189" t="s">
        <v>145</v>
      </c>
      <c r="R543" s="189" t="s">
        <v>22</v>
      </c>
      <c r="S543" s="189" t="s">
        <v>152</v>
      </c>
      <c r="T543" s="189" t="s">
        <v>121</v>
      </c>
      <c r="V543" s="189" t="s">
        <v>167</v>
      </c>
      <c r="W543" s="189" t="s">
        <v>124</v>
      </c>
      <c r="X543" s="189" t="s">
        <v>271</v>
      </c>
      <c r="Y543" s="189" t="s">
        <v>2113</v>
      </c>
      <c r="Z543" s="0" t="n">
        <v>1</v>
      </c>
      <c r="AA543" s="189" t="s">
        <v>122</v>
      </c>
    </row>
    <row r="544" customFormat="false" ht="15" hidden="false" customHeight="true" outlineLevel="0" collapsed="false">
      <c r="A544" s="0" t="n">
        <v>110</v>
      </c>
      <c r="B544" s="188" t="n">
        <v>46070.1855756337</v>
      </c>
      <c r="C544" s="188" t="n">
        <v>46070.2047075781</v>
      </c>
      <c r="D544" s="189" t="s">
        <v>983</v>
      </c>
      <c r="E544" s="189" t="s">
        <v>984</v>
      </c>
      <c r="F544" s="189" t="s">
        <v>984</v>
      </c>
      <c r="G544" s="189" t="s">
        <v>985</v>
      </c>
      <c r="H544" s="188" t="n">
        <v>46061</v>
      </c>
      <c r="I544" s="189" t="s">
        <v>113</v>
      </c>
      <c r="J544" s="189" t="s">
        <v>108</v>
      </c>
      <c r="K544" s="189" t="s">
        <v>143</v>
      </c>
      <c r="L544" s="189" t="s">
        <v>184</v>
      </c>
      <c r="M544" s="189" t="s">
        <v>279</v>
      </c>
      <c r="N544" s="189" t="s">
        <v>899</v>
      </c>
      <c r="O544" s="189" t="s">
        <v>107</v>
      </c>
      <c r="P544" s="189" t="s">
        <v>111</v>
      </c>
      <c r="Q544" s="189" t="s">
        <v>112</v>
      </c>
      <c r="R544" s="189" t="s">
        <v>21</v>
      </c>
      <c r="S544" s="189" t="s">
        <v>152</v>
      </c>
      <c r="T544" s="189" t="s">
        <v>352</v>
      </c>
      <c r="U544" s="189" t="s">
        <v>122</v>
      </c>
      <c r="V544" s="189" t="s">
        <v>192</v>
      </c>
      <c r="W544" s="189" t="s">
        <v>124</v>
      </c>
      <c r="X544" s="189" t="s">
        <v>307</v>
      </c>
      <c r="Y544" s="189" t="s">
        <v>2108</v>
      </c>
      <c r="Z544" s="0" t="n">
        <v>1</v>
      </c>
      <c r="AA544" s="189" t="s">
        <v>2175</v>
      </c>
    </row>
    <row r="545" customFormat="false" ht="15" hidden="false" customHeight="true" outlineLevel="0" collapsed="false">
      <c r="A545" s="0" t="n">
        <v>110</v>
      </c>
      <c r="B545" s="188" t="n">
        <v>46070.1855756337</v>
      </c>
      <c r="C545" s="188" t="n">
        <v>46070.2047075781</v>
      </c>
      <c r="D545" s="189" t="s">
        <v>983</v>
      </c>
      <c r="E545" s="189" t="s">
        <v>984</v>
      </c>
      <c r="F545" s="189" t="s">
        <v>984</v>
      </c>
      <c r="G545" s="189" t="s">
        <v>985</v>
      </c>
      <c r="H545" s="188" t="n">
        <v>46061</v>
      </c>
      <c r="I545" s="189" t="s">
        <v>113</v>
      </c>
      <c r="J545" s="189" t="s">
        <v>108</v>
      </c>
      <c r="K545" s="189" t="s">
        <v>143</v>
      </c>
      <c r="L545" s="189" t="s">
        <v>184</v>
      </c>
      <c r="M545" s="189" t="s">
        <v>279</v>
      </c>
      <c r="N545" s="189" t="s">
        <v>899</v>
      </c>
      <c r="O545" s="189" t="s">
        <v>107</v>
      </c>
      <c r="P545" s="189" t="s">
        <v>111</v>
      </c>
      <c r="Q545" s="189" t="s">
        <v>112</v>
      </c>
      <c r="R545" s="189" t="s">
        <v>21</v>
      </c>
      <c r="S545" s="189" t="s">
        <v>152</v>
      </c>
      <c r="T545" s="189" t="s">
        <v>352</v>
      </c>
      <c r="U545" s="189" t="s">
        <v>122</v>
      </c>
      <c r="V545" s="189" t="s">
        <v>192</v>
      </c>
      <c r="W545" s="189" t="s">
        <v>124</v>
      </c>
      <c r="X545" s="189" t="s">
        <v>307</v>
      </c>
      <c r="Y545" s="189" t="s">
        <v>2108</v>
      </c>
      <c r="Z545" s="0" t="n">
        <v>2</v>
      </c>
      <c r="AA545" s="189" t="s">
        <v>2173</v>
      </c>
    </row>
    <row r="546" customFormat="false" ht="15" hidden="false" customHeight="true" outlineLevel="0" collapsed="false">
      <c r="A546" s="0" t="n">
        <v>110</v>
      </c>
      <c r="B546" s="188" t="n">
        <v>46070.1855756337</v>
      </c>
      <c r="C546" s="188" t="n">
        <v>46070.2047075781</v>
      </c>
      <c r="D546" s="189" t="s">
        <v>983</v>
      </c>
      <c r="E546" s="189" t="s">
        <v>984</v>
      </c>
      <c r="F546" s="189" t="s">
        <v>984</v>
      </c>
      <c r="G546" s="189" t="s">
        <v>985</v>
      </c>
      <c r="H546" s="188" t="n">
        <v>46061</v>
      </c>
      <c r="I546" s="189" t="s">
        <v>113</v>
      </c>
      <c r="J546" s="189" t="s">
        <v>108</v>
      </c>
      <c r="K546" s="189" t="s">
        <v>143</v>
      </c>
      <c r="L546" s="189" t="s">
        <v>184</v>
      </c>
      <c r="M546" s="189" t="s">
        <v>279</v>
      </c>
      <c r="N546" s="189" t="s">
        <v>899</v>
      </c>
      <c r="O546" s="189" t="s">
        <v>107</v>
      </c>
      <c r="P546" s="189" t="s">
        <v>111</v>
      </c>
      <c r="Q546" s="189" t="s">
        <v>112</v>
      </c>
      <c r="R546" s="189" t="s">
        <v>21</v>
      </c>
      <c r="S546" s="189" t="s">
        <v>152</v>
      </c>
      <c r="T546" s="189" t="s">
        <v>352</v>
      </c>
      <c r="U546" s="189" t="s">
        <v>122</v>
      </c>
      <c r="V546" s="189" t="s">
        <v>192</v>
      </c>
      <c r="W546" s="189" t="s">
        <v>124</v>
      </c>
      <c r="X546" s="189" t="s">
        <v>307</v>
      </c>
      <c r="Y546" s="189" t="s">
        <v>2108</v>
      </c>
      <c r="Z546" s="0" t="n">
        <v>3</v>
      </c>
      <c r="AA546" s="189" t="s">
        <v>2174</v>
      </c>
    </row>
    <row r="547" customFormat="false" ht="15" hidden="false" customHeight="true" outlineLevel="0" collapsed="false">
      <c r="A547" s="0" t="n">
        <v>110</v>
      </c>
      <c r="B547" s="188" t="n">
        <v>46070.1855756337</v>
      </c>
      <c r="C547" s="188" t="n">
        <v>46070.2047075781</v>
      </c>
      <c r="D547" s="189" t="s">
        <v>983</v>
      </c>
      <c r="E547" s="189" t="s">
        <v>984</v>
      </c>
      <c r="F547" s="189" t="s">
        <v>984</v>
      </c>
      <c r="G547" s="189" t="s">
        <v>985</v>
      </c>
      <c r="H547" s="188" t="n">
        <v>46061</v>
      </c>
      <c r="I547" s="189" t="s">
        <v>113</v>
      </c>
      <c r="J547" s="189" t="s">
        <v>108</v>
      </c>
      <c r="K547" s="189" t="s">
        <v>143</v>
      </c>
      <c r="L547" s="189" t="s">
        <v>184</v>
      </c>
      <c r="M547" s="189" t="s">
        <v>279</v>
      </c>
      <c r="N547" s="189" t="s">
        <v>899</v>
      </c>
      <c r="O547" s="189" t="s">
        <v>107</v>
      </c>
      <c r="P547" s="189" t="s">
        <v>111</v>
      </c>
      <c r="Q547" s="189" t="s">
        <v>112</v>
      </c>
      <c r="R547" s="189" t="s">
        <v>21</v>
      </c>
      <c r="S547" s="189" t="s">
        <v>152</v>
      </c>
      <c r="T547" s="189" t="s">
        <v>352</v>
      </c>
      <c r="U547" s="189" t="s">
        <v>122</v>
      </c>
      <c r="V547" s="189" t="s">
        <v>192</v>
      </c>
      <c r="W547" s="189" t="s">
        <v>124</v>
      </c>
      <c r="X547" s="189" t="s">
        <v>307</v>
      </c>
      <c r="Y547" s="189" t="s">
        <v>2110</v>
      </c>
      <c r="Z547" s="0" t="n">
        <v>1</v>
      </c>
      <c r="AA547" s="189" t="s">
        <v>1174</v>
      </c>
    </row>
    <row r="548" customFormat="false" ht="15" hidden="false" customHeight="true" outlineLevel="0" collapsed="false">
      <c r="A548" s="0" t="n">
        <v>110</v>
      </c>
      <c r="B548" s="188" t="n">
        <v>46070.1855756337</v>
      </c>
      <c r="C548" s="188" t="n">
        <v>46070.2047075781</v>
      </c>
      <c r="D548" s="189" t="s">
        <v>983</v>
      </c>
      <c r="E548" s="189" t="s">
        <v>984</v>
      </c>
      <c r="F548" s="189" t="s">
        <v>984</v>
      </c>
      <c r="G548" s="189" t="s">
        <v>985</v>
      </c>
      <c r="H548" s="188" t="n">
        <v>46061</v>
      </c>
      <c r="I548" s="189" t="s">
        <v>113</v>
      </c>
      <c r="J548" s="189" t="s">
        <v>108</v>
      </c>
      <c r="K548" s="189" t="s">
        <v>143</v>
      </c>
      <c r="L548" s="189" t="s">
        <v>184</v>
      </c>
      <c r="M548" s="189" t="s">
        <v>279</v>
      </c>
      <c r="N548" s="189" t="s">
        <v>899</v>
      </c>
      <c r="O548" s="189" t="s">
        <v>107</v>
      </c>
      <c r="P548" s="189" t="s">
        <v>111</v>
      </c>
      <c r="Q548" s="189" t="s">
        <v>112</v>
      </c>
      <c r="R548" s="189" t="s">
        <v>21</v>
      </c>
      <c r="S548" s="189" t="s">
        <v>152</v>
      </c>
      <c r="T548" s="189" t="s">
        <v>352</v>
      </c>
      <c r="U548" s="189" t="s">
        <v>122</v>
      </c>
      <c r="V548" s="189" t="s">
        <v>192</v>
      </c>
      <c r="W548" s="189" t="s">
        <v>124</v>
      </c>
      <c r="X548" s="189" t="s">
        <v>307</v>
      </c>
      <c r="Y548" s="189" t="s">
        <v>2113</v>
      </c>
      <c r="Z548" s="0" t="n">
        <v>1</v>
      </c>
      <c r="AA548" s="189" t="s">
        <v>2177</v>
      </c>
    </row>
    <row r="549" customFormat="false" ht="15" hidden="false" customHeight="true" outlineLevel="0" collapsed="false">
      <c r="A549" s="0" t="n">
        <v>111</v>
      </c>
      <c r="B549" s="188" t="n">
        <v>46056.8361162229</v>
      </c>
      <c r="C549" s="188" t="n">
        <v>46056.8485583526</v>
      </c>
      <c r="D549" s="189" t="s">
        <v>987</v>
      </c>
      <c r="E549" s="189" t="s">
        <v>988</v>
      </c>
      <c r="F549" s="189" t="s">
        <v>988</v>
      </c>
      <c r="G549" s="189" t="s">
        <v>989</v>
      </c>
      <c r="H549" s="188" t="n">
        <v>46037</v>
      </c>
      <c r="I549" s="189" t="s">
        <v>113</v>
      </c>
      <c r="J549" s="189" t="s">
        <v>108</v>
      </c>
      <c r="K549" s="189" t="s">
        <v>257</v>
      </c>
      <c r="L549" s="189" t="s">
        <v>130</v>
      </c>
      <c r="M549" s="189" t="s">
        <v>258</v>
      </c>
      <c r="N549" s="189" t="s">
        <v>990</v>
      </c>
      <c r="O549" s="189" t="s">
        <v>172</v>
      </c>
      <c r="P549" s="189" t="s">
        <v>111</v>
      </c>
      <c r="Q549" s="189" t="s">
        <v>112</v>
      </c>
      <c r="R549" s="189" t="s">
        <v>22</v>
      </c>
      <c r="S549" s="189" t="s">
        <v>120</v>
      </c>
      <c r="T549" s="189" t="s">
        <v>352</v>
      </c>
      <c r="U549" s="189" t="s">
        <v>994</v>
      </c>
      <c r="V549" s="189" t="s">
        <v>123</v>
      </c>
      <c r="W549" s="189" t="s">
        <v>124</v>
      </c>
      <c r="X549" s="189" t="s">
        <v>715</v>
      </c>
      <c r="Y549" s="189" t="s">
        <v>2108</v>
      </c>
      <c r="Z549" s="0" t="n">
        <v>1</v>
      </c>
      <c r="AA549" s="189" t="s">
        <v>2295</v>
      </c>
    </row>
    <row r="550" customFormat="false" ht="15" hidden="false" customHeight="true" outlineLevel="0" collapsed="false">
      <c r="A550" s="0" t="n">
        <v>111</v>
      </c>
      <c r="B550" s="188" t="n">
        <v>46056.8361162229</v>
      </c>
      <c r="C550" s="188" t="n">
        <v>46056.8485583526</v>
      </c>
      <c r="D550" s="189" t="s">
        <v>987</v>
      </c>
      <c r="E550" s="189" t="s">
        <v>988</v>
      </c>
      <c r="F550" s="189" t="s">
        <v>988</v>
      </c>
      <c r="G550" s="189" t="s">
        <v>989</v>
      </c>
      <c r="H550" s="188" t="n">
        <v>46037</v>
      </c>
      <c r="I550" s="189" t="s">
        <v>113</v>
      </c>
      <c r="J550" s="189" t="s">
        <v>108</v>
      </c>
      <c r="K550" s="189" t="s">
        <v>257</v>
      </c>
      <c r="L550" s="189" t="s">
        <v>130</v>
      </c>
      <c r="M550" s="189" t="s">
        <v>258</v>
      </c>
      <c r="N550" s="189" t="s">
        <v>990</v>
      </c>
      <c r="O550" s="189" t="s">
        <v>172</v>
      </c>
      <c r="P550" s="189" t="s">
        <v>111</v>
      </c>
      <c r="Q550" s="189" t="s">
        <v>112</v>
      </c>
      <c r="R550" s="189" t="s">
        <v>22</v>
      </c>
      <c r="S550" s="189" t="s">
        <v>120</v>
      </c>
      <c r="T550" s="189" t="s">
        <v>352</v>
      </c>
      <c r="U550" s="189" t="s">
        <v>994</v>
      </c>
      <c r="V550" s="189" t="s">
        <v>123</v>
      </c>
      <c r="W550" s="189" t="s">
        <v>124</v>
      </c>
      <c r="X550" s="189" t="s">
        <v>715</v>
      </c>
      <c r="Y550" s="189" t="s">
        <v>2108</v>
      </c>
      <c r="Z550" s="0" t="n">
        <v>2</v>
      </c>
      <c r="AA550" s="189" t="s">
        <v>2300</v>
      </c>
    </row>
    <row r="551" customFormat="false" ht="15" hidden="false" customHeight="true" outlineLevel="0" collapsed="false">
      <c r="A551" s="0" t="n">
        <v>111</v>
      </c>
      <c r="B551" s="188" t="n">
        <v>46056.8361162229</v>
      </c>
      <c r="C551" s="188" t="n">
        <v>46056.8485583526</v>
      </c>
      <c r="D551" s="189" t="s">
        <v>987</v>
      </c>
      <c r="E551" s="189" t="s">
        <v>988</v>
      </c>
      <c r="F551" s="189" t="s">
        <v>988</v>
      </c>
      <c r="G551" s="189" t="s">
        <v>989</v>
      </c>
      <c r="H551" s="188" t="n">
        <v>46037</v>
      </c>
      <c r="I551" s="189" t="s">
        <v>113</v>
      </c>
      <c r="J551" s="189" t="s">
        <v>108</v>
      </c>
      <c r="K551" s="189" t="s">
        <v>257</v>
      </c>
      <c r="L551" s="189" t="s">
        <v>130</v>
      </c>
      <c r="M551" s="189" t="s">
        <v>258</v>
      </c>
      <c r="N551" s="189" t="s">
        <v>990</v>
      </c>
      <c r="O551" s="189" t="s">
        <v>172</v>
      </c>
      <c r="P551" s="189" t="s">
        <v>111</v>
      </c>
      <c r="Q551" s="189" t="s">
        <v>112</v>
      </c>
      <c r="R551" s="189" t="s">
        <v>22</v>
      </c>
      <c r="S551" s="189" t="s">
        <v>120</v>
      </c>
      <c r="T551" s="189" t="s">
        <v>352</v>
      </c>
      <c r="U551" s="189" t="s">
        <v>994</v>
      </c>
      <c r="V551" s="189" t="s">
        <v>123</v>
      </c>
      <c r="W551" s="189" t="s">
        <v>124</v>
      </c>
      <c r="X551" s="189" t="s">
        <v>715</v>
      </c>
      <c r="Y551" s="189" t="s">
        <v>2110</v>
      </c>
      <c r="Z551" s="0" t="n">
        <v>1</v>
      </c>
      <c r="AA551" s="189" t="s">
        <v>2297</v>
      </c>
    </row>
    <row r="552" customFormat="false" ht="15" hidden="false" customHeight="true" outlineLevel="0" collapsed="false">
      <c r="A552" s="0" t="n">
        <v>111</v>
      </c>
      <c r="B552" s="188" t="n">
        <v>46056.8361162229</v>
      </c>
      <c r="C552" s="188" t="n">
        <v>46056.8485583526</v>
      </c>
      <c r="D552" s="189" t="s">
        <v>987</v>
      </c>
      <c r="E552" s="189" t="s">
        <v>988</v>
      </c>
      <c r="F552" s="189" t="s">
        <v>988</v>
      </c>
      <c r="G552" s="189" t="s">
        <v>989</v>
      </c>
      <c r="H552" s="188" t="n">
        <v>46037</v>
      </c>
      <c r="I552" s="189" t="s">
        <v>113</v>
      </c>
      <c r="J552" s="189" t="s">
        <v>108</v>
      </c>
      <c r="K552" s="189" t="s">
        <v>257</v>
      </c>
      <c r="L552" s="189" t="s">
        <v>130</v>
      </c>
      <c r="M552" s="189" t="s">
        <v>258</v>
      </c>
      <c r="N552" s="189" t="s">
        <v>990</v>
      </c>
      <c r="O552" s="189" t="s">
        <v>172</v>
      </c>
      <c r="P552" s="189" t="s">
        <v>111</v>
      </c>
      <c r="Q552" s="189" t="s">
        <v>112</v>
      </c>
      <c r="R552" s="189" t="s">
        <v>22</v>
      </c>
      <c r="S552" s="189" t="s">
        <v>120</v>
      </c>
      <c r="T552" s="189" t="s">
        <v>352</v>
      </c>
      <c r="U552" s="189" t="s">
        <v>994</v>
      </c>
      <c r="V552" s="189" t="s">
        <v>123</v>
      </c>
      <c r="W552" s="189" t="s">
        <v>124</v>
      </c>
      <c r="X552" s="189" t="s">
        <v>715</v>
      </c>
      <c r="Y552" s="189" t="s">
        <v>2113</v>
      </c>
      <c r="Z552" s="0" t="n">
        <v>1</v>
      </c>
      <c r="AA552" s="189" t="s">
        <v>2298</v>
      </c>
    </row>
    <row r="553" customFormat="false" ht="15" hidden="false" customHeight="true" outlineLevel="0" collapsed="false">
      <c r="A553" s="0" t="n">
        <v>112</v>
      </c>
      <c r="B553" s="188" t="n">
        <v>46161.4646104407</v>
      </c>
      <c r="C553" s="188" t="n">
        <v>46161.4759183111</v>
      </c>
      <c r="D553" s="189" t="s">
        <v>995</v>
      </c>
      <c r="E553" s="189" t="s">
        <v>996</v>
      </c>
      <c r="F553" s="189" t="s">
        <v>996</v>
      </c>
      <c r="G553" s="189" t="s">
        <v>997</v>
      </c>
      <c r="H553" s="188" t="n">
        <v>46160</v>
      </c>
      <c r="I553" s="189" t="s">
        <v>113</v>
      </c>
      <c r="J553" s="189" t="s">
        <v>128</v>
      </c>
      <c r="K553" s="189" t="s">
        <v>257</v>
      </c>
      <c r="L553" s="189" t="s">
        <v>184</v>
      </c>
      <c r="M553" s="189" t="s">
        <v>234</v>
      </c>
      <c r="N553" s="189" t="s">
        <v>998</v>
      </c>
      <c r="O553" s="189" t="s">
        <v>244</v>
      </c>
      <c r="P553" s="189" t="s">
        <v>111</v>
      </c>
      <c r="Q553" s="189" t="s">
        <v>112</v>
      </c>
      <c r="R553" s="189" t="s">
        <v>22</v>
      </c>
      <c r="S553" s="189" t="s">
        <v>152</v>
      </c>
      <c r="T553" s="189" t="s">
        <v>496</v>
      </c>
      <c r="U553" s="189" t="s">
        <v>1002</v>
      </c>
      <c r="V553" s="189" t="s">
        <v>167</v>
      </c>
      <c r="W553" s="189" t="s">
        <v>168</v>
      </c>
      <c r="X553" s="189" t="s">
        <v>298</v>
      </c>
      <c r="Y553" s="189" t="s">
        <v>2108</v>
      </c>
      <c r="Z553" s="0" t="n">
        <v>1</v>
      </c>
      <c r="AA553" s="189" t="s">
        <v>2168</v>
      </c>
    </row>
    <row r="554" customFormat="false" ht="15" hidden="false" customHeight="true" outlineLevel="0" collapsed="false">
      <c r="A554" s="0" t="n">
        <v>112</v>
      </c>
      <c r="B554" s="188" t="n">
        <v>46161.4646104407</v>
      </c>
      <c r="C554" s="188" t="n">
        <v>46161.4759183111</v>
      </c>
      <c r="D554" s="189" t="s">
        <v>995</v>
      </c>
      <c r="E554" s="189" t="s">
        <v>996</v>
      </c>
      <c r="F554" s="189" t="s">
        <v>996</v>
      </c>
      <c r="G554" s="189" t="s">
        <v>997</v>
      </c>
      <c r="H554" s="188" t="n">
        <v>46160</v>
      </c>
      <c r="I554" s="189" t="s">
        <v>113</v>
      </c>
      <c r="J554" s="189" t="s">
        <v>128</v>
      </c>
      <c r="K554" s="189" t="s">
        <v>257</v>
      </c>
      <c r="L554" s="189" t="s">
        <v>184</v>
      </c>
      <c r="M554" s="189" t="s">
        <v>234</v>
      </c>
      <c r="N554" s="189" t="s">
        <v>998</v>
      </c>
      <c r="O554" s="189" t="s">
        <v>244</v>
      </c>
      <c r="P554" s="189" t="s">
        <v>111</v>
      </c>
      <c r="Q554" s="189" t="s">
        <v>112</v>
      </c>
      <c r="R554" s="189" t="s">
        <v>22</v>
      </c>
      <c r="S554" s="189" t="s">
        <v>152</v>
      </c>
      <c r="T554" s="189" t="s">
        <v>496</v>
      </c>
      <c r="U554" s="189" t="s">
        <v>1002</v>
      </c>
      <c r="V554" s="189" t="s">
        <v>167</v>
      </c>
      <c r="W554" s="189" t="s">
        <v>168</v>
      </c>
      <c r="X554" s="189" t="s">
        <v>298</v>
      </c>
      <c r="Y554" s="189" t="s">
        <v>2108</v>
      </c>
      <c r="Z554" s="0" t="n">
        <v>2</v>
      </c>
      <c r="AA554" s="189" t="s">
        <v>2169</v>
      </c>
    </row>
    <row r="555" customFormat="false" ht="15" hidden="false" customHeight="true" outlineLevel="0" collapsed="false">
      <c r="A555" s="0" t="n">
        <v>112</v>
      </c>
      <c r="B555" s="188" t="n">
        <v>46161.4646104407</v>
      </c>
      <c r="C555" s="188" t="n">
        <v>46161.4759183111</v>
      </c>
      <c r="D555" s="189" t="s">
        <v>995</v>
      </c>
      <c r="E555" s="189" t="s">
        <v>996</v>
      </c>
      <c r="F555" s="189" t="s">
        <v>996</v>
      </c>
      <c r="G555" s="189" t="s">
        <v>997</v>
      </c>
      <c r="H555" s="188" t="n">
        <v>46160</v>
      </c>
      <c r="I555" s="189" t="s">
        <v>113</v>
      </c>
      <c r="J555" s="189" t="s">
        <v>128</v>
      </c>
      <c r="K555" s="189" t="s">
        <v>257</v>
      </c>
      <c r="L555" s="189" t="s">
        <v>184</v>
      </c>
      <c r="M555" s="189" t="s">
        <v>234</v>
      </c>
      <c r="N555" s="189" t="s">
        <v>998</v>
      </c>
      <c r="O555" s="189" t="s">
        <v>244</v>
      </c>
      <c r="P555" s="189" t="s">
        <v>111</v>
      </c>
      <c r="Q555" s="189" t="s">
        <v>112</v>
      </c>
      <c r="R555" s="189" t="s">
        <v>22</v>
      </c>
      <c r="S555" s="189" t="s">
        <v>152</v>
      </c>
      <c r="T555" s="189" t="s">
        <v>496</v>
      </c>
      <c r="U555" s="189" t="s">
        <v>1002</v>
      </c>
      <c r="V555" s="189" t="s">
        <v>167</v>
      </c>
      <c r="W555" s="189" t="s">
        <v>168</v>
      </c>
      <c r="X555" s="189" t="s">
        <v>298</v>
      </c>
      <c r="Y555" s="189" t="s">
        <v>2108</v>
      </c>
      <c r="Z555" s="0" t="n">
        <v>3</v>
      </c>
      <c r="AA555" s="189" t="s">
        <v>2167</v>
      </c>
    </row>
    <row r="556" customFormat="false" ht="15" hidden="false" customHeight="true" outlineLevel="0" collapsed="false">
      <c r="A556" s="0" t="n">
        <v>112</v>
      </c>
      <c r="B556" s="188" t="n">
        <v>46161.4646104407</v>
      </c>
      <c r="C556" s="188" t="n">
        <v>46161.4759183111</v>
      </c>
      <c r="D556" s="189" t="s">
        <v>995</v>
      </c>
      <c r="E556" s="189" t="s">
        <v>996</v>
      </c>
      <c r="F556" s="189" t="s">
        <v>996</v>
      </c>
      <c r="G556" s="189" t="s">
        <v>997</v>
      </c>
      <c r="H556" s="188" t="n">
        <v>46160</v>
      </c>
      <c r="I556" s="189" t="s">
        <v>113</v>
      </c>
      <c r="J556" s="189" t="s">
        <v>128</v>
      </c>
      <c r="K556" s="189" t="s">
        <v>257</v>
      </c>
      <c r="L556" s="189" t="s">
        <v>184</v>
      </c>
      <c r="M556" s="189" t="s">
        <v>234</v>
      </c>
      <c r="N556" s="189" t="s">
        <v>998</v>
      </c>
      <c r="O556" s="189" t="s">
        <v>244</v>
      </c>
      <c r="P556" s="189" t="s">
        <v>111</v>
      </c>
      <c r="Q556" s="189" t="s">
        <v>112</v>
      </c>
      <c r="R556" s="189" t="s">
        <v>22</v>
      </c>
      <c r="S556" s="189" t="s">
        <v>152</v>
      </c>
      <c r="T556" s="189" t="s">
        <v>496</v>
      </c>
      <c r="U556" s="189" t="s">
        <v>1002</v>
      </c>
      <c r="V556" s="189" t="s">
        <v>167</v>
      </c>
      <c r="W556" s="189" t="s">
        <v>168</v>
      </c>
      <c r="X556" s="189" t="s">
        <v>298</v>
      </c>
      <c r="Y556" s="189" t="s">
        <v>2110</v>
      </c>
      <c r="Z556" s="0" t="n">
        <v>1</v>
      </c>
      <c r="AA556" s="189" t="s">
        <v>2312</v>
      </c>
    </row>
    <row r="557" customFormat="false" ht="15" hidden="false" customHeight="true" outlineLevel="0" collapsed="false">
      <c r="A557" s="0" t="n">
        <v>112</v>
      </c>
      <c r="B557" s="188" t="n">
        <v>46161.4646104407</v>
      </c>
      <c r="C557" s="188" t="n">
        <v>46161.4759183111</v>
      </c>
      <c r="D557" s="189" t="s">
        <v>995</v>
      </c>
      <c r="E557" s="189" t="s">
        <v>996</v>
      </c>
      <c r="F557" s="189" t="s">
        <v>996</v>
      </c>
      <c r="G557" s="189" t="s">
        <v>997</v>
      </c>
      <c r="H557" s="188" t="n">
        <v>46160</v>
      </c>
      <c r="I557" s="189" t="s">
        <v>113</v>
      </c>
      <c r="J557" s="189" t="s">
        <v>128</v>
      </c>
      <c r="K557" s="189" t="s">
        <v>257</v>
      </c>
      <c r="L557" s="189" t="s">
        <v>184</v>
      </c>
      <c r="M557" s="189" t="s">
        <v>234</v>
      </c>
      <c r="N557" s="189" t="s">
        <v>998</v>
      </c>
      <c r="O557" s="189" t="s">
        <v>244</v>
      </c>
      <c r="P557" s="189" t="s">
        <v>111</v>
      </c>
      <c r="Q557" s="189" t="s">
        <v>112</v>
      </c>
      <c r="R557" s="189" t="s">
        <v>22</v>
      </c>
      <c r="S557" s="189" t="s">
        <v>152</v>
      </c>
      <c r="T557" s="189" t="s">
        <v>496</v>
      </c>
      <c r="U557" s="189" t="s">
        <v>1002</v>
      </c>
      <c r="V557" s="189" t="s">
        <v>167</v>
      </c>
      <c r="W557" s="189" t="s">
        <v>168</v>
      </c>
      <c r="X557" s="189" t="s">
        <v>298</v>
      </c>
      <c r="Y557" s="189" t="s">
        <v>2113</v>
      </c>
      <c r="Z557" s="0" t="n">
        <v>1</v>
      </c>
      <c r="AA557" s="189" t="s">
        <v>2313</v>
      </c>
    </row>
    <row r="558" customFormat="false" ht="15" hidden="false" customHeight="true" outlineLevel="0" collapsed="false">
      <c r="A558" s="0" t="n">
        <v>113</v>
      </c>
      <c r="B558" s="188" t="n">
        <v>46175.7608389536</v>
      </c>
      <c r="C558" s="188" t="n">
        <v>46175.769496361</v>
      </c>
      <c r="D558" s="189" t="s">
        <v>1003</v>
      </c>
      <c r="E558" s="189" t="s">
        <v>1004</v>
      </c>
      <c r="F558" s="189" t="s">
        <v>1004</v>
      </c>
      <c r="G558" s="189" t="s">
        <v>1005</v>
      </c>
      <c r="H558" s="188" t="n">
        <v>46165</v>
      </c>
      <c r="I558" s="189" t="s">
        <v>113</v>
      </c>
      <c r="J558" s="189" t="s">
        <v>108</v>
      </c>
      <c r="K558" s="189" t="s">
        <v>462</v>
      </c>
      <c r="L558" s="189" t="s">
        <v>389</v>
      </c>
      <c r="M558" s="189" t="s">
        <v>515</v>
      </c>
      <c r="N558" s="189" t="s">
        <v>1006</v>
      </c>
      <c r="O558" s="189" t="s">
        <v>172</v>
      </c>
      <c r="P558" s="189" t="s">
        <v>111</v>
      </c>
      <c r="Q558" s="189" t="s">
        <v>112</v>
      </c>
      <c r="R558" s="189" t="s">
        <v>22</v>
      </c>
      <c r="S558" s="189" t="s">
        <v>152</v>
      </c>
      <c r="T558" s="189" t="s">
        <v>121</v>
      </c>
      <c r="U558" s="189" t="s">
        <v>122</v>
      </c>
      <c r="V558" s="189" t="s">
        <v>167</v>
      </c>
      <c r="W558" s="189" t="s">
        <v>124</v>
      </c>
      <c r="X558" s="189" t="s">
        <v>176</v>
      </c>
      <c r="Y558" s="189" t="s">
        <v>2108</v>
      </c>
      <c r="Z558" s="0" t="n">
        <v>1</v>
      </c>
      <c r="AA558" s="189" t="s">
        <v>2314</v>
      </c>
    </row>
    <row r="559" customFormat="false" ht="15" hidden="false" customHeight="true" outlineLevel="0" collapsed="false">
      <c r="A559" s="0" t="n">
        <v>113</v>
      </c>
      <c r="B559" s="188" t="n">
        <v>46175.7608389536</v>
      </c>
      <c r="C559" s="188" t="n">
        <v>46175.769496361</v>
      </c>
      <c r="D559" s="189" t="s">
        <v>1003</v>
      </c>
      <c r="E559" s="189" t="s">
        <v>1004</v>
      </c>
      <c r="F559" s="189" t="s">
        <v>1004</v>
      </c>
      <c r="G559" s="189" t="s">
        <v>1005</v>
      </c>
      <c r="H559" s="188" t="n">
        <v>46165</v>
      </c>
      <c r="I559" s="189" t="s">
        <v>113</v>
      </c>
      <c r="J559" s="189" t="s">
        <v>108</v>
      </c>
      <c r="K559" s="189" t="s">
        <v>462</v>
      </c>
      <c r="L559" s="189" t="s">
        <v>389</v>
      </c>
      <c r="M559" s="189" t="s">
        <v>515</v>
      </c>
      <c r="N559" s="189" t="s">
        <v>1006</v>
      </c>
      <c r="O559" s="189" t="s">
        <v>172</v>
      </c>
      <c r="P559" s="189" t="s">
        <v>111</v>
      </c>
      <c r="Q559" s="189" t="s">
        <v>112</v>
      </c>
      <c r="R559" s="189" t="s">
        <v>22</v>
      </c>
      <c r="S559" s="189" t="s">
        <v>152</v>
      </c>
      <c r="T559" s="189" t="s">
        <v>121</v>
      </c>
      <c r="U559" s="189" t="s">
        <v>122</v>
      </c>
      <c r="V559" s="189" t="s">
        <v>167</v>
      </c>
      <c r="W559" s="189" t="s">
        <v>124</v>
      </c>
      <c r="X559" s="189" t="s">
        <v>176</v>
      </c>
      <c r="Y559" s="189" t="s">
        <v>2108</v>
      </c>
      <c r="Z559" s="0" t="n">
        <v>2</v>
      </c>
      <c r="AA559" s="189" t="s">
        <v>2248</v>
      </c>
    </row>
    <row r="560" customFormat="false" ht="15" hidden="false" customHeight="false" outlineLevel="0" collapsed="false">
      <c r="A560" s="0" t="n">
        <v>113</v>
      </c>
      <c r="B560" s="188" t="n">
        <v>46175.7608389536</v>
      </c>
      <c r="C560" s="188" t="n">
        <v>46175.769496361</v>
      </c>
      <c r="D560" s="189" t="s">
        <v>1003</v>
      </c>
      <c r="E560" s="189" t="s">
        <v>1004</v>
      </c>
      <c r="F560" s="189" t="s">
        <v>1004</v>
      </c>
      <c r="G560" s="189" t="s">
        <v>1005</v>
      </c>
      <c r="H560" s="188" t="n">
        <v>46165</v>
      </c>
      <c r="I560" s="189" t="s">
        <v>113</v>
      </c>
      <c r="J560" s="189" t="s">
        <v>108</v>
      </c>
      <c r="K560" s="189" t="s">
        <v>462</v>
      </c>
      <c r="L560" s="189" t="s">
        <v>389</v>
      </c>
      <c r="M560" s="189" t="s">
        <v>515</v>
      </c>
      <c r="N560" s="189" t="s">
        <v>1006</v>
      </c>
      <c r="O560" s="189" t="s">
        <v>172</v>
      </c>
      <c r="P560" s="189" t="s">
        <v>111</v>
      </c>
      <c r="Q560" s="189" t="s">
        <v>112</v>
      </c>
      <c r="R560" s="189" t="s">
        <v>22</v>
      </c>
      <c r="S560" s="189" t="s">
        <v>152</v>
      </c>
      <c r="T560" s="189" t="s">
        <v>121</v>
      </c>
      <c r="U560" s="189" t="s">
        <v>122</v>
      </c>
      <c r="V560" s="189" t="s">
        <v>167</v>
      </c>
      <c r="W560" s="189" t="s">
        <v>124</v>
      </c>
      <c r="X560" s="189" t="s">
        <v>176</v>
      </c>
      <c r="Y560" s="189" t="s">
        <v>2108</v>
      </c>
      <c r="Z560" s="0" t="n">
        <v>3</v>
      </c>
      <c r="AA560" s="189" t="s">
        <v>2283</v>
      </c>
    </row>
    <row r="561" customFormat="false" ht="15" hidden="false" customHeight="false" outlineLevel="0" collapsed="false">
      <c r="A561" s="0" t="n">
        <v>113</v>
      </c>
      <c r="B561" s="188" t="n">
        <v>46175.7608389536</v>
      </c>
      <c r="C561" s="188" t="n">
        <v>46175.769496361</v>
      </c>
      <c r="D561" s="189" t="s">
        <v>1003</v>
      </c>
      <c r="E561" s="189" t="s">
        <v>1004</v>
      </c>
      <c r="F561" s="189" t="s">
        <v>1004</v>
      </c>
      <c r="G561" s="189" t="s">
        <v>1005</v>
      </c>
      <c r="H561" s="188" t="n">
        <v>46165</v>
      </c>
      <c r="I561" s="189" t="s">
        <v>113</v>
      </c>
      <c r="J561" s="189" t="s">
        <v>108</v>
      </c>
      <c r="K561" s="189" t="s">
        <v>462</v>
      </c>
      <c r="L561" s="189" t="s">
        <v>389</v>
      </c>
      <c r="M561" s="189" t="s">
        <v>515</v>
      </c>
      <c r="N561" s="189" t="s">
        <v>1006</v>
      </c>
      <c r="O561" s="189" t="s">
        <v>172</v>
      </c>
      <c r="P561" s="189" t="s">
        <v>111</v>
      </c>
      <c r="Q561" s="189" t="s">
        <v>112</v>
      </c>
      <c r="R561" s="189" t="s">
        <v>22</v>
      </c>
      <c r="S561" s="189" t="s">
        <v>152</v>
      </c>
      <c r="T561" s="189" t="s">
        <v>121</v>
      </c>
      <c r="U561" s="189" t="s">
        <v>122</v>
      </c>
      <c r="V561" s="189" t="s">
        <v>167</v>
      </c>
      <c r="W561" s="189" t="s">
        <v>124</v>
      </c>
      <c r="X561" s="189" t="s">
        <v>176</v>
      </c>
      <c r="Y561" s="189" t="s">
        <v>2110</v>
      </c>
      <c r="Z561" s="0" t="n">
        <v>1</v>
      </c>
      <c r="AA561" s="189" t="s">
        <v>1174</v>
      </c>
    </row>
    <row r="562" customFormat="false" ht="15" hidden="false" customHeight="false" outlineLevel="0" collapsed="false">
      <c r="A562" s="0" t="n">
        <v>113</v>
      </c>
      <c r="B562" s="188" t="n">
        <v>46175.7608389536</v>
      </c>
      <c r="C562" s="188" t="n">
        <v>46175.769496361</v>
      </c>
      <c r="D562" s="189" t="s">
        <v>1003</v>
      </c>
      <c r="E562" s="189" t="s">
        <v>1004</v>
      </c>
      <c r="F562" s="189" t="s">
        <v>1004</v>
      </c>
      <c r="G562" s="189" t="s">
        <v>1005</v>
      </c>
      <c r="H562" s="188" t="n">
        <v>46165</v>
      </c>
      <c r="I562" s="189" t="s">
        <v>113</v>
      </c>
      <c r="J562" s="189" t="s">
        <v>108</v>
      </c>
      <c r="K562" s="189" t="s">
        <v>462</v>
      </c>
      <c r="L562" s="189" t="s">
        <v>389</v>
      </c>
      <c r="M562" s="189" t="s">
        <v>515</v>
      </c>
      <c r="N562" s="189" t="s">
        <v>1006</v>
      </c>
      <c r="O562" s="189" t="s">
        <v>172</v>
      </c>
      <c r="P562" s="189" t="s">
        <v>111</v>
      </c>
      <c r="Q562" s="189" t="s">
        <v>112</v>
      </c>
      <c r="R562" s="189" t="s">
        <v>22</v>
      </c>
      <c r="S562" s="189" t="s">
        <v>152</v>
      </c>
      <c r="T562" s="189" t="s">
        <v>121</v>
      </c>
      <c r="U562" s="189" t="s">
        <v>122</v>
      </c>
      <c r="V562" s="189" t="s">
        <v>167</v>
      </c>
      <c r="W562" s="189" t="s">
        <v>124</v>
      </c>
      <c r="X562" s="189" t="s">
        <v>176</v>
      </c>
      <c r="Y562" s="189" t="s">
        <v>2110</v>
      </c>
      <c r="Z562" s="0" t="n">
        <v>2</v>
      </c>
      <c r="AA562" s="189" t="s">
        <v>2284</v>
      </c>
    </row>
    <row r="563" customFormat="false" ht="15" hidden="false" customHeight="false" outlineLevel="0" collapsed="false">
      <c r="A563" s="0" t="n">
        <v>113</v>
      </c>
      <c r="B563" s="188" t="n">
        <v>46175.7608389536</v>
      </c>
      <c r="C563" s="188" t="n">
        <v>46175.769496361</v>
      </c>
      <c r="D563" s="189" t="s">
        <v>1003</v>
      </c>
      <c r="E563" s="189" t="s">
        <v>1004</v>
      </c>
      <c r="F563" s="189" t="s">
        <v>1004</v>
      </c>
      <c r="G563" s="189" t="s">
        <v>1005</v>
      </c>
      <c r="H563" s="188" t="n">
        <v>46165</v>
      </c>
      <c r="I563" s="189" t="s">
        <v>113</v>
      </c>
      <c r="J563" s="189" t="s">
        <v>108</v>
      </c>
      <c r="K563" s="189" t="s">
        <v>462</v>
      </c>
      <c r="L563" s="189" t="s">
        <v>389</v>
      </c>
      <c r="M563" s="189" t="s">
        <v>515</v>
      </c>
      <c r="N563" s="189" t="s">
        <v>1006</v>
      </c>
      <c r="O563" s="189" t="s">
        <v>172</v>
      </c>
      <c r="P563" s="189" t="s">
        <v>111</v>
      </c>
      <c r="Q563" s="189" t="s">
        <v>112</v>
      </c>
      <c r="R563" s="189" t="s">
        <v>22</v>
      </c>
      <c r="S563" s="189" t="s">
        <v>152</v>
      </c>
      <c r="T563" s="189" t="s">
        <v>121</v>
      </c>
      <c r="U563" s="189" t="s">
        <v>122</v>
      </c>
      <c r="V563" s="189" t="s">
        <v>167</v>
      </c>
      <c r="W563" s="189" t="s">
        <v>124</v>
      </c>
      <c r="X563" s="189" t="s">
        <v>176</v>
      </c>
      <c r="Y563" s="189" t="s">
        <v>2113</v>
      </c>
      <c r="Z563" s="0" t="n">
        <v>1</v>
      </c>
      <c r="AA563" s="189" t="s">
        <v>2128</v>
      </c>
    </row>
    <row r="564" customFormat="false" ht="15" hidden="false" customHeight="false" outlineLevel="0" collapsed="false">
      <c r="A564" s="0" t="n">
        <v>113</v>
      </c>
      <c r="B564" s="188" t="n">
        <v>46175.7608389536</v>
      </c>
      <c r="C564" s="188" t="n">
        <v>46175.769496361</v>
      </c>
      <c r="D564" s="189" t="s">
        <v>1003</v>
      </c>
      <c r="E564" s="189" t="s">
        <v>1004</v>
      </c>
      <c r="F564" s="189" t="s">
        <v>1004</v>
      </c>
      <c r="G564" s="189" t="s">
        <v>1005</v>
      </c>
      <c r="H564" s="188" t="n">
        <v>46165</v>
      </c>
      <c r="I564" s="189" t="s">
        <v>113</v>
      </c>
      <c r="J564" s="189" t="s">
        <v>108</v>
      </c>
      <c r="K564" s="189" t="s">
        <v>462</v>
      </c>
      <c r="L564" s="189" t="s">
        <v>389</v>
      </c>
      <c r="M564" s="189" t="s">
        <v>515</v>
      </c>
      <c r="N564" s="189" t="s">
        <v>1006</v>
      </c>
      <c r="O564" s="189" t="s">
        <v>172</v>
      </c>
      <c r="P564" s="189" t="s">
        <v>111</v>
      </c>
      <c r="Q564" s="189" t="s">
        <v>112</v>
      </c>
      <c r="R564" s="189" t="s">
        <v>22</v>
      </c>
      <c r="S564" s="189" t="s">
        <v>152</v>
      </c>
      <c r="T564" s="189" t="s">
        <v>121</v>
      </c>
      <c r="U564" s="189" t="s">
        <v>122</v>
      </c>
      <c r="V564" s="189" t="s">
        <v>167</v>
      </c>
      <c r="W564" s="189" t="s">
        <v>124</v>
      </c>
      <c r="X564" s="189" t="s">
        <v>176</v>
      </c>
      <c r="Y564" s="189" t="s">
        <v>2113</v>
      </c>
      <c r="Z564" s="0" t="n">
        <v>2</v>
      </c>
      <c r="AA564" s="189" t="s">
        <v>2315</v>
      </c>
    </row>
    <row r="565" customFormat="false" ht="15" hidden="false" customHeight="false" outlineLevel="0" collapsed="false">
      <c r="A565" s="0" t="n">
        <v>114</v>
      </c>
      <c r="B565" s="188" t="n">
        <v>46139.4198012665</v>
      </c>
      <c r="C565" s="188" t="n">
        <v>46139.4327410813</v>
      </c>
      <c r="D565" s="189" t="s">
        <v>1010</v>
      </c>
      <c r="E565" s="189" t="s">
        <v>1011</v>
      </c>
      <c r="F565" s="189" t="s">
        <v>1011</v>
      </c>
      <c r="G565" s="189" t="s">
        <v>1012</v>
      </c>
      <c r="H565" s="188" t="n">
        <v>46134</v>
      </c>
      <c r="I565" s="189" t="s">
        <v>325</v>
      </c>
      <c r="J565" s="189" t="s">
        <v>108</v>
      </c>
      <c r="K565" s="189" t="s">
        <v>143</v>
      </c>
      <c r="L565" s="189" t="s">
        <v>268</v>
      </c>
      <c r="M565" s="189" t="s">
        <v>326</v>
      </c>
      <c r="N565" s="189" t="s">
        <v>827</v>
      </c>
      <c r="O565" s="189" t="s">
        <v>172</v>
      </c>
      <c r="P565" s="189" t="s">
        <v>111</v>
      </c>
      <c r="Q565" s="189" t="s">
        <v>112</v>
      </c>
      <c r="R565" s="189" t="s">
        <v>21</v>
      </c>
      <c r="S565" s="189" t="s">
        <v>120</v>
      </c>
      <c r="T565" s="189" t="s">
        <v>165</v>
      </c>
      <c r="U565" s="189" t="s">
        <v>1015</v>
      </c>
      <c r="V565" s="189" t="s">
        <v>123</v>
      </c>
      <c r="W565" s="189" t="s">
        <v>124</v>
      </c>
      <c r="X565" s="189" t="s">
        <v>374</v>
      </c>
      <c r="Y565" s="189" t="s">
        <v>2108</v>
      </c>
      <c r="Z565" s="0" t="n">
        <v>1</v>
      </c>
      <c r="AA565" s="189" t="s">
        <v>2198</v>
      </c>
    </row>
    <row r="566" customFormat="false" ht="15" hidden="false" customHeight="false" outlineLevel="0" collapsed="false">
      <c r="A566" s="0" t="n">
        <v>114</v>
      </c>
      <c r="B566" s="188" t="n">
        <v>46139.4198012665</v>
      </c>
      <c r="C566" s="188" t="n">
        <v>46139.4327410813</v>
      </c>
      <c r="D566" s="189" t="s">
        <v>1010</v>
      </c>
      <c r="E566" s="189" t="s">
        <v>1011</v>
      </c>
      <c r="F566" s="189" t="s">
        <v>1011</v>
      </c>
      <c r="G566" s="189" t="s">
        <v>1012</v>
      </c>
      <c r="H566" s="188" t="n">
        <v>46134</v>
      </c>
      <c r="I566" s="189" t="s">
        <v>325</v>
      </c>
      <c r="J566" s="189" t="s">
        <v>108</v>
      </c>
      <c r="K566" s="189" t="s">
        <v>143</v>
      </c>
      <c r="L566" s="189" t="s">
        <v>268</v>
      </c>
      <c r="M566" s="189" t="s">
        <v>326</v>
      </c>
      <c r="N566" s="189" t="s">
        <v>827</v>
      </c>
      <c r="O566" s="189" t="s">
        <v>172</v>
      </c>
      <c r="P566" s="189" t="s">
        <v>111</v>
      </c>
      <c r="Q566" s="189" t="s">
        <v>112</v>
      </c>
      <c r="R566" s="189" t="s">
        <v>21</v>
      </c>
      <c r="S566" s="189" t="s">
        <v>120</v>
      </c>
      <c r="T566" s="189" t="s">
        <v>165</v>
      </c>
      <c r="U566" s="189" t="s">
        <v>1015</v>
      </c>
      <c r="V566" s="189" t="s">
        <v>123</v>
      </c>
      <c r="W566" s="189" t="s">
        <v>124</v>
      </c>
      <c r="X566" s="189" t="s">
        <v>374</v>
      </c>
      <c r="Y566" s="189" t="s">
        <v>2108</v>
      </c>
      <c r="Z566" s="0" t="n">
        <v>2</v>
      </c>
      <c r="AA566" s="189" t="s">
        <v>2197</v>
      </c>
    </row>
    <row r="567" customFormat="false" ht="15" hidden="false" customHeight="false" outlineLevel="0" collapsed="false">
      <c r="A567" s="0" t="n">
        <v>114</v>
      </c>
      <c r="B567" s="188" t="n">
        <v>46139.4198012665</v>
      </c>
      <c r="C567" s="188" t="n">
        <v>46139.4327410813</v>
      </c>
      <c r="D567" s="189" t="s">
        <v>1010</v>
      </c>
      <c r="E567" s="189" t="s">
        <v>1011</v>
      </c>
      <c r="F567" s="189" t="s">
        <v>1011</v>
      </c>
      <c r="G567" s="189" t="s">
        <v>1012</v>
      </c>
      <c r="H567" s="188" t="n">
        <v>46134</v>
      </c>
      <c r="I567" s="189" t="s">
        <v>325</v>
      </c>
      <c r="J567" s="189" t="s">
        <v>108</v>
      </c>
      <c r="K567" s="189" t="s">
        <v>143</v>
      </c>
      <c r="L567" s="189" t="s">
        <v>268</v>
      </c>
      <c r="M567" s="189" t="s">
        <v>326</v>
      </c>
      <c r="N567" s="189" t="s">
        <v>827</v>
      </c>
      <c r="O567" s="189" t="s">
        <v>172</v>
      </c>
      <c r="P567" s="189" t="s">
        <v>111</v>
      </c>
      <c r="Q567" s="189" t="s">
        <v>112</v>
      </c>
      <c r="R567" s="189" t="s">
        <v>21</v>
      </c>
      <c r="S567" s="189" t="s">
        <v>120</v>
      </c>
      <c r="T567" s="189" t="s">
        <v>165</v>
      </c>
      <c r="U567" s="189" t="s">
        <v>1015</v>
      </c>
      <c r="V567" s="189" t="s">
        <v>123</v>
      </c>
      <c r="W567" s="189" t="s">
        <v>124</v>
      </c>
      <c r="X567" s="189" t="s">
        <v>374</v>
      </c>
      <c r="Y567" s="189" t="s">
        <v>2108</v>
      </c>
      <c r="Z567" s="0" t="n">
        <v>3</v>
      </c>
      <c r="AA567" s="189" t="s">
        <v>2199</v>
      </c>
    </row>
    <row r="568" customFormat="false" ht="15" hidden="false" customHeight="false" outlineLevel="0" collapsed="false">
      <c r="A568" s="0" t="n">
        <v>114</v>
      </c>
      <c r="B568" s="188" t="n">
        <v>46139.4198012665</v>
      </c>
      <c r="C568" s="188" t="n">
        <v>46139.4327410813</v>
      </c>
      <c r="D568" s="189" t="s">
        <v>1010</v>
      </c>
      <c r="E568" s="189" t="s">
        <v>1011</v>
      </c>
      <c r="F568" s="189" t="s">
        <v>1011</v>
      </c>
      <c r="G568" s="189" t="s">
        <v>1012</v>
      </c>
      <c r="H568" s="188" t="n">
        <v>46134</v>
      </c>
      <c r="I568" s="189" t="s">
        <v>325</v>
      </c>
      <c r="J568" s="189" t="s">
        <v>108</v>
      </c>
      <c r="K568" s="189" t="s">
        <v>143</v>
      </c>
      <c r="L568" s="189" t="s">
        <v>268</v>
      </c>
      <c r="M568" s="189" t="s">
        <v>326</v>
      </c>
      <c r="N568" s="189" t="s">
        <v>827</v>
      </c>
      <c r="O568" s="189" t="s">
        <v>172</v>
      </c>
      <c r="P568" s="189" t="s">
        <v>111</v>
      </c>
      <c r="Q568" s="189" t="s">
        <v>112</v>
      </c>
      <c r="R568" s="189" t="s">
        <v>21</v>
      </c>
      <c r="S568" s="189" t="s">
        <v>120</v>
      </c>
      <c r="T568" s="189" t="s">
        <v>165</v>
      </c>
      <c r="U568" s="189" t="s">
        <v>1015</v>
      </c>
      <c r="V568" s="189" t="s">
        <v>123</v>
      </c>
      <c r="W568" s="189" t="s">
        <v>124</v>
      </c>
      <c r="X568" s="189" t="s">
        <v>374</v>
      </c>
      <c r="Y568" s="189" t="s">
        <v>2110</v>
      </c>
      <c r="Z568" s="0" t="n">
        <v>1</v>
      </c>
      <c r="AA568" s="189" t="s">
        <v>2306</v>
      </c>
    </row>
    <row r="569" customFormat="false" ht="15" hidden="false" customHeight="false" outlineLevel="0" collapsed="false">
      <c r="A569" s="0" t="n">
        <v>114</v>
      </c>
      <c r="B569" s="188" t="n">
        <v>46139.4198012665</v>
      </c>
      <c r="C569" s="188" t="n">
        <v>46139.4327410813</v>
      </c>
      <c r="D569" s="189" t="s">
        <v>1010</v>
      </c>
      <c r="E569" s="189" t="s">
        <v>1011</v>
      </c>
      <c r="F569" s="189" t="s">
        <v>1011</v>
      </c>
      <c r="G569" s="189" t="s">
        <v>1012</v>
      </c>
      <c r="H569" s="188" t="n">
        <v>46134</v>
      </c>
      <c r="I569" s="189" t="s">
        <v>325</v>
      </c>
      <c r="J569" s="189" t="s">
        <v>108</v>
      </c>
      <c r="K569" s="189" t="s">
        <v>143</v>
      </c>
      <c r="L569" s="189" t="s">
        <v>268</v>
      </c>
      <c r="M569" s="189" t="s">
        <v>326</v>
      </c>
      <c r="N569" s="189" t="s">
        <v>827</v>
      </c>
      <c r="O569" s="189" t="s">
        <v>172</v>
      </c>
      <c r="P569" s="189" t="s">
        <v>111</v>
      </c>
      <c r="Q569" s="189" t="s">
        <v>112</v>
      </c>
      <c r="R569" s="189" t="s">
        <v>21</v>
      </c>
      <c r="S569" s="189" t="s">
        <v>120</v>
      </c>
      <c r="T569" s="189" t="s">
        <v>165</v>
      </c>
      <c r="U569" s="189" t="s">
        <v>1015</v>
      </c>
      <c r="V569" s="189" t="s">
        <v>123</v>
      </c>
      <c r="W569" s="189" t="s">
        <v>124</v>
      </c>
      <c r="X569" s="189" t="s">
        <v>374</v>
      </c>
      <c r="Y569" s="189" t="s">
        <v>2110</v>
      </c>
      <c r="Z569" s="0" t="n">
        <v>2</v>
      </c>
      <c r="AA569" s="189" t="s">
        <v>2200</v>
      </c>
    </row>
    <row r="570" customFormat="false" ht="15" hidden="false" customHeight="false" outlineLevel="0" collapsed="false">
      <c r="A570" s="0" t="n">
        <v>114</v>
      </c>
      <c r="B570" s="188" t="n">
        <v>46139.4198012665</v>
      </c>
      <c r="C570" s="188" t="n">
        <v>46139.4327410813</v>
      </c>
      <c r="D570" s="189" t="s">
        <v>1010</v>
      </c>
      <c r="E570" s="189" t="s">
        <v>1011</v>
      </c>
      <c r="F570" s="189" t="s">
        <v>1011</v>
      </c>
      <c r="G570" s="189" t="s">
        <v>1012</v>
      </c>
      <c r="H570" s="188" t="n">
        <v>46134</v>
      </c>
      <c r="I570" s="189" t="s">
        <v>325</v>
      </c>
      <c r="J570" s="189" t="s">
        <v>108</v>
      </c>
      <c r="K570" s="189" t="s">
        <v>143</v>
      </c>
      <c r="L570" s="189" t="s">
        <v>268</v>
      </c>
      <c r="M570" s="189" t="s">
        <v>326</v>
      </c>
      <c r="N570" s="189" t="s">
        <v>827</v>
      </c>
      <c r="O570" s="189" t="s">
        <v>172</v>
      </c>
      <c r="P570" s="189" t="s">
        <v>111</v>
      </c>
      <c r="Q570" s="189" t="s">
        <v>112</v>
      </c>
      <c r="R570" s="189" t="s">
        <v>21</v>
      </c>
      <c r="S570" s="189" t="s">
        <v>120</v>
      </c>
      <c r="T570" s="189" t="s">
        <v>165</v>
      </c>
      <c r="U570" s="189" t="s">
        <v>1015</v>
      </c>
      <c r="V570" s="189" t="s">
        <v>123</v>
      </c>
      <c r="W570" s="189" t="s">
        <v>124</v>
      </c>
      <c r="X570" s="189" t="s">
        <v>374</v>
      </c>
      <c r="Y570" s="189" t="s">
        <v>2113</v>
      </c>
      <c r="Z570" s="0" t="n">
        <v>1</v>
      </c>
      <c r="AA570" s="189" t="s">
        <v>2202</v>
      </c>
    </row>
    <row r="571" customFormat="false" ht="15" hidden="false" customHeight="false" outlineLevel="0" collapsed="false">
      <c r="A571" s="0" t="n">
        <v>115</v>
      </c>
      <c r="B571" s="188" t="n">
        <v>46205.6354775347</v>
      </c>
      <c r="C571" s="188" t="n">
        <v>46205.6450261458</v>
      </c>
      <c r="D571" s="189" t="s">
        <v>1016</v>
      </c>
      <c r="E571" s="189" t="s">
        <v>1017</v>
      </c>
      <c r="F571" s="189" t="s">
        <v>1018</v>
      </c>
      <c r="G571" s="189" t="s">
        <v>1019</v>
      </c>
      <c r="H571" s="188" t="n">
        <v>46193</v>
      </c>
      <c r="I571" s="189" t="s">
        <v>325</v>
      </c>
      <c r="J571" s="189" t="s">
        <v>108</v>
      </c>
      <c r="K571" s="189" t="s">
        <v>1020</v>
      </c>
      <c r="L571" s="189" t="s">
        <v>197</v>
      </c>
      <c r="M571" s="189" t="s">
        <v>269</v>
      </c>
      <c r="N571" s="189" t="s">
        <v>161</v>
      </c>
      <c r="O571" s="189" t="s">
        <v>172</v>
      </c>
      <c r="P571" s="189" t="s">
        <v>111</v>
      </c>
      <c r="Q571" s="189" t="s">
        <v>112</v>
      </c>
      <c r="R571" s="189" t="s">
        <v>22</v>
      </c>
      <c r="S571" s="189" t="s">
        <v>152</v>
      </c>
      <c r="T571" s="189" t="s">
        <v>1024</v>
      </c>
      <c r="V571" s="189" t="s">
        <v>192</v>
      </c>
      <c r="W571" s="189" t="s">
        <v>124</v>
      </c>
      <c r="X571" s="189" t="s">
        <v>298</v>
      </c>
      <c r="Y571" s="189" t="s">
        <v>2108</v>
      </c>
      <c r="Z571" s="0" t="n">
        <v>1</v>
      </c>
      <c r="AA571" s="189" t="s">
        <v>2167</v>
      </c>
    </row>
    <row r="572" customFormat="false" ht="15" hidden="false" customHeight="false" outlineLevel="0" collapsed="false">
      <c r="A572" s="0" t="n">
        <v>115</v>
      </c>
      <c r="B572" s="188" t="n">
        <v>46205.6354775347</v>
      </c>
      <c r="C572" s="188" t="n">
        <v>46205.6450261458</v>
      </c>
      <c r="D572" s="189" t="s">
        <v>1016</v>
      </c>
      <c r="E572" s="189" t="s">
        <v>1017</v>
      </c>
      <c r="F572" s="189" t="s">
        <v>1018</v>
      </c>
      <c r="G572" s="189" t="s">
        <v>1019</v>
      </c>
      <c r="H572" s="188" t="n">
        <v>46193</v>
      </c>
      <c r="I572" s="189" t="s">
        <v>325</v>
      </c>
      <c r="J572" s="189" t="s">
        <v>108</v>
      </c>
      <c r="K572" s="189" t="s">
        <v>1020</v>
      </c>
      <c r="L572" s="189" t="s">
        <v>197</v>
      </c>
      <c r="M572" s="189" t="s">
        <v>269</v>
      </c>
      <c r="N572" s="189" t="s">
        <v>161</v>
      </c>
      <c r="O572" s="189" t="s">
        <v>172</v>
      </c>
      <c r="P572" s="189" t="s">
        <v>111</v>
      </c>
      <c r="Q572" s="189" t="s">
        <v>112</v>
      </c>
      <c r="R572" s="189" t="s">
        <v>22</v>
      </c>
      <c r="S572" s="189" t="s">
        <v>152</v>
      </c>
      <c r="T572" s="189" t="s">
        <v>1024</v>
      </c>
      <c r="V572" s="189" t="s">
        <v>192</v>
      </c>
      <c r="W572" s="189" t="s">
        <v>124</v>
      </c>
      <c r="X572" s="189" t="s">
        <v>298</v>
      </c>
      <c r="Y572" s="189" t="s">
        <v>2108</v>
      </c>
      <c r="Z572" s="0" t="n">
        <v>2</v>
      </c>
      <c r="AA572" s="189" t="s">
        <v>2251</v>
      </c>
    </row>
    <row r="573" customFormat="false" ht="15" hidden="false" customHeight="false" outlineLevel="0" collapsed="false">
      <c r="A573" s="0" t="n">
        <v>115</v>
      </c>
      <c r="B573" s="188" t="n">
        <v>46205.6354775347</v>
      </c>
      <c r="C573" s="188" t="n">
        <v>46205.6450261458</v>
      </c>
      <c r="D573" s="189" t="s">
        <v>1016</v>
      </c>
      <c r="E573" s="189" t="s">
        <v>1017</v>
      </c>
      <c r="F573" s="189" t="s">
        <v>1018</v>
      </c>
      <c r="G573" s="189" t="s">
        <v>1019</v>
      </c>
      <c r="H573" s="188" t="n">
        <v>46193</v>
      </c>
      <c r="I573" s="189" t="s">
        <v>325</v>
      </c>
      <c r="J573" s="189" t="s">
        <v>108</v>
      </c>
      <c r="K573" s="189" t="s">
        <v>1020</v>
      </c>
      <c r="L573" s="189" t="s">
        <v>197</v>
      </c>
      <c r="M573" s="189" t="s">
        <v>269</v>
      </c>
      <c r="N573" s="189" t="s">
        <v>161</v>
      </c>
      <c r="O573" s="189" t="s">
        <v>172</v>
      </c>
      <c r="P573" s="189" t="s">
        <v>111</v>
      </c>
      <c r="Q573" s="189" t="s">
        <v>112</v>
      </c>
      <c r="R573" s="189" t="s">
        <v>22</v>
      </c>
      <c r="S573" s="189" t="s">
        <v>152</v>
      </c>
      <c r="T573" s="189" t="s">
        <v>1024</v>
      </c>
      <c r="V573" s="189" t="s">
        <v>192</v>
      </c>
      <c r="W573" s="189" t="s">
        <v>124</v>
      </c>
      <c r="X573" s="189" t="s">
        <v>298</v>
      </c>
      <c r="Y573" s="189" t="s">
        <v>2110</v>
      </c>
      <c r="Z573" s="0" t="n">
        <v>1</v>
      </c>
      <c r="AA573" s="189" t="s">
        <v>2316</v>
      </c>
    </row>
    <row r="574" customFormat="false" ht="15" hidden="false" customHeight="false" outlineLevel="0" collapsed="false">
      <c r="A574" s="0" t="n">
        <v>115</v>
      </c>
      <c r="B574" s="188" t="n">
        <v>46205.6354775347</v>
      </c>
      <c r="C574" s="188" t="n">
        <v>46205.6450261458</v>
      </c>
      <c r="D574" s="189" t="s">
        <v>1016</v>
      </c>
      <c r="E574" s="189" t="s">
        <v>1017</v>
      </c>
      <c r="F574" s="189" t="s">
        <v>1018</v>
      </c>
      <c r="G574" s="189" t="s">
        <v>1019</v>
      </c>
      <c r="H574" s="188" t="n">
        <v>46193</v>
      </c>
      <c r="I574" s="189" t="s">
        <v>325</v>
      </c>
      <c r="J574" s="189" t="s">
        <v>108</v>
      </c>
      <c r="K574" s="189" t="s">
        <v>1020</v>
      </c>
      <c r="L574" s="189" t="s">
        <v>197</v>
      </c>
      <c r="M574" s="189" t="s">
        <v>269</v>
      </c>
      <c r="N574" s="189" t="s">
        <v>161</v>
      </c>
      <c r="O574" s="189" t="s">
        <v>172</v>
      </c>
      <c r="P574" s="189" t="s">
        <v>111</v>
      </c>
      <c r="Q574" s="189" t="s">
        <v>112</v>
      </c>
      <c r="R574" s="189" t="s">
        <v>22</v>
      </c>
      <c r="S574" s="189" t="s">
        <v>152</v>
      </c>
      <c r="T574" s="189" t="s">
        <v>1024</v>
      </c>
      <c r="V574" s="189" t="s">
        <v>192</v>
      </c>
      <c r="W574" s="189" t="s">
        <v>124</v>
      </c>
      <c r="X574" s="189" t="s">
        <v>298</v>
      </c>
      <c r="Y574" s="189" t="s">
        <v>2113</v>
      </c>
      <c r="Z574" s="0" t="n">
        <v>1</v>
      </c>
      <c r="AA574" s="189" t="s">
        <v>2317</v>
      </c>
    </row>
    <row r="575" customFormat="false" ht="15" hidden="false" customHeight="false" outlineLevel="0" collapsed="false">
      <c r="A575" s="0" t="n">
        <v>115</v>
      </c>
      <c r="B575" s="188" t="n">
        <v>46205.6354775347</v>
      </c>
      <c r="C575" s="188" t="n">
        <v>46205.6450261458</v>
      </c>
      <c r="D575" s="189" t="s">
        <v>1016</v>
      </c>
      <c r="E575" s="189" t="s">
        <v>1017</v>
      </c>
      <c r="F575" s="189" t="s">
        <v>1018</v>
      </c>
      <c r="G575" s="189" t="s">
        <v>1019</v>
      </c>
      <c r="H575" s="188" t="n">
        <v>46193</v>
      </c>
      <c r="I575" s="189" t="s">
        <v>325</v>
      </c>
      <c r="J575" s="189" t="s">
        <v>108</v>
      </c>
      <c r="K575" s="189" t="s">
        <v>1020</v>
      </c>
      <c r="L575" s="189" t="s">
        <v>197</v>
      </c>
      <c r="M575" s="189" t="s">
        <v>269</v>
      </c>
      <c r="N575" s="189" t="s">
        <v>161</v>
      </c>
      <c r="O575" s="189" t="s">
        <v>172</v>
      </c>
      <c r="P575" s="189" t="s">
        <v>111</v>
      </c>
      <c r="Q575" s="189" t="s">
        <v>112</v>
      </c>
      <c r="R575" s="189" t="s">
        <v>22</v>
      </c>
      <c r="S575" s="189" t="s">
        <v>152</v>
      </c>
      <c r="T575" s="189" t="s">
        <v>1024</v>
      </c>
      <c r="V575" s="189" t="s">
        <v>192</v>
      </c>
      <c r="W575" s="189" t="s">
        <v>124</v>
      </c>
      <c r="X575" s="189" t="s">
        <v>298</v>
      </c>
      <c r="Y575" s="189" t="s">
        <v>2113</v>
      </c>
      <c r="Z575" s="0" t="n">
        <v>2</v>
      </c>
      <c r="AA575" s="189" t="s">
        <v>2292</v>
      </c>
    </row>
    <row r="576" customFormat="false" ht="15" hidden="false" customHeight="false" outlineLevel="0" collapsed="false">
      <c r="A576" s="0" t="n">
        <v>116</v>
      </c>
      <c r="B576" s="188" t="n">
        <v>46131.034926063</v>
      </c>
      <c r="C576" s="188" t="n">
        <v>46131.051488563</v>
      </c>
      <c r="D576" s="189" t="s">
        <v>1025</v>
      </c>
      <c r="E576" s="189" t="s">
        <v>1026</v>
      </c>
      <c r="F576" s="189" t="s">
        <v>1026</v>
      </c>
      <c r="G576" s="189" t="s">
        <v>1027</v>
      </c>
      <c r="H576" s="188" t="n">
        <v>46112</v>
      </c>
      <c r="I576" s="189" t="s">
        <v>113</v>
      </c>
      <c r="J576" s="189" t="s">
        <v>128</v>
      </c>
      <c r="K576" s="189" t="s">
        <v>173</v>
      </c>
      <c r="L576" s="189" t="s">
        <v>197</v>
      </c>
      <c r="M576" s="189" t="s">
        <v>757</v>
      </c>
      <c r="N576" s="189" t="s">
        <v>1028</v>
      </c>
      <c r="O576" s="189" t="s">
        <v>107</v>
      </c>
      <c r="P576" s="189" t="s">
        <v>111</v>
      </c>
      <c r="Q576" s="189" t="s">
        <v>112</v>
      </c>
      <c r="R576" s="189" t="s">
        <v>22</v>
      </c>
      <c r="S576" s="189" t="s">
        <v>152</v>
      </c>
      <c r="T576" s="189" t="s">
        <v>180</v>
      </c>
      <c r="U576" s="189" t="s">
        <v>1032</v>
      </c>
      <c r="V576" s="189" t="s">
        <v>167</v>
      </c>
      <c r="W576" s="189" t="s">
        <v>124</v>
      </c>
      <c r="X576" s="189" t="s">
        <v>298</v>
      </c>
      <c r="Y576" s="189" t="s">
        <v>2108</v>
      </c>
      <c r="Z576" s="0" t="n">
        <v>1</v>
      </c>
      <c r="AA576" s="189" t="s">
        <v>2318</v>
      </c>
    </row>
    <row r="577" customFormat="false" ht="15" hidden="false" customHeight="false" outlineLevel="0" collapsed="false">
      <c r="A577" s="0" t="n">
        <v>116</v>
      </c>
      <c r="B577" s="188" t="n">
        <v>46131.034926063</v>
      </c>
      <c r="C577" s="188" t="n">
        <v>46131.051488563</v>
      </c>
      <c r="D577" s="189" t="s">
        <v>1025</v>
      </c>
      <c r="E577" s="189" t="s">
        <v>1026</v>
      </c>
      <c r="F577" s="189" t="s">
        <v>1026</v>
      </c>
      <c r="G577" s="189" t="s">
        <v>1027</v>
      </c>
      <c r="H577" s="188" t="n">
        <v>46112</v>
      </c>
      <c r="I577" s="189" t="s">
        <v>113</v>
      </c>
      <c r="J577" s="189" t="s">
        <v>128</v>
      </c>
      <c r="K577" s="189" t="s">
        <v>173</v>
      </c>
      <c r="L577" s="189" t="s">
        <v>197</v>
      </c>
      <c r="M577" s="189" t="s">
        <v>757</v>
      </c>
      <c r="N577" s="189" t="s">
        <v>1028</v>
      </c>
      <c r="O577" s="189" t="s">
        <v>107</v>
      </c>
      <c r="P577" s="189" t="s">
        <v>111</v>
      </c>
      <c r="Q577" s="189" t="s">
        <v>112</v>
      </c>
      <c r="R577" s="189" t="s">
        <v>22</v>
      </c>
      <c r="S577" s="189" t="s">
        <v>152</v>
      </c>
      <c r="T577" s="189" t="s">
        <v>180</v>
      </c>
      <c r="U577" s="189" t="s">
        <v>1032</v>
      </c>
      <c r="V577" s="189" t="s">
        <v>167</v>
      </c>
      <c r="W577" s="189" t="s">
        <v>124</v>
      </c>
      <c r="X577" s="189" t="s">
        <v>298</v>
      </c>
      <c r="Y577" s="189" t="s">
        <v>2110</v>
      </c>
      <c r="Z577" s="0" t="n">
        <v>1</v>
      </c>
      <c r="AA577" s="189" t="s">
        <v>2319</v>
      </c>
    </row>
    <row r="578" customFormat="false" ht="15" hidden="false" customHeight="false" outlineLevel="0" collapsed="false">
      <c r="A578" s="0" t="n">
        <v>116</v>
      </c>
      <c r="B578" s="188" t="n">
        <v>46131.034926063</v>
      </c>
      <c r="C578" s="188" t="n">
        <v>46131.051488563</v>
      </c>
      <c r="D578" s="189" t="s">
        <v>1025</v>
      </c>
      <c r="E578" s="189" t="s">
        <v>1026</v>
      </c>
      <c r="F578" s="189" t="s">
        <v>1026</v>
      </c>
      <c r="G578" s="189" t="s">
        <v>1027</v>
      </c>
      <c r="H578" s="188" t="n">
        <v>46112</v>
      </c>
      <c r="I578" s="189" t="s">
        <v>113</v>
      </c>
      <c r="J578" s="189" t="s">
        <v>128</v>
      </c>
      <c r="K578" s="189" t="s">
        <v>173</v>
      </c>
      <c r="L578" s="189" t="s">
        <v>197</v>
      </c>
      <c r="M578" s="189" t="s">
        <v>757</v>
      </c>
      <c r="N578" s="189" t="s">
        <v>1028</v>
      </c>
      <c r="O578" s="189" t="s">
        <v>107</v>
      </c>
      <c r="P578" s="189" t="s">
        <v>111</v>
      </c>
      <c r="Q578" s="189" t="s">
        <v>112</v>
      </c>
      <c r="R578" s="189" t="s">
        <v>22</v>
      </c>
      <c r="S578" s="189" t="s">
        <v>152</v>
      </c>
      <c r="T578" s="189" t="s">
        <v>180</v>
      </c>
      <c r="U578" s="189" t="s">
        <v>1032</v>
      </c>
      <c r="V578" s="189" t="s">
        <v>167</v>
      </c>
      <c r="W578" s="189" t="s">
        <v>124</v>
      </c>
      <c r="X578" s="189" t="s">
        <v>298</v>
      </c>
      <c r="Y578" s="189" t="s">
        <v>2110</v>
      </c>
      <c r="Z578" s="0" t="n">
        <v>2</v>
      </c>
      <c r="AA578" s="189" t="s">
        <v>2170</v>
      </c>
    </row>
    <row r="579" customFormat="false" ht="15" hidden="false" customHeight="false" outlineLevel="0" collapsed="false">
      <c r="A579" s="0" t="n">
        <v>116</v>
      </c>
      <c r="B579" s="188" t="n">
        <v>46131.034926063</v>
      </c>
      <c r="C579" s="188" t="n">
        <v>46131.051488563</v>
      </c>
      <c r="D579" s="189" t="s">
        <v>1025</v>
      </c>
      <c r="E579" s="189" t="s">
        <v>1026</v>
      </c>
      <c r="F579" s="189" t="s">
        <v>1026</v>
      </c>
      <c r="G579" s="189" t="s">
        <v>1027</v>
      </c>
      <c r="H579" s="188" t="n">
        <v>46112</v>
      </c>
      <c r="I579" s="189" t="s">
        <v>113</v>
      </c>
      <c r="J579" s="189" t="s">
        <v>128</v>
      </c>
      <c r="K579" s="189" t="s">
        <v>173</v>
      </c>
      <c r="L579" s="189" t="s">
        <v>197</v>
      </c>
      <c r="M579" s="189" t="s">
        <v>757</v>
      </c>
      <c r="N579" s="189" t="s">
        <v>1028</v>
      </c>
      <c r="O579" s="189" t="s">
        <v>107</v>
      </c>
      <c r="P579" s="189" t="s">
        <v>111</v>
      </c>
      <c r="Q579" s="189" t="s">
        <v>112</v>
      </c>
      <c r="R579" s="189" t="s">
        <v>22</v>
      </c>
      <c r="S579" s="189" t="s">
        <v>152</v>
      </c>
      <c r="T579" s="189" t="s">
        <v>180</v>
      </c>
      <c r="U579" s="189" t="s">
        <v>1032</v>
      </c>
      <c r="V579" s="189" t="s">
        <v>167</v>
      </c>
      <c r="W579" s="189" t="s">
        <v>124</v>
      </c>
      <c r="X579" s="189" t="s">
        <v>298</v>
      </c>
      <c r="Y579" s="189" t="s">
        <v>2113</v>
      </c>
      <c r="Z579" s="0" t="n">
        <v>1</v>
      </c>
      <c r="AA579" s="189" t="s">
        <v>2320</v>
      </c>
    </row>
    <row r="580" customFormat="false" ht="15" hidden="false" customHeight="false" outlineLevel="0" collapsed="false">
      <c r="A580" s="0" t="n">
        <v>117</v>
      </c>
      <c r="B580" s="188" t="n">
        <v>46151.9878586193</v>
      </c>
      <c r="C580" s="188" t="n">
        <v>46151.9917590823</v>
      </c>
      <c r="D580" s="189" t="s">
        <v>1033</v>
      </c>
      <c r="E580" s="189" t="s">
        <v>1034</v>
      </c>
      <c r="F580" s="189" t="s">
        <v>1034</v>
      </c>
      <c r="G580" s="189" t="s">
        <v>1035</v>
      </c>
      <c r="H580" s="188" t="n">
        <v>46145</v>
      </c>
      <c r="I580" s="189" t="s">
        <v>113</v>
      </c>
      <c r="J580" s="189" t="s">
        <v>295</v>
      </c>
      <c r="K580" s="189" t="s">
        <v>257</v>
      </c>
      <c r="L580" s="189" t="s">
        <v>159</v>
      </c>
      <c r="M580" s="189" t="s">
        <v>507</v>
      </c>
      <c r="N580" s="189" t="s">
        <v>1036</v>
      </c>
      <c r="O580" s="189" t="s">
        <v>278</v>
      </c>
      <c r="P580" s="189" t="s">
        <v>111</v>
      </c>
      <c r="Q580" s="189" t="s">
        <v>112</v>
      </c>
      <c r="R580" s="189" t="s">
        <v>24</v>
      </c>
      <c r="S580" s="189" t="s">
        <v>120</v>
      </c>
      <c r="T580" s="189" t="s">
        <v>121</v>
      </c>
      <c r="U580" s="189" t="s">
        <v>122</v>
      </c>
      <c r="V580" s="189" t="s">
        <v>192</v>
      </c>
      <c r="W580" s="189" t="s">
        <v>124</v>
      </c>
      <c r="X580" s="189" t="s">
        <v>448</v>
      </c>
      <c r="Y580" s="189" t="s">
        <v>2108</v>
      </c>
      <c r="Z580" s="0" t="n">
        <v>1</v>
      </c>
      <c r="AA580" s="189" t="s">
        <v>2219</v>
      </c>
    </row>
    <row r="581" customFormat="false" ht="15" hidden="false" customHeight="false" outlineLevel="0" collapsed="false">
      <c r="A581" s="0" t="n">
        <v>117</v>
      </c>
      <c r="B581" s="188" t="n">
        <v>46151.9878586193</v>
      </c>
      <c r="C581" s="188" t="n">
        <v>46151.9917590823</v>
      </c>
      <c r="D581" s="189" t="s">
        <v>1033</v>
      </c>
      <c r="E581" s="189" t="s">
        <v>1034</v>
      </c>
      <c r="F581" s="189" t="s">
        <v>1034</v>
      </c>
      <c r="G581" s="189" t="s">
        <v>1035</v>
      </c>
      <c r="H581" s="188" t="n">
        <v>46145</v>
      </c>
      <c r="I581" s="189" t="s">
        <v>113</v>
      </c>
      <c r="J581" s="189" t="s">
        <v>295</v>
      </c>
      <c r="K581" s="189" t="s">
        <v>257</v>
      </c>
      <c r="L581" s="189" t="s">
        <v>159</v>
      </c>
      <c r="M581" s="189" t="s">
        <v>507</v>
      </c>
      <c r="N581" s="189" t="s">
        <v>1036</v>
      </c>
      <c r="O581" s="189" t="s">
        <v>278</v>
      </c>
      <c r="P581" s="189" t="s">
        <v>111</v>
      </c>
      <c r="Q581" s="189" t="s">
        <v>112</v>
      </c>
      <c r="R581" s="189" t="s">
        <v>24</v>
      </c>
      <c r="S581" s="189" t="s">
        <v>120</v>
      </c>
      <c r="T581" s="189" t="s">
        <v>121</v>
      </c>
      <c r="U581" s="189" t="s">
        <v>122</v>
      </c>
      <c r="V581" s="189" t="s">
        <v>192</v>
      </c>
      <c r="W581" s="189" t="s">
        <v>124</v>
      </c>
      <c r="X581" s="189" t="s">
        <v>448</v>
      </c>
      <c r="Y581" s="189" t="s">
        <v>2110</v>
      </c>
      <c r="Z581" s="0" t="n">
        <v>1</v>
      </c>
      <c r="AA581" s="189" t="s">
        <v>2321</v>
      </c>
    </row>
    <row r="582" customFormat="false" ht="15" hidden="false" customHeight="false" outlineLevel="0" collapsed="false">
      <c r="A582" s="0" t="n">
        <v>117</v>
      </c>
      <c r="B582" s="188" t="n">
        <v>46151.9878586193</v>
      </c>
      <c r="C582" s="188" t="n">
        <v>46151.9917590823</v>
      </c>
      <c r="D582" s="189" t="s">
        <v>1033</v>
      </c>
      <c r="E582" s="189" t="s">
        <v>1034</v>
      </c>
      <c r="F582" s="189" t="s">
        <v>1034</v>
      </c>
      <c r="G582" s="189" t="s">
        <v>1035</v>
      </c>
      <c r="H582" s="188" t="n">
        <v>46145</v>
      </c>
      <c r="I582" s="189" t="s">
        <v>113</v>
      </c>
      <c r="J582" s="189" t="s">
        <v>295</v>
      </c>
      <c r="K582" s="189" t="s">
        <v>257</v>
      </c>
      <c r="L582" s="189" t="s">
        <v>159</v>
      </c>
      <c r="M582" s="189" t="s">
        <v>507</v>
      </c>
      <c r="N582" s="189" t="s">
        <v>1036</v>
      </c>
      <c r="O582" s="189" t="s">
        <v>278</v>
      </c>
      <c r="P582" s="189" t="s">
        <v>111</v>
      </c>
      <c r="Q582" s="189" t="s">
        <v>112</v>
      </c>
      <c r="R582" s="189" t="s">
        <v>24</v>
      </c>
      <c r="S582" s="189" t="s">
        <v>120</v>
      </c>
      <c r="T582" s="189" t="s">
        <v>121</v>
      </c>
      <c r="U582" s="189" t="s">
        <v>122</v>
      </c>
      <c r="V582" s="189" t="s">
        <v>192</v>
      </c>
      <c r="W582" s="189" t="s">
        <v>124</v>
      </c>
      <c r="X582" s="189" t="s">
        <v>448</v>
      </c>
      <c r="Y582" s="189" t="s">
        <v>2113</v>
      </c>
      <c r="Z582" s="0" t="n">
        <v>1</v>
      </c>
      <c r="AA582" s="189" t="s">
        <v>2234</v>
      </c>
    </row>
    <row r="583" customFormat="false" ht="15" hidden="false" customHeight="false" outlineLevel="0" collapsed="false">
      <c r="A583" s="0" t="n">
        <v>118</v>
      </c>
      <c r="B583" s="188" t="n">
        <v>46053.0612185588</v>
      </c>
      <c r="C583" s="188" t="n">
        <v>46053.0696213366</v>
      </c>
      <c r="D583" s="189" t="s">
        <v>1039</v>
      </c>
      <c r="E583" s="189" t="s">
        <v>1040</v>
      </c>
      <c r="F583" s="189" t="s">
        <v>1040</v>
      </c>
      <c r="G583" s="189" t="s">
        <v>1041</v>
      </c>
      <c r="H583" s="188" t="n">
        <v>46050</v>
      </c>
      <c r="I583" s="189" t="s">
        <v>132</v>
      </c>
      <c r="J583" s="189" t="s">
        <v>128</v>
      </c>
      <c r="K583" s="189" t="s">
        <v>257</v>
      </c>
      <c r="L583" s="189" t="s">
        <v>144</v>
      </c>
      <c r="M583" s="189" t="s">
        <v>870</v>
      </c>
      <c r="N583" s="189" t="s">
        <v>1042</v>
      </c>
      <c r="O583" s="189" t="s">
        <v>278</v>
      </c>
      <c r="P583" s="189" t="s">
        <v>111</v>
      </c>
      <c r="Q583" s="189" t="s">
        <v>112</v>
      </c>
      <c r="R583" s="189" t="s">
        <v>21</v>
      </c>
      <c r="S583" s="189" t="s">
        <v>152</v>
      </c>
      <c r="T583" s="189" t="s">
        <v>121</v>
      </c>
      <c r="V583" s="189" t="s">
        <v>192</v>
      </c>
      <c r="W583" s="189" t="s">
        <v>168</v>
      </c>
      <c r="X583" s="189" t="s">
        <v>348</v>
      </c>
      <c r="Y583" s="189" t="s">
        <v>2108</v>
      </c>
      <c r="Z583" s="0" t="n">
        <v>1</v>
      </c>
      <c r="AA583" s="189" t="s">
        <v>2209</v>
      </c>
    </row>
    <row r="584" customFormat="false" ht="15" hidden="false" customHeight="false" outlineLevel="0" collapsed="false">
      <c r="A584" s="0" t="n">
        <v>118</v>
      </c>
      <c r="B584" s="188" t="n">
        <v>46053.0612185588</v>
      </c>
      <c r="C584" s="188" t="n">
        <v>46053.0696213366</v>
      </c>
      <c r="D584" s="189" t="s">
        <v>1039</v>
      </c>
      <c r="E584" s="189" t="s">
        <v>1040</v>
      </c>
      <c r="F584" s="189" t="s">
        <v>1040</v>
      </c>
      <c r="G584" s="189" t="s">
        <v>1041</v>
      </c>
      <c r="H584" s="188" t="n">
        <v>46050</v>
      </c>
      <c r="I584" s="189" t="s">
        <v>132</v>
      </c>
      <c r="J584" s="189" t="s">
        <v>128</v>
      </c>
      <c r="K584" s="189" t="s">
        <v>257</v>
      </c>
      <c r="L584" s="189" t="s">
        <v>144</v>
      </c>
      <c r="M584" s="189" t="s">
        <v>870</v>
      </c>
      <c r="N584" s="189" t="s">
        <v>1042</v>
      </c>
      <c r="O584" s="189" t="s">
        <v>278</v>
      </c>
      <c r="P584" s="189" t="s">
        <v>111</v>
      </c>
      <c r="Q584" s="189" t="s">
        <v>112</v>
      </c>
      <c r="R584" s="189" t="s">
        <v>21</v>
      </c>
      <c r="S584" s="189" t="s">
        <v>152</v>
      </c>
      <c r="T584" s="189" t="s">
        <v>121</v>
      </c>
      <c r="V584" s="189" t="s">
        <v>192</v>
      </c>
      <c r="W584" s="189" t="s">
        <v>168</v>
      </c>
      <c r="X584" s="189" t="s">
        <v>348</v>
      </c>
      <c r="Y584" s="189" t="s">
        <v>2108</v>
      </c>
      <c r="Z584" s="0" t="n">
        <v>2</v>
      </c>
      <c r="AA584" s="189" t="s">
        <v>2190</v>
      </c>
    </row>
    <row r="585" customFormat="false" ht="15" hidden="false" customHeight="false" outlineLevel="0" collapsed="false">
      <c r="A585" s="0" t="n">
        <v>118</v>
      </c>
      <c r="B585" s="188" t="n">
        <v>46053.0612185588</v>
      </c>
      <c r="C585" s="188" t="n">
        <v>46053.0696213366</v>
      </c>
      <c r="D585" s="189" t="s">
        <v>1039</v>
      </c>
      <c r="E585" s="189" t="s">
        <v>1040</v>
      </c>
      <c r="F585" s="189" t="s">
        <v>1040</v>
      </c>
      <c r="G585" s="189" t="s">
        <v>1041</v>
      </c>
      <c r="H585" s="188" t="n">
        <v>46050</v>
      </c>
      <c r="I585" s="189" t="s">
        <v>132</v>
      </c>
      <c r="J585" s="189" t="s">
        <v>128</v>
      </c>
      <c r="K585" s="189" t="s">
        <v>257</v>
      </c>
      <c r="L585" s="189" t="s">
        <v>144</v>
      </c>
      <c r="M585" s="189" t="s">
        <v>870</v>
      </c>
      <c r="N585" s="189" t="s">
        <v>1042</v>
      </c>
      <c r="O585" s="189" t="s">
        <v>278</v>
      </c>
      <c r="P585" s="189" t="s">
        <v>111</v>
      </c>
      <c r="Q585" s="189" t="s">
        <v>112</v>
      </c>
      <c r="R585" s="189" t="s">
        <v>21</v>
      </c>
      <c r="S585" s="189" t="s">
        <v>152</v>
      </c>
      <c r="T585" s="189" t="s">
        <v>121</v>
      </c>
      <c r="V585" s="189" t="s">
        <v>192</v>
      </c>
      <c r="W585" s="189" t="s">
        <v>168</v>
      </c>
      <c r="X585" s="189" t="s">
        <v>348</v>
      </c>
      <c r="Y585" s="189" t="s">
        <v>2108</v>
      </c>
      <c r="Z585" s="0" t="n">
        <v>3</v>
      </c>
      <c r="AA585" s="189" t="s">
        <v>2322</v>
      </c>
    </row>
    <row r="586" customFormat="false" ht="15" hidden="false" customHeight="false" outlineLevel="0" collapsed="false">
      <c r="A586" s="0" t="n">
        <v>118</v>
      </c>
      <c r="B586" s="188" t="n">
        <v>46053.0612185588</v>
      </c>
      <c r="C586" s="188" t="n">
        <v>46053.0696213366</v>
      </c>
      <c r="D586" s="189" t="s">
        <v>1039</v>
      </c>
      <c r="E586" s="189" t="s">
        <v>1040</v>
      </c>
      <c r="F586" s="189" t="s">
        <v>1040</v>
      </c>
      <c r="G586" s="189" t="s">
        <v>1041</v>
      </c>
      <c r="H586" s="188" t="n">
        <v>46050</v>
      </c>
      <c r="I586" s="189" t="s">
        <v>132</v>
      </c>
      <c r="J586" s="189" t="s">
        <v>128</v>
      </c>
      <c r="K586" s="189" t="s">
        <v>257</v>
      </c>
      <c r="L586" s="189" t="s">
        <v>144</v>
      </c>
      <c r="M586" s="189" t="s">
        <v>870</v>
      </c>
      <c r="N586" s="189" t="s">
        <v>1042</v>
      </c>
      <c r="O586" s="189" t="s">
        <v>278</v>
      </c>
      <c r="P586" s="189" t="s">
        <v>111</v>
      </c>
      <c r="Q586" s="189" t="s">
        <v>112</v>
      </c>
      <c r="R586" s="189" t="s">
        <v>21</v>
      </c>
      <c r="S586" s="189" t="s">
        <v>152</v>
      </c>
      <c r="T586" s="189" t="s">
        <v>121</v>
      </c>
      <c r="V586" s="189" t="s">
        <v>192</v>
      </c>
      <c r="W586" s="189" t="s">
        <v>168</v>
      </c>
      <c r="X586" s="189" t="s">
        <v>348</v>
      </c>
      <c r="Y586" s="189" t="s">
        <v>2110</v>
      </c>
      <c r="Z586" s="0" t="n">
        <v>1</v>
      </c>
      <c r="AA586" s="189" t="s">
        <v>2191</v>
      </c>
    </row>
    <row r="587" customFormat="false" ht="15" hidden="false" customHeight="false" outlineLevel="0" collapsed="false">
      <c r="A587" s="0" t="n">
        <v>118</v>
      </c>
      <c r="B587" s="188" t="n">
        <v>46053.0612185588</v>
      </c>
      <c r="C587" s="188" t="n">
        <v>46053.0696213366</v>
      </c>
      <c r="D587" s="189" t="s">
        <v>1039</v>
      </c>
      <c r="E587" s="189" t="s">
        <v>1040</v>
      </c>
      <c r="F587" s="189" t="s">
        <v>1040</v>
      </c>
      <c r="G587" s="189" t="s">
        <v>1041</v>
      </c>
      <c r="H587" s="188" t="n">
        <v>46050</v>
      </c>
      <c r="I587" s="189" t="s">
        <v>132</v>
      </c>
      <c r="J587" s="189" t="s">
        <v>128</v>
      </c>
      <c r="K587" s="189" t="s">
        <v>257</v>
      </c>
      <c r="L587" s="189" t="s">
        <v>144</v>
      </c>
      <c r="M587" s="189" t="s">
        <v>870</v>
      </c>
      <c r="N587" s="189" t="s">
        <v>1042</v>
      </c>
      <c r="O587" s="189" t="s">
        <v>278</v>
      </c>
      <c r="P587" s="189" t="s">
        <v>111</v>
      </c>
      <c r="Q587" s="189" t="s">
        <v>112</v>
      </c>
      <c r="R587" s="189" t="s">
        <v>21</v>
      </c>
      <c r="S587" s="189" t="s">
        <v>152</v>
      </c>
      <c r="T587" s="189" t="s">
        <v>121</v>
      </c>
      <c r="V587" s="189" t="s">
        <v>192</v>
      </c>
      <c r="W587" s="189" t="s">
        <v>168</v>
      </c>
      <c r="X587" s="189" t="s">
        <v>348</v>
      </c>
      <c r="Y587" s="189" t="s">
        <v>2113</v>
      </c>
      <c r="Z587" s="0" t="n">
        <v>1</v>
      </c>
      <c r="AA587" s="189" t="s">
        <v>2192</v>
      </c>
    </row>
    <row r="588" customFormat="false" ht="15" hidden="false" customHeight="false" outlineLevel="0" collapsed="false">
      <c r="A588" s="0" t="n">
        <v>118</v>
      </c>
      <c r="B588" s="188" t="n">
        <v>46053.0612185588</v>
      </c>
      <c r="C588" s="188" t="n">
        <v>46053.0696213366</v>
      </c>
      <c r="D588" s="189" t="s">
        <v>1039</v>
      </c>
      <c r="E588" s="189" t="s">
        <v>1040</v>
      </c>
      <c r="F588" s="189" t="s">
        <v>1040</v>
      </c>
      <c r="G588" s="189" t="s">
        <v>1041</v>
      </c>
      <c r="H588" s="188" t="n">
        <v>46050</v>
      </c>
      <c r="I588" s="189" t="s">
        <v>132</v>
      </c>
      <c r="J588" s="189" t="s">
        <v>128</v>
      </c>
      <c r="K588" s="189" t="s">
        <v>257</v>
      </c>
      <c r="L588" s="189" t="s">
        <v>144</v>
      </c>
      <c r="M588" s="189" t="s">
        <v>870</v>
      </c>
      <c r="N588" s="189" t="s">
        <v>1042</v>
      </c>
      <c r="O588" s="189" t="s">
        <v>278</v>
      </c>
      <c r="P588" s="189" t="s">
        <v>111</v>
      </c>
      <c r="Q588" s="189" t="s">
        <v>112</v>
      </c>
      <c r="R588" s="189" t="s">
        <v>21</v>
      </c>
      <c r="S588" s="189" t="s">
        <v>152</v>
      </c>
      <c r="T588" s="189" t="s">
        <v>121</v>
      </c>
      <c r="V588" s="189" t="s">
        <v>192</v>
      </c>
      <c r="W588" s="189" t="s">
        <v>168</v>
      </c>
      <c r="X588" s="189" t="s">
        <v>348</v>
      </c>
      <c r="Y588" s="189" t="s">
        <v>2113</v>
      </c>
      <c r="Z588" s="0" t="n">
        <v>2</v>
      </c>
      <c r="AA588" s="189" t="s">
        <v>2308</v>
      </c>
    </row>
    <row r="589" customFormat="false" ht="15" hidden="false" customHeight="false" outlineLevel="0" collapsed="false">
      <c r="A589" s="0" t="n">
        <v>119</v>
      </c>
      <c r="B589" s="188" t="n">
        <v>46113.2833775957</v>
      </c>
      <c r="C589" s="188" t="n">
        <v>46113.3036553735</v>
      </c>
      <c r="D589" s="189" t="s">
        <v>1045</v>
      </c>
      <c r="E589" s="189" t="s">
        <v>1046</v>
      </c>
      <c r="F589" s="189" t="s">
        <v>1047</v>
      </c>
      <c r="G589" s="189" t="s">
        <v>1048</v>
      </c>
      <c r="H589" s="188" t="n">
        <v>46112</v>
      </c>
      <c r="I589" s="189" t="s">
        <v>113</v>
      </c>
      <c r="J589" s="189" t="s">
        <v>295</v>
      </c>
      <c r="K589" s="189" t="s">
        <v>1049</v>
      </c>
      <c r="L589" s="189" t="s">
        <v>389</v>
      </c>
      <c r="M589" s="189" t="s">
        <v>212</v>
      </c>
      <c r="N589" s="189" t="s">
        <v>1050</v>
      </c>
      <c r="O589" s="189" t="s">
        <v>781</v>
      </c>
      <c r="P589" s="189" t="s">
        <v>131</v>
      </c>
      <c r="Q589" s="189" t="s">
        <v>112</v>
      </c>
      <c r="R589" s="189" t="s">
        <v>22</v>
      </c>
      <c r="S589" s="189" t="s">
        <v>152</v>
      </c>
      <c r="T589" s="189" t="s">
        <v>121</v>
      </c>
      <c r="U589" s="189" t="s">
        <v>452</v>
      </c>
      <c r="V589" s="189" t="s">
        <v>192</v>
      </c>
      <c r="W589" s="189" t="s">
        <v>124</v>
      </c>
      <c r="X589" s="189" t="s">
        <v>135</v>
      </c>
      <c r="Y589" s="189" t="s">
        <v>2108</v>
      </c>
      <c r="Z589" s="0" t="n">
        <v>1</v>
      </c>
      <c r="AA589" s="189" t="s">
        <v>2246</v>
      </c>
    </row>
    <row r="590" customFormat="false" ht="15" hidden="false" customHeight="false" outlineLevel="0" collapsed="false">
      <c r="A590" s="0" t="n">
        <v>119</v>
      </c>
      <c r="B590" s="188" t="n">
        <v>46113.2833775957</v>
      </c>
      <c r="C590" s="188" t="n">
        <v>46113.3036553735</v>
      </c>
      <c r="D590" s="189" t="s">
        <v>1045</v>
      </c>
      <c r="E590" s="189" t="s">
        <v>1046</v>
      </c>
      <c r="F590" s="189" t="s">
        <v>1047</v>
      </c>
      <c r="G590" s="189" t="s">
        <v>1048</v>
      </c>
      <c r="H590" s="188" t="n">
        <v>46112</v>
      </c>
      <c r="I590" s="189" t="s">
        <v>113</v>
      </c>
      <c r="J590" s="189" t="s">
        <v>295</v>
      </c>
      <c r="K590" s="189" t="s">
        <v>1049</v>
      </c>
      <c r="L590" s="189" t="s">
        <v>389</v>
      </c>
      <c r="M590" s="189" t="s">
        <v>212</v>
      </c>
      <c r="N590" s="189" t="s">
        <v>1050</v>
      </c>
      <c r="O590" s="189" t="s">
        <v>781</v>
      </c>
      <c r="P590" s="189" t="s">
        <v>131</v>
      </c>
      <c r="Q590" s="189" t="s">
        <v>112</v>
      </c>
      <c r="R590" s="189" t="s">
        <v>22</v>
      </c>
      <c r="S590" s="189" t="s">
        <v>152</v>
      </c>
      <c r="T590" s="189" t="s">
        <v>121</v>
      </c>
      <c r="U590" s="189" t="s">
        <v>452</v>
      </c>
      <c r="V590" s="189" t="s">
        <v>192</v>
      </c>
      <c r="W590" s="189" t="s">
        <v>124</v>
      </c>
      <c r="X590" s="189" t="s">
        <v>135</v>
      </c>
      <c r="Y590" s="189" t="s">
        <v>2108</v>
      </c>
      <c r="Z590" s="0" t="n">
        <v>2</v>
      </c>
      <c r="AA590" s="189" t="s">
        <v>2115</v>
      </c>
    </row>
    <row r="591" customFormat="false" ht="15" hidden="false" customHeight="false" outlineLevel="0" collapsed="false">
      <c r="A591" s="0" t="n">
        <v>119</v>
      </c>
      <c r="B591" s="188" t="n">
        <v>46113.2833775957</v>
      </c>
      <c r="C591" s="188" t="n">
        <v>46113.3036553735</v>
      </c>
      <c r="D591" s="189" t="s">
        <v>1045</v>
      </c>
      <c r="E591" s="189" t="s">
        <v>1046</v>
      </c>
      <c r="F591" s="189" t="s">
        <v>1047</v>
      </c>
      <c r="G591" s="189" t="s">
        <v>1048</v>
      </c>
      <c r="H591" s="188" t="n">
        <v>46112</v>
      </c>
      <c r="I591" s="189" t="s">
        <v>113</v>
      </c>
      <c r="J591" s="189" t="s">
        <v>295</v>
      </c>
      <c r="K591" s="189" t="s">
        <v>1049</v>
      </c>
      <c r="L591" s="189" t="s">
        <v>389</v>
      </c>
      <c r="M591" s="189" t="s">
        <v>212</v>
      </c>
      <c r="N591" s="189" t="s">
        <v>1050</v>
      </c>
      <c r="O591" s="189" t="s">
        <v>781</v>
      </c>
      <c r="P591" s="189" t="s">
        <v>131</v>
      </c>
      <c r="Q591" s="189" t="s">
        <v>112</v>
      </c>
      <c r="R591" s="189" t="s">
        <v>22</v>
      </c>
      <c r="S591" s="189" t="s">
        <v>152</v>
      </c>
      <c r="T591" s="189" t="s">
        <v>121</v>
      </c>
      <c r="U591" s="189" t="s">
        <v>452</v>
      </c>
      <c r="V591" s="189" t="s">
        <v>192</v>
      </c>
      <c r="W591" s="189" t="s">
        <v>124</v>
      </c>
      <c r="X591" s="189" t="s">
        <v>135</v>
      </c>
      <c r="Y591" s="189" t="s">
        <v>2108</v>
      </c>
      <c r="Z591" s="0" t="n">
        <v>3</v>
      </c>
      <c r="AA591" s="189" t="s">
        <v>2227</v>
      </c>
    </row>
    <row r="592" customFormat="false" ht="15" hidden="false" customHeight="false" outlineLevel="0" collapsed="false">
      <c r="A592" s="0" t="n">
        <v>119</v>
      </c>
      <c r="B592" s="188" t="n">
        <v>46113.2833775957</v>
      </c>
      <c r="C592" s="188" t="n">
        <v>46113.3036553735</v>
      </c>
      <c r="D592" s="189" t="s">
        <v>1045</v>
      </c>
      <c r="E592" s="189" t="s">
        <v>1046</v>
      </c>
      <c r="F592" s="189" t="s">
        <v>1047</v>
      </c>
      <c r="G592" s="189" t="s">
        <v>1048</v>
      </c>
      <c r="H592" s="188" t="n">
        <v>46112</v>
      </c>
      <c r="I592" s="189" t="s">
        <v>113</v>
      </c>
      <c r="J592" s="189" t="s">
        <v>295</v>
      </c>
      <c r="K592" s="189" t="s">
        <v>1049</v>
      </c>
      <c r="L592" s="189" t="s">
        <v>389</v>
      </c>
      <c r="M592" s="189" t="s">
        <v>212</v>
      </c>
      <c r="N592" s="189" t="s">
        <v>1050</v>
      </c>
      <c r="O592" s="189" t="s">
        <v>781</v>
      </c>
      <c r="P592" s="189" t="s">
        <v>131</v>
      </c>
      <c r="Q592" s="189" t="s">
        <v>112</v>
      </c>
      <c r="R592" s="189" t="s">
        <v>22</v>
      </c>
      <c r="S592" s="189" t="s">
        <v>152</v>
      </c>
      <c r="T592" s="189" t="s">
        <v>121</v>
      </c>
      <c r="U592" s="189" t="s">
        <v>452</v>
      </c>
      <c r="V592" s="189" t="s">
        <v>192</v>
      </c>
      <c r="W592" s="189" t="s">
        <v>124</v>
      </c>
      <c r="X592" s="189" t="s">
        <v>135</v>
      </c>
      <c r="Y592" s="189" t="s">
        <v>2110</v>
      </c>
      <c r="Z592" s="0" t="n">
        <v>1</v>
      </c>
      <c r="AA592" s="189" t="s">
        <v>2118</v>
      </c>
    </row>
    <row r="593" customFormat="false" ht="15" hidden="false" customHeight="false" outlineLevel="0" collapsed="false">
      <c r="A593" s="0" t="n">
        <v>119</v>
      </c>
      <c r="B593" s="188" t="n">
        <v>46113.2833775957</v>
      </c>
      <c r="C593" s="188" t="n">
        <v>46113.3036553735</v>
      </c>
      <c r="D593" s="189" t="s">
        <v>1045</v>
      </c>
      <c r="E593" s="189" t="s">
        <v>1046</v>
      </c>
      <c r="F593" s="189" t="s">
        <v>1047</v>
      </c>
      <c r="G593" s="189" t="s">
        <v>1048</v>
      </c>
      <c r="H593" s="188" t="n">
        <v>46112</v>
      </c>
      <c r="I593" s="189" t="s">
        <v>113</v>
      </c>
      <c r="J593" s="189" t="s">
        <v>295</v>
      </c>
      <c r="K593" s="189" t="s">
        <v>1049</v>
      </c>
      <c r="L593" s="189" t="s">
        <v>389</v>
      </c>
      <c r="M593" s="189" t="s">
        <v>212</v>
      </c>
      <c r="N593" s="189" t="s">
        <v>1050</v>
      </c>
      <c r="O593" s="189" t="s">
        <v>781</v>
      </c>
      <c r="P593" s="189" t="s">
        <v>131</v>
      </c>
      <c r="Q593" s="189" t="s">
        <v>112</v>
      </c>
      <c r="R593" s="189" t="s">
        <v>22</v>
      </c>
      <c r="S593" s="189" t="s">
        <v>152</v>
      </c>
      <c r="T593" s="189" t="s">
        <v>121</v>
      </c>
      <c r="U593" s="189" t="s">
        <v>452</v>
      </c>
      <c r="V593" s="189" t="s">
        <v>192</v>
      </c>
      <c r="W593" s="189" t="s">
        <v>124</v>
      </c>
      <c r="X593" s="189" t="s">
        <v>135</v>
      </c>
      <c r="Y593" s="189" t="s">
        <v>2110</v>
      </c>
      <c r="Z593" s="0" t="n">
        <v>2</v>
      </c>
      <c r="AA593" s="189" t="s">
        <v>2323</v>
      </c>
    </row>
    <row r="594" customFormat="false" ht="15" hidden="false" customHeight="false" outlineLevel="0" collapsed="false">
      <c r="A594" s="0" t="n">
        <v>119</v>
      </c>
      <c r="B594" s="188" t="n">
        <v>46113.2833775957</v>
      </c>
      <c r="C594" s="188" t="n">
        <v>46113.3036553735</v>
      </c>
      <c r="D594" s="189" t="s">
        <v>1045</v>
      </c>
      <c r="E594" s="189" t="s">
        <v>1046</v>
      </c>
      <c r="F594" s="189" t="s">
        <v>1047</v>
      </c>
      <c r="G594" s="189" t="s">
        <v>1048</v>
      </c>
      <c r="H594" s="188" t="n">
        <v>46112</v>
      </c>
      <c r="I594" s="189" t="s">
        <v>113</v>
      </c>
      <c r="J594" s="189" t="s">
        <v>295</v>
      </c>
      <c r="K594" s="189" t="s">
        <v>1049</v>
      </c>
      <c r="L594" s="189" t="s">
        <v>389</v>
      </c>
      <c r="M594" s="189" t="s">
        <v>212</v>
      </c>
      <c r="N594" s="189" t="s">
        <v>1050</v>
      </c>
      <c r="O594" s="189" t="s">
        <v>781</v>
      </c>
      <c r="P594" s="189" t="s">
        <v>131</v>
      </c>
      <c r="Q594" s="189" t="s">
        <v>112</v>
      </c>
      <c r="R594" s="189" t="s">
        <v>22</v>
      </c>
      <c r="S594" s="189" t="s">
        <v>152</v>
      </c>
      <c r="T594" s="189" t="s">
        <v>121</v>
      </c>
      <c r="U594" s="189" t="s">
        <v>452</v>
      </c>
      <c r="V594" s="189" t="s">
        <v>192</v>
      </c>
      <c r="W594" s="189" t="s">
        <v>124</v>
      </c>
      <c r="X594" s="189" t="s">
        <v>135</v>
      </c>
      <c r="Y594" s="189" t="s">
        <v>2113</v>
      </c>
      <c r="Z594" s="0" t="n">
        <v>1</v>
      </c>
      <c r="AA594" s="189" t="s">
        <v>2247</v>
      </c>
    </row>
    <row r="595" customFormat="false" ht="15" hidden="false" customHeight="false" outlineLevel="0" collapsed="false">
      <c r="A595" s="0" t="n">
        <v>119</v>
      </c>
      <c r="B595" s="188" t="n">
        <v>46113.2833775957</v>
      </c>
      <c r="C595" s="188" t="n">
        <v>46113.3036553735</v>
      </c>
      <c r="D595" s="189" t="s">
        <v>1045</v>
      </c>
      <c r="E595" s="189" t="s">
        <v>1046</v>
      </c>
      <c r="F595" s="189" t="s">
        <v>1047</v>
      </c>
      <c r="G595" s="189" t="s">
        <v>1048</v>
      </c>
      <c r="H595" s="188" t="n">
        <v>46112</v>
      </c>
      <c r="I595" s="189" t="s">
        <v>113</v>
      </c>
      <c r="J595" s="189" t="s">
        <v>295</v>
      </c>
      <c r="K595" s="189" t="s">
        <v>1049</v>
      </c>
      <c r="L595" s="189" t="s">
        <v>389</v>
      </c>
      <c r="M595" s="189" t="s">
        <v>212</v>
      </c>
      <c r="N595" s="189" t="s">
        <v>1050</v>
      </c>
      <c r="O595" s="189" t="s">
        <v>781</v>
      </c>
      <c r="P595" s="189" t="s">
        <v>131</v>
      </c>
      <c r="Q595" s="189" t="s">
        <v>112</v>
      </c>
      <c r="R595" s="189" t="s">
        <v>22</v>
      </c>
      <c r="S595" s="189" t="s">
        <v>152</v>
      </c>
      <c r="T595" s="189" t="s">
        <v>121</v>
      </c>
      <c r="U595" s="189" t="s">
        <v>452</v>
      </c>
      <c r="V595" s="189" t="s">
        <v>192</v>
      </c>
      <c r="W595" s="189" t="s">
        <v>124</v>
      </c>
      <c r="X595" s="189" t="s">
        <v>135</v>
      </c>
      <c r="Y595" s="189" t="s">
        <v>2113</v>
      </c>
      <c r="Z595" s="0" t="n">
        <v>2</v>
      </c>
      <c r="AA595" s="189" t="s">
        <v>2256</v>
      </c>
    </row>
    <row r="596" customFormat="false" ht="15" hidden="false" customHeight="false" outlineLevel="0" collapsed="false">
      <c r="A596" s="0" t="n">
        <v>120</v>
      </c>
      <c r="B596" s="188" t="n">
        <v>46084.7082479315</v>
      </c>
      <c r="C596" s="188" t="n">
        <v>46084.7176460796</v>
      </c>
      <c r="D596" s="189" t="s">
        <v>1054</v>
      </c>
      <c r="E596" s="189" t="s">
        <v>1055</v>
      </c>
      <c r="F596" s="189" t="s">
        <v>1055</v>
      </c>
      <c r="G596" s="189" t="s">
        <v>1056</v>
      </c>
      <c r="H596" s="188" t="n">
        <v>46065</v>
      </c>
      <c r="I596" s="189" t="s">
        <v>113</v>
      </c>
      <c r="J596" s="189" t="s">
        <v>295</v>
      </c>
      <c r="K596" s="189" t="s">
        <v>1057</v>
      </c>
      <c r="L596" s="189" t="s">
        <v>491</v>
      </c>
      <c r="M596" s="189" t="s">
        <v>484</v>
      </c>
      <c r="N596" s="189" t="s">
        <v>347</v>
      </c>
      <c r="O596" s="189" t="s">
        <v>107</v>
      </c>
      <c r="P596" s="189" t="s">
        <v>111</v>
      </c>
      <c r="Q596" s="189" t="s">
        <v>112</v>
      </c>
      <c r="R596" s="189" t="s">
        <v>24</v>
      </c>
      <c r="S596" s="189" t="s">
        <v>152</v>
      </c>
      <c r="T596" s="189" t="s">
        <v>228</v>
      </c>
      <c r="V596" s="189" t="s">
        <v>192</v>
      </c>
      <c r="W596" s="189" t="s">
        <v>124</v>
      </c>
      <c r="X596" s="189" t="s">
        <v>19</v>
      </c>
      <c r="Y596" s="189" t="s">
        <v>2216</v>
      </c>
      <c r="Z596" s="0" t="n">
        <v>1</v>
      </c>
      <c r="AA596" s="189" t="s">
        <v>880</v>
      </c>
    </row>
    <row r="597" customFormat="false" ht="15" hidden="false" customHeight="false" outlineLevel="0" collapsed="false">
      <c r="A597" s="0" t="n">
        <v>121</v>
      </c>
      <c r="B597" s="188" t="n">
        <v>46039.0365874819</v>
      </c>
      <c r="C597" s="188" t="n">
        <v>46039.0445620189</v>
      </c>
      <c r="D597" s="189" t="s">
        <v>1058</v>
      </c>
      <c r="E597" s="189" t="s">
        <v>1059</v>
      </c>
      <c r="F597" s="189" t="s">
        <v>1059</v>
      </c>
      <c r="G597" s="189" t="s">
        <v>1060</v>
      </c>
      <c r="H597" s="188" t="n">
        <v>46022</v>
      </c>
      <c r="I597" s="189" t="s">
        <v>113</v>
      </c>
      <c r="J597" s="189" t="s">
        <v>108</v>
      </c>
      <c r="K597" s="189" t="s">
        <v>1061</v>
      </c>
      <c r="L597" s="189" t="s">
        <v>296</v>
      </c>
      <c r="M597" s="189" t="s">
        <v>973</v>
      </c>
      <c r="N597" s="189" t="s">
        <v>595</v>
      </c>
      <c r="O597" s="189" t="s">
        <v>244</v>
      </c>
      <c r="P597" s="189" t="s">
        <v>111</v>
      </c>
      <c r="Q597" s="189" t="s">
        <v>112</v>
      </c>
      <c r="R597" s="189" t="s">
        <v>22</v>
      </c>
      <c r="S597" s="189" t="s">
        <v>120</v>
      </c>
      <c r="T597" s="189" t="s">
        <v>180</v>
      </c>
      <c r="U597" s="189" t="s">
        <v>1063</v>
      </c>
      <c r="V597" s="189" t="s">
        <v>167</v>
      </c>
      <c r="W597" s="189" t="s">
        <v>124</v>
      </c>
      <c r="X597" s="189" t="s">
        <v>381</v>
      </c>
      <c r="Y597" s="189" t="s">
        <v>2108</v>
      </c>
      <c r="Z597" s="0" t="n">
        <v>1</v>
      </c>
      <c r="AA597" s="189" t="s">
        <v>2203</v>
      </c>
    </row>
    <row r="598" customFormat="false" ht="15" hidden="false" customHeight="false" outlineLevel="0" collapsed="false">
      <c r="A598" s="0" t="n">
        <v>121</v>
      </c>
      <c r="B598" s="188" t="n">
        <v>46039.0365874819</v>
      </c>
      <c r="C598" s="188" t="n">
        <v>46039.0445620189</v>
      </c>
      <c r="D598" s="189" t="s">
        <v>1058</v>
      </c>
      <c r="E598" s="189" t="s">
        <v>1059</v>
      </c>
      <c r="F598" s="189" t="s">
        <v>1059</v>
      </c>
      <c r="G598" s="189" t="s">
        <v>1060</v>
      </c>
      <c r="H598" s="188" t="n">
        <v>46022</v>
      </c>
      <c r="I598" s="189" t="s">
        <v>113</v>
      </c>
      <c r="J598" s="189" t="s">
        <v>108</v>
      </c>
      <c r="K598" s="189" t="s">
        <v>1061</v>
      </c>
      <c r="L598" s="189" t="s">
        <v>296</v>
      </c>
      <c r="M598" s="189" t="s">
        <v>973</v>
      </c>
      <c r="N598" s="189" t="s">
        <v>595</v>
      </c>
      <c r="O598" s="189" t="s">
        <v>244</v>
      </c>
      <c r="P598" s="189" t="s">
        <v>111</v>
      </c>
      <c r="Q598" s="189" t="s">
        <v>112</v>
      </c>
      <c r="R598" s="189" t="s">
        <v>22</v>
      </c>
      <c r="S598" s="189" t="s">
        <v>120</v>
      </c>
      <c r="T598" s="189" t="s">
        <v>180</v>
      </c>
      <c r="U598" s="189" t="s">
        <v>1063</v>
      </c>
      <c r="V598" s="189" t="s">
        <v>167</v>
      </c>
      <c r="W598" s="189" t="s">
        <v>124</v>
      </c>
      <c r="X598" s="189" t="s">
        <v>381</v>
      </c>
      <c r="Y598" s="189" t="s">
        <v>2108</v>
      </c>
      <c r="Z598" s="0" t="n">
        <v>2</v>
      </c>
      <c r="AA598" s="189" t="s">
        <v>2277</v>
      </c>
    </row>
    <row r="599" customFormat="false" ht="15" hidden="false" customHeight="false" outlineLevel="0" collapsed="false">
      <c r="A599" s="0" t="n">
        <v>121</v>
      </c>
      <c r="B599" s="188" t="n">
        <v>46039.0365874819</v>
      </c>
      <c r="C599" s="188" t="n">
        <v>46039.0445620189</v>
      </c>
      <c r="D599" s="189" t="s">
        <v>1058</v>
      </c>
      <c r="E599" s="189" t="s">
        <v>1059</v>
      </c>
      <c r="F599" s="189" t="s">
        <v>1059</v>
      </c>
      <c r="G599" s="189" t="s">
        <v>1060</v>
      </c>
      <c r="H599" s="188" t="n">
        <v>46022</v>
      </c>
      <c r="I599" s="189" t="s">
        <v>113</v>
      </c>
      <c r="J599" s="189" t="s">
        <v>108</v>
      </c>
      <c r="K599" s="189" t="s">
        <v>1061</v>
      </c>
      <c r="L599" s="189" t="s">
        <v>296</v>
      </c>
      <c r="M599" s="189" t="s">
        <v>973</v>
      </c>
      <c r="N599" s="189" t="s">
        <v>595</v>
      </c>
      <c r="O599" s="189" t="s">
        <v>244</v>
      </c>
      <c r="P599" s="189" t="s">
        <v>111</v>
      </c>
      <c r="Q599" s="189" t="s">
        <v>112</v>
      </c>
      <c r="R599" s="189" t="s">
        <v>22</v>
      </c>
      <c r="S599" s="189" t="s">
        <v>120</v>
      </c>
      <c r="T599" s="189" t="s">
        <v>180</v>
      </c>
      <c r="U599" s="189" t="s">
        <v>1063</v>
      </c>
      <c r="V599" s="189" t="s">
        <v>167</v>
      </c>
      <c r="W599" s="189" t="s">
        <v>124</v>
      </c>
      <c r="X599" s="189" t="s">
        <v>381</v>
      </c>
      <c r="Y599" s="189" t="s">
        <v>2108</v>
      </c>
      <c r="Z599" s="0" t="n">
        <v>3</v>
      </c>
      <c r="AA599" s="189" t="s">
        <v>2293</v>
      </c>
    </row>
    <row r="600" customFormat="false" ht="15" hidden="false" customHeight="false" outlineLevel="0" collapsed="false">
      <c r="A600" s="0" t="n">
        <v>121</v>
      </c>
      <c r="B600" s="188" t="n">
        <v>46039.0365874819</v>
      </c>
      <c r="C600" s="188" t="n">
        <v>46039.0445620189</v>
      </c>
      <c r="D600" s="189" t="s">
        <v>1058</v>
      </c>
      <c r="E600" s="189" t="s">
        <v>1059</v>
      </c>
      <c r="F600" s="189" t="s">
        <v>1059</v>
      </c>
      <c r="G600" s="189" t="s">
        <v>1060</v>
      </c>
      <c r="H600" s="188" t="n">
        <v>46022</v>
      </c>
      <c r="I600" s="189" t="s">
        <v>113</v>
      </c>
      <c r="J600" s="189" t="s">
        <v>108</v>
      </c>
      <c r="K600" s="189" t="s">
        <v>1061</v>
      </c>
      <c r="L600" s="189" t="s">
        <v>296</v>
      </c>
      <c r="M600" s="189" t="s">
        <v>973</v>
      </c>
      <c r="N600" s="189" t="s">
        <v>595</v>
      </c>
      <c r="O600" s="189" t="s">
        <v>244</v>
      </c>
      <c r="P600" s="189" t="s">
        <v>111</v>
      </c>
      <c r="Q600" s="189" t="s">
        <v>112</v>
      </c>
      <c r="R600" s="189" t="s">
        <v>22</v>
      </c>
      <c r="S600" s="189" t="s">
        <v>120</v>
      </c>
      <c r="T600" s="189" t="s">
        <v>180</v>
      </c>
      <c r="U600" s="189" t="s">
        <v>1063</v>
      </c>
      <c r="V600" s="189" t="s">
        <v>167</v>
      </c>
      <c r="W600" s="189" t="s">
        <v>124</v>
      </c>
      <c r="X600" s="189" t="s">
        <v>381</v>
      </c>
      <c r="Y600" s="189" t="s">
        <v>2110</v>
      </c>
      <c r="Z600" s="0" t="n">
        <v>1</v>
      </c>
      <c r="AA600" s="189" t="s">
        <v>2294</v>
      </c>
    </row>
    <row r="601" customFormat="false" ht="15" hidden="false" customHeight="false" outlineLevel="0" collapsed="false">
      <c r="A601" s="0" t="n">
        <v>121</v>
      </c>
      <c r="B601" s="188" t="n">
        <v>46039.0365874819</v>
      </c>
      <c r="C601" s="188" t="n">
        <v>46039.0445620189</v>
      </c>
      <c r="D601" s="189" t="s">
        <v>1058</v>
      </c>
      <c r="E601" s="189" t="s">
        <v>1059</v>
      </c>
      <c r="F601" s="189" t="s">
        <v>1059</v>
      </c>
      <c r="G601" s="189" t="s">
        <v>1060</v>
      </c>
      <c r="H601" s="188" t="n">
        <v>46022</v>
      </c>
      <c r="I601" s="189" t="s">
        <v>113</v>
      </c>
      <c r="J601" s="189" t="s">
        <v>108</v>
      </c>
      <c r="K601" s="189" t="s">
        <v>1061</v>
      </c>
      <c r="L601" s="189" t="s">
        <v>296</v>
      </c>
      <c r="M601" s="189" t="s">
        <v>973</v>
      </c>
      <c r="N601" s="189" t="s">
        <v>595</v>
      </c>
      <c r="O601" s="189" t="s">
        <v>244</v>
      </c>
      <c r="P601" s="189" t="s">
        <v>111</v>
      </c>
      <c r="Q601" s="189" t="s">
        <v>112</v>
      </c>
      <c r="R601" s="189" t="s">
        <v>22</v>
      </c>
      <c r="S601" s="189" t="s">
        <v>120</v>
      </c>
      <c r="T601" s="189" t="s">
        <v>180</v>
      </c>
      <c r="U601" s="189" t="s">
        <v>1063</v>
      </c>
      <c r="V601" s="189" t="s">
        <v>167</v>
      </c>
      <c r="W601" s="189" t="s">
        <v>124</v>
      </c>
      <c r="X601" s="189" t="s">
        <v>381</v>
      </c>
      <c r="Y601" s="189" t="s">
        <v>2110</v>
      </c>
      <c r="Z601" s="0" t="n">
        <v>2</v>
      </c>
      <c r="AA601" s="189" t="s">
        <v>2204</v>
      </c>
    </row>
    <row r="602" customFormat="false" ht="15" hidden="false" customHeight="false" outlineLevel="0" collapsed="false">
      <c r="A602" s="0" t="n">
        <v>121</v>
      </c>
      <c r="B602" s="188" t="n">
        <v>46039.0365874819</v>
      </c>
      <c r="C602" s="188" t="n">
        <v>46039.0445620189</v>
      </c>
      <c r="D602" s="189" t="s">
        <v>1058</v>
      </c>
      <c r="E602" s="189" t="s">
        <v>1059</v>
      </c>
      <c r="F602" s="189" t="s">
        <v>1059</v>
      </c>
      <c r="G602" s="189" t="s">
        <v>1060</v>
      </c>
      <c r="H602" s="188" t="n">
        <v>46022</v>
      </c>
      <c r="I602" s="189" t="s">
        <v>113</v>
      </c>
      <c r="J602" s="189" t="s">
        <v>108</v>
      </c>
      <c r="K602" s="189" t="s">
        <v>1061</v>
      </c>
      <c r="L602" s="189" t="s">
        <v>296</v>
      </c>
      <c r="M602" s="189" t="s">
        <v>973</v>
      </c>
      <c r="N602" s="189" t="s">
        <v>595</v>
      </c>
      <c r="O602" s="189" t="s">
        <v>244</v>
      </c>
      <c r="P602" s="189" t="s">
        <v>111</v>
      </c>
      <c r="Q602" s="189" t="s">
        <v>112</v>
      </c>
      <c r="R602" s="189" t="s">
        <v>22</v>
      </c>
      <c r="S602" s="189" t="s">
        <v>120</v>
      </c>
      <c r="T602" s="189" t="s">
        <v>180</v>
      </c>
      <c r="U602" s="189" t="s">
        <v>1063</v>
      </c>
      <c r="V602" s="189" t="s">
        <v>167</v>
      </c>
      <c r="W602" s="189" t="s">
        <v>124</v>
      </c>
      <c r="X602" s="189" t="s">
        <v>381</v>
      </c>
      <c r="Y602" s="189" t="s">
        <v>2113</v>
      </c>
      <c r="Z602" s="0" t="n">
        <v>1</v>
      </c>
      <c r="AA602" s="189" t="s">
        <v>2225</v>
      </c>
    </row>
    <row r="603" customFormat="false" ht="15" hidden="false" customHeight="false" outlineLevel="0" collapsed="false">
      <c r="A603" s="0" t="n">
        <v>122</v>
      </c>
      <c r="B603" s="188" t="n">
        <v>46179.4186256572</v>
      </c>
      <c r="C603" s="188" t="n">
        <v>46179.433290009</v>
      </c>
      <c r="D603" s="189" t="s">
        <v>1064</v>
      </c>
      <c r="E603" s="189" t="s">
        <v>1065</v>
      </c>
      <c r="F603" s="189" t="s">
        <v>1065</v>
      </c>
      <c r="G603" s="189" t="s">
        <v>1066</v>
      </c>
      <c r="H603" s="188" t="n">
        <v>46164</v>
      </c>
      <c r="I603" s="189" t="s">
        <v>113</v>
      </c>
      <c r="J603" s="189" t="s">
        <v>108</v>
      </c>
      <c r="K603" s="189" t="s">
        <v>462</v>
      </c>
      <c r="L603" s="189" t="s">
        <v>184</v>
      </c>
      <c r="M603" s="189" t="s">
        <v>864</v>
      </c>
      <c r="N603" s="189" t="s">
        <v>1067</v>
      </c>
      <c r="O603" s="189" t="s">
        <v>278</v>
      </c>
      <c r="P603" s="189" t="s">
        <v>111</v>
      </c>
      <c r="Q603" s="189" t="s">
        <v>112</v>
      </c>
      <c r="R603" s="189" t="s">
        <v>22</v>
      </c>
      <c r="S603" s="189" t="s">
        <v>152</v>
      </c>
      <c r="T603" s="189" t="s">
        <v>121</v>
      </c>
      <c r="U603" s="189" t="s">
        <v>1070</v>
      </c>
      <c r="V603" s="189" t="s">
        <v>123</v>
      </c>
      <c r="W603" s="189" t="s">
        <v>168</v>
      </c>
      <c r="X603" s="189" t="s">
        <v>271</v>
      </c>
      <c r="Y603" s="189" t="s">
        <v>2108</v>
      </c>
      <c r="Z603" s="0" t="n">
        <v>1</v>
      </c>
      <c r="AA603" s="189" t="s">
        <v>2159</v>
      </c>
    </row>
    <row r="604" customFormat="false" ht="15" hidden="false" customHeight="false" outlineLevel="0" collapsed="false">
      <c r="A604" s="0" t="n">
        <v>122</v>
      </c>
      <c r="B604" s="188" t="n">
        <v>46179.4186256572</v>
      </c>
      <c r="C604" s="188" t="n">
        <v>46179.433290009</v>
      </c>
      <c r="D604" s="189" t="s">
        <v>1064</v>
      </c>
      <c r="E604" s="189" t="s">
        <v>1065</v>
      </c>
      <c r="F604" s="189" t="s">
        <v>1065</v>
      </c>
      <c r="G604" s="189" t="s">
        <v>1066</v>
      </c>
      <c r="H604" s="188" t="n">
        <v>46164</v>
      </c>
      <c r="I604" s="189" t="s">
        <v>113</v>
      </c>
      <c r="J604" s="189" t="s">
        <v>108</v>
      </c>
      <c r="K604" s="189" t="s">
        <v>462</v>
      </c>
      <c r="L604" s="189" t="s">
        <v>184</v>
      </c>
      <c r="M604" s="189" t="s">
        <v>864</v>
      </c>
      <c r="N604" s="189" t="s">
        <v>1067</v>
      </c>
      <c r="O604" s="189" t="s">
        <v>278</v>
      </c>
      <c r="P604" s="189" t="s">
        <v>111</v>
      </c>
      <c r="Q604" s="189" t="s">
        <v>112</v>
      </c>
      <c r="R604" s="189" t="s">
        <v>22</v>
      </c>
      <c r="S604" s="189" t="s">
        <v>152</v>
      </c>
      <c r="T604" s="189" t="s">
        <v>121</v>
      </c>
      <c r="U604" s="189" t="s">
        <v>1070</v>
      </c>
      <c r="V604" s="189" t="s">
        <v>123</v>
      </c>
      <c r="W604" s="189" t="s">
        <v>168</v>
      </c>
      <c r="X604" s="189" t="s">
        <v>271</v>
      </c>
      <c r="Y604" s="189" t="s">
        <v>2108</v>
      </c>
      <c r="Z604" s="0" t="n">
        <v>2</v>
      </c>
      <c r="AA604" s="189" t="s">
        <v>2158</v>
      </c>
    </row>
    <row r="605" customFormat="false" ht="15" hidden="false" customHeight="false" outlineLevel="0" collapsed="false">
      <c r="A605" s="0" t="n">
        <v>122</v>
      </c>
      <c r="B605" s="188" t="n">
        <v>46179.4186256572</v>
      </c>
      <c r="C605" s="188" t="n">
        <v>46179.433290009</v>
      </c>
      <c r="D605" s="189" t="s">
        <v>1064</v>
      </c>
      <c r="E605" s="189" t="s">
        <v>1065</v>
      </c>
      <c r="F605" s="189" t="s">
        <v>1065</v>
      </c>
      <c r="G605" s="189" t="s">
        <v>1066</v>
      </c>
      <c r="H605" s="188" t="n">
        <v>46164</v>
      </c>
      <c r="I605" s="189" t="s">
        <v>113</v>
      </c>
      <c r="J605" s="189" t="s">
        <v>108</v>
      </c>
      <c r="K605" s="189" t="s">
        <v>462</v>
      </c>
      <c r="L605" s="189" t="s">
        <v>184</v>
      </c>
      <c r="M605" s="189" t="s">
        <v>864</v>
      </c>
      <c r="N605" s="189" t="s">
        <v>1067</v>
      </c>
      <c r="O605" s="189" t="s">
        <v>278</v>
      </c>
      <c r="P605" s="189" t="s">
        <v>111</v>
      </c>
      <c r="Q605" s="189" t="s">
        <v>112</v>
      </c>
      <c r="R605" s="189" t="s">
        <v>22</v>
      </c>
      <c r="S605" s="189" t="s">
        <v>152</v>
      </c>
      <c r="T605" s="189" t="s">
        <v>121</v>
      </c>
      <c r="U605" s="189" t="s">
        <v>1070</v>
      </c>
      <c r="V605" s="189" t="s">
        <v>123</v>
      </c>
      <c r="W605" s="189" t="s">
        <v>168</v>
      </c>
      <c r="X605" s="189" t="s">
        <v>271</v>
      </c>
      <c r="Y605" s="189" t="s">
        <v>2108</v>
      </c>
      <c r="Z605" s="0" t="n">
        <v>3</v>
      </c>
      <c r="AA605" s="189" t="s">
        <v>2179</v>
      </c>
    </row>
    <row r="606" customFormat="false" ht="15" hidden="false" customHeight="false" outlineLevel="0" collapsed="false">
      <c r="A606" s="0" t="n">
        <v>122</v>
      </c>
      <c r="B606" s="188" t="n">
        <v>46179.4186256572</v>
      </c>
      <c r="C606" s="188" t="n">
        <v>46179.433290009</v>
      </c>
      <c r="D606" s="189" t="s">
        <v>1064</v>
      </c>
      <c r="E606" s="189" t="s">
        <v>1065</v>
      </c>
      <c r="F606" s="189" t="s">
        <v>1065</v>
      </c>
      <c r="G606" s="189" t="s">
        <v>1066</v>
      </c>
      <c r="H606" s="188" t="n">
        <v>46164</v>
      </c>
      <c r="I606" s="189" t="s">
        <v>113</v>
      </c>
      <c r="J606" s="189" t="s">
        <v>108</v>
      </c>
      <c r="K606" s="189" t="s">
        <v>462</v>
      </c>
      <c r="L606" s="189" t="s">
        <v>184</v>
      </c>
      <c r="M606" s="189" t="s">
        <v>864</v>
      </c>
      <c r="N606" s="189" t="s">
        <v>1067</v>
      </c>
      <c r="O606" s="189" t="s">
        <v>278</v>
      </c>
      <c r="P606" s="189" t="s">
        <v>111</v>
      </c>
      <c r="Q606" s="189" t="s">
        <v>112</v>
      </c>
      <c r="R606" s="189" t="s">
        <v>22</v>
      </c>
      <c r="S606" s="189" t="s">
        <v>152</v>
      </c>
      <c r="T606" s="189" t="s">
        <v>121</v>
      </c>
      <c r="U606" s="189" t="s">
        <v>1070</v>
      </c>
      <c r="V606" s="189" t="s">
        <v>123</v>
      </c>
      <c r="W606" s="189" t="s">
        <v>168</v>
      </c>
      <c r="X606" s="189" t="s">
        <v>271</v>
      </c>
      <c r="Y606" s="189" t="s">
        <v>2110</v>
      </c>
      <c r="Z606" s="0" t="n">
        <v>1</v>
      </c>
      <c r="AA606" s="189" t="s">
        <v>2161</v>
      </c>
    </row>
    <row r="607" customFormat="false" ht="15" hidden="false" customHeight="false" outlineLevel="0" collapsed="false">
      <c r="A607" s="0" t="n">
        <v>122</v>
      </c>
      <c r="B607" s="188" t="n">
        <v>46179.4186256572</v>
      </c>
      <c r="C607" s="188" t="n">
        <v>46179.433290009</v>
      </c>
      <c r="D607" s="189" t="s">
        <v>1064</v>
      </c>
      <c r="E607" s="189" t="s">
        <v>1065</v>
      </c>
      <c r="F607" s="189" t="s">
        <v>1065</v>
      </c>
      <c r="G607" s="189" t="s">
        <v>1066</v>
      </c>
      <c r="H607" s="188" t="n">
        <v>46164</v>
      </c>
      <c r="I607" s="189" t="s">
        <v>113</v>
      </c>
      <c r="J607" s="189" t="s">
        <v>108</v>
      </c>
      <c r="K607" s="189" t="s">
        <v>462</v>
      </c>
      <c r="L607" s="189" t="s">
        <v>184</v>
      </c>
      <c r="M607" s="189" t="s">
        <v>864</v>
      </c>
      <c r="N607" s="189" t="s">
        <v>1067</v>
      </c>
      <c r="O607" s="189" t="s">
        <v>278</v>
      </c>
      <c r="P607" s="189" t="s">
        <v>111</v>
      </c>
      <c r="Q607" s="189" t="s">
        <v>112</v>
      </c>
      <c r="R607" s="189" t="s">
        <v>22</v>
      </c>
      <c r="S607" s="189" t="s">
        <v>152</v>
      </c>
      <c r="T607" s="189" t="s">
        <v>121</v>
      </c>
      <c r="U607" s="189" t="s">
        <v>1070</v>
      </c>
      <c r="V607" s="189" t="s">
        <v>123</v>
      </c>
      <c r="W607" s="189" t="s">
        <v>168</v>
      </c>
      <c r="X607" s="189" t="s">
        <v>271</v>
      </c>
      <c r="Y607" s="189" t="s">
        <v>2110</v>
      </c>
      <c r="Z607" s="0" t="n">
        <v>2</v>
      </c>
      <c r="AA607" s="189" t="s">
        <v>2311</v>
      </c>
    </row>
    <row r="608" customFormat="false" ht="15" hidden="false" customHeight="false" outlineLevel="0" collapsed="false">
      <c r="A608" s="0" t="n">
        <v>122</v>
      </c>
      <c r="B608" s="188" t="n">
        <v>46179.4186256572</v>
      </c>
      <c r="C608" s="188" t="n">
        <v>46179.433290009</v>
      </c>
      <c r="D608" s="189" t="s">
        <v>1064</v>
      </c>
      <c r="E608" s="189" t="s">
        <v>1065</v>
      </c>
      <c r="F608" s="189" t="s">
        <v>1065</v>
      </c>
      <c r="G608" s="189" t="s">
        <v>1066</v>
      </c>
      <c r="H608" s="188" t="n">
        <v>46164</v>
      </c>
      <c r="I608" s="189" t="s">
        <v>113</v>
      </c>
      <c r="J608" s="189" t="s">
        <v>108</v>
      </c>
      <c r="K608" s="189" t="s">
        <v>462</v>
      </c>
      <c r="L608" s="189" t="s">
        <v>184</v>
      </c>
      <c r="M608" s="189" t="s">
        <v>864</v>
      </c>
      <c r="N608" s="189" t="s">
        <v>1067</v>
      </c>
      <c r="O608" s="189" t="s">
        <v>278</v>
      </c>
      <c r="P608" s="189" t="s">
        <v>111</v>
      </c>
      <c r="Q608" s="189" t="s">
        <v>112</v>
      </c>
      <c r="R608" s="189" t="s">
        <v>22</v>
      </c>
      <c r="S608" s="189" t="s">
        <v>152</v>
      </c>
      <c r="T608" s="189" t="s">
        <v>121</v>
      </c>
      <c r="U608" s="189" t="s">
        <v>1070</v>
      </c>
      <c r="V608" s="189" t="s">
        <v>123</v>
      </c>
      <c r="W608" s="189" t="s">
        <v>168</v>
      </c>
      <c r="X608" s="189" t="s">
        <v>271</v>
      </c>
      <c r="Y608" s="189" t="s">
        <v>2113</v>
      </c>
      <c r="Z608" s="0" t="n">
        <v>1</v>
      </c>
      <c r="AA608" s="189" t="s">
        <v>2163</v>
      </c>
    </row>
    <row r="609" customFormat="false" ht="15" hidden="false" customHeight="false" outlineLevel="0" collapsed="false">
      <c r="A609" s="0" t="n">
        <v>123</v>
      </c>
      <c r="B609" s="188" t="n">
        <v>46135.2412423048</v>
      </c>
      <c r="C609" s="188" t="n">
        <v>46135.2437307307</v>
      </c>
      <c r="D609" s="189" t="s">
        <v>1071</v>
      </c>
      <c r="E609" s="189" t="s">
        <v>1072</v>
      </c>
      <c r="F609" s="189" t="s">
        <v>1072</v>
      </c>
      <c r="G609" s="189" t="s">
        <v>1073</v>
      </c>
      <c r="H609" s="188" t="n">
        <v>46117</v>
      </c>
      <c r="I609" s="189" t="s">
        <v>113</v>
      </c>
      <c r="J609" s="189" t="s">
        <v>128</v>
      </c>
      <c r="K609" s="189" t="s">
        <v>364</v>
      </c>
      <c r="L609" s="189" t="s">
        <v>389</v>
      </c>
      <c r="M609" s="189" t="s">
        <v>1074</v>
      </c>
      <c r="N609" s="189" t="s">
        <v>638</v>
      </c>
      <c r="O609" s="189" t="s">
        <v>107</v>
      </c>
      <c r="P609" s="189" t="s">
        <v>111</v>
      </c>
      <c r="Q609" s="189" t="s">
        <v>145</v>
      </c>
      <c r="R609" s="189" t="s">
        <v>22</v>
      </c>
      <c r="S609" s="189" t="s">
        <v>120</v>
      </c>
      <c r="T609" s="189" t="s">
        <v>180</v>
      </c>
      <c r="U609" s="189" t="s">
        <v>122</v>
      </c>
      <c r="V609" s="189" t="s">
        <v>123</v>
      </c>
      <c r="W609" s="189" t="s">
        <v>124</v>
      </c>
      <c r="X609" s="189" t="s">
        <v>116</v>
      </c>
      <c r="Y609" s="189" t="s">
        <v>2108</v>
      </c>
      <c r="Z609" s="0" t="n">
        <v>1</v>
      </c>
      <c r="AA609" s="189" t="s">
        <v>2109</v>
      </c>
    </row>
    <row r="610" customFormat="false" ht="15" hidden="false" customHeight="false" outlineLevel="0" collapsed="false">
      <c r="A610" s="0" t="n">
        <v>123</v>
      </c>
      <c r="B610" s="188" t="n">
        <v>46135.2412423048</v>
      </c>
      <c r="C610" s="188" t="n">
        <v>46135.2437307307</v>
      </c>
      <c r="D610" s="189" t="s">
        <v>1071</v>
      </c>
      <c r="E610" s="189" t="s">
        <v>1072</v>
      </c>
      <c r="F610" s="189" t="s">
        <v>1072</v>
      </c>
      <c r="G610" s="189" t="s">
        <v>1073</v>
      </c>
      <c r="H610" s="188" t="n">
        <v>46117</v>
      </c>
      <c r="I610" s="189" t="s">
        <v>113</v>
      </c>
      <c r="J610" s="189" t="s">
        <v>128</v>
      </c>
      <c r="K610" s="189" t="s">
        <v>364</v>
      </c>
      <c r="L610" s="189" t="s">
        <v>389</v>
      </c>
      <c r="M610" s="189" t="s">
        <v>1074</v>
      </c>
      <c r="N610" s="189" t="s">
        <v>638</v>
      </c>
      <c r="O610" s="189" t="s">
        <v>107</v>
      </c>
      <c r="P610" s="189" t="s">
        <v>111</v>
      </c>
      <c r="Q610" s="189" t="s">
        <v>145</v>
      </c>
      <c r="R610" s="189" t="s">
        <v>22</v>
      </c>
      <c r="S610" s="189" t="s">
        <v>120</v>
      </c>
      <c r="T610" s="189" t="s">
        <v>180</v>
      </c>
      <c r="U610" s="189" t="s">
        <v>122</v>
      </c>
      <c r="V610" s="189" t="s">
        <v>123</v>
      </c>
      <c r="W610" s="189" t="s">
        <v>124</v>
      </c>
      <c r="X610" s="189" t="s">
        <v>116</v>
      </c>
      <c r="Y610" s="189" t="s">
        <v>2110</v>
      </c>
      <c r="Z610" s="0" t="n">
        <v>1</v>
      </c>
      <c r="AA610" s="189" t="s">
        <v>2111</v>
      </c>
    </row>
    <row r="611" customFormat="false" ht="15" hidden="false" customHeight="false" outlineLevel="0" collapsed="false">
      <c r="A611" s="0" t="n">
        <v>123</v>
      </c>
      <c r="B611" s="188" t="n">
        <v>46135.2412423048</v>
      </c>
      <c r="C611" s="188" t="n">
        <v>46135.2437307307</v>
      </c>
      <c r="D611" s="189" t="s">
        <v>1071</v>
      </c>
      <c r="E611" s="189" t="s">
        <v>1072</v>
      </c>
      <c r="F611" s="189" t="s">
        <v>1072</v>
      </c>
      <c r="G611" s="189" t="s">
        <v>1073</v>
      </c>
      <c r="H611" s="188" t="n">
        <v>46117</v>
      </c>
      <c r="I611" s="189" t="s">
        <v>113</v>
      </c>
      <c r="J611" s="189" t="s">
        <v>128</v>
      </c>
      <c r="K611" s="189" t="s">
        <v>364</v>
      </c>
      <c r="L611" s="189" t="s">
        <v>389</v>
      </c>
      <c r="M611" s="189" t="s">
        <v>1074</v>
      </c>
      <c r="N611" s="189" t="s">
        <v>638</v>
      </c>
      <c r="O611" s="189" t="s">
        <v>107</v>
      </c>
      <c r="P611" s="189" t="s">
        <v>111</v>
      </c>
      <c r="Q611" s="189" t="s">
        <v>145</v>
      </c>
      <c r="R611" s="189" t="s">
        <v>22</v>
      </c>
      <c r="S611" s="189" t="s">
        <v>120</v>
      </c>
      <c r="T611" s="189" t="s">
        <v>180</v>
      </c>
      <c r="U611" s="189" t="s">
        <v>122</v>
      </c>
      <c r="V611" s="189" t="s">
        <v>123</v>
      </c>
      <c r="W611" s="189" t="s">
        <v>124</v>
      </c>
      <c r="X611" s="189" t="s">
        <v>116</v>
      </c>
      <c r="Y611" s="189" t="s">
        <v>2113</v>
      </c>
      <c r="Z611" s="0" t="n">
        <v>1</v>
      </c>
      <c r="AA611" s="189" t="s">
        <v>2127</v>
      </c>
    </row>
    <row r="612" customFormat="false" ht="15" hidden="false" customHeight="false" outlineLevel="0" collapsed="false">
      <c r="A612" s="0" t="n">
        <v>124</v>
      </c>
      <c r="B612" s="188" t="n">
        <v>46165.2262915812</v>
      </c>
      <c r="C612" s="188" t="n">
        <v>46165.2358054701</v>
      </c>
      <c r="D612" s="189" t="s">
        <v>1075</v>
      </c>
      <c r="E612" s="189" t="s">
        <v>1076</v>
      </c>
      <c r="F612" s="189" t="s">
        <v>1076</v>
      </c>
      <c r="G612" s="189" t="s">
        <v>1077</v>
      </c>
      <c r="H612" s="188" t="n">
        <v>46161</v>
      </c>
      <c r="I612" s="189" t="s">
        <v>113</v>
      </c>
      <c r="J612" s="189" t="s">
        <v>108</v>
      </c>
      <c r="K612" s="189" t="s">
        <v>232</v>
      </c>
      <c r="L612" s="189" t="s">
        <v>144</v>
      </c>
      <c r="M612" s="189" t="s">
        <v>797</v>
      </c>
      <c r="N612" s="189" t="s">
        <v>1078</v>
      </c>
      <c r="O612" s="189" t="s">
        <v>107</v>
      </c>
      <c r="P612" s="189" t="s">
        <v>111</v>
      </c>
      <c r="Q612" s="189" t="s">
        <v>247</v>
      </c>
      <c r="R612" s="189" t="s">
        <v>22</v>
      </c>
      <c r="S612" s="189" t="s">
        <v>120</v>
      </c>
      <c r="T612" s="189" t="s">
        <v>180</v>
      </c>
      <c r="U612" s="189" t="s">
        <v>122</v>
      </c>
      <c r="V612" s="189" t="s">
        <v>192</v>
      </c>
      <c r="W612" s="189" t="s">
        <v>124</v>
      </c>
      <c r="X612" s="189" t="s">
        <v>715</v>
      </c>
      <c r="Y612" s="189" t="s">
        <v>2108</v>
      </c>
      <c r="Z612" s="0" t="n">
        <v>1</v>
      </c>
      <c r="AA612" s="189" t="s">
        <v>2295</v>
      </c>
    </row>
    <row r="613" customFormat="false" ht="15" hidden="false" customHeight="false" outlineLevel="0" collapsed="false">
      <c r="A613" s="0" t="n">
        <v>124</v>
      </c>
      <c r="B613" s="188" t="n">
        <v>46165.2262915812</v>
      </c>
      <c r="C613" s="188" t="n">
        <v>46165.2358054701</v>
      </c>
      <c r="D613" s="189" t="s">
        <v>1075</v>
      </c>
      <c r="E613" s="189" t="s">
        <v>1076</v>
      </c>
      <c r="F613" s="189" t="s">
        <v>1076</v>
      </c>
      <c r="G613" s="189" t="s">
        <v>1077</v>
      </c>
      <c r="H613" s="188" t="n">
        <v>46161</v>
      </c>
      <c r="I613" s="189" t="s">
        <v>113</v>
      </c>
      <c r="J613" s="189" t="s">
        <v>108</v>
      </c>
      <c r="K613" s="189" t="s">
        <v>232</v>
      </c>
      <c r="L613" s="189" t="s">
        <v>144</v>
      </c>
      <c r="M613" s="189" t="s">
        <v>797</v>
      </c>
      <c r="N613" s="189" t="s">
        <v>1078</v>
      </c>
      <c r="O613" s="189" t="s">
        <v>107</v>
      </c>
      <c r="P613" s="189" t="s">
        <v>111</v>
      </c>
      <c r="Q613" s="189" t="s">
        <v>247</v>
      </c>
      <c r="R613" s="189" t="s">
        <v>22</v>
      </c>
      <c r="S613" s="189" t="s">
        <v>120</v>
      </c>
      <c r="T613" s="189" t="s">
        <v>180</v>
      </c>
      <c r="U613" s="189" t="s">
        <v>122</v>
      </c>
      <c r="V613" s="189" t="s">
        <v>192</v>
      </c>
      <c r="W613" s="189" t="s">
        <v>124</v>
      </c>
      <c r="X613" s="189" t="s">
        <v>715</v>
      </c>
      <c r="Y613" s="189" t="s">
        <v>2108</v>
      </c>
      <c r="Z613" s="0" t="n">
        <v>2</v>
      </c>
      <c r="AA613" s="189" t="s">
        <v>2300</v>
      </c>
    </row>
    <row r="614" customFormat="false" ht="15" hidden="false" customHeight="false" outlineLevel="0" collapsed="false">
      <c r="A614" s="0" t="n">
        <v>124</v>
      </c>
      <c r="B614" s="188" t="n">
        <v>46165.2262915812</v>
      </c>
      <c r="C614" s="188" t="n">
        <v>46165.2358054701</v>
      </c>
      <c r="D614" s="189" t="s">
        <v>1075</v>
      </c>
      <c r="E614" s="189" t="s">
        <v>1076</v>
      </c>
      <c r="F614" s="189" t="s">
        <v>1076</v>
      </c>
      <c r="G614" s="189" t="s">
        <v>1077</v>
      </c>
      <c r="H614" s="188" t="n">
        <v>46161</v>
      </c>
      <c r="I614" s="189" t="s">
        <v>113</v>
      </c>
      <c r="J614" s="189" t="s">
        <v>108</v>
      </c>
      <c r="K614" s="189" t="s">
        <v>232</v>
      </c>
      <c r="L614" s="189" t="s">
        <v>144</v>
      </c>
      <c r="M614" s="189" t="s">
        <v>797</v>
      </c>
      <c r="N614" s="189" t="s">
        <v>1078</v>
      </c>
      <c r="O614" s="189" t="s">
        <v>107</v>
      </c>
      <c r="P614" s="189" t="s">
        <v>111</v>
      </c>
      <c r="Q614" s="189" t="s">
        <v>247</v>
      </c>
      <c r="R614" s="189" t="s">
        <v>22</v>
      </c>
      <c r="S614" s="189" t="s">
        <v>120</v>
      </c>
      <c r="T614" s="189" t="s">
        <v>180</v>
      </c>
      <c r="U614" s="189" t="s">
        <v>122</v>
      </c>
      <c r="V614" s="189" t="s">
        <v>192</v>
      </c>
      <c r="W614" s="189" t="s">
        <v>124</v>
      </c>
      <c r="X614" s="189" t="s">
        <v>715</v>
      </c>
      <c r="Y614" s="189" t="s">
        <v>2108</v>
      </c>
      <c r="Z614" s="0" t="n">
        <v>3</v>
      </c>
      <c r="AA614" s="189" t="s">
        <v>2268</v>
      </c>
    </row>
    <row r="615" customFormat="false" ht="15" hidden="false" customHeight="false" outlineLevel="0" collapsed="false">
      <c r="A615" s="0" t="n">
        <v>124</v>
      </c>
      <c r="B615" s="188" t="n">
        <v>46165.2262915812</v>
      </c>
      <c r="C615" s="188" t="n">
        <v>46165.2358054701</v>
      </c>
      <c r="D615" s="189" t="s">
        <v>1075</v>
      </c>
      <c r="E615" s="189" t="s">
        <v>1076</v>
      </c>
      <c r="F615" s="189" t="s">
        <v>1076</v>
      </c>
      <c r="G615" s="189" t="s">
        <v>1077</v>
      </c>
      <c r="H615" s="188" t="n">
        <v>46161</v>
      </c>
      <c r="I615" s="189" t="s">
        <v>113</v>
      </c>
      <c r="J615" s="189" t="s">
        <v>108</v>
      </c>
      <c r="K615" s="189" t="s">
        <v>232</v>
      </c>
      <c r="L615" s="189" t="s">
        <v>144</v>
      </c>
      <c r="M615" s="189" t="s">
        <v>797</v>
      </c>
      <c r="N615" s="189" t="s">
        <v>1078</v>
      </c>
      <c r="O615" s="189" t="s">
        <v>107</v>
      </c>
      <c r="P615" s="189" t="s">
        <v>111</v>
      </c>
      <c r="Q615" s="189" t="s">
        <v>247</v>
      </c>
      <c r="R615" s="189" t="s">
        <v>22</v>
      </c>
      <c r="S615" s="189" t="s">
        <v>120</v>
      </c>
      <c r="T615" s="189" t="s">
        <v>180</v>
      </c>
      <c r="U615" s="189" t="s">
        <v>122</v>
      </c>
      <c r="V615" s="189" t="s">
        <v>192</v>
      </c>
      <c r="W615" s="189" t="s">
        <v>124</v>
      </c>
      <c r="X615" s="189" t="s">
        <v>715</v>
      </c>
      <c r="Y615" s="189" t="s">
        <v>2110</v>
      </c>
      <c r="Z615" s="0" t="n">
        <v>1</v>
      </c>
      <c r="AA615" s="189" t="s">
        <v>2297</v>
      </c>
    </row>
    <row r="616" customFormat="false" ht="15" hidden="false" customHeight="false" outlineLevel="0" collapsed="false">
      <c r="A616" s="0" t="n">
        <v>124</v>
      </c>
      <c r="B616" s="188" t="n">
        <v>46165.2262915812</v>
      </c>
      <c r="C616" s="188" t="n">
        <v>46165.2358054701</v>
      </c>
      <c r="D616" s="189" t="s">
        <v>1075</v>
      </c>
      <c r="E616" s="189" t="s">
        <v>1076</v>
      </c>
      <c r="F616" s="189" t="s">
        <v>1076</v>
      </c>
      <c r="G616" s="189" t="s">
        <v>1077</v>
      </c>
      <c r="H616" s="188" t="n">
        <v>46161</v>
      </c>
      <c r="I616" s="189" t="s">
        <v>113</v>
      </c>
      <c r="J616" s="189" t="s">
        <v>108</v>
      </c>
      <c r="K616" s="189" t="s">
        <v>232</v>
      </c>
      <c r="L616" s="189" t="s">
        <v>144</v>
      </c>
      <c r="M616" s="189" t="s">
        <v>797</v>
      </c>
      <c r="N616" s="189" t="s">
        <v>1078</v>
      </c>
      <c r="O616" s="189" t="s">
        <v>107</v>
      </c>
      <c r="P616" s="189" t="s">
        <v>111</v>
      </c>
      <c r="Q616" s="189" t="s">
        <v>247</v>
      </c>
      <c r="R616" s="189" t="s">
        <v>22</v>
      </c>
      <c r="S616" s="189" t="s">
        <v>120</v>
      </c>
      <c r="T616" s="189" t="s">
        <v>180</v>
      </c>
      <c r="U616" s="189" t="s">
        <v>122</v>
      </c>
      <c r="V616" s="189" t="s">
        <v>192</v>
      </c>
      <c r="W616" s="189" t="s">
        <v>124</v>
      </c>
      <c r="X616" s="189" t="s">
        <v>715</v>
      </c>
      <c r="Y616" s="189" t="s">
        <v>2113</v>
      </c>
      <c r="Z616" s="0" t="n">
        <v>1</v>
      </c>
      <c r="AA616" s="189" t="s">
        <v>2301</v>
      </c>
    </row>
    <row r="617" customFormat="false" ht="15" hidden="false" customHeight="false" outlineLevel="0" collapsed="false">
      <c r="A617" s="0" t="n">
        <v>124</v>
      </c>
      <c r="B617" s="188" t="n">
        <v>46165.2262915812</v>
      </c>
      <c r="C617" s="188" t="n">
        <v>46165.2358054701</v>
      </c>
      <c r="D617" s="189" t="s">
        <v>1075</v>
      </c>
      <c r="E617" s="189" t="s">
        <v>1076</v>
      </c>
      <c r="F617" s="189" t="s">
        <v>1076</v>
      </c>
      <c r="G617" s="189" t="s">
        <v>1077</v>
      </c>
      <c r="H617" s="188" t="n">
        <v>46161</v>
      </c>
      <c r="I617" s="189" t="s">
        <v>113</v>
      </c>
      <c r="J617" s="189" t="s">
        <v>108</v>
      </c>
      <c r="K617" s="189" t="s">
        <v>232</v>
      </c>
      <c r="L617" s="189" t="s">
        <v>144</v>
      </c>
      <c r="M617" s="189" t="s">
        <v>797</v>
      </c>
      <c r="N617" s="189" t="s">
        <v>1078</v>
      </c>
      <c r="O617" s="189" t="s">
        <v>107</v>
      </c>
      <c r="P617" s="189" t="s">
        <v>111</v>
      </c>
      <c r="Q617" s="189" t="s">
        <v>247</v>
      </c>
      <c r="R617" s="189" t="s">
        <v>22</v>
      </c>
      <c r="S617" s="189" t="s">
        <v>120</v>
      </c>
      <c r="T617" s="189" t="s">
        <v>180</v>
      </c>
      <c r="U617" s="189" t="s">
        <v>122</v>
      </c>
      <c r="V617" s="189" t="s">
        <v>192</v>
      </c>
      <c r="W617" s="189" t="s">
        <v>124</v>
      </c>
      <c r="X617" s="189" t="s">
        <v>715</v>
      </c>
      <c r="Y617" s="189" t="s">
        <v>2113</v>
      </c>
      <c r="Z617" s="0" t="n">
        <v>2</v>
      </c>
      <c r="AA617" s="189" t="s">
        <v>2298</v>
      </c>
    </row>
    <row r="618" customFormat="false" ht="15" hidden="false" customHeight="false" outlineLevel="0" collapsed="false">
      <c r="A618" s="0" t="n">
        <v>125</v>
      </c>
      <c r="B618" s="188" t="n">
        <v>46151.6884611496</v>
      </c>
      <c r="C618" s="188" t="n">
        <v>46151.6998616126</v>
      </c>
      <c r="D618" s="189" t="s">
        <v>1081</v>
      </c>
      <c r="E618" s="189" t="s">
        <v>1082</v>
      </c>
      <c r="F618" s="189" t="s">
        <v>1083</v>
      </c>
      <c r="G618" s="189" t="s">
        <v>1084</v>
      </c>
      <c r="H618" s="188" t="n">
        <v>46148</v>
      </c>
      <c r="I618" s="189" t="s">
        <v>113</v>
      </c>
      <c r="J618" s="189" t="s">
        <v>108</v>
      </c>
      <c r="K618" s="189" t="s">
        <v>143</v>
      </c>
      <c r="L618" s="189" t="s">
        <v>346</v>
      </c>
      <c r="M618" s="189" t="s">
        <v>774</v>
      </c>
      <c r="N618" s="189" t="s">
        <v>337</v>
      </c>
      <c r="O618" s="189" t="s">
        <v>107</v>
      </c>
      <c r="P618" s="189" t="s">
        <v>111</v>
      </c>
      <c r="Q618" s="189" t="s">
        <v>112</v>
      </c>
      <c r="R618" s="189" t="s">
        <v>24</v>
      </c>
      <c r="S618" s="189" t="s">
        <v>120</v>
      </c>
      <c r="T618" s="189" t="s">
        <v>180</v>
      </c>
      <c r="U618" s="189" t="s">
        <v>122</v>
      </c>
      <c r="V618" s="189" t="s">
        <v>192</v>
      </c>
      <c r="W618" s="189" t="s">
        <v>124</v>
      </c>
      <c r="X618" s="189" t="s">
        <v>448</v>
      </c>
      <c r="Y618" s="189" t="s">
        <v>2108</v>
      </c>
      <c r="Z618" s="0" t="n">
        <v>1</v>
      </c>
      <c r="AA618" s="189" t="s">
        <v>2217</v>
      </c>
    </row>
    <row r="619" customFormat="false" ht="15" hidden="false" customHeight="false" outlineLevel="0" collapsed="false">
      <c r="A619" s="0" t="n">
        <v>125</v>
      </c>
      <c r="B619" s="188" t="n">
        <v>46151.6884611496</v>
      </c>
      <c r="C619" s="188" t="n">
        <v>46151.6998616126</v>
      </c>
      <c r="D619" s="189" t="s">
        <v>1081</v>
      </c>
      <c r="E619" s="189" t="s">
        <v>1082</v>
      </c>
      <c r="F619" s="189" t="s">
        <v>1083</v>
      </c>
      <c r="G619" s="189" t="s">
        <v>1084</v>
      </c>
      <c r="H619" s="188" t="n">
        <v>46148</v>
      </c>
      <c r="I619" s="189" t="s">
        <v>113</v>
      </c>
      <c r="J619" s="189" t="s">
        <v>108</v>
      </c>
      <c r="K619" s="189" t="s">
        <v>143</v>
      </c>
      <c r="L619" s="189" t="s">
        <v>346</v>
      </c>
      <c r="M619" s="189" t="s">
        <v>774</v>
      </c>
      <c r="N619" s="189" t="s">
        <v>337</v>
      </c>
      <c r="O619" s="189" t="s">
        <v>107</v>
      </c>
      <c r="P619" s="189" t="s">
        <v>111</v>
      </c>
      <c r="Q619" s="189" t="s">
        <v>112</v>
      </c>
      <c r="R619" s="189" t="s">
        <v>24</v>
      </c>
      <c r="S619" s="189" t="s">
        <v>120</v>
      </c>
      <c r="T619" s="189" t="s">
        <v>180</v>
      </c>
      <c r="U619" s="189" t="s">
        <v>122</v>
      </c>
      <c r="V619" s="189" t="s">
        <v>192</v>
      </c>
      <c r="W619" s="189" t="s">
        <v>124</v>
      </c>
      <c r="X619" s="189" t="s">
        <v>448</v>
      </c>
      <c r="Y619" s="189" t="s">
        <v>2110</v>
      </c>
      <c r="Z619" s="0" t="n">
        <v>1</v>
      </c>
      <c r="AA619" s="189" t="s">
        <v>2324</v>
      </c>
    </row>
    <row r="620" customFormat="false" ht="15" hidden="false" customHeight="false" outlineLevel="0" collapsed="false">
      <c r="A620" s="0" t="n">
        <v>125</v>
      </c>
      <c r="B620" s="188" t="n">
        <v>46151.6884611496</v>
      </c>
      <c r="C620" s="188" t="n">
        <v>46151.6998616126</v>
      </c>
      <c r="D620" s="189" t="s">
        <v>1081</v>
      </c>
      <c r="E620" s="189" t="s">
        <v>1082</v>
      </c>
      <c r="F620" s="189" t="s">
        <v>1083</v>
      </c>
      <c r="G620" s="189" t="s">
        <v>1084</v>
      </c>
      <c r="H620" s="188" t="n">
        <v>46148</v>
      </c>
      <c r="I620" s="189" t="s">
        <v>113</v>
      </c>
      <c r="J620" s="189" t="s">
        <v>108</v>
      </c>
      <c r="K620" s="189" t="s">
        <v>143</v>
      </c>
      <c r="L620" s="189" t="s">
        <v>346</v>
      </c>
      <c r="M620" s="189" t="s">
        <v>774</v>
      </c>
      <c r="N620" s="189" t="s">
        <v>337</v>
      </c>
      <c r="O620" s="189" t="s">
        <v>107</v>
      </c>
      <c r="P620" s="189" t="s">
        <v>111</v>
      </c>
      <c r="Q620" s="189" t="s">
        <v>112</v>
      </c>
      <c r="R620" s="189" t="s">
        <v>24</v>
      </c>
      <c r="S620" s="189" t="s">
        <v>120</v>
      </c>
      <c r="T620" s="189" t="s">
        <v>180</v>
      </c>
      <c r="U620" s="189" t="s">
        <v>122</v>
      </c>
      <c r="V620" s="189" t="s">
        <v>192</v>
      </c>
      <c r="W620" s="189" t="s">
        <v>124</v>
      </c>
      <c r="X620" s="189" t="s">
        <v>448</v>
      </c>
      <c r="Y620" s="189" t="s">
        <v>2113</v>
      </c>
      <c r="Z620" s="0" t="n">
        <v>1</v>
      </c>
      <c r="AA620" s="189" t="s">
        <v>2222</v>
      </c>
    </row>
    <row r="621" customFormat="false" ht="15" hidden="false" customHeight="false" outlineLevel="0" collapsed="false">
      <c r="A621" s="0" t="n">
        <v>125</v>
      </c>
      <c r="B621" s="188" t="n">
        <v>46151.6884611496</v>
      </c>
      <c r="C621" s="188" t="n">
        <v>46151.6998616126</v>
      </c>
      <c r="D621" s="189" t="s">
        <v>1081</v>
      </c>
      <c r="E621" s="189" t="s">
        <v>1082</v>
      </c>
      <c r="F621" s="189" t="s">
        <v>1083</v>
      </c>
      <c r="G621" s="189" t="s">
        <v>1084</v>
      </c>
      <c r="H621" s="188" t="n">
        <v>46148</v>
      </c>
      <c r="I621" s="189" t="s">
        <v>113</v>
      </c>
      <c r="J621" s="189" t="s">
        <v>108</v>
      </c>
      <c r="K621" s="189" t="s">
        <v>143</v>
      </c>
      <c r="L621" s="189" t="s">
        <v>346</v>
      </c>
      <c r="M621" s="189" t="s">
        <v>774</v>
      </c>
      <c r="N621" s="189" t="s">
        <v>337</v>
      </c>
      <c r="O621" s="189" t="s">
        <v>107</v>
      </c>
      <c r="P621" s="189" t="s">
        <v>111</v>
      </c>
      <c r="Q621" s="189" t="s">
        <v>112</v>
      </c>
      <c r="R621" s="189" t="s">
        <v>24</v>
      </c>
      <c r="S621" s="189" t="s">
        <v>120</v>
      </c>
      <c r="T621" s="189" t="s">
        <v>180</v>
      </c>
      <c r="U621" s="189" t="s">
        <v>122</v>
      </c>
      <c r="V621" s="189" t="s">
        <v>192</v>
      </c>
      <c r="W621" s="189" t="s">
        <v>124</v>
      </c>
      <c r="X621" s="189" t="s">
        <v>448</v>
      </c>
      <c r="Y621" s="189" t="s">
        <v>2113</v>
      </c>
      <c r="Z621" s="0" t="n">
        <v>2</v>
      </c>
      <c r="AA621" s="189" t="s">
        <v>2234</v>
      </c>
    </row>
    <row r="622" customFormat="false" ht="15" hidden="false" customHeight="false" outlineLevel="0" collapsed="false">
      <c r="A622" s="0" t="n">
        <v>126</v>
      </c>
      <c r="B622" s="188" t="n">
        <v>46107.6095578952</v>
      </c>
      <c r="C622" s="188" t="n">
        <v>46107.6296273396</v>
      </c>
      <c r="D622" s="189" t="s">
        <v>1087</v>
      </c>
      <c r="E622" s="189" t="s">
        <v>1088</v>
      </c>
      <c r="F622" s="189" t="s">
        <v>1088</v>
      </c>
      <c r="G622" s="189" t="s">
        <v>1089</v>
      </c>
      <c r="H622" s="188" t="n">
        <v>46090</v>
      </c>
      <c r="I622" s="189" t="s">
        <v>325</v>
      </c>
      <c r="J622" s="189" t="s">
        <v>295</v>
      </c>
      <c r="K622" s="189" t="s">
        <v>1090</v>
      </c>
      <c r="L622" s="189" t="s">
        <v>296</v>
      </c>
      <c r="M622" s="189" t="s">
        <v>789</v>
      </c>
      <c r="N622" s="189" t="s">
        <v>227</v>
      </c>
      <c r="O622" s="189" t="s">
        <v>107</v>
      </c>
      <c r="P622" s="189" t="s">
        <v>131</v>
      </c>
      <c r="Q622" s="189" t="s">
        <v>145</v>
      </c>
      <c r="R622" s="189" t="s">
        <v>23</v>
      </c>
      <c r="S622" s="189" t="s">
        <v>152</v>
      </c>
      <c r="T622" s="189" t="s">
        <v>121</v>
      </c>
      <c r="U622" s="189" t="s">
        <v>1002</v>
      </c>
      <c r="V622" s="189" t="s">
        <v>167</v>
      </c>
      <c r="W622" s="189" t="s">
        <v>124</v>
      </c>
      <c r="X622" s="189" t="s">
        <v>442</v>
      </c>
      <c r="Y622" s="189" t="s">
        <v>2216</v>
      </c>
      <c r="Z622" s="0" t="n">
        <v>1</v>
      </c>
      <c r="AA622" s="189" t="s">
        <v>441</v>
      </c>
    </row>
    <row r="623" customFormat="false" ht="15" hidden="false" customHeight="false" outlineLevel="0" collapsed="false">
      <c r="A623" s="0" t="n">
        <v>127</v>
      </c>
      <c r="B623" s="188" t="n">
        <v>46130.7021347616</v>
      </c>
      <c r="C623" s="188" t="n">
        <v>46130.7097852246</v>
      </c>
      <c r="D623" s="189" t="s">
        <v>1091</v>
      </c>
      <c r="E623" s="189" t="s">
        <v>1092</v>
      </c>
      <c r="F623" s="189" t="s">
        <v>1092</v>
      </c>
      <c r="G623" s="189" t="s">
        <v>1093</v>
      </c>
      <c r="H623" s="188" t="n">
        <v>46122</v>
      </c>
      <c r="I623" s="189" t="s">
        <v>325</v>
      </c>
      <c r="J623" s="189" t="s">
        <v>108</v>
      </c>
      <c r="K623" s="189" t="s">
        <v>173</v>
      </c>
      <c r="L623" s="189" t="s">
        <v>431</v>
      </c>
      <c r="M623" s="189" t="s">
        <v>337</v>
      </c>
      <c r="N623" s="189" t="s">
        <v>1094</v>
      </c>
      <c r="O623" s="189" t="s">
        <v>107</v>
      </c>
      <c r="P623" s="189" t="s">
        <v>211</v>
      </c>
      <c r="Q623" s="189" t="s">
        <v>112</v>
      </c>
      <c r="R623" s="189" t="s">
        <v>24</v>
      </c>
      <c r="S623" s="189" t="s">
        <v>152</v>
      </c>
      <c r="T623" s="189" t="s">
        <v>352</v>
      </c>
      <c r="U623" s="189" t="s">
        <v>122</v>
      </c>
      <c r="V623" s="189" t="s">
        <v>123</v>
      </c>
      <c r="W623" s="189" t="s">
        <v>124</v>
      </c>
      <c r="X623" s="189" t="s">
        <v>448</v>
      </c>
      <c r="Y623" s="189" t="s">
        <v>2108</v>
      </c>
      <c r="Z623" s="0" t="n">
        <v>1</v>
      </c>
      <c r="AA623" s="189" t="s">
        <v>2217</v>
      </c>
    </row>
    <row r="624" customFormat="false" ht="15" hidden="false" customHeight="false" outlineLevel="0" collapsed="false">
      <c r="A624" s="0" t="n">
        <v>127</v>
      </c>
      <c r="B624" s="188" t="n">
        <v>46130.7021347616</v>
      </c>
      <c r="C624" s="188" t="n">
        <v>46130.7097852246</v>
      </c>
      <c r="D624" s="189" t="s">
        <v>1091</v>
      </c>
      <c r="E624" s="189" t="s">
        <v>1092</v>
      </c>
      <c r="F624" s="189" t="s">
        <v>1092</v>
      </c>
      <c r="G624" s="189" t="s">
        <v>1093</v>
      </c>
      <c r="H624" s="188" t="n">
        <v>46122</v>
      </c>
      <c r="I624" s="189" t="s">
        <v>325</v>
      </c>
      <c r="J624" s="189" t="s">
        <v>108</v>
      </c>
      <c r="K624" s="189" t="s">
        <v>173</v>
      </c>
      <c r="L624" s="189" t="s">
        <v>431</v>
      </c>
      <c r="M624" s="189" t="s">
        <v>337</v>
      </c>
      <c r="N624" s="189" t="s">
        <v>1094</v>
      </c>
      <c r="O624" s="189" t="s">
        <v>107</v>
      </c>
      <c r="P624" s="189" t="s">
        <v>211</v>
      </c>
      <c r="Q624" s="189" t="s">
        <v>112</v>
      </c>
      <c r="R624" s="189" t="s">
        <v>24</v>
      </c>
      <c r="S624" s="189" t="s">
        <v>152</v>
      </c>
      <c r="T624" s="189" t="s">
        <v>352</v>
      </c>
      <c r="U624" s="189" t="s">
        <v>122</v>
      </c>
      <c r="V624" s="189" t="s">
        <v>123</v>
      </c>
      <c r="W624" s="189" t="s">
        <v>124</v>
      </c>
      <c r="X624" s="189" t="s">
        <v>448</v>
      </c>
      <c r="Y624" s="189" t="s">
        <v>2108</v>
      </c>
      <c r="Z624" s="0" t="n">
        <v>2</v>
      </c>
      <c r="AA624" s="189" t="s">
        <v>2218</v>
      </c>
    </row>
    <row r="625" customFormat="false" ht="15" hidden="false" customHeight="false" outlineLevel="0" collapsed="false">
      <c r="A625" s="0" t="n">
        <v>127</v>
      </c>
      <c r="B625" s="188" t="n">
        <v>46130.7021347616</v>
      </c>
      <c r="C625" s="188" t="n">
        <v>46130.7097852246</v>
      </c>
      <c r="D625" s="189" t="s">
        <v>1091</v>
      </c>
      <c r="E625" s="189" t="s">
        <v>1092</v>
      </c>
      <c r="F625" s="189" t="s">
        <v>1092</v>
      </c>
      <c r="G625" s="189" t="s">
        <v>1093</v>
      </c>
      <c r="H625" s="188" t="n">
        <v>46122</v>
      </c>
      <c r="I625" s="189" t="s">
        <v>325</v>
      </c>
      <c r="J625" s="189" t="s">
        <v>108</v>
      </c>
      <c r="K625" s="189" t="s">
        <v>173</v>
      </c>
      <c r="L625" s="189" t="s">
        <v>431</v>
      </c>
      <c r="M625" s="189" t="s">
        <v>337</v>
      </c>
      <c r="N625" s="189" t="s">
        <v>1094</v>
      </c>
      <c r="O625" s="189" t="s">
        <v>107</v>
      </c>
      <c r="P625" s="189" t="s">
        <v>211</v>
      </c>
      <c r="Q625" s="189" t="s">
        <v>112</v>
      </c>
      <c r="R625" s="189" t="s">
        <v>24</v>
      </c>
      <c r="S625" s="189" t="s">
        <v>152</v>
      </c>
      <c r="T625" s="189" t="s">
        <v>352</v>
      </c>
      <c r="U625" s="189" t="s">
        <v>122</v>
      </c>
      <c r="V625" s="189" t="s">
        <v>123</v>
      </c>
      <c r="W625" s="189" t="s">
        <v>124</v>
      </c>
      <c r="X625" s="189" t="s">
        <v>448</v>
      </c>
      <c r="Y625" s="189" t="s">
        <v>2110</v>
      </c>
      <c r="Z625" s="0" t="n">
        <v>1</v>
      </c>
      <c r="AA625" s="189" t="s">
        <v>2324</v>
      </c>
    </row>
    <row r="626" customFormat="false" ht="15" hidden="false" customHeight="false" outlineLevel="0" collapsed="false">
      <c r="A626" s="0" t="n">
        <v>127</v>
      </c>
      <c r="B626" s="188" t="n">
        <v>46130.7021347616</v>
      </c>
      <c r="C626" s="188" t="n">
        <v>46130.7097852246</v>
      </c>
      <c r="D626" s="189" t="s">
        <v>1091</v>
      </c>
      <c r="E626" s="189" t="s">
        <v>1092</v>
      </c>
      <c r="F626" s="189" t="s">
        <v>1092</v>
      </c>
      <c r="G626" s="189" t="s">
        <v>1093</v>
      </c>
      <c r="H626" s="188" t="n">
        <v>46122</v>
      </c>
      <c r="I626" s="189" t="s">
        <v>325</v>
      </c>
      <c r="J626" s="189" t="s">
        <v>108</v>
      </c>
      <c r="K626" s="189" t="s">
        <v>173</v>
      </c>
      <c r="L626" s="189" t="s">
        <v>431</v>
      </c>
      <c r="M626" s="189" t="s">
        <v>337</v>
      </c>
      <c r="N626" s="189" t="s">
        <v>1094</v>
      </c>
      <c r="O626" s="189" t="s">
        <v>107</v>
      </c>
      <c r="P626" s="189" t="s">
        <v>211</v>
      </c>
      <c r="Q626" s="189" t="s">
        <v>112</v>
      </c>
      <c r="R626" s="189" t="s">
        <v>24</v>
      </c>
      <c r="S626" s="189" t="s">
        <v>152</v>
      </c>
      <c r="T626" s="189" t="s">
        <v>352</v>
      </c>
      <c r="U626" s="189" t="s">
        <v>122</v>
      </c>
      <c r="V626" s="189" t="s">
        <v>123</v>
      </c>
      <c r="W626" s="189" t="s">
        <v>124</v>
      </c>
      <c r="X626" s="189" t="s">
        <v>448</v>
      </c>
      <c r="Y626" s="189" t="s">
        <v>2113</v>
      </c>
      <c r="Z626" s="0" t="n">
        <v>1</v>
      </c>
      <c r="AA626" s="189" t="s">
        <v>2222</v>
      </c>
    </row>
    <row r="627" customFormat="false" ht="15" hidden="false" customHeight="false" outlineLevel="0" collapsed="false">
      <c r="A627" s="0" t="n">
        <v>128</v>
      </c>
      <c r="B627" s="188" t="n">
        <v>46162.0833479366</v>
      </c>
      <c r="C627" s="188" t="n">
        <v>46162.091692844</v>
      </c>
      <c r="D627" s="189" t="s">
        <v>1097</v>
      </c>
      <c r="E627" s="189" t="s">
        <v>1098</v>
      </c>
      <c r="F627" s="189" t="s">
        <v>1098</v>
      </c>
      <c r="G627" s="189" t="s">
        <v>1099</v>
      </c>
      <c r="H627" s="188" t="n">
        <v>46143</v>
      </c>
      <c r="I627" s="189" t="s">
        <v>305</v>
      </c>
      <c r="J627" s="189" t="s">
        <v>128</v>
      </c>
      <c r="K627" s="189" t="s">
        <v>173</v>
      </c>
      <c r="L627" s="189" t="s">
        <v>114</v>
      </c>
      <c r="M627" s="189" t="s">
        <v>515</v>
      </c>
      <c r="N627" s="189" t="s">
        <v>1100</v>
      </c>
      <c r="O627" s="189" t="s">
        <v>244</v>
      </c>
      <c r="P627" s="189" t="s">
        <v>111</v>
      </c>
      <c r="Q627" s="189" t="s">
        <v>112</v>
      </c>
      <c r="R627" s="189" t="s">
        <v>22</v>
      </c>
      <c r="S627" s="189" t="s">
        <v>120</v>
      </c>
      <c r="T627" s="189" t="s">
        <v>121</v>
      </c>
      <c r="U627" s="189" t="s">
        <v>682</v>
      </c>
      <c r="V627" s="189" t="s">
        <v>192</v>
      </c>
      <c r="W627" s="189" t="s">
        <v>124</v>
      </c>
      <c r="X627" s="189" t="s">
        <v>135</v>
      </c>
      <c r="Y627" s="189" t="s">
        <v>2108</v>
      </c>
      <c r="Z627" s="0" t="n">
        <v>1</v>
      </c>
      <c r="AA627" s="189" t="s">
        <v>2116</v>
      </c>
    </row>
    <row r="628" customFormat="false" ht="15" hidden="false" customHeight="false" outlineLevel="0" collapsed="false">
      <c r="A628" s="0" t="n">
        <v>128</v>
      </c>
      <c r="B628" s="188" t="n">
        <v>46162.0833479366</v>
      </c>
      <c r="C628" s="188" t="n">
        <v>46162.091692844</v>
      </c>
      <c r="D628" s="189" t="s">
        <v>1097</v>
      </c>
      <c r="E628" s="189" t="s">
        <v>1098</v>
      </c>
      <c r="F628" s="189" t="s">
        <v>1098</v>
      </c>
      <c r="G628" s="189" t="s">
        <v>1099</v>
      </c>
      <c r="H628" s="188" t="n">
        <v>46143</v>
      </c>
      <c r="I628" s="189" t="s">
        <v>305</v>
      </c>
      <c r="J628" s="189" t="s">
        <v>128</v>
      </c>
      <c r="K628" s="189" t="s">
        <v>173</v>
      </c>
      <c r="L628" s="189" t="s">
        <v>114</v>
      </c>
      <c r="M628" s="189" t="s">
        <v>515</v>
      </c>
      <c r="N628" s="189" t="s">
        <v>1100</v>
      </c>
      <c r="O628" s="189" t="s">
        <v>244</v>
      </c>
      <c r="P628" s="189" t="s">
        <v>111</v>
      </c>
      <c r="Q628" s="189" t="s">
        <v>112</v>
      </c>
      <c r="R628" s="189" t="s">
        <v>22</v>
      </c>
      <c r="S628" s="189" t="s">
        <v>120</v>
      </c>
      <c r="T628" s="189" t="s">
        <v>121</v>
      </c>
      <c r="U628" s="189" t="s">
        <v>682</v>
      </c>
      <c r="V628" s="189" t="s">
        <v>192</v>
      </c>
      <c r="W628" s="189" t="s">
        <v>124</v>
      </c>
      <c r="X628" s="189" t="s">
        <v>135</v>
      </c>
      <c r="Y628" s="189" t="s">
        <v>2108</v>
      </c>
      <c r="Z628" s="0" t="n">
        <v>2</v>
      </c>
      <c r="AA628" s="189" t="s">
        <v>2227</v>
      </c>
    </row>
    <row r="629" customFormat="false" ht="15" hidden="false" customHeight="false" outlineLevel="0" collapsed="false">
      <c r="A629" s="0" t="n">
        <v>128</v>
      </c>
      <c r="B629" s="188" t="n">
        <v>46162.0833479366</v>
      </c>
      <c r="C629" s="188" t="n">
        <v>46162.091692844</v>
      </c>
      <c r="D629" s="189" t="s">
        <v>1097</v>
      </c>
      <c r="E629" s="189" t="s">
        <v>1098</v>
      </c>
      <c r="F629" s="189" t="s">
        <v>1098</v>
      </c>
      <c r="G629" s="189" t="s">
        <v>1099</v>
      </c>
      <c r="H629" s="188" t="n">
        <v>46143</v>
      </c>
      <c r="I629" s="189" t="s">
        <v>305</v>
      </c>
      <c r="J629" s="189" t="s">
        <v>128</v>
      </c>
      <c r="K629" s="189" t="s">
        <v>173</v>
      </c>
      <c r="L629" s="189" t="s">
        <v>114</v>
      </c>
      <c r="M629" s="189" t="s">
        <v>515</v>
      </c>
      <c r="N629" s="189" t="s">
        <v>1100</v>
      </c>
      <c r="O629" s="189" t="s">
        <v>244</v>
      </c>
      <c r="P629" s="189" t="s">
        <v>111</v>
      </c>
      <c r="Q629" s="189" t="s">
        <v>112</v>
      </c>
      <c r="R629" s="189" t="s">
        <v>22</v>
      </c>
      <c r="S629" s="189" t="s">
        <v>120</v>
      </c>
      <c r="T629" s="189" t="s">
        <v>121</v>
      </c>
      <c r="U629" s="189" t="s">
        <v>682</v>
      </c>
      <c r="V629" s="189" t="s">
        <v>192</v>
      </c>
      <c r="W629" s="189" t="s">
        <v>124</v>
      </c>
      <c r="X629" s="189" t="s">
        <v>135</v>
      </c>
      <c r="Y629" s="189" t="s">
        <v>2108</v>
      </c>
      <c r="Z629" s="0" t="n">
        <v>3</v>
      </c>
      <c r="AA629" s="189" t="s">
        <v>2117</v>
      </c>
    </row>
    <row r="630" customFormat="false" ht="15" hidden="false" customHeight="false" outlineLevel="0" collapsed="false">
      <c r="A630" s="0" t="n">
        <v>128</v>
      </c>
      <c r="B630" s="188" t="n">
        <v>46162.0833479366</v>
      </c>
      <c r="C630" s="188" t="n">
        <v>46162.091692844</v>
      </c>
      <c r="D630" s="189" t="s">
        <v>1097</v>
      </c>
      <c r="E630" s="189" t="s">
        <v>1098</v>
      </c>
      <c r="F630" s="189" t="s">
        <v>1098</v>
      </c>
      <c r="G630" s="189" t="s">
        <v>1099</v>
      </c>
      <c r="H630" s="188" t="n">
        <v>46143</v>
      </c>
      <c r="I630" s="189" t="s">
        <v>305</v>
      </c>
      <c r="J630" s="189" t="s">
        <v>128</v>
      </c>
      <c r="K630" s="189" t="s">
        <v>173</v>
      </c>
      <c r="L630" s="189" t="s">
        <v>114</v>
      </c>
      <c r="M630" s="189" t="s">
        <v>515</v>
      </c>
      <c r="N630" s="189" t="s">
        <v>1100</v>
      </c>
      <c r="O630" s="189" t="s">
        <v>244</v>
      </c>
      <c r="P630" s="189" t="s">
        <v>111</v>
      </c>
      <c r="Q630" s="189" t="s">
        <v>112</v>
      </c>
      <c r="R630" s="189" t="s">
        <v>22</v>
      </c>
      <c r="S630" s="189" t="s">
        <v>120</v>
      </c>
      <c r="T630" s="189" t="s">
        <v>121</v>
      </c>
      <c r="U630" s="189" t="s">
        <v>682</v>
      </c>
      <c r="V630" s="189" t="s">
        <v>192</v>
      </c>
      <c r="W630" s="189" t="s">
        <v>124</v>
      </c>
      <c r="X630" s="189" t="s">
        <v>135</v>
      </c>
      <c r="Y630" s="189" t="s">
        <v>2110</v>
      </c>
      <c r="Z630" s="0" t="n">
        <v>1</v>
      </c>
      <c r="AA630" s="189" t="s">
        <v>122</v>
      </c>
    </row>
    <row r="631" customFormat="false" ht="15" hidden="false" customHeight="false" outlineLevel="0" collapsed="false">
      <c r="A631" s="0" t="n">
        <v>128</v>
      </c>
      <c r="B631" s="188" t="n">
        <v>46162.0833479366</v>
      </c>
      <c r="C631" s="188" t="n">
        <v>46162.091692844</v>
      </c>
      <c r="D631" s="189" t="s">
        <v>1097</v>
      </c>
      <c r="E631" s="189" t="s">
        <v>1098</v>
      </c>
      <c r="F631" s="189" t="s">
        <v>1098</v>
      </c>
      <c r="G631" s="189" t="s">
        <v>1099</v>
      </c>
      <c r="H631" s="188" t="n">
        <v>46143</v>
      </c>
      <c r="I631" s="189" t="s">
        <v>305</v>
      </c>
      <c r="J631" s="189" t="s">
        <v>128</v>
      </c>
      <c r="K631" s="189" t="s">
        <v>173</v>
      </c>
      <c r="L631" s="189" t="s">
        <v>114</v>
      </c>
      <c r="M631" s="189" t="s">
        <v>515</v>
      </c>
      <c r="N631" s="189" t="s">
        <v>1100</v>
      </c>
      <c r="O631" s="189" t="s">
        <v>244</v>
      </c>
      <c r="P631" s="189" t="s">
        <v>111</v>
      </c>
      <c r="Q631" s="189" t="s">
        <v>112</v>
      </c>
      <c r="R631" s="189" t="s">
        <v>22</v>
      </c>
      <c r="S631" s="189" t="s">
        <v>120</v>
      </c>
      <c r="T631" s="189" t="s">
        <v>121</v>
      </c>
      <c r="U631" s="189" t="s">
        <v>682</v>
      </c>
      <c r="V631" s="189" t="s">
        <v>192</v>
      </c>
      <c r="W631" s="189" t="s">
        <v>124</v>
      </c>
      <c r="X631" s="189" t="s">
        <v>135</v>
      </c>
      <c r="Y631" s="189" t="s">
        <v>2110</v>
      </c>
      <c r="Z631" s="0" t="n">
        <v>2</v>
      </c>
      <c r="AA631" s="189" t="s">
        <v>2195</v>
      </c>
    </row>
    <row r="632" customFormat="false" ht="15" hidden="false" customHeight="false" outlineLevel="0" collapsed="false">
      <c r="A632" s="0" t="n">
        <v>128</v>
      </c>
      <c r="B632" s="188" t="n">
        <v>46162.0833479366</v>
      </c>
      <c r="C632" s="188" t="n">
        <v>46162.091692844</v>
      </c>
      <c r="D632" s="189" t="s">
        <v>1097</v>
      </c>
      <c r="E632" s="189" t="s">
        <v>1098</v>
      </c>
      <c r="F632" s="189" t="s">
        <v>1098</v>
      </c>
      <c r="G632" s="189" t="s">
        <v>1099</v>
      </c>
      <c r="H632" s="188" t="n">
        <v>46143</v>
      </c>
      <c r="I632" s="189" t="s">
        <v>305</v>
      </c>
      <c r="J632" s="189" t="s">
        <v>128</v>
      </c>
      <c r="K632" s="189" t="s">
        <v>173</v>
      </c>
      <c r="L632" s="189" t="s">
        <v>114</v>
      </c>
      <c r="M632" s="189" t="s">
        <v>515</v>
      </c>
      <c r="N632" s="189" t="s">
        <v>1100</v>
      </c>
      <c r="O632" s="189" t="s">
        <v>244</v>
      </c>
      <c r="P632" s="189" t="s">
        <v>111</v>
      </c>
      <c r="Q632" s="189" t="s">
        <v>112</v>
      </c>
      <c r="R632" s="189" t="s">
        <v>22</v>
      </c>
      <c r="S632" s="189" t="s">
        <v>120</v>
      </c>
      <c r="T632" s="189" t="s">
        <v>121</v>
      </c>
      <c r="U632" s="189" t="s">
        <v>682</v>
      </c>
      <c r="V632" s="189" t="s">
        <v>192</v>
      </c>
      <c r="W632" s="189" t="s">
        <v>124</v>
      </c>
      <c r="X632" s="189" t="s">
        <v>135</v>
      </c>
      <c r="Y632" s="189" t="s">
        <v>2113</v>
      </c>
      <c r="Z632" s="0" t="n">
        <v>1</v>
      </c>
      <c r="AA632" s="189" t="s">
        <v>2247</v>
      </c>
    </row>
    <row r="633" customFormat="false" ht="15" hidden="false" customHeight="false" outlineLevel="0" collapsed="false">
      <c r="A633" s="0" t="n">
        <v>128</v>
      </c>
      <c r="B633" s="188" t="n">
        <v>46162.0833479366</v>
      </c>
      <c r="C633" s="188" t="n">
        <v>46162.091692844</v>
      </c>
      <c r="D633" s="189" t="s">
        <v>1097</v>
      </c>
      <c r="E633" s="189" t="s">
        <v>1098</v>
      </c>
      <c r="F633" s="189" t="s">
        <v>1098</v>
      </c>
      <c r="G633" s="189" t="s">
        <v>1099</v>
      </c>
      <c r="H633" s="188" t="n">
        <v>46143</v>
      </c>
      <c r="I633" s="189" t="s">
        <v>305</v>
      </c>
      <c r="J633" s="189" t="s">
        <v>128</v>
      </c>
      <c r="K633" s="189" t="s">
        <v>173</v>
      </c>
      <c r="L633" s="189" t="s">
        <v>114</v>
      </c>
      <c r="M633" s="189" t="s">
        <v>515</v>
      </c>
      <c r="N633" s="189" t="s">
        <v>1100</v>
      </c>
      <c r="O633" s="189" t="s">
        <v>244</v>
      </c>
      <c r="P633" s="189" t="s">
        <v>111</v>
      </c>
      <c r="Q633" s="189" t="s">
        <v>112</v>
      </c>
      <c r="R633" s="189" t="s">
        <v>22</v>
      </c>
      <c r="S633" s="189" t="s">
        <v>120</v>
      </c>
      <c r="T633" s="189" t="s">
        <v>121</v>
      </c>
      <c r="U633" s="189" t="s">
        <v>682</v>
      </c>
      <c r="V633" s="189" t="s">
        <v>192</v>
      </c>
      <c r="W633" s="189" t="s">
        <v>124</v>
      </c>
      <c r="X633" s="189" t="s">
        <v>135</v>
      </c>
      <c r="Y633" s="189" t="s">
        <v>2113</v>
      </c>
      <c r="Z633" s="0" t="n">
        <v>2</v>
      </c>
      <c r="AA633" s="189" t="s">
        <v>2196</v>
      </c>
    </row>
    <row r="634" customFormat="false" ht="15" hidden="false" customHeight="false" outlineLevel="0" collapsed="false">
      <c r="A634" s="0" t="n">
        <v>129</v>
      </c>
      <c r="B634" s="188" t="n">
        <v>46075.8760671867</v>
      </c>
      <c r="C634" s="188" t="n">
        <v>46075.8797245941</v>
      </c>
      <c r="D634" s="189" t="s">
        <v>1103</v>
      </c>
      <c r="E634" s="189" t="s">
        <v>1104</v>
      </c>
      <c r="F634" s="189" t="s">
        <v>1104</v>
      </c>
      <c r="G634" s="189" t="s">
        <v>1105</v>
      </c>
      <c r="H634" s="188" t="n">
        <v>46058</v>
      </c>
      <c r="I634" s="189" t="s">
        <v>113</v>
      </c>
      <c r="J634" s="189" t="s">
        <v>108</v>
      </c>
      <c r="K634" s="189" t="s">
        <v>1106</v>
      </c>
      <c r="L634" s="189" t="s">
        <v>286</v>
      </c>
      <c r="M634" s="189" t="s">
        <v>578</v>
      </c>
      <c r="N634" s="189" t="s">
        <v>306</v>
      </c>
      <c r="O634" s="189" t="s">
        <v>244</v>
      </c>
      <c r="P634" s="189" t="s">
        <v>131</v>
      </c>
      <c r="Q634" s="189" t="s">
        <v>112</v>
      </c>
      <c r="R634" s="189" t="s">
        <v>24</v>
      </c>
      <c r="S634" s="189" t="s">
        <v>152</v>
      </c>
      <c r="T634" s="189" t="s">
        <v>352</v>
      </c>
      <c r="U634" s="189" t="s">
        <v>122</v>
      </c>
      <c r="V634" s="189" t="s">
        <v>123</v>
      </c>
      <c r="W634" s="189" t="s">
        <v>124</v>
      </c>
      <c r="X634" s="189" t="s">
        <v>214</v>
      </c>
      <c r="Y634" s="189" t="s">
        <v>2108</v>
      </c>
      <c r="Z634" s="0" t="n">
        <v>1</v>
      </c>
      <c r="AA634" s="189" t="s">
        <v>2125</v>
      </c>
    </row>
    <row r="635" customFormat="false" ht="15" hidden="false" customHeight="false" outlineLevel="0" collapsed="false">
      <c r="A635" s="0" t="n">
        <v>129</v>
      </c>
      <c r="B635" s="188" t="n">
        <v>46075.8760671867</v>
      </c>
      <c r="C635" s="188" t="n">
        <v>46075.8797245941</v>
      </c>
      <c r="D635" s="189" t="s">
        <v>1103</v>
      </c>
      <c r="E635" s="189" t="s">
        <v>1104</v>
      </c>
      <c r="F635" s="189" t="s">
        <v>1104</v>
      </c>
      <c r="G635" s="189" t="s">
        <v>1105</v>
      </c>
      <c r="H635" s="188" t="n">
        <v>46058</v>
      </c>
      <c r="I635" s="189" t="s">
        <v>113</v>
      </c>
      <c r="J635" s="189" t="s">
        <v>108</v>
      </c>
      <c r="K635" s="189" t="s">
        <v>1106</v>
      </c>
      <c r="L635" s="189" t="s">
        <v>286</v>
      </c>
      <c r="M635" s="189" t="s">
        <v>578</v>
      </c>
      <c r="N635" s="189" t="s">
        <v>306</v>
      </c>
      <c r="O635" s="189" t="s">
        <v>244</v>
      </c>
      <c r="P635" s="189" t="s">
        <v>131</v>
      </c>
      <c r="Q635" s="189" t="s">
        <v>112</v>
      </c>
      <c r="R635" s="189" t="s">
        <v>24</v>
      </c>
      <c r="S635" s="189" t="s">
        <v>152</v>
      </c>
      <c r="T635" s="189" t="s">
        <v>352</v>
      </c>
      <c r="U635" s="189" t="s">
        <v>122</v>
      </c>
      <c r="V635" s="189" t="s">
        <v>123</v>
      </c>
      <c r="W635" s="189" t="s">
        <v>124</v>
      </c>
      <c r="X635" s="189" t="s">
        <v>214</v>
      </c>
      <c r="Y635" s="189" t="s">
        <v>2108</v>
      </c>
      <c r="Z635" s="0" t="n">
        <v>2</v>
      </c>
      <c r="AA635" s="189" t="s">
        <v>2151</v>
      </c>
    </row>
    <row r="636" customFormat="false" ht="15" hidden="false" customHeight="false" outlineLevel="0" collapsed="false">
      <c r="A636" s="0" t="n">
        <v>129</v>
      </c>
      <c r="B636" s="188" t="n">
        <v>46075.8760671867</v>
      </c>
      <c r="C636" s="188" t="n">
        <v>46075.8797245941</v>
      </c>
      <c r="D636" s="189" t="s">
        <v>1103</v>
      </c>
      <c r="E636" s="189" t="s">
        <v>1104</v>
      </c>
      <c r="F636" s="189" t="s">
        <v>1104</v>
      </c>
      <c r="G636" s="189" t="s">
        <v>1105</v>
      </c>
      <c r="H636" s="188" t="n">
        <v>46058</v>
      </c>
      <c r="I636" s="189" t="s">
        <v>113</v>
      </c>
      <c r="J636" s="189" t="s">
        <v>108</v>
      </c>
      <c r="K636" s="189" t="s">
        <v>1106</v>
      </c>
      <c r="L636" s="189" t="s">
        <v>286</v>
      </c>
      <c r="M636" s="189" t="s">
        <v>578</v>
      </c>
      <c r="N636" s="189" t="s">
        <v>306</v>
      </c>
      <c r="O636" s="189" t="s">
        <v>244</v>
      </c>
      <c r="P636" s="189" t="s">
        <v>131</v>
      </c>
      <c r="Q636" s="189" t="s">
        <v>112</v>
      </c>
      <c r="R636" s="189" t="s">
        <v>24</v>
      </c>
      <c r="S636" s="189" t="s">
        <v>152</v>
      </c>
      <c r="T636" s="189" t="s">
        <v>352</v>
      </c>
      <c r="U636" s="189" t="s">
        <v>122</v>
      </c>
      <c r="V636" s="189" t="s">
        <v>123</v>
      </c>
      <c r="W636" s="189" t="s">
        <v>124</v>
      </c>
      <c r="X636" s="189" t="s">
        <v>214</v>
      </c>
      <c r="Y636" s="189" t="s">
        <v>2108</v>
      </c>
      <c r="Z636" s="0" t="n">
        <v>3</v>
      </c>
      <c r="AA636" s="189" t="s">
        <v>2109</v>
      </c>
    </row>
    <row r="637" customFormat="false" ht="15" hidden="false" customHeight="false" outlineLevel="0" collapsed="false">
      <c r="A637" s="0" t="n">
        <v>129</v>
      </c>
      <c r="B637" s="188" t="n">
        <v>46075.8760671867</v>
      </c>
      <c r="C637" s="188" t="n">
        <v>46075.8797245941</v>
      </c>
      <c r="D637" s="189" t="s">
        <v>1103</v>
      </c>
      <c r="E637" s="189" t="s">
        <v>1104</v>
      </c>
      <c r="F637" s="189" t="s">
        <v>1104</v>
      </c>
      <c r="G637" s="189" t="s">
        <v>1105</v>
      </c>
      <c r="H637" s="188" t="n">
        <v>46058</v>
      </c>
      <c r="I637" s="189" t="s">
        <v>113</v>
      </c>
      <c r="J637" s="189" t="s">
        <v>108</v>
      </c>
      <c r="K637" s="189" t="s">
        <v>1106</v>
      </c>
      <c r="L637" s="189" t="s">
        <v>286</v>
      </c>
      <c r="M637" s="189" t="s">
        <v>578</v>
      </c>
      <c r="N637" s="189" t="s">
        <v>306</v>
      </c>
      <c r="O637" s="189" t="s">
        <v>244</v>
      </c>
      <c r="P637" s="189" t="s">
        <v>131</v>
      </c>
      <c r="Q637" s="189" t="s">
        <v>112</v>
      </c>
      <c r="R637" s="189" t="s">
        <v>24</v>
      </c>
      <c r="S637" s="189" t="s">
        <v>152</v>
      </c>
      <c r="T637" s="189" t="s">
        <v>352</v>
      </c>
      <c r="U637" s="189" t="s">
        <v>122</v>
      </c>
      <c r="V637" s="189" t="s">
        <v>123</v>
      </c>
      <c r="W637" s="189" t="s">
        <v>124</v>
      </c>
      <c r="X637" s="189" t="s">
        <v>214</v>
      </c>
      <c r="Y637" s="189" t="s">
        <v>2110</v>
      </c>
      <c r="Z637" s="0" t="n">
        <v>1</v>
      </c>
      <c r="AA637" s="189" t="s">
        <v>2126</v>
      </c>
    </row>
    <row r="638" customFormat="false" ht="15" hidden="false" customHeight="false" outlineLevel="0" collapsed="false">
      <c r="A638" s="0" t="n">
        <v>129</v>
      </c>
      <c r="B638" s="188" t="n">
        <v>46075.8760671867</v>
      </c>
      <c r="C638" s="188" t="n">
        <v>46075.8797245941</v>
      </c>
      <c r="D638" s="189" t="s">
        <v>1103</v>
      </c>
      <c r="E638" s="189" t="s">
        <v>1104</v>
      </c>
      <c r="F638" s="189" t="s">
        <v>1104</v>
      </c>
      <c r="G638" s="189" t="s">
        <v>1105</v>
      </c>
      <c r="H638" s="188" t="n">
        <v>46058</v>
      </c>
      <c r="I638" s="189" t="s">
        <v>113</v>
      </c>
      <c r="J638" s="189" t="s">
        <v>108</v>
      </c>
      <c r="K638" s="189" t="s">
        <v>1106</v>
      </c>
      <c r="L638" s="189" t="s">
        <v>286</v>
      </c>
      <c r="M638" s="189" t="s">
        <v>578</v>
      </c>
      <c r="N638" s="189" t="s">
        <v>306</v>
      </c>
      <c r="O638" s="189" t="s">
        <v>244</v>
      </c>
      <c r="P638" s="189" t="s">
        <v>131</v>
      </c>
      <c r="Q638" s="189" t="s">
        <v>112</v>
      </c>
      <c r="R638" s="189" t="s">
        <v>24</v>
      </c>
      <c r="S638" s="189" t="s">
        <v>152</v>
      </c>
      <c r="T638" s="189" t="s">
        <v>352</v>
      </c>
      <c r="U638" s="189" t="s">
        <v>122</v>
      </c>
      <c r="V638" s="189" t="s">
        <v>123</v>
      </c>
      <c r="W638" s="189" t="s">
        <v>124</v>
      </c>
      <c r="X638" s="189" t="s">
        <v>214</v>
      </c>
      <c r="Y638" s="189" t="s">
        <v>2110</v>
      </c>
      <c r="Z638" s="0" t="n">
        <v>2</v>
      </c>
      <c r="AA638" s="189" t="s">
        <v>122</v>
      </c>
    </row>
    <row r="639" customFormat="false" ht="15" hidden="false" customHeight="false" outlineLevel="0" collapsed="false">
      <c r="A639" s="0" t="n">
        <v>129</v>
      </c>
      <c r="B639" s="188" t="n">
        <v>46075.8760671867</v>
      </c>
      <c r="C639" s="188" t="n">
        <v>46075.8797245941</v>
      </c>
      <c r="D639" s="189" t="s">
        <v>1103</v>
      </c>
      <c r="E639" s="189" t="s">
        <v>1104</v>
      </c>
      <c r="F639" s="189" t="s">
        <v>1104</v>
      </c>
      <c r="G639" s="189" t="s">
        <v>1105</v>
      </c>
      <c r="H639" s="188" t="n">
        <v>46058</v>
      </c>
      <c r="I639" s="189" t="s">
        <v>113</v>
      </c>
      <c r="J639" s="189" t="s">
        <v>108</v>
      </c>
      <c r="K639" s="189" t="s">
        <v>1106</v>
      </c>
      <c r="L639" s="189" t="s">
        <v>286</v>
      </c>
      <c r="M639" s="189" t="s">
        <v>578</v>
      </c>
      <c r="N639" s="189" t="s">
        <v>306</v>
      </c>
      <c r="O639" s="189" t="s">
        <v>244</v>
      </c>
      <c r="P639" s="189" t="s">
        <v>131</v>
      </c>
      <c r="Q639" s="189" t="s">
        <v>112</v>
      </c>
      <c r="R639" s="189" t="s">
        <v>24</v>
      </c>
      <c r="S639" s="189" t="s">
        <v>152</v>
      </c>
      <c r="T639" s="189" t="s">
        <v>352</v>
      </c>
      <c r="U639" s="189" t="s">
        <v>122</v>
      </c>
      <c r="V639" s="189" t="s">
        <v>123</v>
      </c>
      <c r="W639" s="189" t="s">
        <v>124</v>
      </c>
      <c r="X639" s="189" t="s">
        <v>214</v>
      </c>
      <c r="Y639" s="189" t="s">
        <v>2113</v>
      </c>
      <c r="Z639" s="0" t="n">
        <v>1</v>
      </c>
      <c r="AA639" s="189" t="s">
        <v>122</v>
      </c>
    </row>
    <row r="640" customFormat="false" ht="15" hidden="false" customHeight="false" outlineLevel="0" collapsed="false">
      <c r="A640" s="0" t="n">
        <v>130</v>
      </c>
      <c r="B640" s="188" t="n">
        <v>46073.2927883595</v>
      </c>
      <c r="C640" s="188" t="n">
        <v>46073.2945707669</v>
      </c>
      <c r="D640" s="189" t="s">
        <v>1108</v>
      </c>
      <c r="E640" s="189" t="s">
        <v>1109</v>
      </c>
      <c r="F640" s="189" t="s">
        <v>1109</v>
      </c>
      <c r="G640" s="189" t="s">
        <v>1110</v>
      </c>
      <c r="H640" s="188" t="n">
        <v>46056</v>
      </c>
      <c r="I640" s="189" t="s">
        <v>863</v>
      </c>
      <c r="J640" s="189" t="s">
        <v>295</v>
      </c>
      <c r="K640" s="189" t="s">
        <v>1111</v>
      </c>
      <c r="L640" s="189" t="s">
        <v>197</v>
      </c>
      <c r="M640" s="189" t="s">
        <v>1112</v>
      </c>
      <c r="N640" s="189" t="s">
        <v>1067</v>
      </c>
      <c r="O640" s="189" t="s">
        <v>107</v>
      </c>
      <c r="P640" s="189" t="s">
        <v>111</v>
      </c>
      <c r="Q640" s="189" t="s">
        <v>112</v>
      </c>
      <c r="R640" s="189" t="s">
        <v>24</v>
      </c>
      <c r="S640" s="189" t="s">
        <v>152</v>
      </c>
      <c r="T640" s="189" t="s">
        <v>121</v>
      </c>
      <c r="U640" s="189" t="s">
        <v>614</v>
      </c>
      <c r="V640" s="189" t="s">
        <v>123</v>
      </c>
      <c r="W640" s="189" t="s">
        <v>124</v>
      </c>
      <c r="X640" s="189" t="s">
        <v>448</v>
      </c>
      <c r="Y640" s="189" t="s">
        <v>2108</v>
      </c>
      <c r="Z640" s="0" t="n">
        <v>1</v>
      </c>
      <c r="AA640" s="189" t="s">
        <v>2219</v>
      </c>
    </row>
    <row r="641" customFormat="false" ht="15" hidden="false" customHeight="false" outlineLevel="0" collapsed="false">
      <c r="A641" s="0" t="n">
        <v>130</v>
      </c>
      <c r="B641" s="188" t="n">
        <v>46073.2927883595</v>
      </c>
      <c r="C641" s="188" t="n">
        <v>46073.2945707669</v>
      </c>
      <c r="D641" s="189" t="s">
        <v>1108</v>
      </c>
      <c r="E641" s="189" t="s">
        <v>1109</v>
      </c>
      <c r="F641" s="189" t="s">
        <v>1109</v>
      </c>
      <c r="G641" s="189" t="s">
        <v>1110</v>
      </c>
      <c r="H641" s="188" t="n">
        <v>46056</v>
      </c>
      <c r="I641" s="189" t="s">
        <v>863</v>
      </c>
      <c r="J641" s="189" t="s">
        <v>295</v>
      </c>
      <c r="K641" s="189" t="s">
        <v>1111</v>
      </c>
      <c r="L641" s="189" t="s">
        <v>197</v>
      </c>
      <c r="M641" s="189" t="s">
        <v>1112</v>
      </c>
      <c r="N641" s="189" t="s">
        <v>1067</v>
      </c>
      <c r="O641" s="189" t="s">
        <v>107</v>
      </c>
      <c r="P641" s="189" t="s">
        <v>111</v>
      </c>
      <c r="Q641" s="189" t="s">
        <v>112</v>
      </c>
      <c r="R641" s="189" t="s">
        <v>24</v>
      </c>
      <c r="S641" s="189" t="s">
        <v>152</v>
      </c>
      <c r="T641" s="189" t="s">
        <v>121</v>
      </c>
      <c r="U641" s="189" t="s">
        <v>614</v>
      </c>
      <c r="V641" s="189" t="s">
        <v>123</v>
      </c>
      <c r="W641" s="189" t="s">
        <v>124</v>
      </c>
      <c r="X641" s="189" t="s">
        <v>448</v>
      </c>
      <c r="Y641" s="189" t="s">
        <v>2108</v>
      </c>
      <c r="Z641" s="0" t="n">
        <v>2</v>
      </c>
      <c r="AA641" s="189" t="s">
        <v>2218</v>
      </c>
    </row>
    <row r="642" customFormat="false" ht="15" hidden="false" customHeight="false" outlineLevel="0" collapsed="false">
      <c r="A642" s="0" t="n">
        <v>130</v>
      </c>
      <c r="B642" s="188" t="n">
        <v>46073.2927883595</v>
      </c>
      <c r="C642" s="188" t="n">
        <v>46073.2945707669</v>
      </c>
      <c r="D642" s="189" t="s">
        <v>1108</v>
      </c>
      <c r="E642" s="189" t="s">
        <v>1109</v>
      </c>
      <c r="F642" s="189" t="s">
        <v>1109</v>
      </c>
      <c r="G642" s="189" t="s">
        <v>1110</v>
      </c>
      <c r="H642" s="188" t="n">
        <v>46056</v>
      </c>
      <c r="I642" s="189" t="s">
        <v>863</v>
      </c>
      <c r="J642" s="189" t="s">
        <v>295</v>
      </c>
      <c r="K642" s="189" t="s">
        <v>1111</v>
      </c>
      <c r="L642" s="189" t="s">
        <v>197</v>
      </c>
      <c r="M642" s="189" t="s">
        <v>1112</v>
      </c>
      <c r="N642" s="189" t="s">
        <v>1067</v>
      </c>
      <c r="O642" s="189" t="s">
        <v>107</v>
      </c>
      <c r="P642" s="189" t="s">
        <v>111</v>
      </c>
      <c r="Q642" s="189" t="s">
        <v>112</v>
      </c>
      <c r="R642" s="189" t="s">
        <v>24</v>
      </c>
      <c r="S642" s="189" t="s">
        <v>152</v>
      </c>
      <c r="T642" s="189" t="s">
        <v>121</v>
      </c>
      <c r="U642" s="189" t="s">
        <v>614</v>
      </c>
      <c r="V642" s="189" t="s">
        <v>123</v>
      </c>
      <c r="W642" s="189" t="s">
        <v>124</v>
      </c>
      <c r="X642" s="189" t="s">
        <v>448</v>
      </c>
      <c r="Y642" s="189" t="s">
        <v>2108</v>
      </c>
      <c r="Z642" s="0" t="n">
        <v>3</v>
      </c>
      <c r="AA642" s="189" t="s">
        <v>2233</v>
      </c>
    </row>
    <row r="643" customFormat="false" ht="15" hidden="false" customHeight="false" outlineLevel="0" collapsed="false">
      <c r="A643" s="0" t="n">
        <v>130</v>
      </c>
      <c r="B643" s="188" t="n">
        <v>46073.2927883595</v>
      </c>
      <c r="C643" s="188" t="n">
        <v>46073.2945707669</v>
      </c>
      <c r="D643" s="189" t="s">
        <v>1108</v>
      </c>
      <c r="E643" s="189" t="s">
        <v>1109</v>
      </c>
      <c r="F643" s="189" t="s">
        <v>1109</v>
      </c>
      <c r="G643" s="189" t="s">
        <v>1110</v>
      </c>
      <c r="H643" s="188" t="n">
        <v>46056</v>
      </c>
      <c r="I643" s="189" t="s">
        <v>863</v>
      </c>
      <c r="J643" s="189" t="s">
        <v>295</v>
      </c>
      <c r="K643" s="189" t="s">
        <v>1111</v>
      </c>
      <c r="L643" s="189" t="s">
        <v>197</v>
      </c>
      <c r="M643" s="189" t="s">
        <v>1112</v>
      </c>
      <c r="N643" s="189" t="s">
        <v>1067</v>
      </c>
      <c r="O643" s="189" t="s">
        <v>107</v>
      </c>
      <c r="P643" s="189" t="s">
        <v>111</v>
      </c>
      <c r="Q643" s="189" t="s">
        <v>112</v>
      </c>
      <c r="R643" s="189" t="s">
        <v>24</v>
      </c>
      <c r="S643" s="189" t="s">
        <v>152</v>
      </c>
      <c r="T643" s="189" t="s">
        <v>121</v>
      </c>
      <c r="U643" s="189" t="s">
        <v>614</v>
      </c>
      <c r="V643" s="189" t="s">
        <v>123</v>
      </c>
      <c r="W643" s="189" t="s">
        <v>124</v>
      </c>
      <c r="X643" s="189" t="s">
        <v>448</v>
      </c>
      <c r="Y643" s="189" t="s">
        <v>2110</v>
      </c>
      <c r="Z643" s="0" t="n">
        <v>1</v>
      </c>
      <c r="AA643" s="189" t="s">
        <v>2220</v>
      </c>
    </row>
    <row r="644" customFormat="false" ht="15" hidden="false" customHeight="false" outlineLevel="0" collapsed="false">
      <c r="A644" s="0" t="n">
        <v>130</v>
      </c>
      <c r="B644" s="188" t="n">
        <v>46073.2927883595</v>
      </c>
      <c r="C644" s="188" t="n">
        <v>46073.2945707669</v>
      </c>
      <c r="D644" s="189" t="s">
        <v>1108</v>
      </c>
      <c r="E644" s="189" t="s">
        <v>1109</v>
      </c>
      <c r="F644" s="189" t="s">
        <v>1109</v>
      </c>
      <c r="G644" s="189" t="s">
        <v>1110</v>
      </c>
      <c r="H644" s="188" t="n">
        <v>46056</v>
      </c>
      <c r="I644" s="189" t="s">
        <v>863</v>
      </c>
      <c r="J644" s="189" t="s">
        <v>295</v>
      </c>
      <c r="K644" s="189" t="s">
        <v>1111</v>
      </c>
      <c r="L644" s="189" t="s">
        <v>197</v>
      </c>
      <c r="M644" s="189" t="s">
        <v>1112</v>
      </c>
      <c r="N644" s="189" t="s">
        <v>1067</v>
      </c>
      <c r="O644" s="189" t="s">
        <v>107</v>
      </c>
      <c r="P644" s="189" t="s">
        <v>111</v>
      </c>
      <c r="Q644" s="189" t="s">
        <v>112</v>
      </c>
      <c r="R644" s="189" t="s">
        <v>24</v>
      </c>
      <c r="S644" s="189" t="s">
        <v>152</v>
      </c>
      <c r="T644" s="189" t="s">
        <v>121</v>
      </c>
      <c r="U644" s="189" t="s">
        <v>614</v>
      </c>
      <c r="V644" s="189" t="s">
        <v>123</v>
      </c>
      <c r="W644" s="189" t="s">
        <v>124</v>
      </c>
      <c r="X644" s="189" t="s">
        <v>448</v>
      </c>
      <c r="Y644" s="189" t="s">
        <v>2110</v>
      </c>
      <c r="Z644" s="0" t="n">
        <v>2</v>
      </c>
      <c r="AA644" s="189" t="s">
        <v>2324</v>
      </c>
    </row>
    <row r="645" customFormat="false" ht="15" hidden="false" customHeight="false" outlineLevel="0" collapsed="false">
      <c r="A645" s="0" t="n">
        <v>130</v>
      </c>
      <c r="B645" s="188" t="n">
        <v>46073.2927883595</v>
      </c>
      <c r="C645" s="188" t="n">
        <v>46073.2945707669</v>
      </c>
      <c r="D645" s="189" t="s">
        <v>1108</v>
      </c>
      <c r="E645" s="189" t="s">
        <v>1109</v>
      </c>
      <c r="F645" s="189" t="s">
        <v>1109</v>
      </c>
      <c r="G645" s="189" t="s">
        <v>1110</v>
      </c>
      <c r="H645" s="188" t="n">
        <v>46056</v>
      </c>
      <c r="I645" s="189" t="s">
        <v>863</v>
      </c>
      <c r="J645" s="189" t="s">
        <v>295</v>
      </c>
      <c r="K645" s="189" t="s">
        <v>1111</v>
      </c>
      <c r="L645" s="189" t="s">
        <v>197</v>
      </c>
      <c r="M645" s="189" t="s">
        <v>1112</v>
      </c>
      <c r="N645" s="189" t="s">
        <v>1067</v>
      </c>
      <c r="O645" s="189" t="s">
        <v>107</v>
      </c>
      <c r="P645" s="189" t="s">
        <v>111</v>
      </c>
      <c r="Q645" s="189" t="s">
        <v>112</v>
      </c>
      <c r="R645" s="189" t="s">
        <v>24</v>
      </c>
      <c r="S645" s="189" t="s">
        <v>152</v>
      </c>
      <c r="T645" s="189" t="s">
        <v>121</v>
      </c>
      <c r="U645" s="189" t="s">
        <v>614</v>
      </c>
      <c r="V645" s="189" t="s">
        <v>123</v>
      </c>
      <c r="W645" s="189" t="s">
        <v>124</v>
      </c>
      <c r="X645" s="189" t="s">
        <v>448</v>
      </c>
      <c r="Y645" s="189" t="s">
        <v>2113</v>
      </c>
      <c r="Z645" s="0" t="n">
        <v>1</v>
      </c>
      <c r="AA645" s="189" t="s">
        <v>2223</v>
      </c>
    </row>
    <row r="646" customFormat="false" ht="15" hidden="false" customHeight="false" outlineLevel="0" collapsed="false">
      <c r="A646" s="0" t="n">
        <v>131</v>
      </c>
      <c r="B646" s="188" t="n">
        <v>46185.7695927634</v>
      </c>
      <c r="C646" s="188" t="n">
        <v>46185.7882617448</v>
      </c>
      <c r="D646" s="189" t="s">
        <v>1116</v>
      </c>
      <c r="E646" s="189" t="s">
        <v>1117</v>
      </c>
      <c r="F646" s="189" t="s">
        <v>1117</v>
      </c>
      <c r="G646" s="189" t="s">
        <v>1118</v>
      </c>
      <c r="H646" s="188" t="n">
        <v>46185</v>
      </c>
      <c r="I646" s="189" t="s">
        <v>113</v>
      </c>
      <c r="J646" s="189" t="s">
        <v>108</v>
      </c>
      <c r="K646" s="189" t="s">
        <v>1119</v>
      </c>
      <c r="L646" s="189" t="s">
        <v>246</v>
      </c>
      <c r="M646" s="189" t="s">
        <v>1120</v>
      </c>
      <c r="N646" s="189" t="s">
        <v>175</v>
      </c>
      <c r="O646" s="189" t="s">
        <v>244</v>
      </c>
      <c r="P646" s="189" t="s">
        <v>111</v>
      </c>
      <c r="Q646" s="189" t="s">
        <v>112</v>
      </c>
      <c r="R646" s="189" t="s">
        <v>22</v>
      </c>
      <c r="S646" s="189" t="s">
        <v>152</v>
      </c>
      <c r="T646" s="189" t="s">
        <v>121</v>
      </c>
      <c r="U646" s="189" t="s">
        <v>122</v>
      </c>
      <c r="V646" s="189" t="s">
        <v>192</v>
      </c>
      <c r="W646" s="189" t="s">
        <v>124</v>
      </c>
      <c r="X646" s="189" t="s">
        <v>271</v>
      </c>
      <c r="Y646" s="189" t="s">
        <v>2108</v>
      </c>
      <c r="Z646" s="0" t="n">
        <v>1</v>
      </c>
      <c r="AA646" s="189" t="s">
        <v>2179</v>
      </c>
    </row>
    <row r="647" customFormat="false" ht="15" hidden="false" customHeight="false" outlineLevel="0" collapsed="false">
      <c r="A647" s="0" t="n">
        <v>131</v>
      </c>
      <c r="B647" s="188" t="n">
        <v>46185.7695927634</v>
      </c>
      <c r="C647" s="188" t="n">
        <v>46185.7882617448</v>
      </c>
      <c r="D647" s="189" t="s">
        <v>1116</v>
      </c>
      <c r="E647" s="189" t="s">
        <v>1117</v>
      </c>
      <c r="F647" s="189" t="s">
        <v>1117</v>
      </c>
      <c r="G647" s="189" t="s">
        <v>1118</v>
      </c>
      <c r="H647" s="188" t="n">
        <v>46185</v>
      </c>
      <c r="I647" s="189" t="s">
        <v>113</v>
      </c>
      <c r="J647" s="189" t="s">
        <v>108</v>
      </c>
      <c r="K647" s="189" t="s">
        <v>1119</v>
      </c>
      <c r="L647" s="189" t="s">
        <v>246</v>
      </c>
      <c r="M647" s="189" t="s">
        <v>1120</v>
      </c>
      <c r="N647" s="189" t="s">
        <v>175</v>
      </c>
      <c r="O647" s="189" t="s">
        <v>244</v>
      </c>
      <c r="P647" s="189" t="s">
        <v>111</v>
      </c>
      <c r="Q647" s="189" t="s">
        <v>112</v>
      </c>
      <c r="R647" s="189" t="s">
        <v>22</v>
      </c>
      <c r="S647" s="189" t="s">
        <v>152</v>
      </c>
      <c r="T647" s="189" t="s">
        <v>121</v>
      </c>
      <c r="U647" s="189" t="s">
        <v>122</v>
      </c>
      <c r="V647" s="189" t="s">
        <v>192</v>
      </c>
      <c r="W647" s="189" t="s">
        <v>124</v>
      </c>
      <c r="X647" s="189" t="s">
        <v>271</v>
      </c>
      <c r="Y647" s="189" t="s">
        <v>2110</v>
      </c>
      <c r="Z647" s="0" t="n">
        <v>1</v>
      </c>
      <c r="AA647" s="189" t="s">
        <v>2161</v>
      </c>
    </row>
    <row r="648" customFormat="false" ht="15" hidden="false" customHeight="false" outlineLevel="0" collapsed="false">
      <c r="A648" s="0" t="n">
        <v>131</v>
      </c>
      <c r="B648" s="188" t="n">
        <v>46185.7695927634</v>
      </c>
      <c r="C648" s="188" t="n">
        <v>46185.7882617448</v>
      </c>
      <c r="D648" s="189" t="s">
        <v>1116</v>
      </c>
      <c r="E648" s="189" t="s">
        <v>1117</v>
      </c>
      <c r="F648" s="189" t="s">
        <v>1117</v>
      </c>
      <c r="G648" s="189" t="s">
        <v>1118</v>
      </c>
      <c r="H648" s="188" t="n">
        <v>46185</v>
      </c>
      <c r="I648" s="189" t="s">
        <v>113</v>
      </c>
      <c r="J648" s="189" t="s">
        <v>108</v>
      </c>
      <c r="K648" s="189" t="s">
        <v>1119</v>
      </c>
      <c r="L648" s="189" t="s">
        <v>246</v>
      </c>
      <c r="M648" s="189" t="s">
        <v>1120</v>
      </c>
      <c r="N648" s="189" t="s">
        <v>175</v>
      </c>
      <c r="O648" s="189" t="s">
        <v>244</v>
      </c>
      <c r="P648" s="189" t="s">
        <v>111</v>
      </c>
      <c r="Q648" s="189" t="s">
        <v>112</v>
      </c>
      <c r="R648" s="189" t="s">
        <v>22</v>
      </c>
      <c r="S648" s="189" t="s">
        <v>152</v>
      </c>
      <c r="T648" s="189" t="s">
        <v>121</v>
      </c>
      <c r="U648" s="189" t="s">
        <v>122</v>
      </c>
      <c r="V648" s="189" t="s">
        <v>192</v>
      </c>
      <c r="W648" s="189" t="s">
        <v>124</v>
      </c>
      <c r="X648" s="189" t="s">
        <v>271</v>
      </c>
      <c r="Y648" s="189" t="s">
        <v>2113</v>
      </c>
      <c r="Z648" s="0" t="n">
        <v>1</v>
      </c>
      <c r="AA648" s="189" t="s">
        <v>2162</v>
      </c>
    </row>
    <row r="649" customFormat="false" ht="15" hidden="false" customHeight="false" outlineLevel="0" collapsed="false">
      <c r="A649" s="0" t="n">
        <v>132</v>
      </c>
      <c r="B649" s="188" t="n">
        <v>46036.3806238805</v>
      </c>
      <c r="C649" s="188" t="n">
        <v>46036.3972905471</v>
      </c>
      <c r="D649" s="189" t="s">
        <v>1122</v>
      </c>
      <c r="E649" s="189" t="s">
        <v>1123</v>
      </c>
      <c r="F649" s="189" t="s">
        <v>1124</v>
      </c>
      <c r="G649" s="189" t="s">
        <v>1125</v>
      </c>
      <c r="H649" s="188" t="n">
        <v>46034</v>
      </c>
      <c r="I649" s="189" t="s">
        <v>113</v>
      </c>
      <c r="J649" s="189" t="s">
        <v>108</v>
      </c>
      <c r="K649" s="189" t="s">
        <v>257</v>
      </c>
      <c r="L649" s="189" t="s">
        <v>491</v>
      </c>
      <c r="M649" s="189" t="s">
        <v>515</v>
      </c>
      <c r="N649" s="189" t="s">
        <v>407</v>
      </c>
      <c r="O649" s="189" t="s">
        <v>107</v>
      </c>
      <c r="P649" s="189" t="s">
        <v>111</v>
      </c>
      <c r="Q649" s="189" t="s">
        <v>112</v>
      </c>
      <c r="R649" s="189" t="s">
        <v>24</v>
      </c>
      <c r="S649" s="189" t="s">
        <v>152</v>
      </c>
      <c r="T649" s="189" t="s">
        <v>121</v>
      </c>
      <c r="U649" s="189" t="s">
        <v>1129</v>
      </c>
      <c r="V649" s="189" t="s">
        <v>123</v>
      </c>
      <c r="W649" s="189" t="s">
        <v>168</v>
      </c>
      <c r="X649" s="189" t="s">
        <v>448</v>
      </c>
      <c r="Y649" s="189" t="s">
        <v>2108</v>
      </c>
      <c r="Z649" s="0" t="n">
        <v>1</v>
      </c>
      <c r="AA649" s="189" t="s">
        <v>2235</v>
      </c>
    </row>
    <row r="650" customFormat="false" ht="15" hidden="false" customHeight="false" outlineLevel="0" collapsed="false">
      <c r="A650" s="0" t="n">
        <v>132</v>
      </c>
      <c r="B650" s="188" t="n">
        <v>46036.3806238805</v>
      </c>
      <c r="C650" s="188" t="n">
        <v>46036.3972905471</v>
      </c>
      <c r="D650" s="189" t="s">
        <v>1122</v>
      </c>
      <c r="E650" s="189" t="s">
        <v>1123</v>
      </c>
      <c r="F650" s="189" t="s">
        <v>1124</v>
      </c>
      <c r="G650" s="189" t="s">
        <v>1125</v>
      </c>
      <c r="H650" s="188" t="n">
        <v>46034</v>
      </c>
      <c r="I650" s="189" t="s">
        <v>113</v>
      </c>
      <c r="J650" s="189" t="s">
        <v>108</v>
      </c>
      <c r="K650" s="189" t="s">
        <v>257</v>
      </c>
      <c r="L650" s="189" t="s">
        <v>491</v>
      </c>
      <c r="M650" s="189" t="s">
        <v>515</v>
      </c>
      <c r="N650" s="189" t="s">
        <v>407</v>
      </c>
      <c r="O650" s="189" t="s">
        <v>107</v>
      </c>
      <c r="P650" s="189" t="s">
        <v>111</v>
      </c>
      <c r="Q650" s="189" t="s">
        <v>112</v>
      </c>
      <c r="R650" s="189" t="s">
        <v>24</v>
      </c>
      <c r="S650" s="189" t="s">
        <v>152</v>
      </c>
      <c r="T650" s="189" t="s">
        <v>121</v>
      </c>
      <c r="U650" s="189" t="s">
        <v>1129</v>
      </c>
      <c r="V650" s="189" t="s">
        <v>123</v>
      </c>
      <c r="W650" s="189" t="s">
        <v>168</v>
      </c>
      <c r="X650" s="189" t="s">
        <v>448</v>
      </c>
      <c r="Y650" s="189" t="s">
        <v>2108</v>
      </c>
      <c r="Z650" s="0" t="n">
        <v>2</v>
      </c>
      <c r="AA650" s="189" t="s">
        <v>2218</v>
      </c>
    </row>
    <row r="651" customFormat="false" ht="15" hidden="false" customHeight="false" outlineLevel="0" collapsed="false">
      <c r="A651" s="0" t="n">
        <v>132</v>
      </c>
      <c r="B651" s="188" t="n">
        <v>46036.3806238805</v>
      </c>
      <c r="C651" s="188" t="n">
        <v>46036.3972905471</v>
      </c>
      <c r="D651" s="189" t="s">
        <v>1122</v>
      </c>
      <c r="E651" s="189" t="s">
        <v>1123</v>
      </c>
      <c r="F651" s="189" t="s">
        <v>1124</v>
      </c>
      <c r="G651" s="189" t="s">
        <v>1125</v>
      </c>
      <c r="H651" s="188" t="n">
        <v>46034</v>
      </c>
      <c r="I651" s="189" t="s">
        <v>113</v>
      </c>
      <c r="J651" s="189" t="s">
        <v>108</v>
      </c>
      <c r="K651" s="189" t="s">
        <v>257</v>
      </c>
      <c r="L651" s="189" t="s">
        <v>491</v>
      </c>
      <c r="M651" s="189" t="s">
        <v>515</v>
      </c>
      <c r="N651" s="189" t="s">
        <v>407</v>
      </c>
      <c r="O651" s="189" t="s">
        <v>107</v>
      </c>
      <c r="P651" s="189" t="s">
        <v>111</v>
      </c>
      <c r="Q651" s="189" t="s">
        <v>112</v>
      </c>
      <c r="R651" s="189" t="s">
        <v>24</v>
      </c>
      <c r="S651" s="189" t="s">
        <v>152</v>
      </c>
      <c r="T651" s="189" t="s">
        <v>121</v>
      </c>
      <c r="U651" s="189" t="s">
        <v>1129</v>
      </c>
      <c r="V651" s="189" t="s">
        <v>123</v>
      </c>
      <c r="W651" s="189" t="s">
        <v>168</v>
      </c>
      <c r="X651" s="189" t="s">
        <v>448</v>
      </c>
      <c r="Y651" s="189" t="s">
        <v>2110</v>
      </c>
      <c r="Z651" s="0" t="n">
        <v>1</v>
      </c>
      <c r="AA651" s="189" t="s">
        <v>2221</v>
      </c>
    </row>
    <row r="652" customFormat="false" ht="15" hidden="false" customHeight="false" outlineLevel="0" collapsed="false">
      <c r="A652" s="0" t="n">
        <v>132</v>
      </c>
      <c r="B652" s="188" t="n">
        <v>46036.3806238805</v>
      </c>
      <c r="C652" s="188" t="n">
        <v>46036.3972905471</v>
      </c>
      <c r="D652" s="189" t="s">
        <v>1122</v>
      </c>
      <c r="E652" s="189" t="s">
        <v>1123</v>
      </c>
      <c r="F652" s="189" t="s">
        <v>1124</v>
      </c>
      <c r="G652" s="189" t="s">
        <v>1125</v>
      </c>
      <c r="H652" s="188" t="n">
        <v>46034</v>
      </c>
      <c r="I652" s="189" t="s">
        <v>113</v>
      </c>
      <c r="J652" s="189" t="s">
        <v>108</v>
      </c>
      <c r="K652" s="189" t="s">
        <v>257</v>
      </c>
      <c r="L652" s="189" t="s">
        <v>491</v>
      </c>
      <c r="M652" s="189" t="s">
        <v>515</v>
      </c>
      <c r="N652" s="189" t="s">
        <v>407</v>
      </c>
      <c r="O652" s="189" t="s">
        <v>107</v>
      </c>
      <c r="P652" s="189" t="s">
        <v>111</v>
      </c>
      <c r="Q652" s="189" t="s">
        <v>112</v>
      </c>
      <c r="R652" s="189" t="s">
        <v>24</v>
      </c>
      <c r="S652" s="189" t="s">
        <v>152</v>
      </c>
      <c r="T652" s="189" t="s">
        <v>121</v>
      </c>
      <c r="U652" s="189" t="s">
        <v>1129</v>
      </c>
      <c r="V652" s="189" t="s">
        <v>123</v>
      </c>
      <c r="W652" s="189" t="s">
        <v>168</v>
      </c>
      <c r="X652" s="189" t="s">
        <v>448</v>
      </c>
      <c r="Y652" s="189" t="s">
        <v>2110</v>
      </c>
      <c r="Z652" s="0" t="n">
        <v>2</v>
      </c>
      <c r="AA652" s="189" t="s">
        <v>2324</v>
      </c>
    </row>
    <row r="653" customFormat="false" ht="15" hidden="false" customHeight="false" outlineLevel="0" collapsed="false">
      <c r="A653" s="0" t="n">
        <v>132</v>
      </c>
      <c r="B653" s="188" t="n">
        <v>46036.3806238805</v>
      </c>
      <c r="C653" s="188" t="n">
        <v>46036.3972905471</v>
      </c>
      <c r="D653" s="189" t="s">
        <v>1122</v>
      </c>
      <c r="E653" s="189" t="s">
        <v>1123</v>
      </c>
      <c r="F653" s="189" t="s">
        <v>1124</v>
      </c>
      <c r="G653" s="189" t="s">
        <v>1125</v>
      </c>
      <c r="H653" s="188" t="n">
        <v>46034</v>
      </c>
      <c r="I653" s="189" t="s">
        <v>113</v>
      </c>
      <c r="J653" s="189" t="s">
        <v>108</v>
      </c>
      <c r="K653" s="189" t="s">
        <v>257</v>
      </c>
      <c r="L653" s="189" t="s">
        <v>491</v>
      </c>
      <c r="M653" s="189" t="s">
        <v>515</v>
      </c>
      <c r="N653" s="189" t="s">
        <v>407</v>
      </c>
      <c r="O653" s="189" t="s">
        <v>107</v>
      </c>
      <c r="P653" s="189" t="s">
        <v>111</v>
      </c>
      <c r="Q653" s="189" t="s">
        <v>112</v>
      </c>
      <c r="R653" s="189" t="s">
        <v>24</v>
      </c>
      <c r="S653" s="189" t="s">
        <v>152</v>
      </c>
      <c r="T653" s="189" t="s">
        <v>121</v>
      </c>
      <c r="U653" s="189" t="s">
        <v>1129</v>
      </c>
      <c r="V653" s="189" t="s">
        <v>123</v>
      </c>
      <c r="W653" s="189" t="s">
        <v>168</v>
      </c>
      <c r="X653" s="189" t="s">
        <v>448</v>
      </c>
      <c r="Y653" s="189" t="s">
        <v>2113</v>
      </c>
      <c r="Z653" s="0" t="n">
        <v>1</v>
      </c>
      <c r="AA653" s="189" t="s">
        <v>2223</v>
      </c>
    </row>
    <row r="654" customFormat="false" ht="15" hidden="false" customHeight="false" outlineLevel="0" collapsed="false">
      <c r="A654" s="0" t="n">
        <v>132</v>
      </c>
      <c r="B654" s="188" t="n">
        <v>46036.3806238805</v>
      </c>
      <c r="C654" s="188" t="n">
        <v>46036.3972905471</v>
      </c>
      <c r="D654" s="189" t="s">
        <v>1122</v>
      </c>
      <c r="E654" s="189" t="s">
        <v>1123</v>
      </c>
      <c r="F654" s="189" t="s">
        <v>1124</v>
      </c>
      <c r="G654" s="189" t="s">
        <v>1125</v>
      </c>
      <c r="H654" s="188" t="n">
        <v>46034</v>
      </c>
      <c r="I654" s="189" t="s">
        <v>113</v>
      </c>
      <c r="J654" s="189" t="s">
        <v>108</v>
      </c>
      <c r="K654" s="189" t="s">
        <v>257</v>
      </c>
      <c r="L654" s="189" t="s">
        <v>491</v>
      </c>
      <c r="M654" s="189" t="s">
        <v>515</v>
      </c>
      <c r="N654" s="189" t="s">
        <v>407</v>
      </c>
      <c r="O654" s="189" t="s">
        <v>107</v>
      </c>
      <c r="P654" s="189" t="s">
        <v>111</v>
      </c>
      <c r="Q654" s="189" t="s">
        <v>112</v>
      </c>
      <c r="R654" s="189" t="s">
        <v>24</v>
      </c>
      <c r="S654" s="189" t="s">
        <v>152</v>
      </c>
      <c r="T654" s="189" t="s">
        <v>121</v>
      </c>
      <c r="U654" s="189" t="s">
        <v>1129</v>
      </c>
      <c r="V654" s="189" t="s">
        <v>123</v>
      </c>
      <c r="W654" s="189" t="s">
        <v>168</v>
      </c>
      <c r="X654" s="189" t="s">
        <v>448</v>
      </c>
      <c r="Y654" s="189" t="s">
        <v>2113</v>
      </c>
      <c r="Z654" s="0" t="n">
        <v>2</v>
      </c>
      <c r="AA654" s="189" t="s">
        <v>2234</v>
      </c>
    </row>
    <row r="655" customFormat="false" ht="15" hidden="false" customHeight="false" outlineLevel="0" collapsed="false">
      <c r="A655" s="0" t="n">
        <v>133</v>
      </c>
      <c r="B655" s="188" t="n">
        <v>46150.2222333388</v>
      </c>
      <c r="C655" s="188" t="n">
        <v>46150.2345828759</v>
      </c>
      <c r="D655" s="189" t="s">
        <v>1130</v>
      </c>
      <c r="E655" s="189" t="s">
        <v>1131</v>
      </c>
      <c r="F655" s="189" t="s">
        <v>1131</v>
      </c>
      <c r="G655" s="189" t="s">
        <v>1132</v>
      </c>
      <c r="H655" s="188" t="n">
        <v>46141</v>
      </c>
      <c r="I655" s="189" t="s">
        <v>113</v>
      </c>
      <c r="J655" s="189" t="s">
        <v>108</v>
      </c>
      <c r="K655" s="189" t="s">
        <v>462</v>
      </c>
      <c r="L655" s="189" t="s">
        <v>346</v>
      </c>
      <c r="M655" s="189" t="s">
        <v>774</v>
      </c>
      <c r="N655" s="189" t="s">
        <v>200</v>
      </c>
      <c r="O655" s="189" t="s">
        <v>172</v>
      </c>
      <c r="P655" s="189" t="s">
        <v>131</v>
      </c>
      <c r="Q655" s="189" t="s">
        <v>112</v>
      </c>
      <c r="R655" s="189" t="s">
        <v>24</v>
      </c>
      <c r="S655" s="189" t="s">
        <v>152</v>
      </c>
      <c r="T655" s="189" t="s">
        <v>121</v>
      </c>
      <c r="U655" s="189" t="s">
        <v>562</v>
      </c>
      <c r="V655" s="189" t="s">
        <v>192</v>
      </c>
      <c r="W655" s="189" t="s">
        <v>124</v>
      </c>
      <c r="X655" s="189" t="s">
        <v>260</v>
      </c>
      <c r="Y655" s="189" t="s">
        <v>2108</v>
      </c>
      <c r="Z655" s="0" t="n">
        <v>1</v>
      </c>
      <c r="AA655" s="189" t="s">
        <v>2307</v>
      </c>
    </row>
    <row r="656" customFormat="false" ht="15" hidden="false" customHeight="false" outlineLevel="0" collapsed="false">
      <c r="A656" s="0" t="n">
        <v>133</v>
      </c>
      <c r="B656" s="188" t="n">
        <v>46150.2222333388</v>
      </c>
      <c r="C656" s="188" t="n">
        <v>46150.2345828759</v>
      </c>
      <c r="D656" s="189" t="s">
        <v>1130</v>
      </c>
      <c r="E656" s="189" t="s">
        <v>1131</v>
      </c>
      <c r="F656" s="189" t="s">
        <v>1131</v>
      </c>
      <c r="G656" s="189" t="s">
        <v>1132</v>
      </c>
      <c r="H656" s="188" t="n">
        <v>46141</v>
      </c>
      <c r="I656" s="189" t="s">
        <v>113</v>
      </c>
      <c r="J656" s="189" t="s">
        <v>108</v>
      </c>
      <c r="K656" s="189" t="s">
        <v>462</v>
      </c>
      <c r="L656" s="189" t="s">
        <v>346</v>
      </c>
      <c r="M656" s="189" t="s">
        <v>774</v>
      </c>
      <c r="N656" s="189" t="s">
        <v>200</v>
      </c>
      <c r="O656" s="189" t="s">
        <v>172</v>
      </c>
      <c r="P656" s="189" t="s">
        <v>131</v>
      </c>
      <c r="Q656" s="189" t="s">
        <v>112</v>
      </c>
      <c r="R656" s="189" t="s">
        <v>24</v>
      </c>
      <c r="S656" s="189" t="s">
        <v>152</v>
      </c>
      <c r="T656" s="189" t="s">
        <v>121</v>
      </c>
      <c r="U656" s="189" t="s">
        <v>562</v>
      </c>
      <c r="V656" s="189" t="s">
        <v>192</v>
      </c>
      <c r="W656" s="189" t="s">
        <v>124</v>
      </c>
      <c r="X656" s="189" t="s">
        <v>260</v>
      </c>
      <c r="Y656" s="189" t="s">
        <v>2108</v>
      </c>
      <c r="Z656" s="0" t="n">
        <v>2</v>
      </c>
      <c r="AA656" s="189" t="s">
        <v>2153</v>
      </c>
    </row>
    <row r="657" customFormat="false" ht="15" hidden="false" customHeight="false" outlineLevel="0" collapsed="false">
      <c r="A657" s="0" t="n">
        <v>133</v>
      </c>
      <c r="B657" s="188" t="n">
        <v>46150.2222333388</v>
      </c>
      <c r="C657" s="188" t="n">
        <v>46150.2345828759</v>
      </c>
      <c r="D657" s="189" t="s">
        <v>1130</v>
      </c>
      <c r="E657" s="189" t="s">
        <v>1131</v>
      </c>
      <c r="F657" s="189" t="s">
        <v>1131</v>
      </c>
      <c r="G657" s="189" t="s">
        <v>1132</v>
      </c>
      <c r="H657" s="188" t="n">
        <v>46141</v>
      </c>
      <c r="I657" s="189" t="s">
        <v>113</v>
      </c>
      <c r="J657" s="189" t="s">
        <v>108</v>
      </c>
      <c r="K657" s="189" t="s">
        <v>462</v>
      </c>
      <c r="L657" s="189" t="s">
        <v>346</v>
      </c>
      <c r="M657" s="189" t="s">
        <v>774</v>
      </c>
      <c r="N657" s="189" t="s">
        <v>200</v>
      </c>
      <c r="O657" s="189" t="s">
        <v>172</v>
      </c>
      <c r="P657" s="189" t="s">
        <v>131</v>
      </c>
      <c r="Q657" s="189" t="s">
        <v>112</v>
      </c>
      <c r="R657" s="189" t="s">
        <v>24</v>
      </c>
      <c r="S657" s="189" t="s">
        <v>152</v>
      </c>
      <c r="T657" s="189" t="s">
        <v>121</v>
      </c>
      <c r="U657" s="189" t="s">
        <v>562</v>
      </c>
      <c r="V657" s="189" t="s">
        <v>192</v>
      </c>
      <c r="W657" s="189" t="s">
        <v>124</v>
      </c>
      <c r="X657" s="189" t="s">
        <v>260</v>
      </c>
      <c r="Y657" s="189" t="s">
        <v>2108</v>
      </c>
      <c r="Z657" s="0" t="n">
        <v>3</v>
      </c>
      <c r="AA657" s="189" t="s">
        <v>606</v>
      </c>
    </row>
    <row r="658" customFormat="false" ht="15" hidden="false" customHeight="false" outlineLevel="0" collapsed="false">
      <c r="A658" s="0" t="n">
        <v>133</v>
      </c>
      <c r="B658" s="188" t="n">
        <v>46150.2222333388</v>
      </c>
      <c r="C658" s="188" t="n">
        <v>46150.2345828759</v>
      </c>
      <c r="D658" s="189" t="s">
        <v>1130</v>
      </c>
      <c r="E658" s="189" t="s">
        <v>1131</v>
      </c>
      <c r="F658" s="189" t="s">
        <v>1131</v>
      </c>
      <c r="G658" s="189" t="s">
        <v>1132</v>
      </c>
      <c r="H658" s="188" t="n">
        <v>46141</v>
      </c>
      <c r="I658" s="189" t="s">
        <v>113</v>
      </c>
      <c r="J658" s="189" t="s">
        <v>108</v>
      </c>
      <c r="K658" s="189" t="s">
        <v>462</v>
      </c>
      <c r="L658" s="189" t="s">
        <v>346</v>
      </c>
      <c r="M658" s="189" t="s">
        <v>774</v>
      </c>
      <c r="N658" s="189" t="s">
        <v>200</v>
      </c>
      <c r="O658" s="189" t="s">
        <v>172</v>
      </c>
      <c r="P658" s="189" t="s">
        <v>131</v>
      </c>
      <c r="Q658" s="189" t="s">
        <v>112</v>
      </c>
      <c r="R658" s="189" t="s">
        <v>24</v>
      </c>
      <c r="S658" s="189" t="s">
        <v>152</v>
      </c>
      <c r="T658" s="189" t="s">
        <v>121</v>
      </c>
      <c r="U658" s="189" t="s">
        <v>562</v>
      </c>
      <c r="V658" s="189" t="s">
        <v>192</v>
      </c>
      <c r="W658" s="189" t="s">
        <v>124</v>
      </c>
      <c r="X658" s="189" t="s">
        <v>260</v>
      </c>
      <c r="Y658" s="189" t="s">
        <v>2110</v>
      </c>
      <c r="Z658" s="0" t="n">
        <v>1</v>
      </c>
      <c r="AA658" s="189" t="s">
        <v>606</v>
      </c>
    </row>
    <row r="659" customFormat="false" ht="15" hidden="false" customHeight="false" outlineLevel="0" collapsed="false">
      <c r="A659" s="0" t="n">
        <v>133</v>
      </c>
      <c r="B659" s="188" t="n">
        <v>46150.2222333388</v>
      </c>
      <c r="C659" s="188" t="n">
        <v>46150.2345828759</v>
      </c>
      <c r="D659" s="189" t="s">
        <v>1130</v>
      </c>
      <c r="E659" s="189" t="s">
        <v>1131</v>
      </c>
      <c r="F659" s="189" t="s">
        <v>1131</v>
      </c>
      <c r="G659" s="189" t="s">
        <v>1132</v>
      </c>
      <c r="H659" s="188" t="n">
        <v>46141</v>
      </c>
      <c r="I659" s="189" t="s">
        <v>113</v>
      </c>
      <c r="J659" s="189" t="s">
        <v>108</v>
      </c>
      <c r="K659" s="189" t="s">
        <v>462</v>
      </c>
      <c r="L659" s="189" t="s">
        <v>346</v>
      </c>
      <c r="M659" s="189" t="s">
        <v>774</v>
      </c>
      <c r="N659" s="189" t="s">
        <v>200</v>
      </c>
      <c r="O659" s="189" t="s">
        <v>172</v>
      </c>
      <c r="P659" s="189" t="s">
        <v>131</v>
      </c>
      <c r="Q659" s="189" t="s">
        <v>112</v>
      </c>
      <c r="R659" s="189" t="s">
        <v>24</v>
      </c>
      <c r="S659" s="189" t="s">
        <v>152</v>
      </c>
      <c r="T659" s="189" t="s">
        <v>121</v>
      </c>
      <c r="U659" s="189" t="s">
        <v>562</v>
      </c>
      <c r="V659" s="189" t="s">
        <v>192</v>
      </c>
      <c r="W659" s="189" t="s">
        <v>124</v>
      </c>
      <c r="X659" s="189" t="s">
        <v>260</v>
      </c>
      <c r="Y659" s="189" t="s">
        <v>2113</v>
      </c>
      <c r="Z659" s="0" t="n">
        <v>1</v>
      </c>
      <c r="AA659" s="189" t="s">
        <v>2325</v>
      </c>
    </row>
    <row r="660" customFormat="false" ht="15" hidden="false" customHeight="false" outlineLevel="0" collapsed="false">
      <c r="A660" s="0" t="n">
        <v>134</v>
      </c>
      <c r="B660" s="188" t="n">
        <v>46138.5764652551</v>
      </c>
      <c r="C660" s="188" t="n">
        <v>46138.5847407181</v>
      </c>
      <c r="D660" s="189" t="s">
        <v>1136</v>
      </c>
      <c r="E660" s="189" t="s">
        <v>1137</v>
      </c>
      <c r="F660" s="189" t="s">
        <v>1137</v>
      </c>
      <c r="G660" s="189" t="s">
        <v>1138</v>
      </c>
      <c r="H660" s="188" t="n">
        <v>46122</v>
      </c>
      <c r="I660" s="189" t="s">
        <v>113</v>
      </c>
      <c r="J660" s="189" t="s">
        <v>108</v>
      </c>
      <c r="K660" s="189" t="s">
        <v>1139</v>
      </c>
      <c r="L660" s="189" t="s">
        <v>184</v>
      </c>
      <c r="M660" s="189" t="s">
        <v>944</v>
      </c>
      <c r="N660" s="189" t="s">
        <v>1140</v>
      </c>
      <c r="O660" s="189" t="s">
        <v>107</v>
      </c>
      <c r="P660" s="189" t="s">
        <v>131</v>
      </c>
      <c r="Q660" s="189" t="s">
        <v>145</v>
      </c>
      <c r="R660" s="189" t="s">
        <v>22</v>
      </c>
      <c r="S660" s="189" t="s">
        <v>152</v>
      </c>
      <c r="T660" s="189" t="s">
        <v>121</v>
      </c>
      <c r="V660" s="189" t="s">
        <v>123</v>
      </c>
      <c r="W660" s="189" t="s">
        <v>124</v>
      </c>
      <c r="X660" s="189" t="s">
        <v>381</v>
      </c>
      <c r="Y660" s="189" t="s">
        <v>2108</v>
      </c>
      <c r="Z660" s="0" t="n">
        <v>1</v>
      </c>
      <c r="AA660" s="189" t="s">
        <v>2293</v>
      </c>
    </row>
    <row r="661" customFormat="false" ht="15" hidden="false" customHeight="false" outlineLevel="0" collapsed="false">
      <c r="A661" s="0" t="n">
        <v>134</v>
      </c>
      <c r="B661" s="188" t="n">
        <v>46138.5764652551</v>
      </c>
      <c r="C661" s="188" t="n">
        <v>46138.5847407181</v>
      </c>
      <c r="D661" s="189" t="s">
        <v>1136</v>
      </c>
      <c r="E661" s="189" t="s">
        <v>1137</v>
      </c>
      <c r="F661" s="189" t="s">
        <v>1137</v>
      </c>
      <c r="G661" s="189" t="s">
        <v>1138</v>
      </c>
      <c r="H661" s="188" t="n">
        <v>46122</v>
      </c>
      <c r="I661" s="189" t="s">
        <v>113</v>
      </c>
      <c r="J661" s="189" t="s">
        <v>108</v>
      </c>
      <c r="K661" s="189" t="s">
        <v>1139</v>
      </c>
      <c r="L661" s="189" t="s">
        <v>184</v>
      </c>
      <c r="M661" s="189" t="s">
        <v>944</v>
      </c>
      <c r="N661" s="189" t="s">
        <v>1140</v>
      </c>
      <c r="O661" s="189" t="s">
        <v>107</v>
      </c>
      <c r="P661" s="189" t="s">
        <v>131</v>
      </c>
      <c r="Q661" s="189" t="s">
        <v>145</v>
      </c>
      <c r="R661" s="189" t="s">
        <v>22</v>
      </c>
      <c r="S661" s="189" t="s">
        <v>152</v>
      </c>
      <c r="T661" s="189" t="s">
        <v>121</v>
      </c>
      <c r="V661" s="189" t="s">
        <v>123</v>
      </c>
      <c r="W661" s="189" t="s">
        <v>124</v>
      </c>
      <c r="X661" s="189" t="s">
        <v>381</v>
      </c>
      <c r="Y661" s="189" t="s">
        <v>2110</v>
      </c>
      <c r="Z661" s="0" t="n">
        <v>1</v>
      </c>
      <c r="AA661" s="189" t="s">
        <v>2204</v>
      </c>
    </row>
    <row r="662" customFormat="false" ht="15" hidden="false" customHeight="false" outlineLevel="0" collapsed="false">
      <c r="A662" s="0" t="n">
        <v>134</v>
      </c>
      <c r="B662" s="188" t="n">
        <v>46138.5764652551</v>
      </c>
      <c r="C662" s="188" t="n">
        <v>46138.5847407181</v>
      </c>
      <c r="D662" s="189" t="s">
        <v>1136</v>
      </c>
      <c r="E662" s="189" t="s">
        <v>1137</v>
      </c>
      <c r="F662" s="189" t="s">
        <v>1137</v>
      </c>
      <c r="G662" s="189" t="s">
        <v>1138</v>
      </c>
      <c r="H662" s="188" t="n">
        <v>46122</v>
      </c>
      <c r="I662" s="189" t="s">
        <v>113</v>
      </c>
      <c r="J662" s="189" t="s">
        <v>108</v>
      </c>
      <c r="K662" s="189" t="s">
        <v>1139</v>
      </c>
      <c r="L662" s="189" t="s">
        <v>184</v>
      </c>
      <c r="M662" s="189" t="s">
        <v>944</v>
      </c>
      <c r="N662" s="189" t="s">
        <v>1140</v>
      </c>
      <c r="O662" s="189" t="s">
        <v>107</v>
      </c>
      <c r="P662" s="189" t="s">
        <v>131</v>
      </c>
      <c r="Q662" s="189" t="s">
        <v>145</v>
      </c>
      <c r="R662" s="189" t="s">
        <v>22</v>
      </c>
      <c r="S662" s="189" t="s">
        <v>152</v>
      </c>
      <c r="T662" s="189" t="s">
        <v>121</v>
      </c>
      <c r="V662" s="189" t="s">
        <v>123</v>
      </c>
      <c r="W662" s="189" t="s">
        <v>124</v>
      </c>
      <c r="X662" s="189" t="s">
        <v>381</v>
      </c>
      <c r="Y662" s="189" t="s">
        <v>2113</v>
      </c>
      <c r="Z662" s="0" t="n">
        <v>1</v>
      </c>
      <c r="AA662" s="189" t="s">
        <v>2225</v>
      </c>
    </row>
    <row r="663" customFormat="false" ht="15" hidden="false" customHeight="false" outlineLevel="0" collapsed="false">
      <c r="A663" s="0" t="n">
        <v>134</v>
      </c>
      <c r="B663" s="188" t="n">
        <v>46138.5764652551</v>
      </c>
      <c r="C663" s="188" t="n">
        <v>46138.5847407181</v>
      </c>
      <c r="D663" s="189" t="s">
        <v>1136</v>
      </c>
      <c r="E663" s="189" t="s">
        <v>1137</v>
      </c>
      <c r="F663" s="189" t="s">
        <v>1137</v>
      </c>
      <c r="G663" s="189" t="s">
        <v>1138</v>
      </c>
      <c r="H663" s="188" t="n">
        <v>46122</v>
      </c>
      <c r="I663" s="189" t="s">
        <v>113</v>
      </c>
      <c r="J663" s="189" t="s">
        <v>108</v>
      </c>
      <c r="K663" s="189" t="s">
        <v>1139</v>
      </c>
      <c r="L663" s="189" t="s">
        <v>184</v>
      </c>
      <c r="M663" s="189" t="s">
        <v>944</v>
      </c>
      <c r="N663" s="189" t="s">
        <v>1140</v>
      </c>
      <c r="O663" s="189" t="s">
        <v>107</v>
      </c>
      <c r="P663" s="189" t="s">
        <v>131</v>
      </c>
      <c r="Q663" s="189" t="s">
        <v>145</v>
      </c>
      <c r="R663" s="189" t="s">
        <v>22</v>
      </c>
      <c r="S663" s="189" t="s">
        <v>152</v>
      </c>
      <c r="T663" s="189" t="s">
        <v>121</v>
      </c>
      <c r="V663" s="189" t="s">
        <v>123</v>
      </c>
      <c r="W663" s="189" t="s">
        <v>124</v>
      </c>
      <c r="X663" s="189" t="s">
        <v>381</v>
      </c>
      <c r="Y663" s="189" t="s">
        <v>2113</v>
      </c>
      <c r="Z663" s="0" t="n">
        <v>2</v>
      </c>
      <c r="AA663" s="189" t="s">
        <v>2206</v>
      </c>
    </row>
    <row r="664" customFormat="false" ht="15" hidden="false" customHeight="false" outlineLevel="0" collapsed="false">
      <c r="A664" s="0" t="n">
        <v>135</v>
      </c>
      <c r="B664" s="188" t="n">
        <v>46210.0208937145</v>
      </c>
      <c r="C664" s="188" t="n">
        <v>46210.0233821404</v>
      </c>
      <c r="D664" s="189" t="s">
        <v>1141</v>
      </c>
      <c r="E664" s="189" t="s">
        <v>1142</v>
      </c>
      <c r="F664" s="189" t="s">
        <v>1142</v>
      </c>
      <c r="G664" s="189" t="s">
        <v>1143</v>
      </c>
      <c r="H664" s="188" t="n">
        <v>46200</v>
      </c>
      <c r="I664" s="189" t="s">
        <v>113</v>
      </c>
      <c r="J664" s="189" t="s">
        <v>128</v>
      </c>
      <c r="K664" s="189" t="s">
        <v>232</v>
      </c>
      <c r="L664" s="189" t="s">
        <v>346</v>
      </c>
      <c r="M664" s="189" t="s">
        <v>212</v>
      </c>
      <c r="N664" s="189" t="s">
        <v>1144</v>
      </c>
      <c r="O664" s="189" t="s">
        <v>107</v>
      </c>
      <c r="P664" s="189" t="s">
        <v>111</v>
      </c>
      <c r="Q664" s="189" t="s">
        <v>112</v>
      </c>
      <c r="R664" s="189" t="s">
        <v>22</v>
      </c>
      <c r="S664" s="189" t="s">
        <v>152</v>
      </c>
      <c r="T664" s="189" t="s">
        <v>264</v>
      </c>
      <c r="V664" s="189" t="s">
        <v>192</v>
      </c>
      <c r="W664" s="189" t="s">
        <v>124</v>
      </c>
      <c r="X664" s="189" t="s">
        <v>148</v>
      </c>
      <c r="Y664" s="189" t="s">
        <v>2108</v>
      </c>
      <c r="Z664" s="0" t="n">
        <v>1</v>
      </c>
      <c r="AA664" s="189" t="s">
        <v>2230</v>
      </c>
    </row>
    <row r="665" customFormat="false" ht="15" hidden="false" customHeight="false" outlineLevel="0" collapsed="false">
      <c r="A665" s="0" t="n">
        <v>135</v>
      </c>
      <c r="B665" s="188" t="n">
        <v>46210.0208937145</v>
      </c>
      <c r="C665" s="188" t="n">
        <v>46210.0233821404</v>
      </c>
      <c r="D665" s="189" t="s">
        <v>1141</v>
      </c>
      <c r="E665" s="189" t="s">
        <v>1142</v>
      </c>
      <c r="F665" s="189" t="s">
        <v>1142</v>
      </c>
      <c r="G665" s="189" t="s">
        <v>1143</v>
      </c>
      <c r="H665" s="188" t="n">
        <v>46200</v>
      </c>
      <c r="I665" s="189" t="s">
        <v>113</v>
      </c>
      <c r="J665" s="189" t="s">
        <v>128</v>
      </c>
      <c r="K665" s="189" t="s">
        <v>232</v>
      </c>
      <c r="L665" s="189" t="s">
        <v>346</v>
      </c>
      <c r="M665" s="189" t="s">
        <v>212</v>
      </c>
      <c r="N665" s="189" t="s">
        <v>1144</v>
      </c>
      <c r="O665" s="189" t="s">
        <v>107</v>
      </c>
      <c r="P665" s="189" t="s">
        <v>111</v>
      </c>
      <c r="Q665" s="189" t="s">
        <v>112</v>
      </c>
      <c r="R665" s="189" t="s">
        <v>22</v>
      </c>
      <c r="S665" s="189" t="s">
        <v>152</v>
      </c>
      <c r="T665" s="189" t="s">
        <v>264</v>
      </c>
      <c r="V665" s="189" t="s">
        <v>192</v>
      </c>
      <c r="W665" s="189" t="s">
        <v>124</v>
      </c>
      <c r="X665" s="189" t="s">
        <v>148</v>
      </c>
      <c r="Y665" s="189" t="s">
        <v>2108</v>
      </c>
      <c r="Z665" s="0" t="n">
        <v>2</v>
      </c>
      <c r="AA665" s="189" t="s">
        <v>2166</v>
      </c>
    </row>
    <row r="666" customFormat="false" ht="15" hidden="false" customHeight="false" outlineLevel="0" collapsed="false">
      <c r="A666" s="0" t="n">
        <v>135</v>
      </c>
      <c r="B666" s="188" t="n">
        <v>46210.0208937145</v>
      </c>
      <c r="C666" s="188" t="n">
        <v>46210.0233821404</v>
      </c>
      <c r="D666" s="189" t="s">
        <v>1141</v>
      </c>
      <c r="E666" s="189" t="s">
        <v>1142</v>
      </c>
      <c r="F666" s="189" t="s">
        <v>1142</v>
      </c>
      <c r="G666" s="189" t="s">
        <v>1143</v>
      </c>
      <c r="H666" s="188" t="n">
        <v>46200</v>
      </c>
      <c r="I666" s="189" t="s">
        <v>113</v>
      </c>
      <c r="J666" s="189" t="s">
        <v>128</v>
      </c>
      <c r="K666" s="189" t="s">
        <v>232</v>
      </c>
      <c r="L666" s="189" t="s">
        <v>346</v>
      </c>
      <c r="M666" s="189" t="s">
        <v>212</v>
      </c>
      <c r="N666" s="189" t="s">
        <v>1144</v>
      </c>
      <c r="O666" s="189" t="s">
        <v>107</v>
      </c>
      <c r="P666" s="189" t="s">
        <v>111</v>
      </c>
      <c r="Q666" s="189" t="s">
        <v>112</v>
      </c>
      <c r="R666" s="189" t="s">
        <v>22</v>
      </c>
      <c r="S666" s="189" t="s">
        <v>152</v>
      </c>
      <c r="T666" s="189" t="s">
        <v>264</v>
      </c>
      <c r="V666" s="189" t="s">
        <v>192</v>
      </c>
      <c r="W666" s="189" t="s">
        <v>124</v>
      </c>
      <c r="X666" s="189" t="s">
        <v>148</v>
      </c>
      <c r="Y666" s="189" t="s">
        <v>2108</v>
      </c>
      <c r="Z666" s="0" t="n">
        <v>3</v>
      </c>
      <c r="AA666" s="189" t="s">
        <v>2326</v>
      </c>
    </row>
    <row r="667" customFormat="false" ht="15" hidden="false" customHeight="false" outlineLevel="0" collapsed="false">
      <c r="A667" s="0" t="n">
        <v>135</v>
      </c>
      <c r="B667" s="188" t="n">
        <v>46210.0208937145</v>
      </c>
      <c r="C667" s="188" t="n">
        <v>46210.0233821404</v>
      </c>
      <c r="D667" s="189" t="s">
        <v>1141</v>
      </c>
      <c r="E667" s="189" t="s">
        <v>1142</v>
      </c>
      <c r="F667" s="189" t="s">
        <v>1142</v>
      </c>
      <c r="G667" s="189" t="s">
        <v>1143</v>
      </c>
      <c r="H667" s="188" t="n">
        <v>46200</v>
      </c>
      <c r="I667" s="189" t="s">
        <v>113</v>
      </c>
      <c r="J667" s="189" t="s">
        <v>128</v>
      </c>
      <c r="K667" s="189" t="s">
        <v>232</v>
      </c>
      <c r="L667" s="189" t="s">
        <v>346</v>
      </c>
      <c r="M667" s="189" t="s">
        <v>212</v>
      </c>
      <c r="N667" s="189" t="s">
        <v>1144</v>
      </c>
      <c r="O667" s="189" t="s">
        <v>107</v>
      </c>
      <c r="P667" s="189" t="s">
        <v>111</v>
      </c>
      <c r="Q667" s="189" t="s">
        <v>112</v>
      </c>
      <c r="R667" s="189" t="s">
        <v>22</v>
      </c>
      <c r="S667" s="189" t="s">
        <v>152</v>
      </c>
      <c r="T667" s="189" t="s">
        <v>264</v>
      </c>
      <c r="V667" s="189" t="s">
        <v>192</v>
      </c>
      <c r="W667" s="189" t="s">
        <v>124</v>
      </c>
      <c r="X667" s="189" t="s">
        <v>148</v>
      </c>
      <c r="Y667" s="189" t="s">
        <v>2110</v>
      </c>
      <c r="Z667" s="0" t="n">
        <v>1</v>
      </c>
      <c r="AA667" s="189" t="s">
        <v>2231</v>
      </c>
    </row>
    <row r="668" customFormat="false" ht="15" hidden="false" customHeight="false" outlineLevel="0" collapsed="false">
      <c r="A668" s="0" t="n">
        <v>135</v>
      </c>
      <c r="B668" s="188" t="n">
        <v>46210.0208937145</v>
      </c>
      <c r="C668" s="188" t="n">
        <v>46210.0233821404</v>
      </c>
      <c r="D668" s="189" t="s">
        <v>1141</v>
      </c>
      <c r="E668" s="189" t="s">
        <v>1142</v>
      </c>
      <c r="F668" s="189" t="s">
        <v>1142</v>
      </c>
      <c r="G668" s="189" t="s">
        <v>1143</v>
      </c>
      <c r="H668" s="188" t="n">
        <v>46200</v>
      </c>
      <c r="I668" s="189" t="s">
        <v>113</v>
      </c>
      <c r="J668" s="189" t="s">
        <v>128</v>
      </c>
      <c r="K668" s="189" t="s">
        <v>232</v>
      </c>
      <c r="L668" s="189" t="s">
        <v>346</v>
      </c>
      <c r="M668" s="189" t="s">
        <v>212</v>
      </c>
      <c r="N668" s="189" t="s">
        <v>1144</v>
      </c>
      <c r="O668" s="189" t="s">
        <v>107</v>
      </c>
      <c r="P668" s="189" t="s">
        <v>111</v>
      </c>
      <c r="Q668" s="189" t="s">
        <v>112</v>
      </c>
      <c r="R668" s="189" t="s">
        <v>22</v>
      </c>
      <c r="S668" s="189" t="s">
        <v>152</v>
      </c>
      <c r="T668" s="189" t="s">
        <v>264</v>
      </c>
      <c r="V668" s="189" t="s">
        <v>192</v>
      </c>
      <c r="W668" s="189" t="s">
        <v>124</v>
      </c>
      <c r="X668" s="189" t="s">
        <v>148</v>
      </c>
      <c r="Y668" s="189" t="s">
        <v>2110</v>
      </c>
      <c r="Z668" s="0" t="n">
        <v>2</v>
      </c>
      <c r="AA668" s="189" t="s">
        <v>122</v>
      </c>
    </row>
    <row r="669" customFormat="false" ht="15" hidden="false" customHeight="false" outlineLevel="0" collapsed="false">
      <c r="A669" s="0" t="n">
        <v>135</v>
      </c>
      <c r="B669" s="188" t="n">
        <v>46210.0208937145</v>
      </c>
      <c r="C669" s="188" t="n">
        <v>46210.0233821404</v>
      </c>
      <c r="D669" s="189" t="s">
        <v>1141</v>
      </c>
      <c r="E669" s="189" t="s">
        <v>1142</v>
      </c>
      <c r="F669" s="189" t="s">
        <v>1142</v>
      </c>
      <c r="G669" s="189" t="s">
        <v>1143</v>
      </c>
      <c r="H669" s="188" t="n">
        <v>46200</v>
      </c>
      <c r="I669" s="189" t="s">
        <v>113</v>
      </c>
      <c r="J669" s="189" t="s">
        <v>128</v>
      </c>
      <c r="K669" s="189" t="s">
        <v>232</v>
      </c>
      <c r="L669" s="189" t="s">
        <v>346</v>
      </c>
      <c r="M669" s="189" t="s">
        <v>212</v>
      </c>
      <c r="N669" s="189" t="s">
        <v>1144</v>
      </c>
      <c r="O669" s="189" t="s">
        <v>107</v>
      </c>
      <c r="P669" s="189" t="s">
        <v>111</v>
      </c>
      <c r="Q669" s="189" t="s">
        <v>112</v>
      </c>
      <c r="R669" s="189" t="s">
        <v>22</v>
      </c>
      <c r="S669" s="189" t="s">
        <v>152</v>
      </c>
      <c r="T669" s="189" t="s">
        <v>264</v>
      </c>
      <c r="V669" s="189" t="s">
        <v>192</v>
      </c>
      <c r="W669" s="189" t="s">
        <v>124</v>
      </c>
      <c r="X669" s="189" t="s">
        <v>148</v>
      </c>
      <c r="Y669" s="189" t="s">
        <v>2113</v>
      </c>
      <c r="Z669" s="0" t="n">
        <v>1</v>
      </c>
      <c r="AA669" s="189" t="s">
        <v>2124</v>
      </c>
    </row>
    <row r="670" customFormat="false" ht="15" hidden="false" customHeight="false" outlineLevel="0" collapsed="false">
      <c r="A670" s="0" t="n">
        <v>135</v>
      </c>
      <c r="B670" s="188" t="n">
        <v>46210.0208937145</v>
      </c>
      <c r="C670" s="188" t="n">
        <v>46210.0233821404</v>
      </c>
      <c r="D670" s="189" t="s">
        <v>1141</v>
      </c>
      <c r="E670" s="189" t="s">
        <v>1142</v>
      </c>
      <c r="F670" s="189" t="s">
        <v>1142</v>
      </c>
      <c r="G670" s="189" t="s">
        <v>1143</v>
      </c>
      <c r="H670" s="188" t="n">
        <v>46200</v>
      </c>
      <c r="I670" s="189" t="s">
        <v>113</v>
      </c>
      <c r="J670" s="189" t="s">
        <v>128</v>
      </c>
      <c r="K670" s="189" t="s">
        <v>232</v>
      </c>
      <c r="L670" s="189" t="s">
        <v>346</v>
      </c>
      <c r="M670" s="189" t="s">
        <v>212</v>
      </c>
      <c r="N670" s="189" t="s">
        <v>1144</v>
      </c>
      <c r="O670" s="189" t="s">
        <v>107</v>
      </c>
      <c r="P670" s="189" t="s">
        <v>111</v>
      </c>
      <c r="Q670" s="189" t="s">
        <v>112</v>
      </c>
      <c r="R670" s="189" t="s">
        <v>22</v>
      </c>
      <c r="S670" s="189" t="s">
        <v>152</v>
      </c>
      <c r="T670" s="189" t="s">
        <v>264</v>
      </c>
      <c r="V670" s="189" t="s">
        <v>192</v>
      </c>
      <c r="W670" s="189" t="s">
        <v>124</v>
      </c>
      <c r="X670" s="189" t="s">
        <v>148</v>
      </c>
      <c r="Y670" s="189" t="s">
        <v>2113</v>
      </c>
      <c r="Z670" s="0" t="n">
        <v>2</v>
      </c>
      <c r="AA670" s="189" t="s">
        <v>2327</v>
      </c>
    </row>
    <row r="671" customFormat="false" ht="15" hidden="false" customHeight="false" outlineLevel="0" collapsed="false">
      <c r="A671" s="0" t="n">
        <v>136</v>
      </c>
      <c r="B671" s="188" t="n">
        <v>46183.850811469</v>
      </c>
      <c r="C671" s="188" t="n">
        <v>46183.8715637838</v>
      </c>
      <c r="D671" s="189" t="s">
        <v>1148</v>
      </c>
      <c r="E671" s="189" t="s">
        <v>1149</v>
      </c>
      <c r="F671" s="189" t="s">
        <v>1149</v>
      </c>
      <c r="G671" s="189" t="s">
        <v>1150</v>
      </c>
      <c r="H671" s="188" t="n">
        <v>46170</v>
      </c>
      <c r="I671" s="189" t="s">
        <v>132</v>
      </c>
      <c r="J671" s="189" t="s">
        <v>295</v>
      </c>
      <c r="K671" s="189" t="s">
        <v>196</v>
      </c>
      <c r="L671" s="189" t="s">
        <v>389</v>
      </c>
      <c r="M671" s="189" t="s">
        <v>1151</v>
      </c>
      <c r="N671" s="189" t="s">
        <v>758</v>
      </c>
      <c r="O671" s="189" t="s">
        <v>278</v>
      </c>
      <c r="P671" s="189" t="s">
        <v>111</v>
      </c>
      <c r="Q671" s="189" t="s">
        <v>112</v>
      </c>
      <c r="R671" s="189" t="s">
        <v>21</v>
      </c>
      <c r="S671" s="189" t="s">
        <v>152</v>
      </c>
      <c r="T671" s="189" t="s">
        <v>228</v>
      </c>
      <c r="V671" s="189" t="s">
        <v>167</v>
      </c>
      <c r="W671" s="189" t="s">
        <v>124</v>
      </c>
      <c r="X671" s="189" t="s">
        <v>457</v>
      </c>
      <c r="Y671" s="189" t="s">
        <v>2108</v>
      </c>
      <c r="Z671" s="0" t="n">
        <v>1</v>
      </c>
      <c r="AA671" s="189" t="s">
        <v>2151</v>
      </c>
    </row>
    <row r="672" customFormat="false" ht="15" hidden="false" customHeight="false" outlineLevel="0" collapsed="false">
      <c r="A672" s="0" t="n">
        <v>136</v>
      </c>
      <c r="B672" s="188" t="n">
        <v>46183.850811469</v>
      </c>
      <c r="C672" s="188" t="n">
        <v>46183.8715637838</v>
      </c>
      <c r="D672" s="189" t="s">
        <v>1148</v>
      </c>
      <c r="E672" s="189" t="s">
        <v>1149</v>
      </c>
      <c r="F672" s="189" t="s">
        <v>1149</v>
      </c>
      <c r="G672" s="189" t="s">
        <v>1150</v>
      </c>
      <c r="H672" s="188" t="n">
        <v>46170</v>
      </c>
      <c r="I672" s="189" t="s">
        <v>132</v>
      </c>
      <c r="J672" s="189" t="s">
        <v>295</v>
      </c>
      <c r="K672" s="189" t="s">
        <v>196</v>
      </c>
      <c r="L672" s="189" t="s">
        <v>389</v>
      </c>
      <c r="M672" s="189" t="s">
        <v>1151</v>
      </c>
      <c r="N672" s="189" t="s">
        <v>758</v>
      </c>
      <c r="O672" s="189" t="s">
        <v>278</v>
      </c>
      <c r="P672" s="189" t="s">
        <v>111</v>
      </c>
      <c r="Q672" s="189" t="s">
        <v>112</v>
      </c>
      <c r="R672" s="189" t="s">
        <v>21</v>
      </c>
      <c r="S672" s="189" t="s">
        <v>152</v>
      </c>
      <c r="T672" s="189" t="s">
        <v>228</v>
      </c>
      <c r="V672" s="189" t="s">
        <v>167</v>
      </c>
      <c r="W672" s="189" t="s">
        <v>124</v>
      </c>
      <c r="X672" s="189" t="s">
        <v>457</v>
      </c>
      <c r="Y672" s="189" t="s">
        <v>2108</v>
      </c>
      <c r="Z672" s="0" t="n">
        <v>2</v>
      </c>
      <c r="AA672" s="189" t="s">
        <v>2109</v>
      </c>
    </row>
    <row r="673" customFormat="false" ht="15" hidden="false" customHeight="false" outlineLevel="0" collapsed="false">
      <c r="A673" s="0" t="n">
        <v>136</v>
      </c>
      <c r="B673" s="188" t="n">
        <v>46183.850811469</v>
      </c>
      <c r="C673" s="188" t="n">
        <v>46183.8715637838</v>
      </c>
      <c r="D673" s="189" t="s">
        <v>1148</v>
      </c>
      <c r="E673" s="189" t="s">
        <v>1149</v>
      </c>
      <c r="F673" s="189" t="s">
        <v>1149</v>
      </c>
      <c r="G673" s="189" t="s">
        <v>1150</v>
      </c>
      <c r="H673" s="188" t="n">
        <v>46170</v>
      </c>
      <c r="I673" s="189" t="s">
        <v>132</v>
      </c>
      <c r="J673" s="189" t="s">
        <v>295</v>
      </c>
      <c r="K673" s="189" t="s">
        <v>196</v>
      </c>
      <c r="L673" s="189" t="s">
        <v>389</v>
      </c>
      <c r="M673" s="189" t="s">
        <v>1151</v>
      </c>
      <c r="N673" s="189" t="s">
        <v>758</v>
      </c>
      <c r="O673" s="189" t="s">
        <v>278</v>
      </c>
      <c r="P673" s="189" t="s">
        <v>111</v>
      </c>
      <c r="Q673" s="189" t="s">
        <v>112</v>
      </c>
      <c r="R673" s="189" t="s">
        <v>21</v>
      </c>
      <c r="S673" s="189" t="s">
        <v>152</v>
      </c>
      <c r="T673" s="189" t="s">
        <v>228</v>
      </c>
      <c r="V673" s="189" t="s">
        <v>167</v>
      </c>
      <c r="W673" s="189" t="s">
        <v>124</v>
      </c>
      <c r="X673" s="189" t="s">
        <v>457</v>
      </c>
      <c r="Y673" s="189" t="s">
        <v>2108</v>
      </c>
      <c r="Z673" s="0" t="n">
        <v>3</v>
      </c>
      <c r="AA673" s="189" t="s">
        <v>2183</v>
      </c>
    </row>
    <row r="674" customFormat="false" ht="15" hidden="false" customHeight="false" outlineLevel="0" collapsed="false">
      <c r="A674" s="0" t="n">
        <v>136</v>
      </c>
      <c r="B674" s="188" t="n">
        <v>46183.850811469</v>
      </c>
      <c r="C674" s="188" t="n">
        <v>46183.8715637838</v>
      </c>
      <c r="D674" s="189" t="s">
        <v>1148</v>
      </c>
      <c r="E674" s="189" t="s">
        <v>1149</v>
      </c>
      <c r="F674" s="189" t="s">
        <v>1149</v>
      </c>
      <c r="G674" s="189" t="s">
        <v>1150</v>
      </c>
      <c r="H674" s="188" t="n">
        <v>46170</v>
      </c>
      <c r="I674" s="189" t="s">
        <v>132</v>
      </c>
      <c r="J674" s="189" t="s">
        <v>295</v>
      </c>
      <c r="K674" s="189" t="s">
        <v>196</v>
      </c>
      <c r="L674" s="189" t="s">
        <v>389</v>
      </c>
      <c r="M674" s="189" t="s">
        <v>1151</v>
      </c>
      <c r="N674" s="189" t="s">
        <v>758</v>
      </c>
      <c r="O674" s="189" t="s">
        <v>278</v>
      </c>
      <c r="P674" s="189" t="s">
        <v>111</v>
      </c>
      <c r="Q674" s="189" t="s">
        <v>112</v>
      </c>
      <c r="R674" s="189" t="s">
        <v>21</v>
      </c>
      <c r="S674" s="189" t="s">
        <v>152</v>
      </c>
      <c r="T674" s="189" t="s">
        <v>228</v>
      </c>
      <c r="V674" s="189" t="s">
        <v>167</v>
      </c>
      <c r="W674" s="189" t="s">
        <v>124</v>
      </c>
      <c r="X674" s="189" t="s">
        <v>457</v>
      </c>
      <c r="Y674" s="189" t="s">
        <v>2110</v>
      </c>
      <c r="Z674" s="0" t="n">
        <v>1</v>
      </c>
      <c r="AA674" s="189" t="s">
        <v>2255</v>
      </c>
    </row>
    <row r="675" customFormat="false" ht="15" hidden="false" customHeight="false" outlineLevel="0" collapsed="false">
      <c r="A675" s="0" t="n">
        <v>136</v>
      </c>
      <c r="B675" s="188" t="n">
        <v>46183.850811469</v>
      </c>
      <c r="C675" s="188" t="n">
        <v>46183.8715637838</v>
      </c>
      <c r="D675" s="189" t="s">
        <v>1148</v>
      </c>
      <c r="E675" s="189" t="s">
        <v>1149</v>
      </c>
      <c r="F675" s="189" t="s">
        <v>1149</v>
      </c>
      <c r="G675" s="189" t="s">
        <v>1150</v>
      </c>
      <c r="H675" s="188" t="n">
        <v>46170</v>
      </c>
      <c r="I675" s="189" t="s">
        <v>132</v>
      </c>
      <c r="J675" s="189" t="s">
        <v>295</v>
      </c>
      <c r="K675" s="189" t="s">
        <v>196</v>
      </c>
      <c r="L675" s="189" t="s">
        <v>389</v>
      </c>
      <c r="M675" s="189" t="s">
        <v>1151</v>
      </c>
      <c r="N675" s="189" t="s">
        <v>758</v>
      </c>
      <c r="O675" s="189" t="s">
        <v>278</v>
      </c>
      <c r="P675" s="189" t="s">
        <v>111</v>
      </c>
      <c r="Q675" s="189" t="s">
        <v>112</v>
      </c>
      <c r="R675" s="189" t="s">
        <v>21</v>
      </c>
      <c r="S675" s="189" t="s">
        <v>152</v>
      </c>
      <c r="T675" s="189" t="s">
        <v>228</v>
      </c>
      <c r="V675" s="189" t="s">
        <v>167</v>
      </c>
      <c r="W675" s="189" t="s">
        <v>124</v>
      </c>
      <c r="X675" s="189" t="s">
        <v>457</v>
      </c>
      <c r="Y675" s="189" t="s">
        <v>2113</v>
      </c>
      <c r="Z675" s="0" t="n">
        <v>1</v>
      </c>
      <c r="AA675" s="189" t="s">
        <v>122</v>
      </c>
    </row>
    <row r="676" customFormat="false" ht="15" hidden="false" customHeight="false" outlineLevel="0" collapsed="false">
      <c r="A676" s="0" t="n">
        <v>137</v>
      </c>
      <c r="B676" s="188" t="n">
        <v>46139.1161653679</v>
      </c>
      <c r="C676" s="188" t="n">
        <v>46139.1195797198</v>
      </c>
      <c r="D676" s="189" t="s">
        <v>1153</v>
      </c>
      <c r="E676" s="189" t="s">
        <v>1154</v>
      </c>
      <c r="F676" s="189" t="s">
        <v>1154</v>
      </c>
      <c r="G676" s="189" t="s">
        <v>1155</v>
      </c>
      <c r="H676" s="188" t="n">
        <v>46124</v>
      </c>
      <c r="I676" s="189" t="s">
        <v>113</v>
      </c>
      <c r="J676" s="189" t="s">
        <v>108</v>
      </c>
      <c r="K676" s="189" t="s">
        <v>364</v>
      </c>
      <c r="L676" s="189" t="s">
        <v>268</v>
      </c>
      <c r="M676" s="189" t="s">
        <v>594</v>
      </c>
      <c r="N676" s="189" t="s">
        <v>1156</v>
      </c>
      <c r="O676" s="189" t="s">
        <v>157</v>
      </c>
      <c r="P676" s="189" t="s">
        <v>111</v>
      </c>
      <c r="Q676" s="189" t="s">
        <v>112</v>
      </c>
      <c r="R676" s="189" t="s">
        <v>24</v>
      </c>
      <c r="S676" s="189" t="s">
        <v>152</v>
      </c>
      <c r="T676" s="189" t="s">
        <v>121</v>
      </c>
      <c r="V676" s="189" t="s">
        <v>167</v>
      </c>
      <c r="W676" s="189" t="s">
        <v>124</v>
      </c>
      <c r="X676" s="189" t="s">
        <v>19</v>
      </c>
      <c r="Y676" s="189" t="s">
        <v>2216</v>
      </c>
      <c r="Z676" s="0" t="n">
        <v>1</v>
      </c>
      <c r="AA676" s="189" t="s">
        <v>880</v>
      </c>
    </row>
    <row r="677" customFormat="false" ht="15" hidden="false" customHeight="false" outlineLevel="0" collapsed="false">
      <c r="A677" s="0" t="n">
        <v>138</v>
      </c>
      <c r="B677" s="188" t="n">
        <v>46181.8479156506</v>
      </c>
      <c r="C677" s="188" t="n">
        <v>46181.8605776877</v>
      </c>
      <c r="D677" s="189" t="s">
        <v>1157</v>
      </c>
      <c r="E677" s="189" t="s">
        <v>1158</v>
      </c>
      <c r="F677" s="189" t="s">
        <v>1158</v>
      </c>
      <c r="G677" s="189" t="s">
        <v>1159</v>
      </c>
      <c r="H677" s="188" t="n">
        <v>46164</v>
      </c>
      <c r="I677" s="189" t="s">
        <v>113</v>
      </c>
      <c r="J677" s="189" t="s">
        <v>108</v>
      </c>
      <c r="K677" s="189" t="s">
        <v>364</v>
      </c>
      <c r="L677" s="189" t="s">
        <v>246</v>
      </c>
      <c r="M677" s="189" t="s">
        <v>144</v>
      </c>
      <c r="N677" s="189" t="s">
        <v>1160</v>
      </c>
      <c r="O677" s="189" t="s">
        <v>172</v>
      </c>
      <c r="P677" s="189" t="s">
        <v>131</v>
      </c>
      <c r="Q677" s="189" t="s">
        <v>145</v>
      </c>
      <c r="R677" s="189" t="s">
        <v>22</v>
      </c>
      <c r="S677" s="189" t="s">
        <v>152</v>
      </c>
      <c r="T677" s="189" t="s">
        <v>121</v>
      </c>
      <c r="U677" s="189" t="s">
        <v>122</v>
      </c>
      <c r="V677" s="189" t="s">
        <v>123</v>
      </c>
      <c r="W677" s="189" t="s">
        <v>168</v>
      </c>
      <c r="X677" s="189" t="s">
        <v>135</v>
      </c>
      <c r="Y677" s="189" t="s">
        <v>2108</v>
      </c>
      <c r="Z677" s="0" t="n">
        <v>1</v>
      </c>
      <c r="AA677" s="189" t="s">
        <v>2245</v>
      </c>
    </row>
    <row r="678" customFormat="false" ht="15" hidden="false" customHeight="false" outlineLevel="0" collapsed="false">
      <c r="A678" s="0" t="n">
        <v>138</v>
      </c>
      <c r="B678" s="188" t="n">
        <v>46181.8479156506</v>
      </c>
      <c r="C678" s="188" t="n">
        <v>46181.8605776877</v>
      </c>
      <c r="D678" s="189" t="s">
        <v>1157</v>
      </c>
      <c r="E678" s="189" t="s">
        <v>1158</v>
      </c>
      <c r="F678" s="189" t="s">
        <v>1158</v>
      </c>
      <c r="G678" s="189" t="s">
        <v>1159</v>
      </c>
      <c r="H678" s="188" t="n">
        <v>46164</v>
      </c>
      <c r="I678" s="189" t="s">
        <v>113</v>
      </c>
      <c r="J678" s="189" t="s">
        <v>108</v>
      </c>
      <c r="K678" s="189" t="s">
        <v>364</v>
      </c>
      <c r="L678" s="189" t="s">
        <v>246</v>
      </c>
      <c r="M678" s="189" t="s">
        <v>144</v>
      </c>
      <c r="N678" s="189" t="s">
        <v>1160</v>
      </c>
      <c r="O678" s="189" t="s">
        <v>172</v>
      </c>
      <c r="P678" s="189" t="s">
        <v>131</v>
      </c>
      <c r="Q678" s="189" t="s">
        <v>145</v>
      </c>
      <c r="R678" s="189" t="s">
        <v>22</v>
      </c>
      <c r="S678" s="189" t="s">
        <v>152</v>
      </c>
      <c r="T678" s="189" t="s">
        <v>121</v>
      </c>
      <c r="U678" s="189" t="s">
        <v>122</v>
      </c>
      <c r="V678" s="189" t="s">
        <v>123</v>
      </c>
      <c r="W678" s="189" t="s">
        <v>168</v>
      </c>
      <c r="X678" s="189" t="s">
        <v>135</v>
      </c>
      <c r="Y678" s="189" t="s">
        <v>2108</v>
      </c>
      <c r="Z678" s="0" t="n">
        <v>2</v>
      </c>
      <c r="AA678" s="189" t="s">
        <v>2227</v>
      </c>
    </row>
    <row r="679" customFormat="false" ht="15" hidden="false" customHeight="false" outlineLevel="0" collapsed="false">
      <c r="A679" s="0" t="n">
        <v>138</v>
      </c>
      <c r="B679" s="188" t="n">
        <v>46181.8479156506</v>
      </c>
      <c r="C679" s="188" t="n">
        <v>46181.8605776877</v>
      </c>
      <c r="D679" s="189" t="s">
        <v>1157</v>
      </c>
      <c r="E679" s="189" t="s">
        <v>1158</v>
      </c>
      <c r="F679" s="189" t="s">
        <v>1158</v>
      </c>
      <c r="G679" s="189" t="s">
        <v>1159</v>
      </c>
      <c r="H679" s="188" t="n">
        <v>46164</v>
      </c>
      <c r="I679" s="189" t="s">
        <v>113</v>
      </c>
      <c r="J679" s="189" t="s">
        <v>108</v>
      </c>
      <c r="K679" s="189" t="s">
        <v>364</v>
      </c>
      <c r="L679" s="189" t="s">
        <v>246</v>
      </c>
      <c r="M679" s="189" t="s">
        <v>144</v>
      </c>
      <c r="N679" s="189" t="s">
        <v>1160</v>
      </c>
      <c r="O679" s="189" t="s">
        <v>172</v>
      </c>
      <c r="P679" s="189" t="s">
        <v>131</v>
      </c>
      <c r="Q679" s="189" t="s">
        <v>145</v>
      </c>
      <c r="R679" s="189" t="s">
        <v>22</v>
      </c>
      <c r="S679" s="189" t="s">
        <v>152</v>
      </c>
      <c r="T679" s="189" t="s">
        <v>121</v>
      </c>
      <c r="U679" s="189" t="s">
        <v>122</v>
      </c>
      <c r="V679" s="189" t="s">
        <v>123</v>
      </c>
      <c r="W679" s="189" t="s">
        <v>168</v>
      </c>
      <c r="X679" s="189" t="s">
        <v>135</v>
      </c>
      <c r="Y679" s="189" t="s">
        <v>2108</v>
      </c>
      <c r="Z679" s="0" t="n">
        <v>3</v>
      </c>
      <c r="AA679" s="189" t="s">
        <v>2115</v>
      </c>
    </row>
    <row r="680" customFormat="false" ht="15" hidden="false" customHeight="false" outlineLevel="0" collapsed="false">
      <c r="A680" s="0" t="n">
        <v>138</v>
      </c>
      <c r="B680" s="188" t="n">
        <v>46181.8479156506</v>
      </c>
      <c r="C680" s="188" t="n">
        <v>46181.8605776877</v>
      </c>
      <c r="D680" s="189" t="s">
        <v>1157</v>
      </c>
      <c r="E680" s="189" t="s">
        <v>1158</v>
      </c>
      <c r="F680" s="189" t="s">
        <v>1158</v>
      </c>
      <c r="G680" s="189" t="s">
        <v>1159</v>
      </c>
      <c r="H680" s="188" t="n">
        <v>46164</v>
      </c>
      <c r="I680" s="189" t="s">
        <v>113</v>
      </c>
      <c r="J680" s="189" t="s">
        <v>108</v>
      </c>
      <c r="K680" s="189" t="s">
        <v>364</v>
      </c>
      <c r="L680" s="189" t="s">
        <v>246</v>
      </c>
      <c r="M680" s="189" t="s">
        <v>144</v>
      </c>
      <c r="N680" s="189" t="s">
        <v>1160</v>
      </c>
      <c r="O680" s="189" t="s">
        <v>172</v>
      </c>
      <c r="P680" s="189" t="s">
        <v>131</v>
      </c>
      <c r="Q680" s="189" t="s">
        <v>145</v>
      </c>
      <c r="R680" s="189" t="s">
        <v>22</v>
      </c>
      <c r="S680" s="189" t="s">
        <v>152</v>
      </c>
      <c r="T680" s="189" t="s">
        <v>121</v>
      </c>
      <c r="U680" s="189" t="s">
        <v>122</v>
      </c>
      <c r="V680" s="189" t="s">
        <v>123</v>
      </c>
      <c r="W680" s="189" t="s">
        <v>168</v>
      </c>
      <c r="X680" s="189" t="s">
        <v>135</v>
      </c>
      <c r="Y680" s="189" t="s">
        <v>2110</v>
      </c>
      <c r="Z680" s="0" t="n">
        <v>1</v>
      </c>
      <c r="AA680" s="189" t="s">
        <v>2228</v>
      </c>
    </row>
    <row r="681" customFormat="false" ht="15" hidden="false" customHeight="false" outlineLevel="0" collapsed="false">
      <c r="A681" s="0" t="n">
        <v>138</v>
      </c>
      <c r="B681" s="188" t="n">
        <v>46181.8479156506</v>
      </c>
      <c r="C681" s="188" t="n">
        <v>46181.8605776877</v>
      </c>
      <c r="D681" s="189" t="s">
        <v>1157</v>
      </c>
      <c r="E681" s="189" t="s">
        <v>1158</v>
      </c>
      <c r="F681" s="189" t="s">
        <v>1158</v>
      </c>
      <c r="G681" s="189" t="s">
        <v>1159</v>
      </c>
      <c r="H681" s="188" t="n">
        <v>46164</v>
      </c>
      <c r="I681" s="189" t="s">
        <v>113</v>
      </c>
      <c r="J681" s="189" t="s">
        <v>108</v>
      </c>
      <c r="K681" s="189" t="s">
        <v>364</v>
      </c>
      <c r="L681" s="189" t="s">
        <v>246</v>
      </c>
      <c r="M681" s="189" t="s">
        <v>144</v>
      </c>
      <c r="N681" s="189" t="s">
        <v>1160</v>
      </c>
      <c r="O681" s="189" t="s">
        <v>172</v>
      </c>
      <c r="P681" s="189" t="s">
        <v>131</v>
      </c>
      <c r="Q681" s="189" t="s">
        <v>145</v>
      </c>
      <c r="R681" s="189" t="s">
        <v>22</v>
      </c>
      <c r="S681" s="189" t="s">
        <v>152</v>
      </c>
      <c r="T681" s="189" t="s">
        <v>121</v>
      </c>
      <c r="U681" s="189" t="s">
        <v>122</v>
      </c>
      <c r="V681" s="189" t="s">
        <v>123</v>
      </c>
      <c r="W681" s="189" t="s">
        <v>168</v>
      </c>
      <c r="X681" s="189" t="s">
        <v>135</v>
      </c>
      <c r="Y681" s="189" t="s">
        <v>2110</v>
      </c>
      <c r="Z681" s="0" t="n">
        <v>2</v>
      </c>
      <c r="AA681" s="189" t="s">
        <v>2236</v>
      </c>
    </row>
    <row r="682" customFormat="false" ht="15" hidden="false" customHeight="false" outlineLevel="0" collapsed="false">
      <c r="A682" s="0" t="n">
        <v>138</v>
      </c>
      <c r="B682" s="188" t="n">
        <v>46181.8479156506</v>
      </c>
      <c r="C682" s="188" t="n">
        <v>46181.8605776877</v>
      </c>
      <c r="D682" s="189" t="s">
        <v>1157</v>
      </c>
      <c r="E682" s="189" t="s">
        <v>1158</v>
      </c>
      <c r="F682" s="189" t="s">
        <v>1158</v>
      </c>
      <c r="G682" s="189" t="s">
        <v>1159</v>
      </c>
      <c r="H682" s="188" t="n">
        <v>46164</v>
      </c>
      <c r="I682" s="189" t="s">
        <v>113</v>
      </c>
      <c r="J682" s="189" t="s">
        <v>108</v>
      </c>
      <c r="K682" s="189" t="s">
        <v>364</v>
      </c>
      <c r="L682" s="189" t="s">
        <v>246</v>
      </c>
      <c r="M682" s="189" t="s">
        <v>144</v>
      </c>
      <c r="N682" s="189" t="s">
        <v>1160</v>
      </c>
      <c r="O682" s="189" t="s">
        <v>172</v>
      </c>
      <c r="P682" s="189" t="s">
        <v>131</v>
      </c>
      <c r="Q682" s="189" t="s">
        <v>145</v>
      </c>
      <c r="R682" s="189" t="s">
        <v>22</v>
      </c>
      <c r="S682" s="189" t="s">
        <v>152</v>
      </c>
      <c r="T682" s="189" t="s">
        <v>121</v>
      </c>
      <c r="U682" s="189" t="s">
        <v>122</v>
      </c>
      <c r="V682" s="189" t="s">
        <v>123</v>
      </c>
      <c r="W682" s="189" t="s">
        <v>168</v>
      </c>
      <c r="X682" s="189" t="s">
        <v>135</v>
      </c>
      <c r="Y682" s="189" t="s">
        <v>2113</v>
      </c>
      <c r="Z682" s="0" t="n">
        <v>1</v>
      </c>
      <c r="AA682" s="189" t="s">
        <v>122</v>
      </c>
    </row>
    <row r="683" customFormat="false" ht="15" hidden="false" customHeight="false" outlineLevel="0" collapsed="false">
      <c r="A683" s="0" t="n">
        <v>139</v>
      </c>
      <c r="B683" s="188" t="n">
        <v>46055.4180430237</v>
      </c>
      <c r="C683" s="188" t="n">
        <v>46055.4381356163</v>
      </c>
      <c r="D683" s="189" t="s">
        <v>1163</v>
      </c>
      <c r="E683" s="189" t="s">
        <v>1164</v>
      </c>
      <c r="F683" s="189" t="s">
        <v>1164</v>
      </c>
      <c r="G683" s="189" t="s">
        <v>1165</v>
      </c>
      <c r="H683" s="188" t="n">
        <v>46052</v>
      </c>
      <c r="I683" s="189" t="s">
        <v>113</v>
      </c>
      <c r="J683" s="189" t="s">
        <v>108</v>
      </c>
      <c r="K683" s="189" t="s">
        <v>1166</v>
      </c>
      <c r="L683" s="189" t="s">
        <v>144</v>
      </c>
      <c r="M683" s="189" t="s">
        <v>185</v>
      </c>
      <c r="N683" s="189" t="s">
        <v>1028</v>
      </c>
      <c r="O683" s="189" t="s">
        <v>244</v>
      </c>
      <c r="P683" s="189" t="s">
        <v>111</v>
      </c>
      <c r="Q683" s="189" t="s">
        <v>112</v>
      </c>
      <c r="R683" s="189" t="s">
        <v>22</v>
      </c>
      <c r="S683" s="189" t="s">
        <v>152</v>
      </c>
      <c r="T683" s="189" t="s">
        <v>180</v>
      </c>
      <c r="U683" s="189" t="s">
        <v>122</v>
      </c>
      <c r="V683" s="189" t="s">
        <v>192</v>
      </c>
      <c r="W683" s="189" t="s">
        <v>168</v>
      </c>
      <c r="X683" s="189" t="s">
        <v>116</v>
      </c>
      <c r="Y683" s="189" t="s">
        <v>2108</v>
      </c>
      <c r="Z683" s="0" t="n">
        <v>1</v>
      </c>
      <c r="AA683" s="189" t="s">
        <v>2109</v>
      </c>
    </row>
    <row r="684" customFormat="false" ht="15" hidden="false" customHeight="false" outlineLevel="0" collapsed="false">
      <c r="A684" s="0" t="n">
        <v>139</v>
      </c>
      <c r="B684" s="188" t="n">
        <v>46055.4180430237</v>
      </c>
      <c r="C684" s="188" t="n">
        <v>46055.4381356163</v>
      </c>
      <c r="D684" s="189" t="s">
        <v>1163</v>
      </c>
      <c r="E684" s="189" t="s">
        <v>1164</v>
      </c>
      <c r="F684" s="189" t="s">
        <v>1164</v>
      </c>
      <c r="G684" s="189" t="s">
        <v>1165</v>
      </c>
      <c r="H684" s="188" t="n">
        <v>46052</v>
      </c>
      <c r="I684" s="189" t="s">
        <v>113</v>
      </c>
      <c r="J684" s="189" t="s">
        <v>108</v>
      </c>
      <c r="K684" s="189" t="s">
        <v>1166</v>
      </c>
      <c r="L684" s="189" t="s">
        <v>144</v>
      </c>
      <c r="M684" s="189" t="s">
        <v>185</v>
      </c>
      <c r="N684" s="189" t="s">
        <v>1028</v>
      </c>
      <c r="O684" s="189" t="s">
        <v>244</v>
      </c>
      <c r="P684" s="189" t="s">
        <v>111</v>
      </c>
      <c r="Q684" s="189" t="s">
        <v>112</v>
      </c>
      <c r="R684" s="189" t="s">
        <v>22</v>
      </c>
      <c r="S684" s="189" t="s">
        <v>152</v>
      </c>
      <c r="T684" s="189" t="s">
        <v>180</v>
      </c>
      <c r="U684" s="189" t="s">
        <v>122</v>
      </c>
      <c r="V684" s="189" t="s">
        <v>192</v>
      </c>
      <c r="W684" s="189" t="s">
        <v>168</v>
      </c>
      <c r="X684" s="189" t="s">
        <v>116</v>
      </c>
      <c r="Y684" s="189" t="s">
        <v>2108</v>
      </c>
      <c r="Z684" s="0" t="n">
        <v>2</v>
      </c>
      <c r="AA684" s="189" t="s">
        <v>2183</v>
      </c>
    </row>
    <row r="685" customFormat="false" ht="15" hidden="false" customHeight="false" outlineLevel="0" collapsed="false">
      <c r="A685" s="0" t="n">
        <v>139</v>
      </c>
      <c r="B685" s="188" t="n">
        <v>46055.4180430237</v>
      </c>
      <c r="C685" s="188" t="n">
        <v>46055.4381356163</v>
      </c>
      <c r="D685" s="189" t="s">
        <v>1163</v>
      </c>
      <c r="E685" s="189" t="s">
        <v>1164</v>
      </c>
      <c r="F685" s="189" t="s">
        <v>1164</v>
      </c>
      <c r="G685" s="189" t="s">
        <v>1165</v>
      </c>
      <c r="H685" s="188" t="n">
        <v>46052</v>
      </c>
      <c r="I685" s="189" t="s">
        <v>113</v>
      </c>
      <c r="J685" s="189" t="s">
        <v>108</v>
      </c>
      <c r="K685" s="189" t="s">
        <v>1166</v>
      </c>
      <c r="L685" s="189" t="s">
        <v>144</v>
      </c>
      <c r="M685" s="189" t="s">
        <v>185</v>
      </c>
      <c r="N685" s="189" t="s">
        <v>1028</v>
      </c>
      <c r="O685" s="189" t="s">
        <v>244</v>
      </c>
      <c r="P685" s="189" t="s">
        <v>111</v>
      </c>
      <c r="Q685" s="189" t="s">
        <v>112</v>
      </c>
      <c r="R685" s="189" t="s">
        <v>22</v>
      </c>
      <c r="S685" s="189" t="s">
        <v>152</v>
      </c>
      <c r="T685" s="189" t="s">
        <v>180</v>
      </c>
      <c r="U685" s="189" t="s">
        <v>122</v>
      </c>
      <c r="V685" s="189" t="s">
        <v>192</v>
      </c>
      <c r="W685" s="189" t="s">
        <v>168</v>
      </c>
      <c r="X685" s="189" t="s">
        <v>116</v>
      </c>
      <c r="Y685" s="189" t="s">
        <v>2110</v>
      </c>
      <c r="Z685" s="0" t="n">
        <v>1</v>
      </c>
      <c r="AA685" s="189" t="s">
        <v>2112</v>
      </c>
    </row>
    <row r="686" customFormat="false" ht="15" hidden="false" customHeight="false" outlineLevel="0" collapsed="false">
      <c r="A686" s="0" t="n">
        <v>139</v>
      </c>
      <c r="B686" s="188" t="n">
        <v>46055.4180430237</v>
      </c>
      <c r="C686" s="188" t="n">
        <v>46055.4381356163</v>
      </c>
      <c r="D686" s="189" t="s">
        <v>1163</v>
      </c>
      <c r="E686" s="189" t="s">
        <v>1164</v>
      </c>
      <c r="F686" s="189" t="s">
        <v>1164</v>
      </c>
      <c r="G686" s="189" t="s">
        <v>1165</v>
      </c>
      <c r="H686" s="188" t="n">
        <v>46052</v>
      </c>
      <c r="I686" s="189" t="s">
        <v>113</v>
      </c>
      <c r="J686" s="189" t="s">
        <v>108</v>
      </c>
      <c r="K686" s="189" t="s">
        <v>1166</v>
      </c>
      <c r="L686" s="189" t="s">
        <v>144</v>
      </c>
      <c r="M686" s="189" t="s">
        <v>185</v>
      </c>
      <c r="N686" s="189" t="s">
        <v>1028</v>
      </c>
      <c r="O686" s="189" t="s">
        <v>244</v>
      </c>
      <c r="P686" s="189" t="s">
        <v>111</v>
      </c>
      <c r="Q686" s="189" t="s">
        <v>112</v>
      </c>
      <c r="R686" s="189" t="s">
        <v>22</v>
      </c>
      <c r="S686" s="189" t="s">
        <v>152</v>
      </c>
      <c r="T686" s="189" t="s">
        <v>180</v>
      </c>
      <c r="U686" s="189" t="s">
        <v>122</v>
      </c>
      <c r="V686" s="189" t="s">
        <v>192</v>
      </c>
      <c r="W686" s="189" t="s">
        <v>168</v>
      </c>
      <c r="X686" s="189" t="s">
        <v>116</v>
      </c>
      <c r="Y686" s="189" t="s">
        <v>2110</v>
      </c>
      <c r="Z686" s="0" t="n">
        <v>2</v>
      </c>
      <c r="AA686" s="189" t="s">
        <v>2111</v>
      </c>
    </row>
    <row r="687" customFormat="false" ht="15" hidden="false" customHeight="false" outlineLevel="0" collapsed="false">
      <c r="A687" s="0" t="n">
        <v>139</v>
      </c>
      <c r="B687" s="188" t="n">
        <v>46055.4180430237</v>
      </c>
      <c r="C687" s="188" t="n">
        <v>46055.4381356163</v>
      </c>
      <c r="D687" s="189" t="s">
        <v>1163</v>
      </c>
      <c r="E687" s="189" t="s">
        <v>1164</v>
      </c>
      <c r="F687" s="189" t="s">
        <v>1164</v>
      </c>
      <c r="G687" s="189" t="s">
        <v>1165</v>
      </c>
      <c r="H687" s="188" t="n">
        <v>46052</v>
      </c>
      <c r="I687" s="189" t="s">
        <v>113</v>
      </c>
      <c r="J687" s="189" t="s">
        <v>108</v>
      </c>
      <c r="K687" s="189" t="s">
        <v>1166</v>
      </c>
      <c r="L687" s="189" t="s">
        <v>144</v>
      </c>
      <c r="M687" s="189" t="s">
        <v>185</v>
      </c>
      <c r="N687" s="189" t="s">
        <v>1028</v>
      </c>
      <c r="O687" s="189" t="s">
        <v>244</v>
      </c>
      <c r="P687" s="189" t="s">
        <v>111</v>
      </c>
      <c r="Q687" s="189" t="s">
        <v>112</v>
      </c>
      <c r="R687" s="189" t="s">
        <v>22</v>
      </c>
      <c r="S687" s="189" t="s">
        <v>152</v>
      </c>
      <c r="T687" s="189" t="s">
        <v>180</v>
      </c>
      <c r="U687" s="189" t="s">
        <v>122</v>
      </c>
      <c r="V687" s="189" t="s">
        <v>192</v>
      </c>
      <c r="W687" s="189" t="s">
        <v>168</v>
      </c>
      <c r="X687" s="189" t="s">
        <v>116</v>
      </c>
      <c r="Y687" s="189" t="s">
        <v>2113</v>
      </c>
      <c r="Z687" s="0" t="n">
        <v>1</v>
      </c>
      <c r="AA687" s="189" t="s">
        <v>2184</v>
      </c>
    </row>
    <row r="688" customFormat="false" ht="15" hidden="false" customHeight="false" outlineLevel="0" collapsed="false">
      <c r="A688" s="0" t="n">
        <v>139</v>
      </c>
      <c r="B688" s="188" t="n">
        <v>46055.4180430237</v>
      </c>
      <c r="C688" s="188" t="n">
        <v>46055.4381356163</v>
      </c>
      <c r="D688" s="189" t="s">
        <v>1163</v>
      </c>
      <c r="E688" s="189" t="s">
        <v>1164</v>
      </c>
      <c r="F688" s="189" t="s">
        <v>1164</v>
      </c>
      <c r="G688" s="189" t="s">
        <v>1165</v>
      </c>
      <c r="H688" s="188" t="n">
        <v>46052</v>
      </c>
      <c r="I688" s="189" t="s">
        <v>113</v>
      </c>
      <c r="J688" s="189" t="s">
        <v>108</v>
      </c>
      <c r="K688" s="189" t="s">
        <v>1166</v>
      </c>
      <c r="L688" s="189" t="s">
        <v>144</v>
      </c>
      <c r="M688" s="189" t="s">
        <v>185</v>
      </c>
      <c r="N688" s="189" t="s">
        <v>1028</v>
      </c>
      <c r="O688" s="189" t="s">
        <v>244</v>
      </c>
      <c r="P688" s="189" t="s">
        <v>111</v>
      </c>
      <c r="Q688" s="189" t="s">
        <v>112</v>
      </c>
      <c r="R688" s="189" t="s">
        <v>22</v>
      </c>
      <c r="S688" s="189" t="s">
        <v>152</v>
      </c>
      <c r="T688" s="189" t="s">
        <v>180</v>
      </c>
      <c r="U688" s="189" t="s">
        <v>122</v>
      </c>
      <c r="V688" s="189" t="s">
        <v>192</v>
      </c>
      <c r="W688" s="189" t="s">
        <v>168</v>
      </c>
      <c r="X688" s="189" t="s">
        <v>116</v>
      </c>
      <c r="Y688" s="189" t="s">
        <v>2113</v>
      </c>
      <c r="Z688" s="0" t="n">
        <v>2</v>
      </c>
      <c r="AA688" s="189" t="s">
        <v>2127</v>
      </c>
    </row>
    <row r="689" customFormat="false" ht="15" hidden="false" customHeight="false" outlineLevel="0" collapsed="false">
      <c r="A689" s="0" t="n">
        <v>140</v>
      </c>
      <c r="B689" s="188" t="n">
        <v>46199.6184828928</v>
      </c>
      <c r="C689" s="188" t="n">
        <v>46199.6226842817</v>
      </c>
      <c r="D689" s="189" t="s">
        <v>1169</v>
      </c>
      <c r="E689" s="189" t="s">
        <v>1170</v>
      </c>
      <c r="F689" s="189" t="s">
        <v>1170</v>
      </c>
      <c r="G689" s="189" t="s">
        <v>1171</v>
      </c>
      <c r="H689" s="188" t="n">
        <v>46194</v>
      </c>
      <c r="I689" s="189" t="s">
        <v>132</v>
      </c>
      <c r="J689" s="189" t="s">
        <v>108</v>
      </c>
      <c r="K689" s="189" t="s">
        <v>173</v>
      </c>
      <c r="L689" s="189" t="s">
        <v>268</v>
      </c>
      <c r="M689" s="189" t="s">
        <v>484</v>
      </c>
      <c r="N689" s="189" t="s">
        <v>337</v>
      </c>
      <c r="O689" s="189" t="s">
        <v>107</v>
      </c>
      <c r="P689" s="189" t="s">
        <v>111</v>
      </c>
      <c r="Q689" s="189" t="s">
        <v>112</v>
      </c>
      <c r="R689" s="189" t="s">
        <v>22</v>
      </c>
      <c r="S689" s="189" t="s">
        <v>152</v>
      </c>
      <c r="T689" s="189" t="s">
        <v>121</v>
      </c>
      <c r="U689" s="189" t="s">
        <v>1174</v>
      </c>
      <c r="V689" s="189" t="s">
        <v>192</v>
      </c>
      <c r="W689" s="189" t="s">
        <v>124</v>
      </c>
      <c r="X689" s="189" t="s">
        <v>339</v>
      </c>
      <c r="Y689" s="189" t="s">
        <v>2108</v>
      </c>
      <c r="Z689" s="0" t="n">
        <v>1</v>
      </c>
      <c r="AA689" s="189" t="s">
        <v>2260</v>
      </c>
    </row>
    <row r="690" customFormat="false" ht="15" hidden="false" customHeight="false" outlineLevel="0" collapsed="false">
      <c r="A690" s="0" t="n">
        <v>140</v>
      </c>
      <c r="B690" s="188" t="n">
        <v>46199.6184828928</v>
      </c>
      <c r="C690" s="188" t="n">
        <v>46199.6226842817</v>
      </c>
      <c r="D690" s="189" t="s">
        <v>1169</v>
      </c>
      <c r="E690" s="189" t="s">
        <v>1170</v>
      </c>
      <c r="F690" s="189" t="s">
        <v>1170</v>
      </c>
      <c r="G690" s="189" t="s">
        <v>1171</v>
      </c>
      <c r="H690" s="188" t="n">
        <v>46194</v>
      </c>
      <c r="I690" s="189" t="s">
        <v>132</v>
      </c>
      <c r="J690" s="189" t="s">
        <v>108</v>
      </c>
      <c r="K690" s="189" t="s">
        <v>173</v>
      </c>
      <c r="L690" s="189" t="s">
        <v>268</v>
      </c>
      <c r="M690" s="189" t="s">
        <v>484</v>
      </c>
      <c r="N690" s="189" t="s">
        <v>337</v>
      </c>
      <c r="O690" s="189" t="s">
        <v>107</v>
      </c>
      <c r="P690" s="189" t="s">
        <v>111</v>
      </c>
      <c r="Q690" s="189" t="s">
        <v>112</v>
      </c>
      <c r="R690" s="189" t="s">
        <v>22</v>
      </c>
      <c r="S690" s="189" t="s">
        <v>152</v>
      </c>
      <c r="T690" s="189" t="s">
        <v>121</v>
      </c>
      <c r="U690" s="189" t="s">
        <v>1174</v>
      </c>
      <c r="V690" s="189" t="s">
        <v>192</v>
      </c>
      <c r="W690" s="189" t="s">
        <v>124</v>
      </c>
      <c r="X690" s="189" t="s">
        <v>339</v>
      </c>
      <c r="Y690" s="189" t="s">
        <v>2110</v>
      </c>
      <c r="Z690" s="0" t="n">
        <v>1</v>
      </c>
      <c r="AA690" s="189" t="s">
        <v>2305</v>
      </c>
    </row>
    <row r="691" customFormat="false" ht="15" hidden="false" customHeight="false" outlineLevel="0" collapsed="false">
      <c r="A691" s="0" t="n">
        <v>140</v>
      </c>
      <c r="B691" s="188" t="n">
        <v>46199.6184828928</v>
      </c>
      <c r="C691" s="188" t="n">
        <v>46199.6226842817</v>
      </c>
      <c r="D691" s="189" t="s">
        <v>1169</v>
      </c>
      <c r="E691" s="189" t="s">
        <v>1170</v>
      </c>
      <c r="F691" s="189" t="s">
        <v>1170</v>
      </c>
      <c r="G691" s="189" t="s">
        <v>1171</v>
      </c>
      <c r="H691" s="188" t="n">
        <v>46194</v>
      </c>
      <c r="I691" s="189" t="s">
        <v>132</v>
      </c>
      <c r="J691" s="189" t="s">
        <v>108</v>
      </c>
      <c r="K691" s="189" t="s">
        <v>173</v>
      </c>
      <c r="L691" s="189" t="s">
        <v>268</v>
      </c>
      <c r="M691" s="189" t="s">
        <v>484</v>
      </c>
      <c r="N691" s="189" t="s">
        <v>337</v>
      </c>
      <c r="O691" s="189" t="s">
        <v>107</v>
      </c>
      <c r="P691" s="189" t="s">
        <v>111</v>
      </c>
      <c r="Q691" s="189" t="s">
        <v>112</v>
      </c>
      <c r="R691" s="189" t="s">
        <v>22</v>
      </c>
      <c r="S691" s="189" t="s">
        <v>152</v>
      </c>
      <c r="T691" s="189" t="s">
        <v>121</v>
      </c>
      <c r="U691" s="189" t="s">
        <v>1174</v>
      </c>
      <c r="V691" s="189" t="s">
        <v>192</v>
      </c>
      <c r="W691" s="189" t="s">
        <v>124</v>
      </c>
      <c r="X691" s="189" t="s">
        <v>339</v>
      </c>
      <c r="Y691" s="189" t="s">
        <v>2110</v>
      </c>
      <c r="Z691" s="0" t="n">
        <v>2</v>
      </c>
      <c r="AA691" s="189" t="s">
        <v>122</v>
      </c>
    </row>
    <row r="692" customFormat="false" ht="15" hidden="false" customHeight="false" outlineLevel="0" collapsed="false">
      <c r="A692" s="0" t="n">
        <v>140</v>
      </c>
      <c r="B692" s="188" t="n">
        <v>46199.6184828928</v>
      </c>
      <c r="C692" s="188" t="n">
        <v>46199.6226842817</v>
      </c>
      <c r="D692" s="189" t="s">
        <v>1169</v>
      </c>
      <c r="E692" s="189" t="s">
        <v>1170</v>
      </c>
      <c r="F692" s="189" t="s">
        <v>1170</v>
      </c>
      <c r="G692" s="189" t="s">
        <v>1171</v>
      </c>
      <c r="H692" s="188" t="n">
        <v>46194</v>
      </c>
      <c r="I692" s="189" t="s">
        <v>132</v>
      </c>
      <c r="J692" s="189" t="s">
        <v>108</v>
      </c>
      <c r="K692" s="189" t="s">
        <v>173</v>
      </c>
      <c r="L692" s="189" t="s">
        <v>268</v>
      </c>
      <c r="M692" s="189" t="s">
        <v>484</v>
      </c>
      <c r="N692" s="189" t="s">
        <v>337</v>
      </c>
      <c r="O692" s="189" t="s">
        <v>107</v>
      </c>
      <c r="P692" s="189" t="s">
        <v>111</v>
      </c>
      <c r="Q692" s="189" t="s">
        <v>112</v>
      </c>
      <c r="R692" s="189" t="s">
        <v>22</v>
      </c>
      <c r="S692" s="189" t="s">
        <v>152</v>
      </c>
      <c r="T692" s="189" t="s">
        <v>121</v>
      </c>
      <c r="U692" s="189" t="s">
        <v>1174</v>
      </c>
      <c r="V692" s="189" t="s">
        <v>192</v>
      </c>
      <c r="W692" s="189" t="s">
        <v>124</v>
      </c>
      <c r="X692" s="189" t="s">
        <v>339</v>
      </c>
      <c r="Y692" s="189" t="s">
        <v>2113</v>
      </c>
      <c r="Z692" s="0" t="n">
        <v>1</v>
      </c>
      <c r="AA692" s="189" t="s">
        <v>122</v>
      </c>
    </row>
    <row r="693" customFormat="false" ht="15" hidden="false" customHeight="false" outlineLevel="0" collapsed="false">
      <c r="A693" s="0" t="n">
        <v>141</v>
      </c>
      <c r="B693" s="188" t="n">
        <v>46137.5845148672</v>
      </c>
      <c r="C693" s="188" t="n">
        <v>46137.6010773672</v>
      </c>
      <c r="D693" s="189" t="s">
        <v>1176</v>
      </c>
      <c r="E693" s="189" t="s">
        <v>1177</v>
      </c>
      <c r="F693" s="189" t="s">
        <v>1177</v>
      </c>
      <c r="G693" s="189" t="s">
        <v>1178</v>
      </c>
      <c r="H693" s="188" t="n">
        <v>46131</v>
      </c>
      <c r="I693" s="189" t="s">
        <v>113</v>
      </c>
      <c r="J693" s="189" t="s">
        <v>128</v>
      </c>
      <c r="K693" s="189" t="s">
        <v>143</v>
      </c>
      <c r="L693" s="189" t="s">
        <v>197</v>
      </c>
      <c r="M693" s="189" t="s">
        <v>515</v>
      </c>
      <c r="N693" s="189" t="s">
        <v>939</v>
      </c>
      <c r="O693" s="189" t="s">
        <v>157</v>
      </c>
      <c r="P693" s="189" t="s">
        <v>111</v>
      </c>
      <c r="Q693" s="189" t="s">
        <v>112</v>
      </c>
      <c r="R693" s="189" t="s">
        <v>22</v>
      </c>
      <c r="S693" s="189" t="s">
        <v>120</v>
      </c>
      <c r="T693" s="189" t="s">
        <v>121</v>
      </c>
      <c r="V693" s="189" t="s">
        <v>192</v>
      </c>
      <c r="W693" s="189" t="s">
        <v>139</v>
      </c>
      <c r="X693" s="189" t="s">
        <v>271</v>
      </c>
      <c r="Y693" s="189" t="s">
        <v>2108</v>
      </c>
      <c r="Z693" s="0" t="n">
        <v>1</v>
      </c>
      <c r="AA693" s="189" t="s">
        <v>2159</v>
      </c>
    </row>
    <row r="694" customFormat="false" ht="15" hidden="false" customHeight="false" outlineLevel="0" collapsed="false">
      <c r="A694" s="0" t="n">
        <v>141</v>
      </c>
      <c r="B694" s="188" t="n">
        <v>46137.5845148672</v>
      </c>
      <c r="C694" s="188" t="n">
        <v>46137.6010773672</v>
      </c>
      <c r="D694" s="189" t="s">
        <v>1176</v>
      </c>
      <c r="E694" s="189" t="s">
        <v>1177</v>
      </c>
      <c r="F694" s="189" t="s">
        <v>1177</v>
      </c>
      <c r="G694" s="189" t="s">
        <v>1178</v>
      </c>
      <c r="H694" s="188" t="n">
        <v>46131</v>
      </c>
      <c r="I694" s="189" t="s">
        <v>113</v>
      </c>
      <c r="J694" s="189" t="s">
        <v>128</v>
      </c>
      <c r="K694" s="189" t="s">
        <v>143</v>
      </c>
      <c r="L694" s="189" t="s">
        <v>197</v>
      </c>
      <c r="M694" s="189" t="s">
        <v>515</v>
      </c>
      <c r="N694" s="189" t="s">
        <v>939</v>
      </c>
      <c r="O694" s="189" t="s">
        <v>157</v>
      </c>
      <c r="P694" s="189" t="s">
        <v>111</v>
      </c>
      <c r="Q694" s="189" t="s">
        <v>112</v>
      </c>
      <c r="R694" s="189" t="s">
        <v>22</v>
      </c>
      <c r="S694" s="189" t="s">
        <v>120</v>
      </c>
      <c r="T694" s="189" t="s">
        <v>121</v>
      </c>
      <c r="V694" s="189" t="s">
        <v>192</v>
      </c>
      <c r="W694" s="189" t="s">
        <v>139</v>
      </c>
      <c r="X694" s="189" t="s">
        <v>271</v>
      </c>
      <c r="Y694" s="189" t="s">
        <v>2110</v>
      </c>
      <c r="Z694" s="0" t="n">
        <v>1</v>
      </c>
      <c r="AA694" s="189" t="s">
        <v>2182</v>
      </c>
    </row>
    <row r="695" customFormat="false" ht="15" hidden="false" customHeight="false" outlineLevel="0" collapsed="false">
      <c r="A695" s="0" t="n">
        <v>141</v>
      </c>
      <c r="B695" s="188" t="n">
        <v>46137.5845148672</v>
      </c>
      <c r="C695" s="188" t="n">
        <v>46137.6010773672</v>
      </c>
      <c r="D695" s="189" t="s">
        <v>1176</v>
      </c>
      <c r="E695" s="189" t="s">
        <v>1177</v>
      </c>
      <c r="F695" s="189" t="s">
        <v>1177</v>
      </c>
      <c r="G695" s="189" t="s">
        <v>1178</v>
      </c>
      <c r="H695" s="188" t="n">
        <v>46131</v>
      </c>
      <c r="I695" s="189" t="s">
        <v>113</v>
      </c>
      <c r="J695" s="189" t="s">
        <v>128</v>
      </c>
      <c r="K695" s="189" t="s">
        <v>143</v>
      </c>
      <c r="L695" s="189" t="s">
        <v>197</v>
      </c>
      <c r="M695" s="189" t="s">
        <v>515</v>
      </c>
      <c r="N695" s="189" t="s">
        <v>939</v>
      </c>
      <c r="O695" s="189" t="s">
        <v>157</v>
      </c>
      <c r="P695" s="189" t="s">
        <v>111</v>
      </c>
      <c r="Q695" s="189" t="s">
        <v>112</v>
      </c>
      <c r="R695" s="189" t="s">
        <v>22</v>
      </c>
      <c r="S695" s="189" t="s">
        <v>120</v>
      </c>
      <c r="T695" s="189" t="s">
        <v>121</v>
      </c>
      <c r="V695" s="189" t="s">
        <v>192</v>
      </c>
      <c r="W695" s="189" t="s">
        <v>139</v>
      </c>
      <c r="X695" s="189" t="s">
        <v>271</v>
      </c>
      <c r="Y695" s="189" t="s">
        <v>2113</v>
      </c>
      <c r="Z695" s="0" t="n">
        <v>1</v>
      </c>
      <c r="AA695" s="189" t="s">
        <v>2163</v>
      </c>
    </row>
    <row r="696" customFormat="false" ht="15" hidden="false" customHeight="false" outlineLevel="0" collapsed="false">
      <c r="A696" s="0" t="n">
        <v>141</v>
      </c>
      <c r="B696" s="188" t="n">
        <v>46137.5845148672</v>
      </c>
      <c r="C696" s="188" t="n">
        <v>46137.6010773672</v>
      </c>
      <c r="D696" s="189" t="s">
        <v>1176</v>
      </c>
      <c r="E696" s="189" t="s">
        <v>1177</v>
      </c>
      <c r="F696" s="189" t="s">
        <v>1177</v>
      </c>
      <c r="G696" s="189" t="s">
        <v>1178</v>
      </c>
      <c r="H696" s="188" t="n">
        <v>46131</v>
      </c>
      <c r="I696" s="189" t="s">
        <v>113</v>
      </c>
      <c r="J696" s="189" t="s">
        <v>128</v>
      </c>
      <c r="K696" s="189" t="s">
        <v>143</v>
      </c>
      <c r="L696" s="189" t="s">
        <v>197</v>
      </c>
      <c r="M696" s="189" t="s">
        <v>515</v>
      </c>
      <c r="N696" s="189" t="s">
        <v>939</v>
      </c>
      <c r="O696" s="189" t="s">
        <v>157</v>
      </c>
      <c r="P696" s="189" t="s">
        <v>111</v>
      </c>
      <c r="Q696" s="189" t="s">
        <v>112</v>
      </c>
      <c r="R696" s="189" t="s">
        <v>22</v>
      </c>
      <c r="S696" s="189" t="s">
        <v>120</v>
      </c>
      <c r="T696" s="189" t="s">
        <v>121</v>
      </c>
      <c r="V696" s="189" t="s">
        <v>192</v>
      </c>
      <c r="W696" s="189" t="s">
        <v>139</v>
      </c>
      <c r="X696" s="189" t="s">
        <v>271</v>
      </c>
      <c r="Y696" s="189" t="s">
        <v>2113</v>
      </c>
      <c r="Z696" s="0" t="n">
        <v>2</v>
      </c>
      <c r="AA696" s="189" t="s">
        <v>122</v>
      </c>
    </row>
    <row r="697" customFormat="false" ht="15" hidden="false" customHeight="false" outlineLevel="0" collapsed="false">
      <c r="A697" s="0" t="n">
        <v>142</v>
      </c>
      <c r="B697" s="188" t="n">
        <v>46147.9672672387</v>
      </c>
      <c r="C697" s="188" t="n">
        <v>46147.982463998</v>
      </c>
      <c r="D697" s="189" t="s">
        <v>1182</v>
      </c>
      <c r="E697" s="189" t="s">
        <v>1183</v>
      </c>
      <c r="F697" s="189" t="s">
        <v>1183</v>
      </c>
      <c r="G697" s="189" t="s">
        <v>1184</v>
      </c>
      <c r="H697" s="188" t="n">
        <v>46139</v>
      </c>
      <c r="I697" s="189" t="s">
        <v>113</v>
      </c>
      <c r="J697" s="189" t="s">
        <v>128</v>
      </c>
      <c r="K697" s="189" t="s">
        <v>245</v>
      </c>
      <c r="L697" s="189" t="s">
        <v>246</v>
      </c>
      <c r="M697" s="189" t="s">
        <v>365</v>
      </c>
      <c r="N697" s="189" t="s">
        <v>115</v>
      </c>
      <c r="O697" s="189" t="s">
        <v>107</v>
      </c>
      <c r="P697" s="189" t="s">
        <v>111</v>
      </c>
      <c r="Q697" s="189" t="s">
        <v>112</v>
      </c>
      <c r="R697" s="189" t="s">
        <v>22</v>
      </c>
      <c r="S697" s="189" t="s">
        <v>227</v>
      </c>
      <c r="T697" s="189" t="s">
        <v>121</v>
      </c>
      <c r="U697" s="189" t="s">
        <v>122</v>
      </c>
      <c r="V697" s="189" t="s">
        <v>123</v>
      </c>
      <c r="W697" s="189" t="s">
        <v>124</v>
      </c>
      <c r="X697" s="189" t="s">
        <v>148</v>
      </c>
      <c r="Y697" s="189" t="s">
        <v>2108</v>
      </c>
      <c r="Z697" s="0" t="n">
        <v>1</v>
      </c>
      <c r="AA697" s="189" t="s">
        <v>2230</v>
      </c>
    </row>
    <row r="698" customFormat="false" ht="15" hidden="false" customHeight="false" outlineLevel="0" collapsed="false">
      <c r="A698" s="0" t="n">
        <v>142</v>
      </c>
      <c r="B698" s="188" t="n">
        <v>46147.9672672387</v>
      </c>
      <c r="C698" s="188" t="n">
        <v>46147.982463998</v>
      </c>
      <c r="D698" s="189" t="s">
        <v>1182</v>
      </c>
      <c r="E698" s="189" t="s">
        <v>1183</v>
      </c>
      <c r="F698" s="189" t="s">
        <v>1183</v>
      </c>
      <c r="G698" s="189" t="s">
        <v>1184</v>
      </c>
      <c r="H698" s="188" t="n">
        <v>46139</v>
      </c>
      <c r="I698" s="189" t="s">
        <v>113</v>
      </c>
      <c r="J698" s="189" t="s">
        <v>128</v>
      </c>
      <c r="K698" s="189" t="s">
        <v>245</v>
      </c>
      <c r="L698" s="189" t="s">
        <v>246</v>
      </c>
      <c r="M698" s="189" t="s">
        <v>365</v>
      </c>
      <c r="N698" s="189" t="s">
        <v>115</v>
      </c>
      <c r="O698" s="189" t="s">
        <v>107</v>
      </c>
      <c r="P698" s="189" t="s">
        <v>111</v>
      </c>
      <c r="Q698" s="189" t="s">
        <v>112</v>
      </c>
      <c r="R698" s="189" t="s">
        <v>22</v>
      </c>
      <c r="S698" s="189" t="s">
        <v>227</v>
      </c>
      <c r="T698" s="189" t="s">
        <v>121</v>
      </c>
      <c r="U698" s="189" t="s">
        <v>122</v>
      </c>
      <c r="V698" s="189" t="s">
        <v>123</v>
      </c>
      <c r="W698" s="189" t="s">
        <v>124</v>
      </c>
      <c r="X698" s="189" t="s">
        <v>148</v>
      </c>
      <c r="Y698" s="189" t="s">
        <v>2108</v>
      </c>
      <c r="Z698" s="0" t="n">
        <v>2</v>
      </c>
      <c r="AA698" s="189" t="s">
        <v>2120</v>
      </c>
    </row>
    <row r="699" customFormat="false" ht="15" hidden="false" customHeight="false" outlineLevel="0" collapsed="false">
      <c r="A699" s="0" t="n">
        <v>142</v>
      </c>
      <c r="B699" s="188" t="n">
        <v>46147.9672672387</v>
      </c>
      <c r="C699" s="188" t="n">
        <v>46147.982463998</v>
      </c>
      <c r="D699" s="189" t="s">
        <v>1182</v>
      </c>
      <c r="E699" s="189" t="s">
        <v>1183</v>
      </c>
      <c r="F699" s="189" t="s">
        <v>1183</v>
      </c>
      <c r="G699" s="189" t="s">
        <v>1184</v>
      </c>
      <c r="H699" s="188" t="n">
        <v>46139</v>
      </c>
      <c r="I699" s="189" t="s">
        <v>113</v>
      </c>
      <c r="J699" s="189" t="s">
        <v>128</v>
      </c>
      <c r="K699" s="189" t="s">
        <v>245</v>
      </c>
      <c r="L699" s="189" t="s">
        <v>246</v>
      </c>
      <c r="M699" s="189" t="s">
        <v>365</v>
      </c>
      <c r="N699" s="189" t="s">
        <v>115</v>
      </c>
      <c r="O699" s="189" t="s">
        <v>107</v>
      </c>
      <c r="P699" s="189" t="s">
        <v>111</v>
      </c>
      <c r="Q699" s="189" t="s">
        <v>112</v>
      </c>
      <c r="R699" s="189" t="s">
        <v>22</v>
      </c>
      <c r="S699" s="189" t="s">
        <v>227</v>
      </c>
      <c r="T699" s="189" t="s">
        <v>121</v>
      </c>
      <c r="U699" s="189" t="s">
        <v>122</v>
      </c>
      <c r="V699" s="189" t="s">
        <v>123</v>
      </c>
      <c r="W699" s="189" t="s">
        <v>124</v>
      </c>
      <c r="X699" s="189" t="s">
        <v>148</v>
      </c>
      <c r="Y699" s="189" t="s">
        <v>2108</v>
      </c>
      <c r="Z699" s="0" t="n">
        <v>3</v>
      </c>
      <c r="AA699" s="189" t="s">
        <v>2166</v>
      </c>
    </row>
    <row r="700" customFormat="false" ht="15" hidden="false" customHeight="false" outlineLevel="0" collapsed="false">
      <c r="A700" s="0" t="n">
        <v>142</v>
      </c>
      <c r="B700" s="188" t="n">
        <v>46147.9672672387</v>
      </c>
      <c r="C700" s="188" t="n">
        <v>46147.982463998</v>
      </c>
      <c r="D700" s="189" t="s">
        <v>1182</v>
      </c>
      <c r="E700" s="189" t="s">
        <v>1183</v>
      </c>
      <c r="F700" s="189" t="s">
        <v>1183</v>
      </c>
      <c r="G700" s="189" t="s">
        <v>1184</v>
      </c>
      <c r="H700" s="188" t="n">
        <v>46139</v>
      </c>
      <c r="I700" s="189" t="s">
        <v>113</v>
      </c>
      <c r="J700" s="189" t="s">
        <v>128</v>
      </c>
      <c r="K700" s="189" t="s">
        <v>245</v>
      </c>
      <c r="L700" s="189" t="s">
        <v>246</v>
      </c>
      <c r="M700" s="189" t="s">
        <v>365</v>
      </c>
      <c r="N700" s="189" t="s">
        <v>115</v>
      </c>
      <c r="O700" s="189" t="s">
        <v>107</v>
      </c>
      <c r="P700" s="189" t="s">
        <v>111</v>
      </c>
      <c r="Q700" s="189" t="s">
        <v>112</v>
      </c>
      <c r="R700" s="189" t="s">
        <v>22</v>
      </c>
      <c r="S700" s="189" t="s">
        <v>227</v>
      </c>
      <c r="T700" s="189" t="s">
        <v>121</v>
      </c>
      <c r="U700" s="189" t="s">
        <v>122</v>
      </c>
      <c r="V700" s="189" t="s">
        <v>123</v>
      </c>
      <c r="W700" s="189" t="s">
        <v>124</v>
      </c>
      <c r="X700" s="189" t="s">
        <v>148</v>
      </c>
      <c r="Y700" s="189" t="s">
        <v>2110</v>
      </c>
      <c r="Z700" s="0" t="n">
        <v>1</v>
      </c>
      <c r="AA700" s="189" t="s">
        <v>2122</v>
      </c>
    </row>
    <row r="701" customFormat="false" ht="15" hidden="false" customHeight="false" outlineLevel="0" collapsed="false">
      <c r="A701" s="0" t="n">
        <v>142</v>
      </c>
      <c r="B701" s="188" t="n">
        <v>46147.9672672387</v>
      </c>
      <c r="C701" s="188" t="n">
        <v>46147.982463998</v>
      </c>
      <c r="D701" s="189" t="s">
        <v>1182</v>
      </c>
      <c r="E701" s="189" t="s">
        <v>1183</v>
      </c>
      <c r="F701" s="189" t="s">
        <v>1183</v>
      </c>
      <c r="G701" s="189" t="s">
        <v>1184</v>
      </c>
      <c r="H701" s="188" t="n">
        <v>46139</v>
      </c>
      <c r="I701" s="189" t="s">
        <v>113</v>
      </c>
      <c r="J701" s="189" t="s">
        <v>128</v>
      </c>
      <c r="K701" s="189" t="s">
        <v>245</v>
      </c>
      <c r="L701" s="189" t="s">
        <v>246</v>
      </c>
      <c r="M701" s="189" t="s">
        <v>365</v>
      </c>
      <c r="N701" s="189" t="s">
        <v>115</v>
      </c>
      <c r="O701" s="189" t="s">
        <v>107</v>
      </c>
      <c r="P701" s="189" t="s">
        <v>111</v>
      </c>
      <c r="Q701" s="189" t="s">
        <v>112</v>
      </c>
      <c r="R701" s="189" t="s">
        <v>22</v>
      </c>
      <c r="S701" s="189" t="s">
        <v>227</v>
      </c>
      <c r="T701" s="189" t="s">
        <v>121</v>
      </c>
      <c r="U701" s="189" t="s">
        <v>122</v>
      </c>
      <c r="V701" s="189" t="s">
        <v>123</v>
      </c>
      <c r="W701" s="189" t="s">
        <v>124</v>
      </c>
      <c r="X701" s="189" t="s">
        <v>148</v>
      </c>
      <c r="Y701" s="189" t="s">
        <v>2110</v>
      </c>
      <c r="Z701" s="0" t="n">
        <v>2</v>
      </c>
      <c r="AA701" s="189" t="s">
        <v>2137</v>
      </c>
    </row>
    <row r="702" customFormat="false" ht="15" hidden="false" customHeight="false" outlineLevel="0" collapsed="false">
      <c r="A702" s="0" t="n">
        <v>142</v>
      </c>
      <c r="B702" s="188" t="n">
        <v>46147.9672672387</v>
      </c>
      <c r="C702" s="188" t="n">
        <v>46147.982463998</v>
      </c>
      <c r="D702" s="189" t="s">
        <v>1182</v>
      </c>
      <c r="E702" s="189" t="s">
        <v>1183</v>
      </c>
      <c r="F702" s="189" t="s">
        <v>1183</v>
      </c>
      <c r="G702" s="189" t="s">
        <v>1184</v>
      </c>
      <c r="H702" s="188" t="n">
        <v>46139</v>
      </c>
      <c r="I702" s="189" t="s">
        <v>113</v>
      </c>
      <c r="J702" s="189" t="s">
        <v>128</v>
      </c>
      <c r="K702" s="189" t="s">
        <v>245</v>
      </c>
      <c r="L702" s="189" t="s">
        <v>246</v>
      </c>
      <c r="M702" s="189" t="s">
        <v>365</v>
      </c>
      <c r="N702" s="189" t="s">
        <v>115</v>
      </c>
      <c r="O702" s="189" t="s">
        <v>107</v>
      </c>
      <c r="P702" s="189" t="s">
        <v>111</v>
      </c>
      <c r="Q702" s="189" t="s">
        <v>112</v>
      </c>
      <c r="R702" s="189" t="s">
        <v>22</v>
      </c>
      <c r="S702" s="189" t="s">
        <v>227</v>
      </c>
      <c r="T702" s="189" t="s">
        <v>121</v>
      </c>
      <c r="U702" s="189" t="s">
        <v>122</v>
      </c>
      <c r="V702" s="189" t="s">
        <v>123</v>
      </c>
      <c r="W702" s="189" t="s">
        <v>124</v>
      </c>
      <c r="X702" s="189" t="s">
        <v>148</v>
      </c>
      <c r="Y702" s="189" t="s">
        <v>2113</v>
      </c>
      <c r="Z702" s="0" t="n">
        <v>1</v>
      </c>
      <c r="AA702" s="189" t="s">
        <v>2138</v>
      </c>
    </row>
    <row r="703" customFormat="false" ht="15" hidden="false" customHeight="false" outlineLevel="0" collapsed="false">
      <c r="A703" s="0" t="n">
        <v>142</v>
      </c>
      <c r="B703" s="188" t="n">
        <v>46147.9672672387</v>
      </c>
      <c r="C703" s="188" t="n">
        <v>46147.982463998</v>
      </c>
      <c r="D703" s="189" t="s">
        <v>1182</v>
      </c>
      <c r="E703" s="189" t="s">
        <v>1183</v>
      </c>
      <c r="F703" s="189" t="s">
        <v>1183</v>
      </c>
      <c r="G703" s="189" t="s">
        <v>1184</v>
      </c>
      <c r="H703" s="188" t="n">
        <v>46139</v>
      </c>
      <c r="I703" s="189" t="s">
        <v>113</v>
      </c>
      <c r="J703" s="189" t="s">
        <v>128</v>
      </c>
      <c r="K703" s="189" t="s">
        <v>245</v>
      </c>
      <c r="L703" s="189" t="s">
        <v>246</v>
      </c>
      <c r="M703" s="189" t="s">
        <v>365</v>
      </c>
      <c r="N703" s="189" t="s">
        <v>115</v>
      </c>
      <c r="O703" s="189" t="s">
        <v>107</v>
      </c>
      <c r="P703" s="189" t="s">
        <v>111</v>
      </c>
      <c r="Q703" s="189" t="s">
        <v>112</v>
      </c>
      <c r="R703" s="189" t="s">
        <v>22</v>
      </c>
      <c r="S703" s="189" t="s">
        <v>227</v>
      </c>
      <c r="T703" s="189" t="s">
        <v>121</v>
      </c>
      <c r="U703" s="189" t="s">
        <v>122</v>
      </c>
      <c r="V703" s="189" t="s">
        <v>123</v>
      </c>
      <c r="W703" s="189" t="s">
        <v>124</v>
      </c>
      <c r="X703" s="189" t="s">
        <v>148</v>
      </c>
      <c r="Y703" s="189" t="s">
        <v>2113</v>
      </c>
      <c r="Z703" s="0" t="n">
        <v>2</v>
      </c>
      <c r="AA703" s="189" t="s">
        <v>122</v>
      </c>
    </row>
    <row r="704" customFormat="false" ht="15" hidden="false" customHeight="false" outlineLevel="0" collapsed="false">
      <c r="A704" s="0" t="n">
        <v>143</v>
      </c>
      <c r="B704" s="188" t="n">
        <v>46077.5784561181</v>
      </c>
      <c r="C704" s="188" t="n">
        <v>46077.5958866736</v>
      </c>
      <c r="D704" s="189" t="s">
        <v>1188</v>
      </c>
      <c r="E704" s="189" t="s">
        <v>1189</v>
      </c>
      <c r="F704" s="189" t="s">
        <v>1189</v>
      </c>
      <c r="G704" s="189" t="s">
        <v>1190</v>
      </c>
      <c r="H704" s="188" t="n">
        <v>46067</v>
      </c>
      <c r="I704" s="189" t="s">
        <v>325</v>
      </c>
      <c r="J704" s="189" t="s">
        <v>108</v>
      </c>
      <c r="K704" s="189" t="s">
        <v>232</v>
      </c>
      <c r="L704" s="189" t="s">
        <v>184</v>
      </c>
      <c r="M704" s="189" t="s">
        <v>612</v>
      </c>
      <c r="N704" s="189" t="s">
        <v>1006</v>
      </c>
      <c r="O704" s="189" t="s">
        <v>172</v>
      </c>
      <c r="P704" s="189" t="s">
        <v>111</v>
      </c>
      <c r="Q704" s="189" t="s">
        <v>112</v>
      </c>
      <c r="R704" s="189" t="s">
        <v>22</v>
      </c>
      <c r="S704" s="189" t="s">
        <v>120</v>
      </c>
      <c r="T704" s="189" t="s">
        <v>228</v>
      </c>
      <c r="V704" s="189" t="s">
        <v>192</v>
      </c>
      <c r="W704" s="189" t="s">
        <v>168</v>
      </c>
      <c r="X704" s="189" t="s">
        <v>298</v>
      </c>
      <c r="Y704" s="189" t="s">
        <v>2108</v>
      </c>
      <c r="Z704" s="0" t="n">
        <v>1</v>
      </c>
      <c r="AA704" s="189" t="s">
        <v>2251</v>
      </c>
    </row>
    <row r="705" customFormat="false" ht="15" hidden="false" customHeight="false" outlineLevel="0" collapsed="false">
      <c r="A705" s="0" t="n">
        <v>143</v>
      </c>
      <c r="B705" s="188" t="n">
        <v>46077.5784561181</v>
      </c>
      <c r="C705" s="188" t="n">
        <v>46077.5958866736</v>
      </c>
      <c r="D705" s="189" t="s">
        <v>1188</v>
      </c>
      <c r="E705" s="189" t="s">
        <v>1189</v>
      </c>
      <c r="F705" s="189" t="s">
        <v>1189</v>
      </c>
      <c r="G705" s="189" t="s">
        <v>1190</v>
      </c>
      <c r="H705" s="188" t="n">
        <v>46067</v>
      </c>
      <c r="I705" s="189" t="s">
        <v>325</v>
      </c>
      <c r="J705" s="189" t="s">
        <v>108</v>
      </c>
      <c r="K705" s="189" t="s">
        <v>232</v>
      </c>
      <c r="L705" s="189" t="s">
        <v>184</v>
      </c>
      <c r="M705" s="189" t="s">
        <v>612</v>
      </c>
      <c r="N705" s="189" t="s">
        <v>1006</v>
      </c>
      <c r="O705" s="189" t="s">
        <v>172</v>
      </c>
      <c r="P705" s="189" t="s">
        <v>111</v>
      </c>
      <c r="Q705" s="189" t="s">
        <v>112</v>
      </c>
      <c r="R705" s="189" t="s">
        <v>22</v>
      </c>
      <c r="S705" s="189" t="s">
        <v>120</v>
      </c>
      <c r="T705" s="189" t="s">
        <v>228</v>
      </c>
      <c r="V705" s="189" t="s">
        <v>192</v>
      </c>
      <c r="W705" s="189" t="s">
        <v>168</v>
      </c>
      <c r="X705" s="189" t="s">
        <v>298</v>
      </c>
      <c r="Y705" s="189" t="s">
        <v>2108</v>
      </c>
      <c r="Z705" s="0" t="n">
        <v>2</v>
      </c>
      <c r="AA705" s="189" t="s">
        <v>2168</v>
      </c>
    </row>
    <row r="706" customFormat="false" ht="15" hidden="false" customHeight="false" outlineLevel="0" collapsed="false">
      <c r="A706" s="0" t="n">
        <v>143</v>
      </c>
      <c r="B706" s="188" t="n">
        <v>46077.5784561181</v>
      </c>
      <c r="C706" s="188" t="n">
        <v>46077.5958866736</v>
      </c>
      <c r="D706" s="189" t="s">
        <v>1188</v>
      </c>
      <c r="E706" s="189" t="s">
        <v>1189</v>
      </c>
      <c r="F706" s="189" t="s">
        <v>1189</v>
      </c>
      <c r="G706" s="189" t="s">
        <v>1190</v>
      </c>
      <c r="H706" s="188" t="n">
        <v>46067</v>
      </c>
      <c r="I706" s="189" t="s">
        <v>325</v>
      </c>
      <c r="J706" s="189" t="s">
        <v>108</v>
      </c>
      <c r="K706" s="189" t="s">
        <v>232</v>
      </c>
      <c r="L706" s="189" t="s">
        <v>184</v>
      </c>
      <c r="M706" s="189" t="s">
        <v>612</v>
      </c>
      <c r="N706" s="189" t="s">
        <v>1006</v>
      </c>
      <c r="O706" s="189" t="s">
        <v>172</v>
      </c>
      <c r="P706" s="189" t="s">
        <v>111</v>
      </c>
      <c r="Q706" s="189" t="s">
        <v>112</v>
      </c>
      <c r="R706" s="189" t="s">
        <v>22</v>
      </c>
      <c r="S706" s="189" t="s">
        <v>120</v>
      </c>
      <c r="T706" s="189" t="s">
        <v>228</v>
      </c>
      <c r="V706" s="189" t="s">
        <v>192</v>
      </c>
      <c r="W706" s="189" t="s">
        <v>168</v>
      </c>
      <c r="X706" s="189" t="s">
        <v>298</v>
      </c>
      <c r="Y706" s="189" t="s">
        <v>2110</v>
      </c>
      <c r="Z706" s="0" t="n">
        <v>1</v>
      </c>
      <c r="AA706" s="189" t="s">
        <v>2240</v>
      </c>
    </row>
    <row r="707" customFormat="false" ht="15" hidden="false" customHeight="false" outlineLevel="0" collapsed="false">
      <c r="A707" s="0" t="n">
        <v>143</v>
      </c>
      <c r="B707" s="188" t="n">
        <v>46077.5784561181</v>
      </c>
      <c r="C707" s="188" t="n">
        <v>46077.5958866736</v>
      </c>
      <c r="D707" s="189" t="s">
        <v>1188</v>
      </c>
      <c r="E707" s="189" t="s">
        <v>1189</v>
      </c>
      <c r="F707" s="189" t="s">
        <v>1189</v>
      </c>
      <c r="G707" s="189" t="s">
        <v>1190</v>
      </c>
      <c r="H707" s="188" t="n">
        <v>46067</v>
      </c>
      <c r="I707" s="189" t="s">
        <v>325</v>
      </c>
      <c r="J707" s="189" t="s">
        <v>108</v>
      </c>
      <c r="K707" s="189" t="s">
        <v>232</v>
      </c>
      <c r="L707" s="189" t="s">
        <v>184</v>
      </c>
      <c r="M707" s="189" t="s">
        <v>612</v>
      </c>
      <c r="N707" s="189" t="s">
        <v>1006</v>
      </c>
      <c r="O707" s="189" t="s">
        <v>172</v>
      </c>
      <c r="P707" s="189" t="s">
        <v>111</v>
      </c>
      <c r="Q707" s="189" t="s">
        <v>112</v>
      </c>
      <c r="R707" s="189" t="s">
        <v>22</v>
      </c>
      <c r="S707" s="189" t="s">
        <v>120</v>
      </c>
      <c r="T707" s="189" t="s">
        <v>228</v>
      </c>
      <c r="V707" s="189" t="s">
        <v>192</v>
      </c>
      <c r="W707" s="189" t="s">
        <v>168</v>
      </c>
      <c r="X707" s="189" t="s">
        <v>298</v>
      </c>
      <c r="Y707" s="189" t="s">
        <v>2113</v>
      </c>
      <c r="Z707" s="0" t="n">
        <v>1</v>
      </c>
      <c r="AA707" s="189" t="s">
        <v>2259</v>
      </c>
    </row>
    <row r="708" customFormat="false" ht="15" hidden="false" customHeight="false" outlineLevel="0" collapsed="false">
      <c r="A708" s="0" t="n">
        <v>143</v>
      </c>
      <c r="B708" s="188" t="n">
        <v>46077.5784561181</v>
      </c>
      <c r="C708" s="188" t="n">
        <v>46077.5958866736</v>
      </c>
      <c r="D708" s="189" t="s">
        <v>1188</v>
      </c>
      <c r="E708" s="189" t="s">
        <v>1189</v>
      </c>
      <c r="F708" s="189" t="s">
        <v>1189</v>
      </c>
      <c r="G708" s="189" t="s">
        <v>1190</v>
      </c>
      <c r="H708" s="188" t="n">
        <v>46067</v>
      </c>
      <c r="I708" s="189" t="s">
        <v>325</v>
      </c>
      <c r="J708" s="189" t="s">
        <v>108</v>
      </c>
      <c r="K708" s="189" t="s">
        <v>232</v>
      </c>
      <c r="L708" s="189" t="s">
        <v>184</v>
      </c>
      <c r="M708" s="189" t="s">
        <v>612</v>
      </c>
      <c r="N708" s="189" t="s">
        <v>1006</v>
      </c>
      <c r="O708" s="189" t="s">
        <v>172</v>
      </c>
      <c r="P708" s="189" t="s">
        <v>111</v>
      </c>
      <c r="Q708" s="189" t="s">
        <v>112</v>
      </c>
      <c r="R708" s="189" t="s">
        <v>22</v>
      </c>
      <c r="S708" s="189" t="s">
        <v>120</v>
      </c>
      <c r="T708" s="189" t="s">
        <v>228</v>
      </c>
      <c r="V708" s="189" t="s">
        <v>192</v>
      </c>
      <c r="W708" s="189" t="s">
        <v>168</v>
      </c>
      <c r="X708" s="189" t="s">
        <v>298</v>
      </c>
      <c r="Y708" s="189" t="s">
        <v>2113</v>
      </c>
      <c r="Z708" s="0" t="n">
        <v>2</v>
      </c>
      <c r="AA708" s="189" t="s">
        <v>2313</v>
      </c>
    </row>
    <row r="709" customFormat="false" ht="28.35" hidden="false" customHeight="false" outlineLevel="0" collapsed="false">
      <c r="A709" s="0" t="n">
        <v>144</v>
      </c>
      <c r="B709" s="188" t="n">
        <v>46108.3608912508</v>
      </c>
      <c r="C709" s="188" t="n">
        <v>46108.3769329175</v>
      </c>
      <c r="D709" s="189" t="s">
        <v>1193</v>
      </c>
      <c r="E709" s="189" t="s">
        <v>1194</v>
      </c>
      <c r="F709" s="189" t="s">
        <v>1194</v>
      </c>
      <c r="G709" s="189" t="s">
        <v>1195</v>
      </c>
      <c r="H709" s="188" t="n">
        <v>46105</v>
      </c>
      <c r="I709" s="189" t="s">
        <v>113</v>
      </c>
      <c r="J709" s="189" t="s">
        <v>108</v>
      </c>
      <c r="K709" s="189" t="s">
        <v>196</v>
      </c>
      <c r="L709" s="189" t="s">
        <v>246</v>
      </c>
      <c r="M709" s="189" t="s">
        <v>492</v>
      </c>
      <c r="N709" s="189" t="s">
        <v>227</v>
      </c>
      <c r="O709" s="189" t="s">
        <v>107</v>
      </c>
      <c r="P709" s="189" t="s">
        <v>111</v>
      </c>
      <c r="Q709" s="189" t="s">
        <v>112</v>
      </c>
      <c r="R709" s="189" t="s">
        <v>22</v>
      </c>
      <c r="S709" s="189" t="s">
        <v>152</v>
      </c>
      <c r="T709" s="189" t="s">
        <v>121</v>
      </c>
      <c r="U709" s="132" t="s">
        <v>969</v>
      </c>
      <c r="V709" s="189" t="s">
        <v>192</v>
      </c>
      <c r="W709" s="189" t="s">
        <v>124</v>
      </c>
      <c r="X709" s="189" t="s">
        <v>381</v>
      </c>
      <c r="Y709" s="189" t="s">
        <v>2108</v>
      </c>
      <c r="Z709" s="0" t="n">
        <v>1</v>
      </c>
      <c r="AA709" s="189" t="s">
        <v>2224</v>
      </c>
    </row>
    <row r="710" customFormat="false" ht="28.35" hidden="false" customHeight="false" outlineLevel="0" collapsed="false">
      <c r="A710" s="0" t="n">
        <v>144</v>
      </c>
      <c r="B710" s="188" t="n">
        <v>46108.3608912508</v>
      </c>
      <c r="C710" s="188" t="n">
        <v>46108.3769329175</v>
      </c>
      <c r="D710" s="189" t="s">
        <v>1193</v>
      </c>
      <c r="E710" s="189" t="s">
        <v>1194</v>
      </c>
      <c r="F710" s="189" t="s">
        <v>1194</v>
      </c>
      <c r="G710" s="189" t="s">
        <v>1195</v>
      </c>
      <c r="H710" s="188" t="n">
        <v>46105</v>
      </c>
      <c r="I710" s="189" t="s">
        <v>113</v>
      </c>
      <c r="J710" s="189" t="s">
        <v>108</v>
      </c>
      <c r="K710" s="189" t="s">
        <v>196</v>
      </c>
      <c r="L710" s="189" t="s">
        <v>246</v>
      </c>
      <c r="M710" s="189" t="s">
        <v>492</v>
      </c>
      <c r="N710" s="189" t="s">
        <v>227</v>
      </c>
      <c r="O710" s="189" t="s">
        <v>107</v>
      </c>
      <c r="P710" s="189" t="s">
        <v>111</v>
      </c>
      <c r="Q710" s="189" t="s">
        <v>112</v>
      </c>
      <c r="R710" s="189" t="s">
        <v>22</v>
      </c>
      <c r="S710" s="189" t="s">
        <v>152</v>
      </c>
      <c r="T710" s="189" t="s">
        <v>121</v>
      </c>
      <c r="U710" s="132" t="s">
        <v>969</v>
      </c>
      <c r="V710" s="189" t="s">
        <v>192</v>
      </c>
      <c r="W710" s="189" t="s">
        <v>124</v>
      </c>
      <c r="X710" s="189" t="s">
        <v>381</v>
      </c>
      <c r="Y710" s="189" t="s">
        <v>2108</v>
      </c>
      <c r="Z710" s="0" t="n">
        <v>2</v>
      </c>
      <c r="AA710" s="189" t="s">
        <v>2293</v>
      </c>
    </row>
    <row r="711" customFormat="false" ht="28.35" hidden="false" customHeight="false" outlineLevel="0" collapsed="false">
      <c r="A711" s="0" t="n">
        <v>144</v>
      </c>
      <c r="B711" s="188" t="n">
        <v>46108.3608912508</v>
      </c>
      <c r="C711" s="188" t="n">
        <v>46108.3769329175</v>
      </c>
      <c r="D711" s="189" t="s">
        <v>1193</v>
      </c>
      <c r="E711" s="189" t="s">
        <v>1194</v>
      </c>
      <c r="F711" s="189" t="s">
        <v>1194</v>
      </c>
      <c r="G711" s="189" t="s">
        <v>1195</v>
      </c>
      <c r="H711" s="188" t="n">
        <v>46105</v>
      </c>
      <c r="I711" s="189" t="s">
        <v>113</v>
      </c>
      <c r="J711" s="189" t="s">
        <v>108</v>
      </c>
      <c r="K711" s="189" t="s">
        <v>196</v>
      </c>
      <c r="L711" s="189" t="s">
        <v>246</v>
      </c>
      <c r="M711" s="189" t="s">
        <v>492</v>
      </c>
      <c r="N711" s="189" t="s">
        <v>227</v>
      </c>
      <c r="O711" s="189" t="s">
        <v>107</v>
      </c>
      <c r="P711" s="189" t="s">
        <v>111</v>
      </c>
      <c r="Q711" s="189" t="s">
        <v>112</v>
      </c>
      <c r="R711" s="189" t="s">
        <v>22</v>
      </c>
      <c r="S711" s="189" t="s">
        <v>152</v>
      </c>
      <c r="T711" s="189" t="s">
        <v>121</v>
      </c>
      <c r="U711" s="132" t="s">
        <v>969</v>
      </c>
      <c r="V711" s="189" t="s">
        <v>192</v>
      </c>
      <c r="W711" s="189" t="s">
        <v>124</v>
      </c>
      <c r="X711" s="189" t="s">
        <v>381</v>
      </c>
      <c r="Y711" s="189" t="s">
        <v>2108</v>
      </c>
      <c r="Z711" s="0" t="n">
        <v>3</v>
      </c>
      <c r="AA711" s="189" t="s">
        <v>2203</v>
      </c>
    </row>
    <row r="712" customFormat="false" ht="28.35" hidden="false" customHeight="false" outlineLevel="0" collapsed="false">
      <c r="A712" s="0" t="n">
        <v>144</v>
      </c>
      <c r="B712" s="188" t="n">
        <v>46108.3608912508</v>
      </c>
      <c r="C712" s="188" t="n">
        <v>46108.3769329175</v>
      </c>
      <c r="D712" s="189" t="s">
        <v>1193</v>
      </c>
      <c r="E712" s="189" t="s">
        <v>1194</v>
      </c>
      <c r="F712" s="189" t="s">
        <v>1194</v>
      </c>
      <c r="G712" s="189" t="s">
        <v>1195</v>
      </c>
      <c r="H712" s="188" t="n">
        <v>46105</v>
      </c>
      <c r="I712" s="189" t="s">
        <v>113</v>
      </c>
      <c r="J712" s="189" t="s">
        <v>108</v>
      </c>
      <c r="K712" s="189" t="s">
        <v>196</v>
      </c>
      <c r="L712" s="189" t="s">
        <v>246</v>
      </c>
      <c r="M712" s="189" t="s">
        <v>492</v>
      </c>
      <c r="N712" s="189" t="s">
        <v>227</v>
      </c>
      <c r="O712" s="189" t="s">
        <v>107</v>
      </c>
      <c r="P712" s="189" t="s">
        <v>111</v>
      </c>
      <c r="Q712" s="189" t="s">
        <v>112</v>
      </c>
      <c r="R712" s="189" t="s">
        <v>22</v>
      </c>
      <c r="S712" s="189" t="s">
        <v>152</v>
      </c>
      <c r="T712" s="189" t="s">
        <v>121</v>
      </c>
      <c r="U712" s="132" t="s">
        <v>969</v>
      </c>
      <c r="V712" s="189" t="s">
        <v>192</v>
      </c>
      <c r="W712" s="189" t="s">
        <v>124</v>
      </c>
      <c r="X712" s="189" t="s">
        <v>381</v>
      </c>
      <c r="Y712" s="189" t="s">
        <v>2110</v>
      </c>
      <c r="Z712" s="0" t="n">
        <v>1</v>
      </c>
      <c r="AA712" s="189" t="s">
        <v>2205</v>
      </c>
    </row>
    <row r="713" customFormat="false" ht="28.35" hidden="false" customHeight="false" outlineLevel="0" collapsed="false">
      <c r="A713" s="0" t="n">
        <v>144</v>
      </c>
      <c r="B713" s="188" t="n">
        <v>46108.3608912508</v>
      </c>
      <c r="C713" s="188" t="n">
        <v>46108.3769329175</v>
      </c>
      <c r="D713" s="189" t="s">
        <v>1193</v>
      </c>
      <c r="E713" s="189" t="s">
        <v>1194</v>
      </c>
      <c r="F713" s="189" t="s">
        <v>1194</v>
      </c>
      <c r="G713" s="189" t="s">
        <v>1195</v>
      </c>
      <c r="H713" s="188" t="n">
        <v>46105</v>
      </c>
      <c r="I713" s="189" t="s">
        <v>113</v>
      </c>
      <c r="J713" s="189" t="s">
        <v>108</v>
      </c>
      <c r="K713" s="189" t="s">
        <v>196</v>
      </c>
      <c r="L713" s="189" t="s">
        <v>246</v>
      </c>
      <c r="M713" s="189" t="s">
        <v>492</v>
      </c>
      <c r="N713" s="189" t="s">
        <v>227</v>
      </c>
      <c r="O713" s="189" t="s">
        <v>107</v>
      </c>
      <c r="P713" s="189" t="s">
        <v>111</v>
      </c>
      <c r="Q713" s="189" t="s">
        <v>112</v>
      </c>
      <c r="R713" s="189" t="s">
        <v>22</v>
      </c>
      <c r="S713" s="189" t="s">
        <v>152</v>
      </c>
      <c r="T713" s="189" t="s">
        <v>121</v>
      </c>
      <c r="U713" s="132" t="s">
        <v>969</v>
      </c>
      <c r="V713" s="189" t="s">
        <v>192</v>
      </c>
      <c r="W713" s="189" t="s">
        <v>124</v>
      </c>
      <c r="X713" s="189" t="s">
        <v>381</v>
      </c>
      <c r="Y713" s="189" t="s">
        <v>2110</v>
      </c>
      <c r="Z713" s="0" t="n">
        <v>2</v>
      </c>
      <c r="AA713" s="189" t="s">
        <v>2294</v>
      </c>
    </row>
    <row r="714" customFormat="false" ht="28.35" hidden="false" customHeight="false" outlineLevel="0" collapsed="false">
      <c r="A714" s="0" t="n">
        <v>144</v>
      </c>
      <c r="B714" s="188" t="n">
        <v>46108.3608912508</v>
      </c>
      <c r="C714" s="188" t="n">
        <v>46108.3769329175</v>
      </c>
      <c r="D714" s="189" t="s">
        <v>1193</v>
      </c>
      <c r="E714" s="189" t="s">
        <v>1194</v>
      </c>
      <c r="F714" s="189" t="s">
        <v>1194</v>
      </c>
      <c r="G714" s="189" t="s">
        <v>1195</v>
      </c>
      <c r="H714" s="188" t="n">
        <v>46105</v>
      </c>
      <c r="I714" s="189" t="s">
        <v>113</v>
      </c>
      <c r="J714" s="189" t="s">
        <v>108</v>
      </c>
      <c r="K714" s="189" t="s">
        <v>196</v>
      </c>
      <c r="L714" s="189" t="s">
        <v>246</v>
      </c>
      <c r="M714" s="189" t="s">
        <v>492</v>
      </c>
      <c r="N714" s="189" t="s">
        <v>227</v>
      </c>
      <c r="O714" s="189" t="s">
        <v>107</v>
      </c>
      <c r="P714" s="189" t="s">
        <v>111</v>
      </c>
      <c r="Q714" s="189" t="s">
        <v>112</v>
      </c>
      <c r="R714" s="189" t="s">
        <v>22</v>
      </c>
      <c r="S714" s="189" t="s">
        <v>152</v>
      </c>
      <c r="T714" s="189" t="s">
        <v>121</v>
      </c>
      <c r="U714" s="132" t="s">
        <v>969</v>
      </c>
      <c r="V714" s="189" t="s">
        <v>192</v>
      </c>
      <c r="W714" s="189" t="s">
        <v>124</v>
      </c>
      <c r="X714" s="189" t="s">
        <v>381</v>
      </c>
      <c r="Y714" s="189" t="s">
        <v>2113</v>
      </c>
      <c r="Z714" s="0" t="n">
        <v>1</v>
      </c>
      <c r="AA714" s="189" t="s">
        <v>2206</v>
      </c>
    </row>
    <row r="715" customFormat="false" ht="15" hidden="false" customHeight="false" outlineLevel="0" collapsed="false">
      <c r="A715" s="0" t="n">
        <v>145</v>
      </c>
      <c r="B715" s="188" t="n">
        <v>46076.0473062201</v>
      </c>
      <c r="C715" s="188" t="n">
        <v>46076.0652460349</v>
      </c>
      <c r="D715" s="189" t="s">
        <v>1198</v>
      </c>
      <c r="E715" s="189" t="s">
        <v>1199</v>
      </c>
      <c r="F715" s="189" t="s">
        <v>1199</v>
      </c>
      <c r="G715" s="189" t="s">
        <v>1200</v>
      </c>
      <c r="H715" s="188" t="n">
        <v>46076</v>
      </c>
      <c r="I715" s="189" t="s">
        <v>113</v>
      </c>
      <c r="J715" s="189" t="s">
        <v>108</v>
      </c>
      <c r="K715" s="189" t="s">
        <v>257</v>
      </c>
      <c r="L715" s="189" t="s">
        <v>491</v>
      </c>
      <c r="M715" s="189" t="s">
        <v>286</v>
      </c>
      <c r="N715" s="189" t="s">
        <v>357</v>
      </c>
      <c r="O715" s="189" t="s">
        <v>107</v>
      </c>
      <c r="P715" s="189" t="s">
        <v>111</v>
      </c>
      <c r="Q715" s="189" t="s">
        <v>112</v>
      </c>
      <c r="R715" s="189" t="s">
        <v>22</v>
      </c>
      <c r="S715" s="189" t="s">
        <v>152</v>
      </c>
      <c r="T715" s="189" t="s">
        <v>121</v>
      </c>
      <c r="U715" s="189" t="s">
        <v>122</v>
      </c>
      <c r="V715" s="189" t="s">
        <v>123</v>
      </c>
      <c r="W715" s="189" t="s">
        <v>124</v>
      </c>
      <c r="X715" s="189" t="s">
        <v>271</v>
      </c>
      <c r="Y715" s="189" t="s">
        <v>2108</v>
      </c>
      <c r="Z715" s="0" t="n">
        <v>1</v>
      </c>
      <c r="AA715" s="189" t="s">
        <v>2274</v>
      </c>
    </row>
    <row r="716" customFormat="false" ht="15" hidden="false" customHeight="false" outlineLevel="0" collapsed="false">
      <c r="A716" s="0" t="n">
        <v>145</v>
      </c>
      <c r="B716" s="188" t="n">
        <v>46076.0473062201</v>
      </c>
      <c r="C716" s="188" t="n">
        <v>46076.0652460349</v>
      </c>
      <c r="D716" s="189" t="s">
        <v>1198</v>
      </c>
      <c r="E716" s="189" t="s">
        <v>1199</v>
      </c>
      <c r="F716" s="189" t="s">
        <v>1199</v>
      </c>
      <c r="G716" s="189" t="s">
        <v>1200</v>
      </c>
      <c r="H716" s="188" t="n">
        <v>46076</v>
      </c>
      <c r="I716" s="189" t="s">
        <v>113</v>
      </c>
      <c r="J716" s="189" t="s">
        <v>108</v>
      </c>
      <c r="K716" s="189" t="s">
        <v>257</v>
      </c>
      <c r="L716" s="189" t="s">
        <v>491</v>
      </c>
      <c r="M716" s="189" t="s">
        <v>286</v>
      </c>
      <c r="N716" s="189" t="s">
        <v>357</v>
      </c>
      <c r="O716" s="189" t="s">
        <v>107</v>
      </c>
      <c r="P716" s="189" t="s">
        <v>111</v>
      </c>
      <c r="Q716" s="189" t="s">
        <v>112</v>
      </c>
      <c r="R716" s="189" t="s">
        <v>22</v>
      </c>
      <c r="S716" s="189" t="s">
        <v>152</v>
      </c>
      <c r="T716" s="189" t="s">
        <v>121</v>
      </c>
      <c r="U716" s="189" t="s">
        <v>122</v>
      </c>
      <c r="V716" s="189" t="s">
        <v>123</v>
      </c>
      <c r="W716" s="189" t="s">
        <v>124</v>
      </c>
      <c r="X716" s="189" t="s">
        <v>271</v>
      </c>
      <c r="Y716" s="189" t="s">
        <v>2108</v>
      </c>
      <c r="Z716" s="0" t="n">
        <v>2</v>
      </c>
      <c r="AA716" s="189" t="s">
        <v>2179</v>
      </c>
    </row>
    <row r="717" customFormat="false" ht="15" hidden="false" customHeight="false" outlineLevel="0" collapsed="false">
      <c r="A717" s="0" t="n">
        <v>145</v>
      </c>
      <c r="B717" s="188" t="n">
        <v>46076.0473062201</v>
      </c>
      <c r="C717" s="188" t="n">
        <v>46076.0652460349</v>
      </c>
      <c r="D717" s="189" t="s">
        <v>1198</v>
      </c>
      <c r="E717" s="189" t="s">
        <v>1199</v>
      </c>
      <c r="F717" s="189" t="s">
        <v>1199</v>
      </c>
      <c r="G717" s="189" t="s">
        <v>1200</v>
      </c>
      <c r="H717" s="188" t="n">
        <v>46076</v>
      </c>
      <c r="I717" s="189" t="s">
        <v>113</v>
      </c>
      <c r="J717" s="189" t="s">
        <v>108</v>
      </c>
      <c r="K717" s="189" t="s">
        <v>257</v>
      </c>
      <c r="L717" s="189" t="s">
        <v>491</v>
      </c>
      <c r="M717" s="189" t="s">
        <v>286</v>
      </c>
      <c r="N717" s="189" t="s">
        <v>357</v>
      </c>
      <c r="O717" s="189" t="s">
        <v>107</v>
      </c>
      <c r="P717" s="189" t="s">
        <v>111</v>
      </c>
      <c r="Q717" s="189" t="s">
        <v>112</v>
      </c>
      <c r="R717" s="189" t="s">
        <v>22</v>
      </c>
      <c r="S717" s="189" t="s">
        <v>152</v>
      </c>
      <c r="T717" s="189" t="s">
        <v>121</v>
      </c>
      <c r="U717" s="189" t="s">
        <v>122</v>
      </c>
      <c r="V717" s="189" t="s">
        <v>123</v>
      </c>
      <c r="W717" s="189" t="s">
        <v>124</v>
      </c>
      <c r="X717" s="189" t="s">
        <v>271</v>
      </c>
      <c r="Y717" s="189" t="s">
        <v>2110</v>
      </c>
      <c r="Z717" s="0" t="n">
        <v>1</v>
      </c>
      <c r="AA717" s="189" t="s">
        <v>2161</v>
      </c>
    </row>
    <row r="718" customFormat="false" ht="15" hidden="false" customHeight="false" outlineLevel="0" collapsed="false">
      <c r="A718" s="0" t="n">
        <v>145</v>
      </c>
      <c r="B718" s="188" t="n">
        <v>46076.0473062201</v>
      </c>
      <c r="C718" s="188" t="n">
        <v>46076.0652460349</v>
      </c>
      <c r="D718" s="189" t="s">
        <v>1198</v>
      </c>
      <c r="E718" s="189" t="s">
        <v>1199</v>
      </c>
      <c r="F718" s="189" t="s">
        <v>1199</v>
      </c>
      <c r="G718" s="189" t="s">
        <v>1200</v>
      </c>
      <c r="H718" s="188" t="n">
        <v>46076</v>
      </c>
      <c r="I718" s="189" t="s">
        <v>113</v>
      </c>
      <c r="J718" s="189" t="s">
        <v>108</v>
      </c>
      <c r="K718" s="189" t="s">
        <v>257</v>
      </c>
      <c r="L718" s="189" t="s">
        <v>491</v>
      </c>
      <c r="M718" s="189" t="s">
        <v>286</v>
      </c>
      <c r="N718" s="189" t="s">
        <v>357</v>
      </c>
      <c r="O718" s="189" t="s">
        <v>107</v>
      </c>
      <c r="P718" s="189" t="s">
        <v>111</v>
      </c>
      <c r="Q718" s="189" t="s">
        <v>112</v>
      </c>
      <c r="R718" s="189" t="s">
        <v>22</v>
      </c>
      <c r="S718" s="189" t="s">
        <v>152</v>
      </c>
      <c r="T718" s="189" t="s">
        <v>121</v>
      </c>
      <c r="U718" s="189" t="s">
        <v>122</v>
      </c>
      <c r="V718" s="189" t="s">
        <v>123</v>
      </c>
      <c r="W718" s="189" t="s">
        <v>124</v>
      </c>
      <c r="X718" s="189" t="s">
        <v>271</v>
      </c>
      <c r="Y718" s="189" t="s">
        <v>2110</v>
      </c>
      <c r="Z718" s="0" t="n">
        <v>2</v>
      </c>
      <c r="AA718" s="189" t="s">
        <v>2311</v>
      </c>
    </row>
    <row r="719" customFormat="false" ht="15" hidden="false" customHeight="false" outlineLevel="0" collapsed="false">
      <c r="A719" s="0" t="n">
        <v>145</v>
      </c>
      <c r="B719" s="188" t="n">
        <v>46076.0473062201</v>
      </c>
      <c r="C719" s="188" t="n">
        <v>46076.0652460349</v>
      </c>
      <c r="D719" s="189" t="s">
        <v>1198</v>
      </c>
      <c r="E719" s="189" t="s">
        <v>1199</v>
      </c>
      <c r="F719" s="189" t="s">
        <v>1199</v>
      </c>
      <c r="G719" s="189" t="s">
        <v>1200</v>
      </c>
      <c r="H719" s="188" t="n">
        <v>46076</v>
      </c>
      <c r="I719" s="189" t="s">
        <v>113</v>
      </c>
      <c r="J719" s="189" t="s">
        <v>108</v>
      </c>
      <c r="K719" s="189" t="s">
        <v>257</v>
      </c>
      <c r="L719" s="189" t="s">
        <v>491</v>
      </c>
      <c r="M719" s="189" t="s">
        <v>286</v>
      </c>
      <c r="N719" s="189" t="s">
        <v>357</v>
      </c>
      <c r="O719" s="189" t="s">
        <v>107</v>
      </c>
      <c r="P719" s="189" t="s">
        <v>111</v>
      </c>
      <c r="Q719" s="189" t="s">
        <v>112</v>
      </c>
      <c r="R719" s="189" t="s">
        <v>22</v>
      </c>
      <c r="S719" s="189" t="s">
        <v>152</v>
      </c>
      <c r="T719" s="189" t="s">
        <v>121</v>
      </c>
      <c r="U719" s="189" t="s">
        <v>122</v>
      </c>
      <c r="V719" s="189" t="s">
        <v>123</v>
      </c>
      <c r="W719" s="189" t="s">
        <v>124</v>
      </c>
      <c r="X719" s="189" t="s">
        <v>271</v>
      </c>
      <c r="Y719" s="189" t="s">
        <v>2113</v>
      </c>
      <c r="Z719" s="0" t="n">
        <v>1</v>
      </c>
      <c r="AA719" s="189" t="s">
        <v>2163</v>
      </c>
    </row>
    <row r="720" customFormat="false" ht="15" hidden="false" customHeight="false" outlineLevel="0" collapsed="false">
      <c r="A720" s="0" t="n">
        <v>145</v>
      </c>
      <c r="B720" s="188" t="n">
        <v>46076.0473062201</v>
      </c>
      <c r="C720" s="188" t="n">
        <v>46076.0652460349</v>
      </c>
      <c r="D720" s="189" t="s">
        <v>1198</v>
      </c>
      <c r="E720" s="189" t="s">
        <v>1199</v>
      </c>
      <c r="F720" s="189" t="s">
        <v>1199</v>
      </c>
      <c r="G720" s="189" t="s">
        <v>1200</v>
      </c>
      <c r="H720" s="188" t="n">
        <v>46076</v>
      </c>
      <c r="I720" s="189" t="s">
        <v>113</v>
      </c>
      <c r="J720" s="189" t="s">
        <v>108</v>
      </c>
      <c r="K720" s="189" t="s">
        <v>257</v>
      </c>
      <c r="L720" s="189" t="s">
        <v>491</v>
      </c>
      <c r="M720" s="189" t="s">
        <v>286</v>
      </c>
      <c r="N720" s="189" t="s">
        <v>357</v>
      </c>
      <c r="O720" s="189" t="s">
        <v>107</v>
      </c>
      <c r="P720" s="189" t="s">
        <v>111</v>
      </c>
      <c r="Q720" s="189" t="s">
        <v>112</v>
      </c>
      <c r="R720" s="189" t="s">
        <v>22</v>
      </c>
      <c r="S720" s="189" t="s">
        <v>152</v>
      </c>
      <c r="T720" s="189" t="s">
        <v>121</v>
      </c>
      <c r="U720" s="189" t="s">
        <v>122</v>
      </c>
      <c r="V720" s="189" t="s">
        <v>123</v>
      </c>
      <c r="W720" s="189" t="s">
        <v>124</v>
      </c>
      <c r="X720" s="189" t="s">
        <v>271</v>
      </c>
      <c r="Y720" s="189" t="s">
        <v>2113</v>
      </c>
      <c r="Z720" s="0" t="n">
        <v>2</v>
      </c>
      <c r="AA720" s="189" t="s">
        <v>122</v>
      </c>
    </row>
    <row r="721" customFormat="false" ht="15" hidden="false" customHeight="false" outlineLevel="0" collapsed="false">
      <c r="A721" s="0" t="n">
        <v>146</v>
      </c>
      <c r="B721" s="188" t="n">
        <v>46159.2597595003</v>
      </c>
      <c r="C721" s="188" t="n">
        <v>46159.270176167</v>
      </c>
      <c r="D721" s="189" t="s">
        <v>1202</v>
      </c>
      <c r="E721" s="189" t="s">
        <v>1203</v>
      </c>
      <c r="F721" s="189" t="s">
        <v>1204</v>
      </c>
      <c r="G721" s="189" t="s">
        <v>1205</v>
      </c>
      <c r="H721" s="188" t="n">
        <v>46155</v>
      </c>
      <c r="I721" s="189" t="s">
        <v>113</v>
      </c>
      <c r="J721" s="189" t="s">
        <v>108</v>
      </c>
      <c r="K721" s="189" t="s">
        <v>364</v>
      </c>
      <c r="L721" s="189" t="s">
        <v>233</v>
      </c>
      <c r="M721" s="189" t="s">
        <v>774</v>
      </c>
      <c r="N721" s="189" t="s">
        <v>347</v>
      </c>
      <c r="O721" s="189" t="s">
        <v>172</v>
      </c>
      <c r="P721" s="189" t="s">
        <v>111</v>
      </c>
      <c r="Q721" s="189" t="s">
        <v>112</v>
      </c>
      <c r="R721" s="189" t="s">
        <v>24</v>
      </c>
      <c r="S721" s="189" t="s">
        <v>120</v>
      </c>
      <c r="T721" s="189" t="s">
        <v>121</v>
      </c>
      <c r="V721" s="189" t="s">
        <v>192</v>
      </c>
      <c r="W721" s="189" t="s">
        <v>139</v>
      </c>
      <c r="X721" s="189" t="s">
        <v>260</v>
      </c>
      <c r="Y721" s="189" t="s">
        <v>2108</v>
      </c>
      <c r="Z721" s="0" t="n">
        <v>1</v>
      </c>
      <c r="AA721" s="189" t="s">
        <v>2307</v>
      </c>
    </row>
    <row r="722" customFormat="false" ht="15" hidden="false" customHeight="false" outlineLevel="0" collapsed="false">
      <c r="A722" s="0" t="n">
        <v>146</v>
      </c>
      <c r="B722" s="188" t="n">
        <v>46159.2597595003</v>
      </c>
      <c r="C722" s="188" t="n">
        <v>46159.270176167</v>
      </c>
      <c r="D722" s="189" t="s">
        <v>1202</v>
      </c>
      <c r="E722" s="189" t="s">
        <v>1203</v>
      </c>
      <c r="F722" s="189" t="s">
        <v>1204</v>
      </c>
      <c r="G722" s="189" t="s">
        <v>1205</v>
      </c>
      <c r="H722" s="188" t="n">
        <v>46155</v>
      </c>
      <c r="I722" s="189" t="s">
        <v>113</v>
      </c>
      <c r="J722" s="189" t="s">
        <v>108</v>
      </c>
      <c r="K722" s="189" t="s">
        <v>364</v>
      </c>
      <c r="L722" s="189" t="s">
        <v>233</v>
      </c>
      <c r="M722" s="189" t="s">
        <v>774</v>
      </c>
      <c r="N722" s="189" t="s">
        <v>347</v>
      </c>
      <c r="O722" s="189" t="s">
        <v>172</v>
      </c>
      <c r="P722" s="189" t="s">
        <v>111</v>
      </c>
      <c r="Q722" s="189" t="s">
        <v>112</v>
      </c>
      <c r="R722" s="189" t="s">
        <v>24</v>
      </c>
      <c r="S722" s="189" t="s">
        <v>120</v>
      </c>
      <c r="T722" s="189" t="s">
        <v>121</v>
      </c>
      <c r="V722" s="189" t="s">
        <v>192</v>
      </c>
      <c r="W722" s="189" t="s">
        <v>139</v>
      </c>
      <c r="X722" s="189" t="s">
        <v>260</v>
      </c>
      <c r="Y722" s="189" t="s">
        <v>2108</v>
      </c>
      <c r="Z722" s="0" t="n">
        <v>2</v>
      </c>
      <c r="AA722" s="189" t="s">
        <v>2303</v>
      </c>
    </row>
    <row r="723" customFormat="false" ht="15" hidden="false" customHeight="false" outlineLevel="0" collapsed="false">
      <c r="A723" s="0" t="n">
        <v>146</v>
      </c>
      <c r="B723" s="188" t="n">
        <v>46159.2597595003</v>
      </c>
      <c r="C723" s="188" t="n">
        <v>46159.270176167</v>
      </c>
      <c r="D723" s="189" t="s">
        <v>1202</v>
      </c>
      <c r="E723" s="189" t="s">
        <v>1203</v>
      </c>
      <c r="F723" s="189" t="s">
        <v>1204</v>
      </c>
      <c r="G723" s="189" t="s">
        <v>1205</v>
      </c>
      <c r="H723" s="188" t="n">
        <v>46155</v>
      </c>
      <c r="I723" s="189" t="s">
        <v>113</v>
      </c>
      <c r="J723" s="189" t="s">
        <v>108</v>
      </c>
      <c r="K723" s="189" t="s">
        <v>364</v>
      </c>
      <c r="L723" s="189" t="s">
        <v>233</v>
      </c>
      <c r="M723" s="189" t="s">
        <v>774</v>
      </c>
      <c r="N723" s="189" t="s">
        <v>347</v>
      </c>
      <c r="O723" s="189" t="s">
        <v>172</v>
      </c>
      <c r="P723" s="189" t="s">
        <v>111</v>
      </c>
      <c r="Q723" s="189" t="s">
        <v>112</v>
      </c>
      <c r="R723" s="189" t="s">
        <v>24</v>
      </c>
      <c r="S723" s="189" t="s">
        <v>120</v>
      </c>
      <c r="T723" s="189" t="s">
        <v>121</v>
      </c>
      <c r="V723" s="189" t="s">
        <v>192</v>
      </c>
      <c r="W723" s="189" t="s">
        <v>139</v>
      </c>
      <c r="X723" s="189" t="s">
        <v>260</v>
      </c>
      <c r="Y723" s="189" t="s">
        <v>2110</v>
      </c>
      <c r="Z723" s="0" t="n">
        <v>1</v>
      </c>
      <c r="AA723" s="189" t="s">
        <v>2155</v>
      </c>
    </row>
    <row r="724" customFormat="false" ht="15" hidden="false" customHeight="false" outlineLevel="0" collapsed="false">
      <c r="A724" s="0" t="n">
        <v>146</v>
      </c>
      <c r="B724" s="188" t="n">
        <v>46159.2597595003</v>
      </c>
      <c r="C724" s="188" t="n">
        <v>46159.270176167</v>
      </c>
      <c r="D724" s="189" t="s">
        <v>1202</v>
      </c>
      <c r="E724" s="189" t="s">
        <v>1203</v>
      </c>
      <c r="F724" s="189" t="s">
        <v>1204</v>
      </c>
      <c r="G724" s="189" t="s">
        <v>1205</v>
      </c>
      <c r="H724" s="188" t="n">
        <v>46155</v>
      </c>
      <c r="I724" s="189" t="s">
        <v>113</v>
      </c>
      <c r="J724" s="189" t="s">
        <v>108</v>
      </c>
      <c r="K724" s="189" t="s">
        <v>364</v>
      </c>
      <c r="L724" s="189" t="s">
        <v>233</v>
      </c>
      <c r="M724" s="189" t="s">
        <v>774</v>
      </c>
      <c r="N724" s="189" t="s">
        <v>347</v>
      </c>
      <c r="O724" s="189" t="s">
        <v>172</v>
      </c>
      <c r="P724" s="189" t="s">
        <v>111</v>
      </c>
      <c r="Q724" s="189" t="s">
        <v>112</v>
      </c>
      <c r="R724" s="189" t="s">
        <v>24</v>
      </c>
      <c r="S724" s="189" t="s">
        <v>120</v>
      </c>
      <c r="T724" s="189" t="s">
        <v>121</v>
      </c>
      <c r="V724" s="189" t="s">
        <v>192</v>
      </c>
      <c r="W724" s="189" t="s">
        <v>139</v>
      </c>
      <c r="X724" s="189" t="s">
        <v>260</v>
      </c>
      <c r="Y724" s="189" t="s">
        <v>2113</v>
      </c>
      <c r="Z724" s="0" t="n">
        <v>1</v>
      </c>
      <c r="AA724" s="189" t="s">
        <v>2304</v>
      </c>
    </row>
    <row r="725" customFormat="false" ht="15" hidden="false" customHeight="false" outlineLevel="0" collapsed="false">
      <c r="A725" s="0" t="n">
        <v>146</v>
      </c>
      <c r="B725" s="188" t="n">
        <v>46159.2597595003</v>
      </c>
      <c r="C725" s="188" t="n">
        <v>46159.270176167</v>
      </c>
      <c r="D725" s="189" t="s">
        <v>1202</v>
      </c>
      <c r="E725" s="189" t="s">
        <v>1203</v>
      </c>
      <c r="F725" s="189" t="s">
        <v>1204</v>
      </c>
      <c r="G725" s="189" t="s">
        <v>1205</v>
      </c>
      <c r="H725" s="188" t="n">
        <v>46155</v>
      </c>
      <c r="I725" s="189" t="s">
        <v>113</v>
      </c>
      <c r="J725" s="189" t="s">
        <v>108</v>
      </c>
      <c r="K725" s="189" t="s">
        <v>364</v>
      </c>
      <c r="L725" s="189" t="s">
        <v>233</v>
      </c>
      <c r="M725" s="189" t="s">
        <v>774</v>
      </c>
      <c r="N725" s="189" t="s">
        <v>347</v>
      </c>
      <c r="O725" s="189" t="s">
        <v>172</v>
      </c>
      <c r="P725" s="189" t="s">
        <v>111</v>
      </c>
      <c r="Q725" s="189" t="s">
        <v>112</v>
      </c>
      <c r="R725" s="189" t="s">
        <v>24</v>
      </c>
      <c r="S725" s="189" t="s">
        <v>120</v>
      </c>
      <c r="T725" s="189" t="s">
        <v>121</v>
      </c>
      <c r="V725" s="189" t="s">
        <v>192</v>
      </c>
      <c r="W725" s="189" t="s">
        <v>139</v>
      </c>
      <c r="X725" s="189" t="s">
        <v>260</v>
      </c>
      <c r="Y725" s="189" t="s">
        <v>2113</v>
      </c>
      <c r="Z725" s="0" t="n">
        <v>2</v>
      </c>
      <c r="AA725" s="189" t="s">
        <v>606</v>
      </c>
    </row>
    <row r="726" customFormat="false" ht="15" hidden="false" customHeight="false" outlineLevel="0" collapsed="false">
      <c r="A726" s="0" t="n">
        <v>147</v>
      </c>
      <c r="B726" s="188" t="n">
        <v>46199.6015208691</v>
      </c>
      <c r="C726" s="188" t="n">
        <v>46199.619009295</v>
      </c>
      <c r="D726" s="189" t="s">
        <v>1208</v>
      </c>
      <c r="E726" s="189" t="s">
        <v>1209</v>
      </c>
      <c r="F726" s="189" t="s">
        <v>1209</v>
      </c>
      <c r="G726" s="189" t="s">
        <v>1210</v>
      </c>
      <c r="H726" s="188" t="n">
        <v>46181</v>
      </c>
      <c r="I726" s="189" t="s">
        <v>325</v>
      </c>
      <c r="J726" s="189" t="s">
        <v>108</v>
      </c>
      <c r="K726" s="189" t="s">
        <v>232</v>
      </c>
      <c r="L726" s="189" t="s">
        <v>491</v>
      </c>
      <c r="M726" s="189" t="s">
        <v>130</v>
      </c>
      <c r="N726" s="189" t="s">
        <v>560</v>
      </c>
      <c r="O726" s="189" t="s">
        <v>244</v>
      </c>
      <c r="P726" s="189" t="s">
        <v>111</v>
      </c>
      <c r="Q726" s="189" t="s">
        <v>112</v>
      </c>
      <c r="R726" s="189" t="s">
        <v>22</v>
      </c>
      <c r="S726" s="189" t="s">
        <v>152</v>
      </c>
      <c r="T726" s="189" t="s">
        <v>121</v>
      </c>
      <c r="V726" s="189" t="s">
        <v>123</v>
      </c>
      <c r="W726" s="189" t="s">
        <v>124</v>
      </c>
      <c r="X726" s="189" t="s">
        <v>715</v>
      </c>
      <c r="Y726" s="189" t="s">
        <v>2108</v>
      </c>
      <c r="Z726" s="0" t="n">
        <v>1</v>
      </c>
      <c r="AA726" s="189" t="s">
        <v>2300</v>
      </c>
    </row>
    <row r="727" customFormat="false" ht="15" hidden="false" customHeight="false" outlineLevel="0" collapsed="false">
      <c r="A727" s="0" t="n">
        <v>147</v>
      </c>
      <c r="B727" s="188" t="n">
        <v>46199.6015208691</v>
      </c>
      <c r="C727" s="188" t="n">
        <v>46199.619009295</v>
      </c>
      <c r="D727" s="189" t="s">
        <v>1208</v>
      </c>
      <c r="E727" s="189" t="s">
        <v>1209</v>
      </c>
      <c r="F727" s="189" t="s">
        <v>1209</v>
      </c>
      <c r="G727" s="189" t="s">
        <v>1210</v>
      </c>
      <c r="H727" s="188" t="n">
        <v>46181</v>
      </c>
      <c r="I727" s="189" t="s">
        <v>325</v>
      </c>
      <c r="J727" s="189" t="s">
        <v>108</v>
      </c>
      <c r="K727" s="189" t="s">
        <v>232</v>
      </c>
      <c r="L727" s="189" t="s">
        <v>491</v>
      </c>
      <c r="M727" s="189" t="s">
        <v>130</v>
      </c>
      <c r="N727" s="189" t="s">
        <v>560</v>
      </c>
      <c r="O727" s="189" t="s">
        <v>244</v>
      </c>
      <c r="P727" s="189" t="s">
        <v>111</v>
      </c>
      <c r="Q727" s="189" t="s">
        <v>112</v>
      </c>
      <c r="R727" s="189" t="s">
        <v>22</v>
      </c>
      <c r="S727" s="189" t="s">
        <v>152</v>
      </c>
      <c r="T727" s="189" t="s">
        <v>121</v>
      </c>
      <c r="V727" s="189" t="s">
        <v>123</v>
      </c>
      <c r="W727" s="189" t="s">
        <v>124</v>
      </c>
      <c r="X727" s="189" t="s">
        <v>715</v>
      </c>
      <c r="Y727" s="189" t="s">
        <v>2108</v>
      </c>
      <c r="Z727" s="0" t="n">
        <v>2</v>
      </c>
      <c r="AA727" s="189" t="s">
        <v>2268</v>
      </c>
    </row>
    <row r="728" customFormat="false" ht="15" hidden="false" customHeight="false" outlineLevel="0" collapsed="false">
      <c r="A728" s="0" t="n">
        <v>147</v>
      </c>
      <c r="B728" s="188" t="n">
        <v>46199.6015208691</v>
      </c>
      <c r="C728" s="188" t="n">
        <v>46199.619009295</v>
      </c>
      <c r="D728" s="189" t="s">
        <v>1208</v>
      </c>
      <c r="E728" s="189" t="s">
        <v>1209</v>
      </c>
      <c r="F728" s="189" t="s">
        <v>1209</v>
      </c>
      <c r="G728" s="189" t="s">
        <v>1210</v>
      </c>
      <c r="H728" s="188" t="n">
        <v>46181</v>
      </c>
      <c r="I728" s="189" t="s">
        <v>325</v>
      </c>
      <c r="J728" s="189" t="s">
        <v>108</v>
      </c>
      <c r="K728" s="189" t="s">
        <v>232</v>
      </c>
      <c r="L728" s="189" t="s">
        <v>491</v>
      </c>
      <c r="M728" s="189" t="s">
        <v>130</v>
      </c>
      <c r="N728" s="189" t="s">
        <v>560</v>
      </c>
      <c r="O728" s="189" t="s">
        <v>244</v>
      </c>
      <c r="P728" s="189" t="s">
        <v>111</v>
      </c>
      <c r="Q728" s="189" t="s">
        <v>112</v>
      </c>
      <c r="R728" s="189" t="s">
        <v>22</v>
      </c>
      <c r="S728" s="189" t="s">
        <v>152</v>
      </c>
      <c r="T728" s="189" t="s">
        <v>121</v>
      </c>
      <c r="V728" s="189" t="s">
        <v>123</v>
      </c>
      <c r="W728" s="189" t="s">
        <v>124</v>
      </c>
      <c r="X728" s="189" t="s">
        <v>715</v>
      </c>
      <c r="Y728" s="189" t="s">
        <v>2110</v>
      </c>
      <c r="Z728" s="0" t="n">
        <v>1</v>
      </c>
      <c r="AA728" s="189" t="s">
        <v>2271</v>
      </c>
    </row>
    <row r="729" customFormat="false" ht="15" hidden="false" customHeight="false" outlineLevel="0" collapsed="false">
      <c r="A729" s="0" t="n">
        <v>147</v>
      </c>
      <c r="B729" s="188" t="n">
        <v>46199.6015208691</v>
      </c>
      <c r="C729" s="188" t="n">
        <v>46199.619009295</v>
      </c>
      <c r="D729" s="189" t="s">
        <v>1208</v>
      </c>
      <c r="E729" s="189" t="s">
        <v>1209</v>
      </c>
      <c r="F729" s="189" t="s">
        <v>1209</v>
      </c>
      <c r="G729" s="189" t="s">
        <v>1210</v>
      </c>
      <c r="H729" s="188" t="n">
        <v>46181</v>
      </c>
      <c r="I729" s="189" t="s">
        <v>325</v>
      </c>
      <c r="J729" s="189" t="s">
        <v>108</v>
      </c>
      <c r="K729" s="189" t="s">
        <v>232</v>
      </c>
      <c r="L729" s="189" t="s">
        <v>491</v>
      </c>
      <c r="M729" s="189" t="s">
        <v>130</v>
      </c>
      <c r="N729" s="189" t="s">
        <v>560</v>
      </c>
      <c r="O729" s="189" t="s">
        <v>244</v>
      </c>
      <c r="P729" s="189" t="s">
        <v>111</v>
      </c>
      <c r="Q729" s="189" t="s">
        <v>112</v>
      </c>
      <c r="R729" s="189" t="s">
        <v>22</v>
      </c>
      <c r="S729" s="189" t="s">
        <v>152</v>
      </c>
      <c r="T729" s="189" t="s">
        <v>121</v>
      </c>
      <c r="V729" s="189" t="s">
        <v>123</v>
      </c>
      <c r="W729" s="189" t="s">
        <v>124</v>
      </c>
      <c r="X729" s="189" t="s">
        <v>715</v>
      </c>
      <c r="Y729" s="189" t="s">
        <v>2110</v>
      </c>
      <c r="Z729" s="0" t="n">
        <v>2</v>
      </c>
      <c r="AA729" s="189" t="s">
        <v>2297</v>
      </c>
    </row>
    <row r="730" customFormat="false" ht="15" hidden="false" customHeight="false" outlineLevel="0" collapsed="false">
      <c r="A730" s="0" t="n">
        <v>147</v>
      </c>
      <c r="B730" s="188" t="n">
        <v>46199.6015208691</v>
      </c>
      <c r="C730" s="188" t="n">
        <v>46199.619009295</v>
      </c>
      <c r="D730" s="189" t="s">
        <v>1208</v>
      </c>
      <c r="E730" s="189" t="s">
        <v>1209</v>
      </c>
      <c r="F730" s="189" t="s">
        <v>1209</v>
      </c>
      <c r="G730" s="189" t="s">
        <v>1210</v>
      </c>
      <c r="H730" s="188" t="n">
        <v>46181</v>
      </c>
      <c r="I730" s="189" t="s">
        <v>325</v>
      </c>
      <c r="J730" s="189" t="s">
        <v>108</v>
      </c>
      <c r="K730" s="189" t="s">
        <v>232</v>
      </c>
      <c r="L730" s="189" t="s">
        <v>491</v>
      </c>
      <c r="M730" s="189" t="s">
        <v>130</v>
      </c>
      <c r="N730" s="189" t="s">
        <v>560</v>
      </c>
      <c r="O730" s="189" t="s">
        <v>244</v>
      </c>
      <c r="P730" s="189" t="s">
        <v>111</v>
      </c>
      <c r="Q730" s="189" t="s">
        <v>112</v>
      </c>
      <c r="R730" s="189" t="s">
        <v>22</v>
      </c>
      <c r="S730" s="189" t="s">
        <v>152</v>
      </c>
      <c r="T730" s="189" t="s">
        <v>121</v>
      </c>
      <c r="V730" s="189" t="s">
        <v>123</v>
      </c>
      <c r="W730" s="189" t="s">
        <v>124</v>
      </c>
      <c r="X730" s="189" t="s">
        <v>715</v>
      </c>
      <c r="Y730" s="189" t="s">
        <v>2113</v>
      </c>
      <c r="Z730" s="0" t="n">
        <v>1</v>
      </c>
      <c r="AA730" s="189" t="s">
        <v>2298</v>
      </c>
    </row>
    <row r="731" customFormat="false" ht="15" hidden="false" customHeight="false" outlineLevel="0" collapsed="false">
      <c r="A731" s="0" t="n">
        <v>148</v>
      </c>
      <c r="B731" s="188" t="n">
        <v>46064.0824913775</v>
      </c>
      <c r="C731" s="188" t="n">
        <v>46064.0924798034</v>
      </c>
      <c r="D731" s="189" t="s">
        <v>1213</v>
      </c>
      <c r="E731" s="189" t="s">
        <v>1214</v>
      </c>
      <c r="F731" s="189" t="s">
        <v>1214</v>
      </c>
      <c r="G731" s="189" t="s">
        <v>1215</v>
      </c>
      <c r="H731" s="188" t="n">
        <v>46050</v>
      </c>
      <c r="I731" s="189" t="s">
        <v>325</v>
      </c>
      <c r="J731" s="189" t="s">
        <v>108</v>
      </c>
      <c r="K731" s="189" t="s">
        <v>1216</v>
      </c>
      <c r="L731" s="189" t="s">
        <v>184</v>
      </c>
      <c r="M731" s="189" t="s">
        <v>1120</v>
      </c>
      <c r="N731" s="189" t="s">
        <v>1078</v>
      </c>
      <c r="O731" s="189" t="s">
        <v>172</v>
      </c>
      <c r="P731" s="189" t="s">
        <v>111</v>
      </c>
      <c r="Q731" s="189" t="s">
        <v>247</v>
      </c>
      <c r="R731" s="189" t="s">
        <v>22</v>
      </c>
      <c r="S731" s="189" t="s">
        <v>152</v>
      </c>
      <c r="T731" s="189" t="s">
        <v>814</v>
      </c>
      <c r="U731" s="189" t="s">
        <v>122</v>
      </c>
      <c r="V731" s="189" t="s">
        <v>123</v>
      </c>
      <c r="W731" s="189" t="s">
        <v>139</v>
      </c>
      <c r="X731" s="189" t="s">
        <v>148</v>
      </c>
      <c r="Y731" s="189" t="s">
        <v>2108</v>
      </c>
      <c r="Z731" s="0" t="n">
        <v>1</v>
      </c>
      <c r="AA731" s="189" t="s">
        <v>2326</v>
      </c>
    </row>
    <row r="732" customFormat="false" ht="15" hidden="false" customHeight="false" outlineLevel="0" collapsed="false">
      <c r="A732" s="0" t="n">
        <v>148</v>
      </c>
      <c r="B732" s="188" t="n">
        <v>46064.0824913775</v>
      </c>
      <c r="C732" s="188" t="n">
        <v>46064.0924798034</v>
      </c>
      <c r="D732" s="189" t="s">
        <v>1213</v>
      </c>
      <c r="E732" s="189" t="s">
        <v>1214</v>
      </c>
      <c r="F732" s="189" t="s">
        <v>1214</v>
      </c>
      <c r="G732" s="189" t="s">
        <v>1215</v>
      </c>
      <c r="H732" s="188" t="n">
        <v>46050</v>
      </c>
      <c r="I732" s="189" t="s">
        <v>325</v>
      </c>
      <c r="J732" s="189" t="s">
        <v>108</v>
      </c>
      <c r="K732" s="189" t="s">
        <v>1216</v>
      </c>
      <c r="L732" s="189" t="s">
        <v>184</v>
      </c>
      <c r="M732" s="189" t="s">
        <v>1120</v>
      </c>
      <c r="N732" s="189" t="s">
        <v>1078</v>
      </c>
      <c r="O732" s="189" t="s">
        <v>172</v>
      </c>
      <c r="P732" s="189" t="s">
        <v>111</v>
      </c>
      <c r="Q732" s="189" t="s">
        <v>247</v>
      </c>
      <c r="R732" s="189" t="s">
        <v>22</v>
      </c>
      <c r="S732" s="189" t="s">
        <v>152</v>
      </c>
      <c r="T732" s="189" t="s">
        <v>814</v>
      </c>
      <c r="U732" s="189" t="s">
        <v>122</v>
      </c>
      <c r="V732" s="189" t="s">
        <v>123</v>
      </c>
      <c r="W732" s="189" t="s">
        <v>139</v>
      </c>
      <c r="X732" s="189" t="s">
        <v>148</v>
      </c>
      <c r="Y732" s="189" t="s">
        <v>2110</v>
      </c>
      <c r="Z732" s="0" t="n">
        <v>1</v>
      </c>
      <c r="AA732" s="189" t="s">
        <v>2137</v>
      </c>
    </row>
    <row r="733" customFormat="false" ht="15" hidden="false" customHeight="false" outlineLevel="0" collapsed="false">
      <c r="A733" s="0" t="n">
        <v>148</v>
      </c>
      <c r="B733" s="188" t="n">
        <v>46064.0824913775</v>
      </c>
      <c r="C733" s="188" t="n">
        <v>46064.0924798034</v>
      </c>
      <c r="D733" s="189" t="s">
        <v>1213</v>
      </c>
      <c r="E733" s="189" t="s">
        <v>1214</v>
      </c>
      <c r="F733" s="189" t="s">
        <v>1214</v>
      </c>
      <c r="G733" s="189" t="s">
        <v>1215</v>
      </c>
      <c r="H733" s="188" t="n">
        <v>46050</v>
      </c>
      <c r="I733" s="189" t="s">
        <v>325</v>
      </c>
      <c r="J733" s="189" t="s">
        <v>108</v>
      </c>
      <c r="K733" s="189" t="s">
        <v>1216</v>
      </c>
      <c r="L733" s="189" t="s">
        <v>184</v>
      </c>
      <c r="M733" s="189" t="s">
        <v>1120</v>
      </c>
      <c r="N733" s="189" t="s">
        <v>1078</v>
      </c>
      <c r="O733" s="189" t="s">
        <v>172</v>
      </c>
      <c r="P733" s="189" t="s">
        <v>111</v>
      </c>
      <c r="Q733" s="189" t="s">
        <v>247</v>
      </c>
      <c r="R733" s="189" t="s">
        <v>22</v>
      </c>
      <c r="S733" s="189" t="s">
        <v>152</v>
      </c>
      <c r="T733" s="189" t="s">
        <v>814</v>
      </c>
      <c r="U733" s="189" t="s">
        <v>122</v>
      </c>
      <c r="V733" s="189" t="s">
        <v>123</v>
      </c>
      <c r="W733" s="189" t="s">
        <v>139</v>
      </c>
      <c r="X733" s="189" t="s">
        <v>148</v>
      </c>
      <c r="Y733" s="189" t="s">
        <v>2110</v>
      </c>
      <c r="Z733" s="0" t="n">
        <v>2</v>
      </c>
      <c r="AA733" s="189" t="s">
        <v>2328</v>
      </c>
    </row>
    <row r="734" customFormat="false" ht="15" hidden="false" customHeight="false" outlineLevel="0" collapsed="false">
      <c r="A734" s="0" t="n">
        <v>148</v>
      </c>
      <c r="B734" s="188" t="n">
        <v>46064.0824913775</v>
      </c>
      <c r="C734" s="188" t="n">
        <v>46064.0924798034</v>
      </c>
      <c r="D734" s="189" t="s">
        <v>1213</v>
      </c>
      <c r="E734" s="189" t="s">
        <v>1214</v>
      </c>
      <c r="F734" s="189" t="s">
        <v>1214</v>
      </c>
      <c r="G734" s="189" t="s">
        <v>1215</v>
      </c>
      <c r="H734" s="188" t="n">
        <v>46050</v>
      </c>
      <c r="I734" s="189" t="s">
        <v>325</v>
      </c>
      <c r="J734" s="189" t="s">
        <v>108</v>
      </c>
      <c r="K734" s="189" t="s">
        <v>1216</v>
      </c>
      <c r="L734" s="189" t="s">
        <v>184</v>
      </c>
      <c r="M734" s="189" t="s">
        <v>1120</v>
      </c>
      <c r="N734" s="189" t="s">
        <v>1078</v>
      </c>
      <c r="O734" s="189" t="s">
        <v>172</v>
      </c>
      <c r="P734" s="189" t="s">
        <v>111</v>
      </c>
      <c r="Q734" s="189" t="s">
        <v>247</v>
      </c>
      <c r="R734" s="189" t="s">
        <v>22</v>
      </c>
      <c r="S734" s="189" t="s">
        <v>152</v>
      </c>
      <c r="T734" s="189" t="s">
        <v>814</v>
      </c>
      <c r="U734" s="189" t="s">
        <v>122</v>
      </c>
      <c r="V734" s="189" t="s">
        <v>123</v>
      </c>
      <c r="W734" s="189" t="s">
        <v>139</v>
      </c>
      <c r="X734" s="189" t="s">
        <v>148</v>
      </c>
      <c r="Y734" s="189" t="s">
        <v>2113</v>
      </c>
      <c r="Z734" s="0" t="n">
        <v>1</v>
      </c>
      <c r="AA734" s="189" t="s">
        <v>2124</v>
      </c>
    </row>
    <row r="735" customFormat="false" ht="15" hidden="false" customHeight="false" outlineLevel="0" collapsed="false">
      <c r="A735" s="0" t="n">
        <v>149</v>
      </c>
      <c r="B735" s="188" t="n">
        <v>46159.4957708449</v>
      </c>
      <c r="C735" s="188" t="n">
        <v>46159.507657419</v>
      </c>
      <c r="D735" s="189" t="s">
        <v>1220</v>
      </c>
      <c r="E735" s="189" t="s">
        <v>1221</v>
      </c>
      <c r="F735" s="189" t="s">
        <v>1222</v>
      </c>
      <c r="G735" s="189" t="s">
        <v>1223</v>
      </c>
      <c r="H735" s="188" t="n">
        <v>46143</v>
      </c>
      <c r="I735" s="189" t="s">
        <v>863</v>
      </c>
      <c r="J735" s="189" t="s">
        <v>108</v>
      </c>
      <c r="K735" s="189" t="s">
        <v>257</v>
      </c>
      <c r="L735" s="189" t="s">
        <v>389</v>
      </c>
      <c r="M735" s="189" t="s">
        <v>757</v>
      </c>
      <c r="N735" s="189" t="s">
        <v>1224</v>
      </c>
      <c r="O735" s="189" t="s">
        <v>157</v>
      </c>
      <c r="P735" s="189" t="s">
        <v>111</v>
      </c>
      <c r="Q735" s="189" t="s">
        <v>145</v>
      </c>
      <c r="R735" s="189" t="s">
        <v>22</v>
      </c>
      <c r="S735" s="189" t="s">
        <v>152</v>
      </c>
      <c r="T735" s="189" t="s">
        <v>352</v>
      </c>
      <c r="V735" s="189" t="s">
        <v>123</v>
      </c>
      <c r="W735" s="189" t="s">
        <v>124</v>
      </c>
      <c r="X735" s="189" t="s">
        <v>116</v>
      </c>
      <c r="Y735" s="189" t="s">
        <v>2108</v>
      </c>
      <c r="Z735" s="0" t="n">
        <v>1</v>
      </c>
      <c r="AA735" s="189" t="s">
        <v>2109</v>
      </c>
    </row>
    <row r="736" customFormat="false" ht="15" hidden="false" customHeight="false" outlineLevel="0" collapsed="false">
      <c r="A736" s="0" t="n">
        <v>149</v>
      </c>
      <c r="B736" s="188" t="n">
        <v>46159.4957708449</v>
      </c>
      <c r="C736" s="188" t="n">
        <v>46159.507657419</v>
      </c>
      <c r="D736" s="189" t="s">
        <v>1220</v>
      </c>
      <c r="E736" s="189" t="s">
        <v>1221</v>
      </c>
      <c r="F736" s="189" t="s">
        <v>1222</v>
      </c>
      <c r="G736" s="189" t="s">
        <v>1223</v>
      </c>
      <c r="H736" s="188" t="n">
        <v>46143</v>
      </c>
      <c r="I736" s="189" t="s">
        <v>863</v>
      </c>
      <c r="J736" s="189" t="s">
        <v>108</v>
      </c>
      <c r="K736" s="189" t="s">
        <v>257</v>
      </c>
      <c r="L736" s="189" t="s">
        <v>389</v>
      </c>
      <c r="M736" s="189" t="s">
        <v>757</v>
      </c>
      <c r="N736" s="189" t="s">
        <v>1224</v>
      </c>
      <c r="O736" s="189" t="s">
        <v>157</v>
      </c>
      <c r="P736" s="189" t="s">
        <v>111</v>
      </c>
      <c r="Q736" s="189" t="s">
        <v>145</v>
      </c>
      <c r="R736" s="189" t="s">
        <v>22</v>
      </c>
      <c r="S736" s="189" t="s">
        <v>152</v>
      </c>
      <c r="T736" s="189" t="s">
        <v>352</v>
      </c>
      <c r="V736" s="189" t="s">
        <v>123</v>
      </c>
      <c r="W736" s="189" t="s">
        <v>124</v>
      </c>
      <c r="X736" s="189" t="s">
        <v>116</v>
      </c>
      <c r="Y736" s="189" t="s">
        <v>2110</v>
      </c>
      <c r="Z736" s="0" t="n">
        <v>1</v>
      </c>
      <c r="AA736" s="189" t="s">
        <v>2255</v>
      </c>
    </row>
    <row r="737" customFormat="false" ht="15" hidden="false" customHeight="false" outlineLevel="0" collapsed="false">
      <c r="A737" s="0" t="n">
        <v>149</v>
      </c>
      <c r="B737" s="188" t="n">
        <v>46159.4957708449</v>
      </c>
      <c r="C737" s="188" t="n">
        <v>46159.507657419</v>
      </c>
      <c r="D737" s="189" t="s">
        <v>1220</v>
      </c>
      <c r="E737" s="189" t="s">
        <v>1221</v>
      </c>
      <c r="F737" s="189" t="s">
        <v>1222</v>
      </c>
      <c r="G737" s="189" t="s">
        <v>1223</v>
      </c>
      <c r="H737" s="188" t="n">
        <v>46143</v>
      </c>
      <c r="I737" s="189" t="s">
        <v>863</v>
      </c>
      <c r="J737" s="189" t="s">
        <v>108</v>
      </c>
      <c r="K737" s="189" t="s">
        <v>257</v>
      </c>
      <c r="L737" s="189" t="s">
        <v>389</v>
      </c>
      <c r="M737" s="189" t="s">
        <v>757</v>
      </c>
      <c r="N737" s="189" t="s">
        <v>1224</v>
      </c>
      <c r="O737" s="189" t="s">
        <v>157</v>
      </c>
      <c r="P737" s="189" t="s">
        <v>111</v>
      </c>
      <c r="Q737" s="189" t="s">
        <v>145</v>
      </c>
      <c r="R737" s="189" t="s">
        <v>22</v>
      </c>
      <c r="S737" s="189" t="s">
        <v>152</v>
      </c>
      <c r="T737" s="189" t="s">
        <v>352</v>
      </c>
      <c r="V737" s="189" t="s">
        <v>123</v>
      </c>
      <c r="W737" s="189" t="s">
        <v>124</v>
      </c>
      <c r="X737" s="189" t="s">
        <v>116</v>
      </c>
      <c r="Y737" s="189" t="s">
        <v>2110</v>
      </c>
      <c r="Z737" s="0" t="n">
        <v>2</v>
      </c>
      <c r="AA737" s="189" t="s">
        <v>2112</v>
      </c>
    </row>
    <row r="738" customFormat="false" ht="15" hidden="false" customHeight="false" outlineLevel="0" collapsed="false">
      <c r="A738" s="0" t="n">
        <v>149</v>
      </c>
      <c r="B738" s="188" t="n">
        <v>46159.4957708449</v>
      </c>
      <c r="C738" s="188" t="n">
        <v>46159.507657419</v>
      </c>
      <c r="D738" s="189" t="s">
        <v>1220</v>
      </c>
      <c r="E738" s="189" t="s">
        <v>1221</v>
      </c>
      <c r="F738" s="189" t="s">
        <v>1222</v>
      </c>
      <c r="G738" s="189" t="s">
        <v>1223</v>
      </c>
      <c r="H738" s="188" t="n">
        <v>46143</v>
      </c>
      <c r="I738" s="189" t="s">
        <v>863</v>
      </c>
      <c r="J738" s="189" t="s">
        <v>108</v>
      </c>
      <c r="K738" s="189" t="s">
        <v>257</v>
      </c>
      <c r="L738" s="189" t="s">
        <v>389</v>
      </c>
      <c r="M738" s="189" t="s">
        <v>757</v>
      </c>
      <c r="N738" s="189" t="s">
        <v>1224</v>
      </c>
      <c r="O738" s="189" t="s">
        <v>157</v>
      </c>
      <c r="P738" s="189" t="s">
        <v>111</v>
      </c>
      <c r="Q738" s="189" t="s">
        <v>145</v>
      </c>
      <c r="R738" s="189" t="s">
        <v>22</v>
      </c>
      <c r="S738" s="189" t="s">
        <v>152</v>
      </c>
      <c r="T738" s="189" t="s">
        <v>352</v>
      </c>
      <c r="V738" s="189" t="s">
        <v>123</v>
      </c>
      <c r="W738" s="189" t="s">
        <v>124</v>
      </c>
      <c r="X738" s="189" t="s">
        <v>116</v>
      </c>
      <c r="Y738" s="189" t="s">
        <v>2113</v>
      </c>
      <c r="Z738" s="0" t="n">
        <v>1</v>
      </c>
      <c r="AA738" s="189" t="s">
        <v>2152</v>
      </c>
    </row>
    <row r="739" customFormat="false" ht="15" hidden="false" customHeight="false" outlineLevel="0" collapsed="false">
      <c r="A739" s="0" t="n">
        <v>149</v>
      </c>
      <c r="B739" s="188" t="n">
        <v>46159.4957708449</v>
      </c>
      <c r="C739" s="188" t="n">
        <v>46159.507657419</v>
      </c>
      <c r="D739" s="189" t="s">
        <v>1220</v>
      </c>
      <c r="E739" s="189" t="s">
        <v>1221</v>
      </c>
      <c r="F739" s="189" t="s">
        <v>1222</v>
      </c>
      <c r="G739" s="189" t="s">
        <v>1223</v>
      </c>
      <c r="H739" s="188" t="n">
        <v>46143</v>
      </c>
      <c r="I739" s="189" t="s">
        <v>863</v>
      </c>
      <c r="J739" s="189" t="s">
        <v>108</v>
      </c>
      <c r="K739" s="189" t="s">
        <v>257</v>
      </c>
      <c r="L739" s="189" t="s">
        <v>389</v>
      </c>
      <c r="M739" s="189" t="s">
        <v>757</v>
      </c>
      <c r="N739" s="189" t="s">
        <v>1224</v>
      </c>
      <c r="O739" s="189" t="s">
        <v>157</v>
      </c>
      <c r="P739" s="189" t="s">
        <v>111</v>
      </c>
      <c r="Q739" s="189" t="s">
        <v>145</v>
      </c>
      <c r="R739" s="189" t="s">
        <v>22</v>
      </c>
      <c r="S739" s="189" t="s">
        <v>152</v>
      </c>
      <c r="T739" s="189" t="s">
        <v>352</v>
      </c>
      <c r="V739" s="189" t="s">
        <v>123</v>
      </c>
      <c r="W739" s="189" t="s">
        <v>124</v>
      </c>
      <c r="X739" s="189" t="s">
        <v>116</v>
      </c>
      <c r="Y739" s="189" t="s">
        <v>2113</v>
      </c>
      <c r="Z739" s="0" t="n">
        <v>2</v>
      </c>
      <c r="AA739" s="189" t="s">
        <v>2127</v>
      </c>
    </row>
    <row r="740" customFormat="false" ht="15" hidden="false" customHeight="false" outlineLevel="0" collapsed="false">
      <c r="A740" s="0" t="n">
        <v>150</v>
      </c>
      <c r="B740" s="188" t="n">
        <v>46142.9519154446</v>
      </c>
      <c r="C740" s="188" t="n">
        <v>46142.9614524817</v>
      </c>
      <c r="D740" s="189" t="s">
        <v>1226</v>
      </c>
      <c r="E740" s="189" t="s">
        <v>1227</v>
      </c>
      <c r="F740" s="189" t="s">
        <v>1227</v>
      </c>
      <c r="G740" s="189" t="s">
        <v>1228</v>
      </c>
      <c r="H740" s="188" t="n">
        <v>46142</v>
      </c>
      <c r="I740" s="189" t="s">
        <v>113</v>
      </c>
      <c r="J740" s="189" t="s">
        <v>108</v>
      </c>
      <c r="K740" s="189" t="s">
        <v>232</v>
      </c>
      <c r="L740" s="189" t="s">
        <v>246</v>
      </c>
      <c r="M740" s="189" t="s">
        <v>447</v>
      </c>
      <c r="N740" s="189" t="s">
        <v>1229</v>
      </c>
      <c r="O740" s="189" t="s">
        <v>244</v>
      </c>
      <c r="P740" s="189" t="s">
        <v>111</v>
      </c>
      <c r="Q740" s="189" t="s">
        <v>145</v>
      </c>
      <c r="R740" s="189" t="s">
        <v>22</v>
      </c>
      <c r="S740" s="189" t="s">
        <v>152</v>
      </c>
      <c r="T740" s="189" t="s">
        <v>121</v>
      </c>
      <c r="U740" s="189" t="s">
        <v>122</v>
      </c>
      <c r="V740" s="189" t="s">
        <v>167</v>
      </c>
      <c r="W740" s="189" t="s">
        <v>168</v>
      </c>
      <c r="X740" s="189" t="s">
        <v>176</v>
      </c>
      <c r="Y740" s="189" t="s">
        <v>2108</v>
      </c>
      <c r="Z740" s="0" t="n">
        <v>1</v>
      </c>
      <c r="AA740" s="189" t="s">
        <v>2248</v>
      </c>
    </row>
    <row r="741" customFormat="false" ht="15" hidden="false" customHeight="false" outlineLevel="0" collapsed="false">
      <c r="A741" s="0" t="n">
        <v>150</v>
      </c>
      <c r="B741" s="188" t="n">
        <v>46142.9519154446</v>
      </c>
      <c r="C741" s="188" t="n">
        <v>46142.9614524817</v>
      </c>
      <c r="D741" s="189" t="s">
        <v>1226</v>
      </c>
      <c r="E741" s="189" t="s">
        <v>1227</v>
      </c>
      <c r="F741" s="189" t="s">
        <v>1227</v>
      </c>
      <c r="G741" s="189" t="s">
        <v>1228</v>
      </c>
      <c r="H741" s="188" t="n">
        <v>46142</v>
      </c>
      <c r="I741" s="189" t="s">
        <v>113</v>
      </c>
      <c r="J741" s="189" t="s">
        <v>108</v>
      </c>
      <c r="K741" s="189" t="s">
        <v>232</v>
      </c>
      <c r="L741" s="189" t="s">
        <v>246</v>
      </c>
      <c r="M741" s="189" t="s">
        <v>447</v>
      </c>
      <c r="N741" s="189" t="s">
        <v>1229</v>
      </c>
      <c r="O741" s="189" t="s">
        <v>244</v>
      </c>
      <c r="P741" s="189" t="s">
        <v>111</v>
      </c>
      <c r="Q741" s="189" t="s">
        <v>145</v>
      </c>
      <c r="R741" s="189" t="s">
        <v>22</v>
      </c>
      <c r="S741" s="189" t="s">
        <v>152</v>
      </c>
      <c r="T741" s="189" t="s">
        <v>121</v>
      </c>
      <c r="U741" s="189" t="s">
        <v>122</v>
      </c>
      <c r="V741" s="189" t="s">
        <v>167</v>
      </c>
      <c r="W741" s="189" t="s">
        <v>168</v>
      </c>
      <c r="X741" s="189" t="s">
        <v>176</v>
      </c>
      <c r="Y741" s="189" t="s">
        <v>2108</v>
      </c>
      <c r="Z741" s="0" t="n">
        <v>2</v>
      </c>
      <c r="AA741" s="189" t="s">
        <v>2288</v>
      </c>
    </row>
    <row r="742" customFormat="false" ht="15" hidden="false" customHeight="false" outlineLevel="0" collapsed="false">
      <c r="A742" s="0" t="n">
        <v>150</v>
      </c>
      <c r="B742" s="188" t="n">
        <v>46142.9519154446</v>
      </c>
      <c r="C742" s="188" t="n">
        <v>46142.9614524817</v>
      </c>
      <c r="D742" s="189" t="s">
        <v>1226</v>
      </c>
      <c r="E742" s="189" t="s">
        <v>1227</v>
      </c>
      <c r="F742" s="189" t="s">
        <v>1227</v>
      </c>
      <c r="G742" s="189" t="s">
        <v>1228</v>
      </c>
      <c r="H742" s="188" t="n">
        <v>46142</v>
      </c>
      <c r="I742" s="189" t="s">
        <v>113</v>
      </c>
      <c r="J742" s="189" t="s">
        <v>108</v>
      </c>
      <c r="K742" s="189" t="s">
        <v>232</v>
      </c>
      <c r="L742" s="189" t="s">
        <v>246</v>
      </c>
      <c r="M742" s="189" t="s">
        <v>447</v>
      </c>
      <c r="N742" s="189" t="s">
        <v>1229</v>
      </c>
      <c r="O742" s="189" t="s">
        <v>244</v>
      </c>
      <c r="P742" s="189" t="s">
        <v>111</v>
      </c>
      <c r="Q742" s="189" t="s">
        <v>145</v>
      </c>
      <c r="R742" s="189" t="s">
        <v>22</v>
      </c>
      <c r="S742" s="189" t="s">
        <v>152</v>
      </c>
      <c r="T742" s="189" t="s">
        <v>121</v>
      </c>
      <c r="U742" s="189" t="s">
        <v>122</v>
      </c>
      <c r="V742" s="189" t="s">
        <v>167</v>
      </c>
      <c r="W742" s="189" t="s">
        <v>168</v>
      </c>
      <c r="X742" s="189" t="s">
        <v>176</v>
      </c>
      <c r="Y742" s="189" t="s">
        <v>2110</v>
      </c>
      <c r="Z742" s="0" t="n">
        <v>1</v>
      </c>
      <c r="AA742" s="189" t="s">
        <v>2329</v>
      </c>
    </row>
    <row r="743" customFormat="false" ht="15" hidden="false" customHeight="false" outlineLevel="0" collapsed="false">
      <c r="A743" s="0" t="n">
        <v>150</v>
      </c>
      <c r="B743" s="188" t="n">
        <v>46142.9519154446</v>
      </c>
      <c r="C743" s="188" t="n">
        <v>46142.9614524817</v>
      </c>
      <c r="D743" s="189" t="s">
        <v>1226</v>
      </c>
      <c r="E743" s="189" t="s">
        <v>1227</v>
      </c>
      <c r="F743" s="189" t="s">
        <v>1227</v>
      </c>
      <c r="G743" s="189" t="s">
        <v>1228</v>
      </c>
      <c r="H743" s="188" t="n">
        <v>46142</v>
      </c>
      <c r="I743" s="189" t="s">
        <v>113</v>
      </c>
      <c r="J743" s="189" t="s">
        <v>108</v>
      </c>
      <c r="K743" s="189" t="s">
        <v>232</v>
      </c>
      <c r="L743" s="189" t="s">
        <v>246</v>
      </c>
      <c r="M743" s="189" t="s">
        <v>447</v>
      </c>
      <c r="N743" s="189" t="s">
        <v>1229</v>
      </c>
      <c r="O743" s="189" t="s">
        <v>244</v>
      </c>
      <c r="P743" s="189" t="s">
        <v>111</v>
      </c>
      <c r="Q743" s="189" t="s">
        <v>145</v>
      </c>
      <c r="R743" s="189" t="s">
        <v>22</v>
      </c>
      <c r="S743" s="189" t="s">
        <v>152</v>
      </c>
      <c r="T743" s="189" t="s">
        <v>121</v>
      </c>
      <c r="U743" s="189" t="s">
        <v>122</v>
      </c>
      <c r="V743" s="189" t="s">
        <v>167</v>
      </c>
      <c r="W743" s="189" t="s">
        <v>168</v>
      </c>
      <c r="X743" s="189" t="s">
        <v>176</v>
      </c>
      <c r="Y743" s="189" t="s">
        <v>2113</v>
      </c>
      <c r="Z743" s="0" t="n">
        <v>1</v>
      </c>
      <c r="AA743" s="189" t="s">
        <v>2330</v>
      </c>
    </row>
    <row r="744" customFormat="false" ht="15" hidden="false" customHeight="false" outlineLevel="0" collapsed="false">
      <c r="A744" s="0" t="n">
        <v>150</v>
      </c>
      <c r="B744" s="188" t="n">
        <v>46142.9519154446</v>
      </c>
      <c r="C744" s="188" t="n">
        <v>46142.9614524817</v>
      </c>
      <c r="D744" s="189" t="s">
        <v>1226</v>
      </c>
      <c r="E744" s="189" t="s">
        <v>1227</v>
      </c>
      <c r="F744" s="189" t="s">
        <v>1227</v>
      </c>
      <c r="G744" s="189" t="s">
        <v>1228</v>
      </c>
      <c r="H744" s="188" t="n">
        <v>46142</v>
      </c>
      <c r="I744" s="189" t="s">
        <v>113</v>
      </c>
      <c r="J744" s="189" t="s">
        <v>108</v>
      </c>
      <c r="K744" s="189" t="s">
        <v>232</v>
      </c>
      <c r="L744" s="189" t="s">
        <v>246</v>
      </c>
      <c r="M744" s="189" t="s">
        <v>447</v>
      </c>
      <c r="N744" s="189" t="s">
        <v>1229</v>
      </c>
      <c r="O744" s="189" t="s">
        <v>244</v>
      </c>
      <c r="P744" s="189" t="s">
        <v>111</v>
      </c>
      <c r="Q744" s="189" t="s">
        <v>145</v>
      </c>
      <c r="R744" s="189" t="s">
        <v>22</v>
      </c>
      <c r="S744" s="189" t="s">
        <v>152</v>
      </c>
      <c r="T744" s="189" t="s">
        <v>121</v>
      </c>
      <c r="U744" s="189" t="s">
        <v>122</v>
      </c>
      <c r="V744" s="189" t="s">
        <v>167</v>
      </c>
      <c r="W744" s="189" t="s">
        <v>168</v>
      </c>
      <c r="X744" s="189" t="s">
        <v>176</v>
      </c>
      <c r="Y744" s="189" t="s">
        <v>2113</v>
      </c>
      <c r="Z744" s="0" t="n">
        <v>2</v>
      </c>
      <c r="AA744" s="189" t="s">
        <v>2286</v>
      </c>
    </row>
    <row r="745" customFormat="false" ht="15" hidden="false" customHeight="false" outlineLevel="0" collapsed="false">
      <c r="A745" s="0" t="n">
        <v>151</v>
      </c>
      <c r="B745" s="188" t="n">
        <v>46038.5191240476</v>
      </c>
      <c r="C745" s="188" t="n">
        <v>46038.5396796032</v>
      </c>
      <c r="D745" s="189" t="s">
        <v>1233</v>
      </c>
      <c r="E745" s="189" t="s">
        <v>1234</v>
      </c>
      <c r="F745" s="189" t="s">
        <v>1234</v>
      </c>
      <c r="G745" s="189" t="s">
        <v>1235</v>
      </c>
      <c r="H745" s="188" t="n">
        <v>46036</v>
      </c>
      <c r="I745" s="189" t="s">
        <v>113</v>
      </c>
      <c r="J745" s="189" t="s">
        <v>108</v>
      </c>
      <c r="K745" s="189" t="s">
        <v>196</v>
      </c>
      <c r="L745" s="189" t="s">
        <v>346</v>
      </c>
      <c r="M745" s="189" t="s">
        <v>248</v>
      </c>
      <c r="N745" s="189" t="s">
        <v>945</v>
      </c>
      <c r="O745" s="189" t="s">
        <v>107</v>
      </c>
      <c r="P745" s="189" t="s">
        <v>111</v>
      </c>
      <c r="Q745" s="189" t="s">
        <v>112</v>
      </c>
      <c r="R745" s="189" t="s">
        <v>25</v>
      </c>
      <c r="S745" s="189" t="s">
        <v>152</v>
      </c>
      <c r="T745" s="189" t="s">
        <v>121</v>
      </c>
      <c r="V745" s="189" t="s">
        <v>192</v>
      </c>
      <c r="W745" s="189" t="s">
        <v>124</v>
      </c>
      <c r="X745" s="189" t="s">
        <v>327</v>
      </c>
      <c r="Y745" s="189" t="s">
        <v>2108</v>
      </c>
      <c r="Z745" s="0" t="n">
        <v>1</v>
      </c>
      <c r="AA745" s="189" t="s">
        <v>2125</v>
      </c>
    </row>
    <row r="746" customFormat="false" ht="15" hidden="false" customHeight="false" outlineLevel="0" collapsed="false">
      <c r="A746" s="0" t="n">
        <v>151</v>
      </c>
      <c r="B746" s="188" t="n">
        <v>46038.5191240476</v>
      </c>
      <c r="C746" s="188" t="n">
        <v>46038.5396796032</v>
      </c>
      <c r="D746" s="189" t="s">
        <v>1233</v>
      </c>
      <c r="E746" s="189" t="s">
        <v>1234</v>
      </c>
      <c r="F746" s="189" t="s">
        <v>1234</v>
      </c>
      <c r="G746" s="189" t="s">
        <v>1235</v>
      </c>
      <c r="H746" s="188" t="n">
        <v>46036</v>
      </c>
      <c r="I746" s="189" t="s">
        <v>113</v>
      </c>
      <c r="J746" s="189" t="s">
        <v>108</v>
      </c>
      <c r="K746" s="189" t="s">
        <v>196</v>
      </c>
      <c r="L746" s="189" t="s">
        <v>346</v>
      </c>
      <c r="M746" s="189" t="s">
        <v>248</v>
      </c>
      <c r="N746" s="189" t="s">
        <v>945</v>
      </c>
      <c r="O746" s="189" t="s">
        <v>107</v>
      </c>
      <c r="P746" s="189" t="s">
        <v>111</v>
      </c>
      <c r="Q746" s="189" t="s">
        <v>112</v>
      </c>
      <c r="R746" s="189" t="s">
        <v>25</v>
      </c>
      <c r="S746" s="189" t="s">
        <v>152</v>
      </c>
      <c r="T746" s="189" t="s">
        <v>121</v>
      </c>
      <c r="V746" s="189" t="s">
        <v>192</v>
      </c>
      <c r="W746" s="189" t="s">
        <v>124</v>
      </c>
      <c r="X746" s="189" t="s">
        <v>327</v>
      </c>
      <c r="Y746" s="189" t="s">
        <v>2110</v>
      </c>
      <c r="Z746" s="0" t="n">
        <v>1</v>
      </c>
      <c r="AA746" s="189" t="s">
        <v>2126</v>
      </c>
    </row>
    <row r="747" customFormat="false" ht="15" hidden="false" customHeight="false" outlineLevel="0" collapsed="false">
      <c r="A747" s="0" t="n">
        <v>151</v>
      </c>
      <c r="B747" s="188" t="n">
        <v>46038.5191240476</v>
      </c>
      <c r="C747" s="188" t="n">
        <v>46038.5396796032</v>
      </c>
      <c r="D747" s="189" t="s">
        <v>1233</v>
      </c>
      <c r="E747" s="189" t="s">
        <v>1234</v>
      </c>
      <c r="F747" s="189" t="s">
        <v>1234</v>
      </c>
      <c r="G747" s="189" t="s">
        <v>1235</v>
      </c>
      <c r="H747" s="188" t="n">
        <v>46036</v>
      </c>
      <c r="I747" s="189" t="s">
        <v>113</v>
      </c>
      <c r="J747" s="189" t="s">
        <v>108</v>
      </c>
      <c r="K747" s="189" t="s">
        <v>196</v>
      </c>
      <c r="L747" s="189" t="s">
        <v>346</v>
      </c>
      <c r="M747" s="189" t="s">
        <v>248</v>
      </c>
      <c r="N747" s="189" t="s">
        <v>945</v>
      </c>
      <c r="O747" s="189" t="s">
        <v>107</v>
      </c>
      <c r="P747" s="189" t="s">
        <v>111</v>
      </c>
      <c r="Q747" s="189" t="s">
        <v>112</v>
      </c>
      <c r="R747" s="189" t="s">
        <v>25</v>
      </c>
      <c r="S747" s="189" t="s">
        <v>152</v>
      </c>
      <c r="T747" s="189" t="s">
        <v>121</v>
      </c>
      <c r="V747" s="189" t="s">
        <v>192</v>
      </c>
      <c r="W747" s="189" t="s">
        <v>124</v>
      </c>
      <c r="X747" s="189" t="s">
        <v>327</v>
      </c>
      <c r="Y747" s="189" t="s">
        <v>2110</v>
      </c>
      <c r="Z747" s="0" t="n">
        <v>2</v>
      </c>
      <c r="AA747" s="189" t="s">
        <v>2111</v>
      </c>
    </row>
    <row r="748" customFormat="false" ht="15" hidden="false" customHeight="false" outlineLevel="0" collapsed="false">
      <c r="A748" s="0" t="n">
        <v>151</v>
      </c>
      <c r="B748" s="188" t="n">
        <v>46038.5191240476</v>
      </c>
      <c r="C748" s="188" t="n">
        <v>46038.5396796032</v>
      </c>
      <c r="D748" s="189" t="s">
        <v>1233</v>
      </c>
      <c r="E748" s="189" t="s">
        <v>1234</v>
      </c>
      <c r="F748" s="189" t="s">
        <v>1234</v>
      </c>
      <c r="G748" s="189" t="s">
        <v>1235</v>
      </c>
      <c r="H748" s="188" t="n">
        <v>46036</v>
      </c>
      <c r="I748" s="189" t="s">
        <v>113</v>
      </c>
      <c r="J748" s="189" t="s">
        <v>108</v>
      </c>
      <c r="K748" s="189" t="s">
        <v>196</v>
      </c>
      <c r="L748" s="189" t="s">
        <v>346</v>
      </c>
      <c r="M748" s="189" t="s">
        <v>248</v>
      </c>
      <c r="N748" s="189" t="s">
        <v>945</v>
      </c>
      <c r="O748" s="189" t="s">
        <v>107</v>
      </c>
      <c r="P748" s="189" t="s">
        <v>111</v>
      </c>
      <c r="Q748" s="189" t="s">
        <v>112</v>
      </c>
      <c r="R748" s="189" t="s">
        <v>25</v>
      </c>
      <c r="S748" s="189" t="s">
        <v>152</v>
      </c>
      <c r="T748" s="189" t="s">
        <v>121</v>
      </c>
      <c r="V748" s="189" t="s">
        <v>192</v>
      </c>
      <c r="W748" s="189" t="s">
        <v>124</v>
      </c>
      <c r="X748" s="189" t="s">
        <v>327</v>
      </c>
      <c r="Y748" s="189" t="s">
        <v>2113</v>
      </c>
      <c r="Z748" s="0" t="n">
        <v>1</v>
      </c>
      <c r="AA748" s="189" t="s">
        <v>122</v>
      </c>
    </row>
    <row r="749" customFormat="false" ht="15" hidden="false" customHeight="false" outlineLevel="0" collapsed="false">
      <c r="A749" s="0" t="n">
        <v>151</v>
      </c>
      <c r="B749" s="188" t="n">
        <v>46038.5191240476</v>
      </c>
      <c r="C749" s="188" t="n">
        <v>46038.5396796032</v>
      </c>
      <c r="D749" s="189" t="s">
        <v>1233</v>
      </c>
      <c r="E749" s="189" t="s">
        <v>1234</v>
      </c>
      <c r="F749" s="189" t="s">
        <v>1234</v>
      </c>
      <c r="G749" s="189" t="s">
        <v>1235</v>
      </c>
      <c r="H749" s="188" t="n">
        <v>46036</v>
      </c>
      <c r="I749" s="189" t="s">
        <v>113</v>
      </c>
      <c r="J749" s="189" t="s">
        <v>108</v>
      </c>
      <c r="K749" s="189" t="s">
        <v>196</v>
      </c>
      <c r="L749" s="189" t="s">
        <v>346</v>
      </c>
      <c r="M749" s="189" t="s">
        <v>248</v>
      </c>
      <c r="N749" s="189" t="s">
        <v>945</v>
      </c>
      <c r="O749" s="189" t="s">
        <v>107</v>
      </c>
      <c r="P749" s="189" t="s">
        <v>111</v>
      </c>
      <c r="Q749" s="189" t="s">
        <v>112</v>
      </c>
      <c r="R749" s="189" t="s">
        <v>25</v>
      </c>
      <c r="S749" s="189" t="s">
        <v>152</v>
      </c>
      <c r="T749" s="189" t="s">
        <v>121</v>
      </c>
      <c r="V749" s="189" t="s">
        <v>192</v>
      </c>
      <c r="W749" s="189" t="s">
        <v>124</v>
      </c>
      <c r="X749" s="189" t="s">
        <v>327</v>
      </c>
      <c r="Y749" s="189" t="s">
        <v>2113</v>
      </c>
      <c r="Z749" s="0" t="n">
        <v>2</v>
      </c>
      <c r="AA749" s="189" t="s">
        <v>2114</v>
      </c>
    </row>
    <row r="750" customFormat="false" ht="15" hidden="false" customHeight="false" outlineLevel="0" collapsed="false">
      <c r="A750" s="0" t="n">
        <v>152</v>
      </c>
      <c r="B750" s="188" t="n">
        <v>46138.9748635186</v>
      </c>
      <c r="C750" s="188" t="n">
        <v>46138.9781505556</v>
      </c>
      <c r="D750" s="189" t="s">
        <v>1236</v>
      </c>
      <c r="E750" s="189" t="s">
        <v>1237</v>
      </c>
      <c r="F750" s="189" t="s">
        <v>1237</v>
      </c>
      <c r="G750" s="189" t="s">
        <v>1238</v>
      </c>
      <c r="H750" s="188" t="n">
        <v>46134</v>
      </c>
      <c r="I750" s="189" t="s">
        <v>113</v>
      </c>
      <c r="J750" s="189" t="s">
        <v>295</v>
      </c>
      <c r="K750" s="189" t="s">
        <v>500</v>
      </c>
      <c r="L750" s="189" t="s">
        <v>389</v>
      </c>
      <c r="M750" s="189" t="s">
        <v>212</v>
      </c>
      <c r="N750" s="189" t="s">
        <v>432</v>
      </c>
      <c r="O750" s="189" t="s">
        <v>107</v>
      </c>
      <c r="P750" s="189" t="s">
        <v>111</v>
      </c>
      <c r="Q750" s="189" t="s">
        <v>145</v>
      </c>
      <c r="R750" s="189" t="s">
        <v>21</v>
      </c>
      <c r="S750" s="189" t="s">
        <v>152</v>
      </c>
      <c r="T750" s="189" t="s">
        <v>352</v>
      </c>
      <c r="U750" s="189" t="s">
        <v>122</v>
      </c>
      <c r="V750" s="189" t="s">
        <v>192</v>
      </c>
      <c r="W750" s="189" t="s">
        <v>124</v>
      </c>
      <c r="X750" s="189" t="s">
        <v>307</v>
      </c>
      <c r="Y750" s="189" t="s">
        <v>2108</v>
      </c>
      <c r="Z750" s="0" t="n">
        <v>1</v>
      </c>
      <c r="AA750" s="189" t="s">
        <v>2175</v>
      </c>
    </row>
    <row r="751" customFormat="false" ht="15" hidden="false" customHeight="false" outlineLevel="0" collapsed="false">
      <c r="A751" s="0" t="n">
        <v>152</v>
      </c>
      <c r="B751" s="188" t="n">
        <v>46138.9748635186</v>
      </c>
      <c r="C751" s="188" t="n">
        <v>46138.9781505556</v>
      </c>
      <c r="D751" s="189" t="s">
        <v>1236</v>
      </c>
      <c r="E751" s="189" t="s">
        <v>1237</v>
      </c>
      <c r="F751" s="189" t="s">
        <v>1237</v>
      </c>
      <c r="G751" s="189" t="s">
        <v>1238</v>
      </c>
      <c r="H751" s="188" t="n">
        <v>46134</v>
      </c>
      <c r="I751" s="189" t="s">
        <v>113</v>
      </c>
      <c r="J751" s="189" t="s">
        <v>295</v>
      </c>
      <c r="K751" s="189" t="s">
        <v>500</v>
      </c>
      <c r="L751" s="189" t="s">
        <v>389</v>
      </c>
      <c r="M751" s="189" t="s">
        <v>212</v>
      </c>
      <c r="N751" s="189" t="s">
        <v>432</v>
      </c>
      <c r="O751" s="189" t="s">
        <v>107</v>
      </c>
      <c r="P751" s="189" t="s">
        <v>111</v>
      </c>
      <c r="Q751" s="189" t="s">
        <v>145</v>
      </c>
      <c r="R751" s="189" t="s">
        <v>21</v>
      </c>
      <c r="S751" s="189" t="s">
        <v>152</v>
      </c>
      <c r="T751" s="189" t="s">
        <v>352</v>
      </c>
      <c r="U751" s="189" t="s">
        <v>122</v>
      </c>
      <c r="V751" s="189" t="s">
        <v>192</v>
      </c>
      <c r="W751" s="189" t="s">
        <v>124</v>
      </c>
      <c r="X751" s="189" t="s">
        <v>307</v>
      </c>
      <c r="Y751" s="189" t="s">
        <v>2108</v>
      </c>
      <c r="Z751" s="0" t="n">
        <v>2</v>
      </c>
      <c r="AA751" s="189" t="s">
        <v>2173</v>
      </c>
    </row>
    <row r="752" customFormat="false" ht="15" hidden="false" customHeight="false" outlineLevel="0" collapsed="false">
      <c r="A752" s="0" t="n">
        <v>152</v>
      </c>
      <c r="B752" s="188" t="n">
        <v>46138.9748635186</v>
      </c>
      <c r="C752" s="188" t="n">
        <v>46138.9781505556</v>
      </c>
      <c r="D752" s="189" t="s">
        <v>1236</v>
      </c>
      <c r="E752" s="189" t="s">
        <v>1237</v>
      </c>
      <c r="F752" s="189" t="s">
        <v>1237</v>
      </c>
      <c r="G752" s="189" t="s">
        <v>1238</v>
      </c>
      <c r="H752" s="188" t="n">
        <v>46134</v>
      </c>
      <c r="I752" s="189" t="s">
        <v>113</v>
      </c>
      <c r="J752" s="189" t="s">
        <v>295</v>
      </c>
      <c r="K752" s="189" t="s">
        <v>500</v>
      </c>
      <c r="L752" s="189" t="s">
        <v>389</v>
      </c>
      <c r="M752" s="189" t="s">
        <v>212</v>
      </c>
      <c r="N752" s="189" t="s">
        <v>432</v>
      </c>
      <c r="O752" s="189" t="s">
        <v>107</v>
      </c>
      <c r="P752" s="189" t="s">
        <v>111</v>
      </c>
      <c r="Q752" s="189" t="s">
        <v>145</v>
      </c>
      <c r="R752" s="189" t="s">
        <v>21</v>
      </c>
      <c r="S752" s="189" t="s">
        <v>152</v>
      </c>
      <c r="T752" s="189" t="s">
        <v>352</v>
      </c>
      <c r="U752" s="189" t="s">
        <v>122</v>
      </c>
      <c r="V752" s="189" t="s">
        <v>192</v>
      </c>
      <c r="W752" s="189" t="s">
        <v>124</v>
      </c>
      <c r="X752" s="189" t="s">
        <v>307</v>
      </c>
      <c r="Y752" s="189" t="s">
        <v>2108</v>
      </c>
      <c r="Z752" s="0" t="n">
        <v>3</v>
      </c>
      <c r="AA752" s="189" t="s">
        <v>2174</v>
      </c>
    </row>
    <row r="753" customFormat="false" ht="15" hidden="false" customHeight="false" outlineLevel="0" collapsed="false">
      <c r="A753" s="0" t="n">
        <v>152</v>
      </c>
      <c r="B753" s="188" t="n">
        <v>46138.9748635186</v>
      </c>
      <c r="C753" s="188" t="n">
        <v>46138.9781505556</v>
      </c>
      <c r="D753" s="189" t="s">
        <v>1236</v>
      </c>
      <c r="E753" s="189" t="s">
        <v>1237</v>
      </c>
      <c r="F753" s="189" t="s">
        <v>1237</v>
      </c>
      <c r="G753" s="189" t="s">
        <v>1238</v>
      </c>
      <c r="H753" s="188" t="n">
        <v>46134</v>
      </c>
      <c r="I753" s="189" t="s">
        <v>113</v>
      </c>
      <c r="J753" s="189" t="s">
        <v>295</v>
      </c>
      <c r="K753" s="189" t="s">
        <v>500</v>
      </c>
      <c r="L753" s="189" t="s">
        <v>389</v>
      </c>
      <c r="M753" s="189" t="s">
        <v>212</v>
      </c>
      <c r="N753" s="189" t="s">
        <v>432</v>
      </c>
      <c r="O753" s="189" t="s">
        <v>107</v>
      </c>
      <c r="P753" s="189" t="s">
        <v>111</v>
      </c>
      <c r="Q753" s="189" t="s">
        <v>145</v>
      </c>
      <c r="R753" s="189" t="s">
        <v>21</v>
      </c>
      <c r="S753" s="189" t="s">
        <v>152</v>
      </c>
      <c r="T753" s="189" t="s">
        <v>352</v>
      </c>
      <c r="U753" s="189" t="s">
        <v>122</v>
      </c>
      <c r="V753" s="189" t="s">
        <v>192</v>
      </c>
      <c r="W753" s="189" t="s">
        <v>124</v>
      </c>
      <c r="X753" s="189" t="s">
        <v>307</v>
      </c>
      <c r="Y753" s="189" t="s">
        <v>2110</v>
      </c>
      <c r="Z753" s="0" t="n">
        <v>1</v>
      </c>
      <c r="AA753" s="189" t="s">
        <v>1174</v>
      </c>
    </row>
    <row r="754" customFormat="false" ht="15" hidden="false" customHeight="false" outlineLevel="0" collapsed="false">
      <c r="A754" s="0" t="n">
        <v>152</v>
      </c>
      <c r="B754" s="188" t="n">
        <v>46138.9748635186</v>
      </c>
      <c r="C754" s="188" t="n">
        <v>46138.9781505556</v>
      </c>
      <c r="D754" s="189" t="s">
        <v>1236</v>
      </c>
      <c r="E754" s="189" t="s">
        <v>1237</v>
      </c>
      <c r="F754" s="189" t="s">
        <v>1237</v>
      </c>
      <c r="G754" s="189" t="s">
        <v>1238</v>
      </c>
      <c r="H754" s="188" t="n">
        <v>46134</v>
      </c>
      <c r="I754" s="189" t="s">
        <v>113</v>
      </c>
      <c r="J754" s="189" t="s">
        <v>295</v>
      </c>
      <c r="K754" s="189" t="s">
        <v>500</v>
      </c>
      <c r="L754" s="189" t="s">
        <v>389</v>
      </c>
      <c r="M754" s="189" t="s">
        <v>212</v>
      </c>
      <c r="N754" s="189" t="s">
        <v>432</v>
      </c>
      <c r="O754" s="189" t="s">
        <v>107</v>
      </c>
      <c r="P754" s="189" t="s">
        <v>111</v>
      </c>
      <c r="Q754" s="189" t="s">
        <v>145</v>
      </c>
      <c r="R754" s="189" t="s">
        <v>21</v>
      </c>
      <c r="S754" s="189" t="s">
        <v>152</v>
      </c>
      <c r="T754" s="189" t="s">
        <v>352</v>
      </c>
      <c r="U754" s="189" t="s">
        <v>122</v>
      </c>
      <c r="V754" s="189" t="s">
        <v>192</v>
      </c>
      <c r="W754" s="189" t="s">
        <v>124</v>
      </c>
      <c r="X754" s="189" t="s">
        <v>307</v>
      </c>
      <c r="Y754" s="189" t="s">
        <v>2113</v>
      </c>
      <c r="Z754" s="0" t="n">
        <v>1</v>
      </c>
      <c r="AA754" s="189" t="s">
        <v>2177</v>
      </c>
    </row>
    <row r="755" customFormat="false" ht="15" hidden="false" customHeight="false" outlineLevel="0" collapsed="false">
      <c r="A755" s="0" t="n">
        <v>153</v>
      </c>
      <c r="B755" s="188" t="n">
        <v>46066.9236630401</v>
      </c>
      <c r="C755" s="188" t="n">
        <v>46066.9260472993</v>
      </c>
      <c r="D755" s="189" t="s">
        <v>1239</v>
      </c>
      <c r="E755" s="189" t="s">
        <v>1240</v>
      </c>
      <c r="F755" s="189" t="s">
        <v>1240</v>
      </c>
      <c r="G755" s="189" t="s">
        <v>1241</v>
      </c>
      <c r="H755" s="188" t="n">
        <v>46050</v>
      </c>
      <c r="I755" s="189" t="s">
        <v>113</v>
      </c>
      <c r="J755" s="189" t="s">
        <v>108</v>
      </c>
      <c r="K755" s="189" t="s">
        <v>1242</v>
      </c>
      <c r="L755" s="189" t="s">
        <v>491</v>
      </c>
      <c r="M755" s="189" t="s">
        <v>566</v>
      </c>
      <c r="N755" s="189" t="s">
        <v>1243</v>
      </c>
      <c r="O755" s="189" t="s">
        <v>107</v>
      </c>
      <c r="P755" s="189" t="s">
        <v>131</v>
      </c>
      <c r="Q755" s="189" t="s">
        <v>145</v>
      </c>
      <c r="R755" s="189" t="s">
        <v>22</v>
      </c>
      <c r="S755" s="189" t="s">
        <v>227</v>
      </c>
      <c r="T755" s="189" t="s">
        <v>180</v>
      </c>
      <c r="U755" s="189" t="s">
        <v>1245</v>
      </c>
      <c r="V755" s="189" t="s">
        <v>123</v>
      </c>
      <c r="W755" s="189" t="s">
        <v>168</v>
      </c>
      <c r="X755" s="189" t="s">
        <v>271</v>
      </c>
      <c r="Y755" s="189" t="s">
        <v>2108</v>
      </c>
      <c r="Z755" s="0" t="n">
        <v>1</v>
      </c>
      <c r="AA755" s="189" t="s">
        <v>2274</v>
      </c>
    </row>
    <row r="756" customFormat="false" ht="15" hidden="false" customHeight="false" outlineLevel="0" collapsed="false">
      <c r="A756" s="0" t="n">
        <v>153</v>
      </c>
      <c r="B756" s="188" t="n">
        <v>46066.9236630401</v>
      </c>
      <c r="C756" s="188" t="n">
        <v>46066.9260472993</v>
      </c>
      <c r="D756" s="189" t="s">
        <v>1239</v>
      </c>
      <c r="E756" s="189" t="s">
        <v>1240</v>
      </c>
      <c r="F756" s="189" t="s">
        <v>1240</v>
      </c>
      <c r="G756" s="189" t="s">
        <v>1241</v>
      </c>
      <c r="H756" s="188" t="n">
        <v>46050</v>
      </c>
      <c r="I756" s="189" t="s">
        <v>113</v>
      </c>
      <c r="J756" s="189" t="s">
        <v>108</v>
      </c>
      <c r="K756" s="189" t="s">
        <v>1242</v>
      </c>
      <c r="L756" s="189" t="s">
        <v>491</v>
      </c>
      <c r="M756" s="189" t="s">
        <v>566</v>
      </c>
      <c r="N756" s="189" t="s">
        <v>1243</v>
      </c>
      <c r="O756" s="189" t="s">
        <v>107</v>
      </c>
      <c r="P756" s="189" t="s">
        <v>131</v>
      </c>
      <c r="Q756" s="189" t="s">
        <v>145</v>
      </c>
      <c r="R756" s="189" t="s">
        <v>22</v>
      </c>
      <c r="S756" s="189" t="s">
        <v>227</v>
      </c>
      <c r="T756" s="189" t="s">
        <v>180</v>
      </c>
      <c r="U756" s="189" t="s">
        <v>1245</v>
      </c>
      <c r="V756" s="189" t="s">
        <v>123</v>
      </c>
      <c r="W756" s="189" t="s">
        <v>168</v>
      </c>
      <c r="X756" s="189" t="s">
        <v>271</v>
      </c>
      <c r="Y756" s="189" t="s">
        <v>2110</v>
      </c>
      <c r="Z756" s="0" t="n">
        <v>1</v>
      </c>
      <c r="AA756" s="189" t="s">
        <v>2160</v>
      </c>
    </row>
    <row r="757" customFormat="false" ht="15" hidden="false" customHeight="false" outlineLevel="0" collapsed="false">
      <c r="A757" s="0" t="n">
        <v>153</v>
      </c>
      <c r="B757" s="188" t="n">
        <v>46066.9236630401</v>
      </c>
      <c r="C757" s="188" t="n">
        <v>46066.9260472993</v>
      </c>
      <c r="D757" s="189" t="s">
        <v>1239</v>
      </c>
      <c r="E757" s="189" t="s">
        <v>1240</v>
      </c>
      <c r="F757" s="189" t="s">
        <v>1240</v>
      </c>
      <c r="G757" s="189" t="s">
        <v>1241</v>
      </c>
      <c r="H757" s="188" t="n">
        <v>46050</v>
      </c>
      <c r="I757" s="189" t="s">
        <v>113</v>
      </c>
      <c r="J757" s="189" t="s">
        <v>108</v>
      </c>
      <c r="K757" s="189" t="s">
        <v>1242</v>
      </c>
      <c r="L757" s="189" t="s">
        <v>491</v>
      </c>
      <c r="M757" s="189" t="s">
        <v>566</v>
      </c>
      <c r="N757" s="189" t="s">
        <v>1243</v>
      </c>
      <c r="O757" s="189" t="s">
        <v>107</v>
      </c>
      <c r="P757" s="189" t="s">
        <v>131</v>
      </c>
      <c r="Q757" s="189" t="s">
        <v>145</v>
      </c>
      <c r="R757" s="189" t="s">
        <v>22</v>
      </c>
      <c r="S757" s="189" t="s">
        <v>227</v>
      </c>
      <c r="T757" s="189" t="s">
        <v>180</v>
      </c>
      <c r="U757" s="189" t="s">
        <v>1245</v>
      </c>
      <c r="V757" s="189" t="s">
        <v>123</v>
      </c>
      <c r="W757" s="189" t="s">
        <v>168</v>
      </c>
      <c r="X757" s="189" t="s">
        <v>271</v>
      </c>
      <c r="Y757" s="189" t="s">
        <v>2110</v>
      </c>
      <c r="Z757" s="0" t="n">
        <v>2</v>
      </c>
      <c r="AA757" s="189" t="s">
        <v>2182</v>
      </c>
    </row>
    <row r="758" customFormat="false" ht="15" hidden="false" customHeight="false" outlineLevel="0" collapsed="false">
      <c r="A758" s="0" t="n">
        <v>153</v>
      </c>
      <c r="B758" s="188" t="n">
        <v>46066.9236630401</v>
      </c>
      <c r="C758" s="188" t="n">
        <v>46066.9260472993</v>
      </c>
      <c r="D758" s="189" t="s">
        <v>1239</v>
      </c>
      <c r="E758" s="189" t="s">
        <v>1240</v>
      </c>
      <c r="F758" s="189" t="s">
        <v>1240</v>
      </c>
      <c r="G758" s="189" t="s">
        <v>1241</v>
      </c>
      <c r="H758" s="188" t="n">
        <v>46050</v>
      </c>
      <c r="I758" s="189" t="s">
        <v>113</v>
      </c>
      <c r="J758" s="189" t="s">
        <v>108</v>
      </c>
      <c r="K758" s="189" t="s">
        <v>1242</v>
      </c>
      <c r="L758" s="189" t="s">
        <v>491</v>
      </c>
      <c r="M758" s="189" t="s">
        <v>566</v>
      </c>
      <c r="N758" s="189" t="s">
        <v>1243</v>
      </c>
      <c r="O758" s="189" t="s">
        <v>107</v>
      </c>
      <c r="P758" s="189" t="s">
        <v>131</v>
      </c>
      <c r="Q758" s="189" t="s">
        <v>145</v>
      </c>
      <c r="R758" s="189" t="s">
        <v>22</v>
      </c>
      <c r="S758" s="189" t="s">
        <v>227</v>
      </c>
      <c r="T758" s="189" t="s">
        <v>180</v>
      </c>
      <c r="U758" s="189" t="s">
        <v>1245</v>
      </c>
      <c r="V758" s="189" t="s">
        <v>123</v>
      </c>
      <c r="W758" s="189" t="s">
        <v>168</v>
      </c>
      <c r="X758" s="189" t="s">
        <v>271</v>
      </c>
      <c r="Y758" s="189" t="s">
        <v>2113</v>
      </c>
      <c r="Z758" s="0" t="n">
        <v>1</v>
      </c>
      <c r="AA758" s="189" t="s">
        <v>2162</v>
      </c>
    </row>
    <row r="759" customFormat="false" ht="15" hidden="false" customHeight="false" outlineLevel="0" collapsed="false">
      <c r="A759" s="0" t="n">
        <v>153</v>
      </c>
      <c r="B759" s="188" t="n">
        <v>46066.9236630401</v>
      </c>
      <c r="C759" s="188" t="n">
        <v>46066.9260472993</v>
      </c>
      <c r="D759" s="189" t="s">
        <v>1239</v>
      </c>
      <c r="E759" s="189" t="s">
        <v>1240</v>
      </c>
      <c r="F759" s="189" t="s">
        <v>1240</v>
      </c>
      <c r="G759" s="189" t="s">
        <v>1241</v>
      </c>
      <c r="H759" s="188" t="n">
        <v>46050</v>
      </c>
      <c r="I759" s="189" t="s">
        <v>113</v>
      </c>
      <c r="J759" s="189" t="s">
        <v>108</v>
      </c>
      <c r="K759" s="189" t="s">
        <v>1242</v>
      </c>
      <c r="L759" s="189" t="s">
        <v>491</v>
      </c>
      <c r="M759" s="189" t="s">
        <v>566</v>
      </c>
      <c r="N759" s="189" t="s">
        <v>1243</v>
      </c>
      <c r="O759" s="189" t="s">
        <v>107</v>
      </c>
      <c r="P759" s="189" t="s">
        <v>131</v>
      </c>
      <c r="Q759" s="189" t="s">
        <v>145</v>
      </c>
      <c r="R759" s="189" t="s">
        <v>22</v>
      </c>
      <c r="S759" s="189" t="s">
        <v>227</v>
      </c>
      <c r="T759" s="189" t="s">
        <v>180</v>
      </c>
      <c r="U759" s="189" t="s">
        <v>1245</v>
      </c>
      <c r="V759" s="189" t="s">
        <v>123</v>
      </c>
      <c r="W759" s="189" t="s">
        <v>168</v>
      </c>
      <c r="X759" s="189" t="s">
        <v>271</v>
      </c>
      <c r="Y759" s="189" t="s">
        <v>2113</v>
      </c>
      <c r="Z759" s="0" t="n">
        <v>2</v>
      </c>
      <c r="AA759" s="189" t="s">
        <v>122</v>
      </c>
    </row>
    <row r="760" customFormat="false" ht="15" hidden="false" customHeight="false" outlineLevel="0" collapsed="false">
      <c r="A760" s="0" t="n">
        <v>154</v>
      </c>
      <c r="B760" s="188" t="n">
        <v>46108.3299579017</v>
      </c>
      <c r="C760" s="188" t="n">
        <v>46108.339367624</v>
      </c>
      <c r="D760" s="189" t="s">
        <v>1246</v>
      </c>
      <c r="E760" s="189" t="s">
        <v>1247</v>
      </c>
      <c r="F760" s="189" t="s">
        <v>1247</v>
      </c>
      <c r="G760" s="189" t="s">
        <v>1248</v>
      </c>
      <c r="H760" s="188" t="n">
        <v>46107</v>
      </c>
      <c r="I760" s="189" t="s">
        <v>113</v>
      </c>
      <c r="J760" s="189" t="s">
        <v>108</v>
      </c>
      <c r="K760" s="189" t="s">
        <v>462</v>
      </c>
      <c r="L760" s="189" t="s">
        <v>431</v>
      </c>
      <c r="M760" s="189" t="s">
        <v>789</v>
      </c>
      <c r="N760" s="189" t="s">
        <v>1140</v>
      </c>
      <c r="O760" s="189" t="s">
        <v>172</v>
      </c>
      <c r="P760" s="189" t="s">
        <v>111</v>
      </c>
      <c r="Q760" s="189" t="s">
        <v>112</v>
      </c>
      <c r="R760" s="189" t="s">
        <v>22</v>
      </c>
      <c r="S760" s="189" t="s">
        <v>120</v>
      </c>
      <c r="T760" s="189" t="s">
        <v>180</v>
      </c>
      <c r="V760" s="189" t="s">
        <v>192</v>
      </c>
      <c r="W760" s="189" t="s">
        <v>124</v>
      </c>
      <c r="X760" s="189" t="s">
        <v>381</v>
      </c>
      <c r="Y760" s="189" t="s">
        <v>2108</v>
      </c>
      <c r="Z760" s="0" t="n">
        <v>1</v>
      </c>
      <c r="AA760" s="189" t="s">
        <v>2293</v>
      </c>
    </row>
    <row r="761" customFormat="false" ht="15" hidden="false" customHeight="false" outlineLevel="0" collapsed="false">
      <c r="A761" s="0" t="n">
        <v>154</v>
      </c>
      <c r="B761" s="188" t="n">
        <v>46108.3299579017</v>
      </c>
      <c r="C761" s="188" t="n">
        <v>46108.339367624</v>
      </c>
      <c r="D761" s="189" t="s">
        <v>1246</v>
      </c>
      <c r="E761" s="189" t="s">
        <v>1247</v>
      </c>
      <c r="F761" s="189" t="s">
        <v>1247</v>
      </c>
      <c r="G761" s="189" t="s">
        <v>1248</v>
      </c>
      <c r="H761" s="188" t="n">
        <v>46107</v>
      </c>
      <c r="I761" s="189" t="s">
        <v>113</v>
      </c>
      <c r="J761" s="189" t="s">
        <v>108</v>
      </c>
      <c r="K761" s="189" t="s">
        <v>462</v>
      </c>
      <c r="L761" s="189" t="s">
        <v>431</v>
      </c>
      <c r="M761" s="189" t="s">
        <v>789</v>
      </c>
      <c r="N761" s="189" t="s">
        <v>1140</v>
      </c>
      <c r="O761" s="189" t="s">
        <v>172</v>
      </c>
      <c r="P761" s="189" t="s">
        <v>111</v>
      </c>
      <c r="Q761" s="189" t="s">
        <v>112</v>
      </c>
      <c r="R761" s="189" t="s">
        <v>22</v>
      </c>
      <c r="S761" s="189" t="s">
        <v>120</v>
      </c>
      <c r="T761" s="189" t="s">
        <v>180</v>
      </c>
      <c r="V761" s="189" t="s">
        <v>192</v>
      </c>
      <c r="W761" s="189" t="s">
        <v>124</v>
      </c>
      <c r="X761" s="189" t="s">
        <v>381</v>
      </c>
      <c r="Y761" s="189" t="s">
        <v>2108</v>
      </c>
      <c r="Z761" s="0" t="n">
        <v>2</v>
      </c>
      <c r="AA761" s="189" t="s">
        <v>2203</v>
      </c>
    </row>
    <row r="762" customFormat="false" ht="15" hidden="false" customHeight="false" outlineLevel="0" collapsed="false">
      <c r="A762" s="0" t="n">
        <v>154</v>
      </c>
      <c r="B762" s="188" t="n">
        <v>46108.3299579017</v>
      </c>
      <c r="C762" s="188" t="n">
        <v>46108.339367624</v>
      </c>
      <c r="D762" s="189" t="s">
        <v>1246</v>
      </c>
      <c r="E762" s="189" t="s">
        <v>1247</v>
      </c>
      <c r="F762" s="189" t="s">
        <v>1247</v>
      </c>
      <c r="G762" s="189" t="s">
        <v>1248</v>
      </c>
      <c r="H762" s="188" t="n">
        <v>46107</v>
      </c>
      <c r="I762" s="189" t="s">
        <v>113</v>
      </c>
      <c r="J762" s="189" t="s">
        <v>108</v>
      </c>
      <c r="K762" s="189" t="s">
        <v>462</v>
      </c>
      <c r="L762" s="189" t="s">
        <v>431</v>
      </c>
      <c r="M762" s="189" t="s">
        <v>789</v>
      </c>
      <c r="N762" s="189" t="s">
        <v>1140</v>
      </c>
      <c r="O762" s="189" t="s">
        <v>172</v>
      </c>
      <c r="P762" s="189" t="s">
        <v>111</v>
      </c>
      <c r="Q762" s="189" t="s">
        <v>112</v>
      </c>
      <c r="R762" s="189" t="s">
        <v>22</v>
      </c>
      <c r="S762" s="189" t="s">
        <v>120</v>
      </c>
      <c r="T762" s="189" t="s">
        <v>180</v>
      </c>
      <c r="V762" s="189" t="s">
        <v>192</v>
      </c>
      <c r="W762" s="189" t="s">
        <v>124</v>
      </c>
      <c r="X762" s="189" t="s">
        <v>381</v>
      </c>
      <c r="Y762" s="189" t="s">
        <v>2108</v>
      </c>
      <c r="Z762" s="0" t="n">
        <v>3</v>
      </c>
      <c r="AA762" s="189" t="s">
        <v>2277</v>
      </c>
    </row>
    <row r="763" customFormat="false" ht="15" hidden="false" customHeight="false" outlineLevel="0" collapsed="false">
      <c r="A763" s="0" t="n">
        <v>154</v>
      </c>
      <c r="B763" s="188" t="n">
        <v>46108.3299579017</v>
      </c>
      <c r="C763" s="188" t="n">
        <v>46108.339367624</v>
      </c>
      <c r="D763" s="189" t="s">
        <v>1246</v>
      </c>
      <c r="E763" s="189" t="s">
        <v>1247</v>
      </c>
      <c r="F763" s="189" t="s">
        <v>1247</v>
      </c>
      <c r="G763" s="189" t="s">
        <v>1248</v>
      </c>
      <c r="H763" s="188" t="n">
        <v>46107</v>
      </c>
      <c r="I763" s="189" t="s">
        <v>113</v>
      </c>
      <c r="J763" s="189" t="s">
        <v>108</v>
      </c>
      <c r="K763" s="189" t="s">
        <v>462</v>
      </c>
      <c r="L763" s="189" t="s">
        <v>431</v>
      </c>
      <c r="M763" s="189" t="s">
        <v>789</v>
      </c>
      <c r="N763" s="189" t="s">
        <v>1140</v>
      </c>
      <c r="O763" s="189" t="s">
        <v>172</v>
      </c>
      <c r="P763" s="189" t="s">
        <v>111</v>
      </c>
      <c r="Q763" s="189" t="s">
        <v>112</v>
      </c>
      <c r="R763" s="189" t="s">
        <v>22</v>
      </c>
      <c r="S763" s="189" t="s">
        <v>120</v>
      </c>
      <c r="T763" s="189" t="s">
        <v>180</v>
      </c>
      <c r="V763" s="189" t="s">
        <v>192</v>
      </c>
      <c r="W763" s="189" t="s">
        <v>124</v>
      </c>
      <c r="X763" s="189" t="s">
        <v>381</v>
      </c>
      <c r="Y763" s="189" t="s">
        <v>2110</v>
      </c>
      <c r="Z763" s="0" t="n">
        <v>1</v>
      </c>
      <c r="AA763" s="189" t="s">
        <v>2204</v>
      </c>
    </row>
    <row r="764" customFormat="false" ht="15" hidden="false" customHeight="false" outlineLevel="0" collapsed="false">
      <c r="A764" s="0" t="n">
        <v>154</v>
      </c>
      <c r="B764" s="188" t="n">
        <v>46108.3299579017</v>
      </c>
      <c r="C764" s="188" t="n">
        <v>46108.339367624</v>
      </c>
      <c r="D764" s="189" t="s">
        <v>1246</v>
      </c>
      <c r="E764" s="189" t="s">
        <v>1247</v>
      </c>
      <c r="F764" s="189" t="s">
        <v>1247</v>
      </c>
      <c r="G764" s="189" t="s">
        <v>1248</v>
      </c>
      <c r="H764" s="188" t="n">
        <v>46107</v>
      </c>
      <c r="I764" s="189" t="s">
        <v>113</v>
      </c>
      <c r="J764" s="189" t="s">
        <v>108</v>
      </c>
      <c r="K764" s="189" t="s">
        <v>462</v>
      </c>
      <c r="L764" s="189" t="s">
        <v>431</v>
      </c>
      <c r="M764" s="189" t="s">
        <v>789</v>
      </c>
      <c r="N764" s="189" t="s">
        <v>1140</v>
      </c>
      <c r="O764" s="189" t="s">
        <v>172</v>
      </c>
      <c r="P764" s="189" t="s">
        <v>111</v>
      </c>
      <c r="Q764" s="189" t="s">
        <v>112</v>
      </c>
      <c r="R764" s="189" t="s">
        <v>22</v>
      </c>
      <c r="S764" s="189" t="s">
        <v>120</v>
      </c>
      <c r="T764" s="189" t="s">
        <v>180</v>
      </c>
      <c r="V764" s="189" t="s">
        <v>192</v>
      </c>
      <c r="W764" s="189" t="s">
        <v>124</v>
      </c>
      <c r="X764" s="189" t="s">
        <v>381</v>
      </c>
      <c r="Y764" s="189" t="s">
        <v>2110</v>
      </c>
      <c r="Z764" s="0" t="n">
        <v>2</v>
      </c>
      <c r="AA764" s="189" t="s">
        <v>2294</v>
      </c>
    </row>
    <row r="765" customFormat="false" ht="15" hidden="false" customHeight="false" outlineLevel="0" collapsed="false">
      <c r="A765" s="0" t="n">
        <v>154</v>
      </c>
      <c r="B765" s="188" t="n">
        <v>46108.3299579017</v>
      </c>
      <c r="C765" s="188" t="n">
        <v>46108.339367624</v>
      </c>
      <c r="D765" s="189" t="s">
        <v>1246</v>
      </c>
      <c r="E765" s="189" t="s">
        <v>1247</v>
      </c>
      <c r="F765" s="189" t="s">
        <v>1247</v>
      </c>
      <c r="G765" s="189" t="s">
        <v>1248</v>
      </c>
      <c r="H765" s="188" t="n">
        <v>46107</v>
      </c>
      <c r="I765" s="189" t="s">
        <v>113</v>
      </c>
      <c r="J765" s="189" t="s">
        <v>108</v>
      </c>
      <c r="K765" s="189" t="s">
        <v>462</v>
      </c>
      <c r="L765" s="189" t="s">
        <v>431</v>
      </c>
      <c r="M765" s="189" t="s">
        <v>789</v>
      </c>
      <c r="N765" s="189" t="s">
        <v>1140</v>
      </c>
      <c r="O765" s="189" t="s">
        <v>172</v>
      </c>
      <c r="P765" s="189" t="s">
        <v>111</v>
      </c>
      <c r="Q765" s="189" t="s">
        <v>112</v>
      </c>
      <c r="R765" s="189" t="s">
        <v>22</v>
      </c>
      <c r="S765" s="189" t="s">
        <v>120</v>
      </c>
      <c r="T765" s="189" t="s">
        <v>180</v>
      </c>
      <c r="V765" s="189" t="s">
        <v>192</v>
      </c>
      <c r="W765" s="189" t="s">
        <v>124</v>
      </c>
      <c r="X765" s="189" t="s">
        <v>381</v>
      </c>
      <c r="Y765" s="189" t="s">
        <v>2113</v>
      </c>
      <c r="Z765" s="0" t="n">
        <v>1</v>
      </c>
      <c r="AA765" s="189" t="s">
        <v>2206</v>
      </c>
    </row>
    <row r="766" customFormat="false" ht="15" hidden="false" customHeight="false" outlineLevel="0" collapsed="false">
      <c r="A766" s="0" t="n">
        <v>154</v>
      </c>
      <c r="B766" s="188" t="n">
        <v>46108.3299579017</v>
      </c>
      <c r="C766" s="188" t="n">
        <v>46108.339367624</v>
      </c>
      <c r="D766" s="189" t="s">
        <v>1246</v>
      </c>
      <c r="E766" s="189" t="s">
        <v>1247</v>
      </c>
      <c r="F766" s="189" t="s">
        <v>1247</v>
      </c>
      <c r="G766" s="189" t="s">
        <v>1248</v>
      </c>
      <c r="H766" s="188" t="n">
        <v>46107</v>
      </c>
      <c r="I766" s="189" t="s">
        <v>113</v>
      </c>
      <c r="J766" s="189" t="s">
        <v>108</v>
      </c>
      <c r="K766" s="189" t="s">
        <v>462</v>
      </c>
      <c r="L766" s="189" t="s">
        <v>431</v>
      </c>
      <c r="M766" s="189" t="s">
        <v>789</v>
      </c>
      <c r="N766" s="189" t="s">
        <v>1140</v>
      </c>
      <c r="O766" s="189" t="s">
        <v>172</v>
      </c>
      <c r="P766" s="189" t="s">
        <v>111</v>
      </c>
      <c r="Q766" s="189" t="s">
        <v>112</v>
      </c>
      <c r="R766" s="189" t="s">
        <v>22</v>
      </c>
      <c r="S766" s="189" t="s">
        <v>120</v>
      </c>
      <c r="T766" s="189" t="s">
        <v>180</v>
      </c>
      <c r="V766" s="189" t="s">
        <v>192</v>
      </c>
      <c r="W766" s="189" t="s">
        <v>124</v>
      </c>
      <c r="X766" s="189" t="s">
        <v>381</v>
      </c>
      <c r="Y766" s="189" t="s">
        <v>2113</v>
      </c>
      <c r="Z766" s="0" t="n">
        <v>2</v>
      </c>
      <c r="AA766" s="189" t="s">
        <v>2278</v>
      </c>
    </row>
    <row r="767" customFormat="false" ht="15" hidden="false" customHeight="false" outlineLevel="0" collapsed="false">
      <c r="A767" s="0" t="n">
        <v>155</v>
      </c>
      <c r="B767" s="188" t="n">
        <v>46093.9940285653</v>
      </c>
      <c r="C767" s="188" t="n">
        <v>46094.009607269</v>
      </c>
      <c r="D767" s="189" t="s">
        <v>1251</v>
      </c>
      <c r="E767" s="189" t="s">
        <v>1252</v>
      </c>
      <c r="F767" s="189" t="s">
        <v>1252</v>
      </c>
      <c r="G767" s="189" t="s">
        <v>1253</v>
      </c>
      <c r="H767" s="188" t="n">
        <v>46077</v>
      </c>
      <c r="I767" s="189" t="s">
        <v>113</v>
      </c>
      <c r="J767" s="189" t="s">
        <v>108</v>
      </c>
      <c r="K767" s="189" t="s">
        <v>1254</v>
      </c>
      <c r="L767" s="189" t="s">
        <v>491</v>
      </c>
      <c r="M767" s="189" t="s">
        <v>885</v>
      </c>
      <c r="N767" s="189" t="s">
        <v>1255</v>
      </c>
      <c r="O767" s="189" t="s">
        <v>107</v>
      </c>
      <c r="P767" s="189" t="s">
        <v>111</v>
      </c>
      <c r="Q767" s="189" t="s">
        <v>145</v>
      </c>
      <c r="R767" s="189" t="s">
        <v>24</v>
      </c>
      <c r="S767" s="189" t="s">
        <v>120</v>
      </c>
      <c r="T767" s="189" t="s">
        <v>121</v>
      </c>
      <c r="U767" s="189" t="s">
        <v>994</v>
      </c>
      <c r="V767" s="189" t="s">
        <v>167</v>
      </c>
      <c r="W767" s="189" t="s">
        <v>168</v>
      </c>
      <c r="X767" s="189" t="s">
        <v>19</v>
      </c>
      <c r="Y767" s="189" t="s">
        <v>2216</v>
      </c>
      <c r="Z767" s="0" t="n">
        <v>1</v>
      </c>
      <c r="AA767" s="189" t="s">
        <v>880</v>
      </c>
    </row>
    <row r="768" customFormat="false" ht="15" hidden="false" customHeight="false" outlineLevel="0" collapsed="false">
      <c r="A768" s="0" t="n">
        <v>156</v>
      </c>
      <c r="B768" s="188" t="n">
        <v>46049.8709372663</v>
      </c>
      <c r="C768" s="188" t="n">
        <v>46049.8759719885</v>
      </c>
      <c r="D768" s="189" t="s">
        <v>1256</v>
      </c>
      <c r="E768" s="189" t="s">
        <v>1257</v>
      </c>
      <c r="F768" s="189" t="s">
        <v>1257</v>
      </c>
      <c r="G768" s="189" t="s">
        <v>1258</v>
      </c>
      <c r="H768" s="188" t="n">
        <v>46036</v>
      </c>
      <c r="I768" s="189" t="s">
        <v>305</v>
      </c>
      <c r="J768" s="189" t="s">
        <v>108</v>
      </c>
      <c r="K768" s="189" t="s">
        <v>462</v>
      </c>
      <c r="L768" s="189" t="s">
        <v>197</v>
      </c>
      <c r="M768" s="189" t="s">
        <v>797</v>
      </c>
      <c r="N768" s="189" t="s">
        <v>235</v>
      </c>
      <c r="O768" s="189" t="s">
        <v>244</v>
      </c>
      <c r="P768" s="189" t="s">
        <v>131</v>
      </c>
      <c r="Q768" s="189" t="s">
        <v>112</v>
      </c>
      <c r="R768" s="189" t="s">
        <v>22</v>
      </c>
      <c r="S768" s="189" t="s">
        <v>152</v>
      </c>
      <c r="T768" s="189" t="s">
        <v>352</v>
      </c>
      <c r="U768" s="189" t="s">
        <v>122</v>
      </c>
      <c r="V768" s="189" t="s">
        <v>192</v>
      </c>
      <c r="W768" s="189" t="s">
        <v>139</v>
      </c>
      <c r="X768" s="189" t="s">
        <v>148</v>
      </c>
      <c r="Y768" s="189" t="s">
        <v>2108</v>
      </c>
      <c r="Z768" s="0" t="n">
        <v>1</v>
      </c>
      <c r="AA768" s="189" t="s">
        <v>2120</v>
      </c>
    </row>
    <row r="769" customFormat="false" ht="15" hidden="false" customHeight="false" outlineLevel="0" collapsed="false">
      <c r="A769" s="0" t="n">
        <v>156</v>
      </c>
      <c r="B769" s="188" t="n">
        <v>46049.8709372663</v>
      </c>
      <c r="C769" s="188" t="n">
        <v>46049.8759719885</v>
      </c>
      <c r="D769" s="189" t="s">
        <v>1256</v>
      </c>
      <c r="E769" s="189" t="s">
        <v>1257</v>
      </c>
      <c r="F769" s="189" t="s">
        <v>1257</v>
      </c>
      <c r="G769" s="189" t="s">
        <v>1258</v>
      </c>
      <c r="H769" s="188" t="n">
        <v>46036</v>
      </c>
      <c r="I769" s="189" t="s">
        <v>305</v>
      </c>
      <c r="J769" s="189" t="s">
        <v>108</v>
      </c>
      <c r="K769" s="189" t="s">
        <v>462</v>
      </c>
      <c r="L769" s="189" t="s">
        <v>197</v>
      </c>
      <c r="M769" s="189" t="s">
        <v>797</v>
      </c>
      <c r="N769" s="189" t="s">
        <v>235</v>
      </c>
      <c r="O769" s="189" t="s">
        <v>244</v>
      </c>
      <c r="P769" s="189" t="s">
        <v>131</v>
      </c>
      <c r="Q769" s="189" t="s">
        <v>112</v>
      </c>
      <c r="R769" s="189" t="s">
        <v>22</v>
      </c>
      <c r="S769" s="189" t="s">
        <v>152</v>
      </c>
      <c r="T769" s="189" t="s">
        <v>352</v>
      </c>
      <c r="U769" s="189" t="s">
        <v>122</v>
      </c>
      <c r="V769" s="189" t="s">
        <v>192</v>
      </c>
      <c r="W769" s="189" t="s">
        <v>139</v>
      </c>
      <c r="X769" s="189" t="s">
        <v>148</v>
      </c>
      <c r="Y769" s="189" t="s">
        <v>2110</v>
      </c>
      <c r="Z769" s="0" t="n">
        <v>1</v>
      </c>
      <c r="AA769" s="189" t="s">
        <v>122</v>
      </c>
    </row>
    <row r="770" customFormat="false" ht="15" hidden="false" customHeight="false" outlineLevel="0" collapsed="false">
      <c r="A770" s="0" t="n">
        <v>156</v>
      </c>
      <c r="B770" s="188" t="n">
        <v>46049.8709372663</v>
      </c>
      <c r="C770" s="188" t="n">
        <v>46049.8759719885</v>
      </c>
      <c r="D770" s="189" t="s">
        <v>1256</v>
      </c>
      <c r="E770" s="189" t="s">
        <v>1257</v>
      </c>
      <c r="F770" s="189" t="s">
        <v>1257</v>
      </c>
      <c r="G770" s="189" t="s">
        <v>1258</v>
      </c>
      <c r="H770" s="188" t="n">
        <v>46036</v>
      </c>
      <c r="I770" s="189" t="s">
        <v>305</v>
      </c>
      <c r="J770" s="189" t="s">
        <v>108</v>
      </c>
      <c r="K770" s="189" t="s">
        <v>462</v>
      </c>
      <c r="L770" s="189" t="s">
        <v>197</v>
      </c>
      <c r="M770" s="189" t="s">
        <v>797</v>
      </c>
      <c r="N770" s="189" t="s">
        <v>235</v>
      </c>
      <c r="O770" s="189" t="s">
        <v>244</v>
      </c>
      <c r="P770" s="189" t="s">
        <v>131</v>
      </c>
      <c r="Q770" s="189" t="s">
        <v>112</v>
      </c>
      <c r="R770" s="189" t="s">
        <v>22</v>
      </c>
      <c r="S770" s="189" t="s">
        <v>152</v>
      </c>
      <c r="T770" s="189" t="s">
        <v>352</v>
      </c>
      <c r="U770" s="189" t="s">
        <v>122</v>
      </c>
      <c r="V770" s="189" t="s">
        <v>192</v>
      </c>
      <c r="W770" s="189" t="s">
        <v>139</v>
      </c>
      <c r="X770" s="189" t="s">
        <v>148</v>
      </c>
      <c r="Y770" s="189" t="s">
        <v>2110</v>
      </c>
      <c r="Z770" s="0" t="n">
        <v>2</v>
      </c>
      <c r="AA770" s="189" t="s">
        <v>2122</v>
      </c>
    </row>
    <row r="771" customFormat="false" ht="15" hidden="false" customHeight="false" outlineLevel="0" collapsed="false">
      <c r="A771" s="0" t="n">
        <v>156</v>
      </c>
      <c r="B771" s="188" t="n">
        <v>46049.8709372663</v>
      </c>
      <c r="C771" s="188" t="n">
        <v>46049.8759719885</v>
      </c>
      <c r="D771" s="189" t="s">
        <v>1256</v>
      </c>
      <c r="E771" s="189" t="s">
        <v>1257</v>
      </c>
      <c r="F771" s="189" t="s">
        <v>1257</v>
      </c>
      <c r="G771" s="189" t="s">
        <v>1258</v>
      </c>
      <c r="H771" s="188" t="n">
        <v>46036</v>
      </c>
      <c r="I771" s="189" t="s">
        <v>305</v>
      </c>
      <c r="J771" s="189" t="s">
        <v>108</v>
      </c>
      <c r="K771" s="189" t="s">
        <v>462</v>
      </c>
      <c r="L771" s="189" t="s">
        <v>197</v>
      </c>
      <c r="M771" s="189" t="s">
        <v>797</v>
      </c>
      <c r="N771" s="189" t="s">
        <v>235</v>
      </c>
      <c r="O771" s="189" t="s">
        <v>244</v>
      </c>
      <c r="P771" s="189" t="s">
        <v>131</v>
      </c>
      <c r="Q771" s="189" t="s">
        <v>112</v>
      </c>
      <c r="R771" s="189" t="s">
        <v>22</v>
      </c>
      <c r="S771" s="189" t="s">
        <v>152</v>
      </c>
      <c r="T771" s="189" t="s">
        <v>352</v>
      </c>
      <c r="U771" s="189" t="s">
        <v>122</v>
      </c>
      <c r="V771" s="189" t="s">
        <v>192</v>
      </c>
      <c r="W771" s="189" t="s">
        <v>139</v>
      </c>
      <c r="X771" s="189" t="s">
        <v>148</v>
      </c>
      <c r="Y771" s="189" t="s">
        <v>2113</v>
      </c>
      <c r="Z771" s="0" t="n">
        <v>1</v>
      </c>
      <c r="AA771" s="189" t="s">
        <v>2232</v>
      </c>
    </row>
    <row r="772" customFormat="false" ht="15" hidden="false" customHeight="false" outlineLevel="0" collapsed="false">
      <c r="A772" s="0" t="n">
        <v>156</v>
      </c>
      <c r="B772" s="188" t="n">
        <v>46049.8709372663</v>
      </c>
      <c r="C772" s="188" t="n">
        <v>46049.8759719885</v>
      </c>
      <c r="D772" s="189" t="s">
        <v>1256</v>
      </c>
      <c r="E772" s="189" t="s">
        <v>1257</v>
      </c>
      <c r="F772" s="189" t="s">
        <v>1257</v>
      </c>
      <c r="G772" s="189" t="s">
        <v>1258</v>
      </c>
      <c r="H772" s="188" t="n">
        <v>46036</v>
      </c>
      <c r="I772" s="189" t="s">
        <v>305</v>
      </c>
      <c r="J772" s="189" t="s">
        <v>108</v>
      </c>
      <c r="K772" s="189" t="s">
        <v>462</v>
      </c>
      <c r="L772" s="189" t="s">
        <v>197</v>
      </c>
      <c r="M772" s="189" t="s">
        <v>797</v>
      </c>
      <c r="N772" s="189" t="s">
        <v>235</v>
      </c>
      <c r="O772" s="189" t="s">
        <v>244</v>
      </c>
      <c r="P772" s="189" t="s">
        <v>131</v>
      </c>
      <c r="Q772" s="189" t="s">
        <v>112</v>
      </c>
      <c r="R772" s="189" t="s">
        <v>22</v>
      </c>
      <c r="S772" s="189" t="s">
        <v>152</v>
      </c>
      <c r="T772" s="189" t="s">
        <v>352</v>
      </c>
      <c r="U772" s="189" t="s">
        <v>122</v>
      </c>
      <c r="V772" s="189" t="s">
        <v>192</v>
      </c>
      <c r="W772" s="189" t="s">
        <v>139</v>
      </c>
      <c r="X772" s="189" t="s">
        <v>148</v>
      </c>
      <c r="Y772" s="189" t="s">
        <v>2113</v>
      </c>
      <c r="Z772" s="0" t="n">
        <v>2</v>
      </c>
      <c r="AA772" s="189" t="s">
        <v>122</v>
      </c>
    </row>
    <row r="773" customFormat="false" ht="15" hidden="false" customHeight="false" outlineLevel="0" collapsed="false">
      <c r="A773" s="0" t="n">
        <v>157</v>
      </c>
      <c r="B773" s="188" t="n">
        <v>46210.876380226</v>
      </c>
      <c r="C773" s="188" t="n">
        <v>46210.8863223556</v>
      </c>
      <c r="D773" s="189" t="s">
        <v>1261</v>
      </c>
      <c r="E773" s="189" t="s">
        <v>1262</v>
      </c>
      <c r="F773" s="189" t="s">
        <v>1262</v>
      </c>
      <c r="G773" s="189" t="s">
        <v>1263</v>
      </c>
      <c r="H773" s="188" t="n">
        <v>46197</v>
      </c>
      <c r="I773" s="189" t="s">
        <v>132</v>
      </c>
      <c r="J773" s="189" t="s">
        <v>295</v>
      </c>
      <c r="K773" s="189" t="s">
        <v>1264</v>
      </c>
      <c r="L773" s="189" t="s">
        <v>346</v>
      </c>
      <c r="M773" s="189" t="s">
        <v>365</v>
      </c>
      <c r="N773" s="189" t="s">
        <v>625</v>
      </c>
      <c r="O773" s="189" t="s">
        <v>278</v>
      </c>
      <c r="P773" s="189" t="s">
        <v>111</v>
      </c>
      <c r="Q773" s="189" t="s">
        <v>145</v>
      </c>
      <c r="R773" s="189" t="s">
        <v>25</v>
      </c>
      <c r="S773" s="189" t="s">
        <v>120</v>
      </c>
      <c r="T773" s="189" t="s">
        <v>121</v>
      </c>
      <c r="U773" s="189" t="s">
        <v>1032</v>
      </c>
      <c r="V773" s="189" t="s">
        <v>192</v>
      </c>
      <c r="W773" s="189" t="s">
        <v>168</v>
      </c>
      <c r="X773" s="189" t="s">
        <v>327</v>
      </c>
      <c r="Y773" s="189" t="s">
        <v>2108</v>
      </c>
      <c r="Z773" s="0" t="n">
        <v>1</v>
      </c>
      <c r="AA773" s="189" t="s">
        <v>2151</v>
      </c>
    </row>
    <row r="774" customFormat="false" ht="15" hidden="false" customHeight="false" outlineLevel="0" collapsed="false">
      <c r="A774" s="0" t="n">
        <v>157</v>
      </c>
      <c r="B774" s="188" t="n">
        <v>46210.876380226</v>
      </c>
      <c r="C774" s="188" t="n">
        <v>46210.8863223556</v>
      </c>
      <c r="D774" s="189" t="s">
        <v>1261</v>
      </c>
      <c r="E774" s="189" t="s">
        <v>1262</v>
      </c>
      <c r="F774" s="189" t="s">
        <v>1262</v>
      </c>
      <c r="G774" s="189" t="s">
        <v>1263</v>
      </c>
      <c r="H774" s="188" t="n">
        <v>46197</v>
      </c>
      <c r="I774" s="189" t="s">
        <v>132</v>
      </c>
      <c r="J774" s="189" t="s">
        <v>295</v>
      </c>
      <c r="K774" s="189" t="s">
        <v>1264</v>
      </c>
      <c r="L774" s="189" t="s">
        <v>346</v>
      </c>
      <c r="M774" s="189" t="s">
        <v>365</v>
      </c>
      <c r="N774" s="189" t="s">
        <v>625</v>
      </c>
      <c r="O774" s="189" t="s">
        <v>278</v>
      </c>
      <c r="P774" s="189" t="s">
        <v>111</v>
      </c>
      <c r="Q774" s="189" t="s">
        <v>145</v>
      </c>
      <c r="R774" s="189" t="s">
        <v>25</v>
      </c>
      <c r="S774" s="189" t="s">
        <v>120</v>
      </c>
      <c r="T774" s="189" t="s">
        <v>121</v>
      </c>
      <c r="U774" s="189" t="s">
        <v>1032</v>
      </c>
      <c r="V774" s="189" t="s">
        <v>192</v>
      </c>
      <c r="W774" s="189" t="s">
        <v>168</v>
      </c>
      <c r="X774" s="189" t="s">
        <v>327</v>
      </c>
      <c r="Y774" s="189" t="s">
        <v>2110</v>
      </c>
      <c r="Z774" s="0" t="n">
        <v>1</v>
      </c>
      <c r="AA774" s="189" t="s">
        <v>2111</v>
      </c>
    </row>
    <row r="775" customFormat="false" ht="15" hidden="false" customHeight="false" outlineLevel="0" collapsed="false">
      <c r="A775" s="0" t="n">
        <v>157</v>
      </c>
      <c r="B775" s="188" t="n">
        <v>46210.876380226</v>
      </c>
      <c r="C775" s="188" t="n">
        <v>46210.8863223556</v>
      </c>
      <c r="D775" s="189" t="s">
        <v>1261</v>
      </c>
      <c r="E775" s="189" t="s">
        <v>1262</v>
      </c>
      <c r="F775" s="189" t="s">
        <v>1262</v>
      </c>
      <c r="G775" s="189" t="s">
        <v>1263</v>
      </c>
      <c r="H775" s="188" t="n">
        <v>46197</v>
      </c>
      <c r="I775" s="189" t="s">
        <v>132</v>
      </c>
      <c r="J775" s="189" t="s">
        <v>295</v>
      </c>
      <c r="K775" s="189" t="s">
        <v>1264</v>
      </c>
      <c r="L775" s="189" t="s">
        <v>346</v>
      </c>
      <c r="M775" s="189" t="s">
        <v>365</v>
      </c>
      <c r="N775" s="189" t="s">
        <v>625</v>
      </c>
      <c r="O775" s="189" t="s">
        <v>278</v>
      </c>
      <c r="P775" s="189" t="s">
        <v>111</v>
      </c>
      <c r="Q775" s="189" t="s">
        <v>145</v>
      </c>
      <c r="R775" s="189" t="s">
        <v>25</v>
      </c>
      <c r="S775" s="189" t="s">
        <v>120</v>
      </c>
      <c r="T775" s="189" t="s">
        <v>121</v>
      </c>
      <c r="U775" s="189" t="s">
        <v>1032</v>
      </c>
      <c r="V775" s="189" t="s">
        <v>192</v>
      </c>
      <c r="W775" s="189" t="s">
        <v>168</v>
      </c>
      <c r="X775" s="189" t="s">
        <v>327</v>
      </c>
      <c r="Y775" s="189" t="s">
        <v>2110</v>
      </c>
      <c r="Z775" s="0" t="n">
        <v>2</v>
      </c>
      <c r="AA775" s="189" t="s">
        <v>2255</v>
      </c>
    </row>
    <row r="776" customFormat="false" ht="15" hidden="false" customHeight="false" outlineLevel="0" collapsed="false">
      <c r="A776" s="0" t="n">
        <v>157</v>
      </c>
      <c r="B776" s="188" t="n">
        <v>46210.876380226</v>
      </c>
      <c r="C776" s="188" t="n">
        <v>46210.8863223556</v>
      </c>
      <c r="D776" s="189" t="s">
        <v>1261</v>
      </c>
      <c r="E776" s="189" t="s">
        <v>1262</v>
      </c>
      <c r="F776" s="189" t="s">
        <v>1262</v>
      </c>
      <c r="G776" s="189" t="s">
        <v>1263</v>
      </c>
      <c r="H776" s="188" t="n">
        <v>46197</v>
      </c>
      <c r="I776" s="189" t="s">
        <v>132</v>
      </c>
      <c r="J776" s="189" t="s">
        <v>295</v>
      </c>
      <c r="K776" s="189" t="s">
        <v>1264</v>
      </c>
      <c r="L776" s="189" t="s">
        <v>346</v>
      </c>
      <c r="M776" s="189" t="s">
        <v>365</v>
      </c>
      <c r="N776" s="189" t="s">
        <v>625</v>
      </c>
      <c r="O776" s="189" t="s">
        <v>278</v>
      </c>
      <c r="P776" s="189" t="s">
        <v>111</v>
      </c>
      <c r="Q776" s="189" t="s">
        <v>145</v>
      </c>
      <c r="R776" s="189" t="s">
        <v>25</v>
      </c>
      <c r="S776" s="189" t="s">
        <v>120</v>
      </c>
      <c r="T776" s="189" t="s">
        <v>121</v>
      </c>
      <c r="U776" s="189" t="s">
        <v>1032</v>
      </c>
      <c r="V776" s="189" t="s">
        <v>192</v>
      </c>
      <c r="W776" s="189" t="s">
        <v>168</v>
      </c>
      <c r="X776" s="189" t="s">
        <v>327</v>
      </c>
      <c r="Y776" s="189" t="s">
        <v>2113</v>
      </c>
      <c r="Z776" s="0" t="n">
        <v>1</v>
      </c>
      <c r="AA776" s="189" t="s">
        <v>2184</v>
      </c>
    </row>
    <row r="777" customFormat="false" ht="15" hidden="false" customHeight="false" outlineLevel="0" collapsed="false">
      <c r="A777" s="0" t="n">
        <v>158</v>
      </c>
      <c r="B777" s="188" t="n">
        <v>46043.6915935519</v>
      </c>
      <c r="C777" s="188" t="n">
        <v>46043.7030981815</v>
      </c>
      <c r="D777" s="189" t="s">
        <v>1265</v>
      </c>
      <c r="E777" s="189" t="s">
        <v>1266</v>
      </c>
      <c r="F777" s="189" t="s">
        <v>1266</v>
      </c>
      <c r="G777" s="189" t="s">
        <v>1267</v>
      </c>
      <c r="H777" s="188" t="n">
        <v>46038</v>
      </c>
      <c r="I777" s="189" t="s">
        <v>1268</v>
      </c>
      <c r="J777" s="189" t="s">
        <v>108</v>
      </c>
      <c r="K777" s="189" t="s">
        <v>196</v>
      </c>
      <c r="L777" s="189" t="s">
        <v>491</v>
      </c>
      <c r="M777" s="189" t="s">
        <v>543</v>
      </c>
      <c r="N777" s="189" t="s">
        <v>227</v>
      </c>
      <c r="O777" s="189" t="s">
        <v>244</v>
      </c>
      <c r="P777" s="189" t="s">
        <v>211</v>
      </c>
      <c r="Q777" s="189" t="s">
        <v>112</v>
      </c>
      <c r="R777" s="189" t="s">
        <v>22</v>
      </c>
      <c r="S777" s="189" t="s">
        <v>152</v>
      </c>
      <c r="T777" s="189" t="s">
        <v>121</v>
      </c>
      <c r="U777" s="189" t="s">
        <v>853</v>
      </c>
      <c r="V777" s="189" t="s">
        <v>192</v>
      </c>
      <c r="W777" s="189" t="s">
        <v>124</v>
      </c>
      <c r="X777" s="189" t="s">
        <v>339</v>
      </c>
      <c r="Y777" s="189" t="s">
        <v>2108</v>
      </c>
      <c r="Z777" s="0" t="n">
        <v>1</v>
      </c>
      <c r="AA777" s="189" t="s">
        <v>2213</v>
      </c>
    </row>
    <row r="778" customFormat="false" ht="15" hidden="false" customHeight="false" outlineLevel="0" collapsed="false">
      <c r="A778" s="0" t="n">
        <v>158</v>
      </c>
      <c r="B778" s="188" t="n">
        <v>46043.6915935519</v>
      </c>
      <c r="C778" s="188" t="n">
        <v>46043.7030981815</v>
      </c>
      <c r="D778" s="189" t="s">
        <v>1265</v>
      </c>
      <c r="E778" s="189" t="s">
        <v>1266</v>
      </c>
      <c r="F778" s="189" t="s">
        <v>1266</v>
      </c>
      <c r="G778" s="189" t="s">
        <v>1267</v>
      </c>
      <c r="H778" s="188" t="n">
        <v>46038</v>
      </c>
      <c r="I778" s="189" t="s">
        <v>1268</v>
      </c>
      <c r="J778" s="189" t="s">
        <v>108</v>
      </c>
      <c r="K778" s="189" t="s">
        <v>196</v>
      </c>
      <c r="L778" s="189" t="s">
        <v>491</v>
      </c>
      <c r="M778" s="189" t="s">
        <v>543</v>
      </c>
      <c r="N778" s="189" t="s">
        <v>227</v>
      </c>
      <c r="O778" s="189" t="s">
        <v>244</v>
      </c>
      <c r="P778" s="189" t="s">
        <v>211</v>
      </c>
      <c r="Q778" s="189" t="s">
        <v>112</v>
      </c>
      <c r="R778" s="189" t="s">
        <v>22</v>
      </c>
      <c r="S778" s="189" t="s">
        <v>152</v>
      </c>
      <c r="T778" s="189" t="s">
        <v>121</v>
      </c>
      <c r="U778" s="189" t="s">
        <v>853</v>
      </c>
      <c r="V778" s="189" t="s">
        <v>192</v>
      </c>
      <c r="W778" s="189" t="s">
        <v>124</v>
      </c>
      <c r="X778" s="189" t="s">
        <v>339</v>
      </c>
      <c r="Y778" s="189" t="s">
        <v>2108</v>
      </c>
      <c r="Z778" s="0" t="n">
        <v>2</v>
      </c>
      <c r="AA778" s="189" t="s">
        <v>2212</v>
      </c>
    </row>
    <row r="779" customFormat="false" ht="15" hidden="false" customHeight="false" outlineLevel="0" collapsed="false">
      <c r="A779" s="0" t="n">
        <v>158</v>
      </c>
      <c r="B779" s="188" t="n">
        <v>46043.6915935519</v>
      </c>
      <c r="C779" s="188" t="n">
        <v>46043.7030981815</v>
      </c>
      <c r="D779" s="189" t="s">
        <v>1265</v>
      </c>
      <c r="E779" s="189" t="s">
        <v>1266</v>
      </c>
      <c r="F779" s="189" t="s">
        <v>1266</v>
      </c>
      <c r="G779" s="189" t="s">
        <v>1267</v>
      </c>
      <c r="H779" s="188" t="n">
        <v>46038</v>
      </c>
      <c r="I779" s="189" t="s">
        <v>1268</v>
      </c>
      <c r="J779" s="189" t="s">
        <v>108</v>
      </c>
      <c r="K779" s="189" t="s">
        <v>196</v>
      </c>
      <c r="L779" s="189" t="s">
        <v>491</v>
      </c>
      <c r="M779" s="189" t="s">
        <v>543</v>
      </c>
      <c r="N779" s="189" t="s">
        <v>227</v>
      </c>
      <c r="O779" s="189" t="s">
        <v>244</v>
      </c>
      <c r="P779" s="189" t="s">
        <v>211</v>
      </c>
      <c r="Q779" s="189" t="s">
        <v>112</v>
      </c>
      <c r="R779" s="189" t="s">
        <v>22</v>
      </c>
      <c r="S779" s="189" t="s">
        <v>152</v>
      </c>
      <c r="T779" s="189" t="s">
        <v>121</v>
      </c>
      <c r="U779" s="189" t="s">
        <v>853</v>
      </c>
      <c r="V779" s="189" t="s">
        <v>192</v>
      </c>
      <c r="W779" s="189" t="s">
        <v>124</v>
      </c>
      <c r="X779" s="189" t="s">
        <v>339</v>
      </c>
      <c r="Y779" s="189" t="s">
        <v>2108</v>
      </c>
      <c r="Z779" s="0" t="n">
        <v>3</v>
      </c>
      <c r="AA779" s="189" t="s">
        <v>2243</v>
      </c>
    </row>
    <row r="780" customFormat="false" ht="15" hidden="false" customHeight="false" outlineLevel="0" collapsed="false">
      <c r="A780" s="0" t="n">
        <v>158</v>
      </c>
      <c r="B780" s="188" t="n">
        <v>46043.6915935519</v>
      </c>
      <c r="C780" s="188" t="n">
        <v>46043.7030981815</v>
      </c>
      <c r="D780" s="189" t="s">
        <v>1265</v>
      </c>
      <c r="E780" s="189" t="s">
        <v>1266</v>
      </c>
      <c r="F780" s="189" t="s">
        <v>1266</v>
      </c>
      <c r="G780" s="189" t="s">
        <v>1267</v>
      </c>
      <c r="H780" s="188" t="n">
        <v>46038</v>
      </c>
      <c r="I780" s="189" t="s">
        <v>1268</v>
      </c>
      <c r="J780" s="189" t="s">
        <v>108</v>
      </c>
      <c r="K780" s="189" t="s">
        <v>196</v>
      </c>
      <c r="L780" s="189" t="s">
        <v>491</v>
      </c>
      <c r="M780" s="189" t="s">
        <v>543</v>
      </c>
      <c r="N780" s="189" t="s">
        <v>227</v>
      </c>
      <c r="O780" s="189" t="s">
        <v>244</v>
      </c>
      <c r="P780" s="189" t="s">
        <v>211</v>
      </c>
      <c r="Q780" s="189" t="s">
        <v>112</v>
      </c>
      <c r="R780" s="189" t="s">
        <v>22</v>
      </c>
      <c r="S780" s="189" t="s">
        <v>152</v>
      </c>
      <c r="T780" s="189" t="s">
        <v>121</v>
      </c>
      <c r="U780" s="189" t="s">
        <v>853</v>
      </c>
      <c r="V780" s="189" t="s">
        <v>192</v>
      </c>
      <c r="W780" s="189" t="s">
        <v>124</v>
      </c>
      <c r="X780" s="189" t="s">
        <v>339</v>
      </c>
      <c r="Y780" s="189" t="s">
        <v>2110</v>
      </c>
      <c r="Z780" s="0" t="n">
        <v>1</v>
      </c>
      <c r="AA780" s="189" t="s">
        <v>2287</v>
      </c>
    </row>
    <row r="781" customFormat="false" ht="15" hidden="false" customHeight="false" outlineLevel="0" collapsed="false">
      <c r="A781" s="0" t="n">
        <v>158</v>
      </c>
      <c r="B781" s="188" t="n">
        <v>46043.6915935519</v>
      </c>
      <c r="C781" s="188" t="n">
        <v>46043.7030981815</v>
      </c>
      <c r="D781" s="189" t="s">
        <v>1265</v>
      </c>
      <c r="E781" s="189" t="s">
        <v>1266</v>
      </c>
      <c r="F781" s="189" t="s">
        <v>1266</v>
      </c>
      <c r="G781" s="189" t="s">
        <v>1267</v>
      </c>
      <c r="H781" s="188" t="n">
        <v>46038</v>
      </c>
      <c r="I781" s="189" t="s">
        <v>1268</v>
      </c>
      <c r="J781" s="189" t="s">
        <v>108</v>
      </c>
      <c r="K781" s="189" t="s">
        <v>196</v>
      </c>
      <c r="L781" s="189" t="s">
        <v>491</v>
      </c>
      <c r="M781" s="189" t="s">
        <v>543</v>
      </c>
      <c r="N781" s="189" t="s">
        <v>227</v>
      </c>
      <c r="O781" s="189" t="s">
        <v>244</v>
      </c>
      <c r="P781" s="189" t="s">
        <v>211</v>
      </c>
      <c r="Q781" s="189" t="s">
        <v>112</v>
      </c>
      <c r="R781" s="189" t="s">
        <v>22</v>
      </c>
      <c r="S781" s="189" t="s">
        <v>152</v>
      </c>
      <c r="T781" s="189" t="s">
        <v>121</v>
      </c>
      <c r="U781" s="189" t="s">
        <v>853</v>
      </c>
      <c r="V781" s="189" t="s">
        <v>192</v>
      </c>
      <c r="W781" s="189" t="s">
        <v>124</v>
      </c>
      <c r="X781" s="189" t="s">
        <v>339</v>
      </c>
      <c r="Y781" s="189" t="s">
        <v>2113</v>
      </c>
      <c r="Z781" s="0" t="n">
        <v>1</v>
      </c>
      <c r="AA781" s="189" t="s">
        <v>2244</v>
      </c>
    </row>
    <row r="782" customFormat="false" ht="15" hidden="false" customHeight="false" outlineLevel="0" collapsed="false">
      <c r="A782" s="0" t="n">
        <v>158</v>
      </c>
      <c r="B782" s="188" t="n">
        <v>46043.6915935519</v>
      </c>
      <c r="C782" s="188" t="n">
        <v>46043.7030981815</v>
      </c>
      <c r="D782" s="189" t="s">
        <v>1265</v>
      </c>
      <c r="E782" s="189" t="s">
        <v>1266</v>
      </c>
      <c r="F782" s="189" t="s">
        <v>1266</v>
      </c>
      <c r="G782" s="189" t="s">
        <v>1267</v>
      </c>
      <c r="H782" s="188" t="n">
        <v>46038</v>
      </c>
      <c r="I782" s="189" t="s">
        <v>1268</v>
      </c>
      <c r="J782" s="189" t="s">
        <v>108</v>
      </c>
      <c r="K782" s="189" t="s">
        <v>196</v>
      </c>
      <c r="L782" s="189" t="s">
        <v>491</v>
      </c>
      <c r="M782" s="189" t="s">
        <v>543</v>
      </c>
      <c r="N782" s="189" t="s">
        <v>227</v>
      </c>
      <c r="O782" s="189" t="s">
        <v>244</v>
      </c>
      <c r="P782" s="189" t="s">
        <v>211</v>
      </c>
      <c r="Q782" s="189" t="s">
        <v>112</v>
      </c>
      <c r="R782" s="189" t="s">
        <v>22</v>
      </c>
      <c r="S782" s="189" t="s">
        <v>152</v>
      </c>
      <c r="T782" s="189" t="s">
        <v>121</v>
      </c>
      <c r="U782" s="189" t="s">
        <v>853</v>
      </c>
      <c r="V782" s="189" t="s">
        <v>192</v>
      </c>
      <c r="W782" s="189" t="s">
        <v>124</v>
      </c>
      <c r="X782" s="189" t="s">
        <v>339</v>
      </c>
      <c r="Y782" s="189" t="s">
        <v>2113</v>
      </c>
      <c r="Z782" s="0" t="n">
        <v>2</v>
      </c>
      <c r="AA782" s="189" t="s">
        <v>2188</v>
      </c>
    </row>
    <row r="783" customFormat="false" ht="15" hidden="false" customHeight="false" outlineLevel="0" collapsed="false">
      <c r="A783" s="0" t="n">
        <v>159</v>
      </c>
      <c r="B783" s="188" t="n">
        <v>46172.5117365307</v>
      </c>
      <c r="C783" s="188" t="n">
        <v>46172.5182064382</v>
      </c>
      <c r="D783" s="189" t="s">
        <v>1272</v>
      </c>
      <c r="E783" s="189" t="s">
        <v>1273</v>
      </c>
      <c r="F783" s="189" t="s">
        <v>1273</v>
      </c>
      <c r="G783" s="189" t="s">
        <v>1274</v>
      </c>
      <c r="H783" s="188" t="n">
        <v>46164</v>
      </c>
      <c r="I783" s="189" t="s">
        <v>113</v>
      </c>
      <c r="J783" s="189" t="s">
        <v>108</v>
      </c>
      <c r="K783" s="189" t="s">
        <v>364</v>
      </c>
      <c r="L783" s="189" t="s">
        <v>114</v>
      </c>
      <c r="M783" s="189" t="s">
        <v>501</v>
      </c>
      <c r="N783" s="189" t="s">
        <v>638</v>
      </c>
      <c r="O783" s="189" t="s">
        <v>713</v>
      </c>
      <c r="P783" s="189" t="s">
        <v>111</v>
      </c>
      <c r="Q783" s="189" t="s">
        <v>112</v>
      </c>
      <c r="R783" s="189" t="s">
        <v>22</v>
      </c>
      <c r="S783" s="189" t="s">
        <v>152</v>
      </c>
      <c r="T783" s="189" t="s">
        <v>264</v>
      </c>
      <c r="U783" s="189" t="s">
        <v>1278</v>
      </c>
      <c r="V783" s="189" t="s">
        <v>192</v>
      </c>
      <c r="W783" s="189" t="s">
        <v>124</v>
      </c>
      <c r="X783" s="189" t="s">
        <v>715</v>
      </c>
      <c r="Y783" s="189" t="s">
        <v>2108</v>
      </c>
      <c r="Z783" s="0" t="n">
        <v>1</v>
      </c>
      <c r="AA783" s="189" t="s">
        <v>2296</v>
      </c>
    </row>
    <row r="784" customFormat="false" ht="15" hidden="false" customHeight="false" outlineLevel="0" collapsed="false">
      <c r="A784" s="0" t="n">
        <v>159</v>
      </c>
      <c r="B784" s="188" t="n">
        <v>46172.5117365307</v>
      </c>
      <c r="C784" s="188" t="n">
        <v>46172.5182064382</v>
      </c>
      <c r="D784" s="189" t="s">
        <v>1272</v>
      </c>
      <c r="E784" s="189" t="s">
        <v>1273</v>
      </c>
      <c r="F784" s="189" t="s">
        <v>1273</v>
      </c>
      <c r="G784" s="189" t="s">
        <v>1274</v>
      </c>
      <c r="H784" s="188" t="n">
        <v>46164</v>
      </c>
      <c r="I784" s="189" t="s">
        <v>113</v>
      </c>
      <c r="J784" s="189" t="s">
        <v>108</v>
      </c>
      <c r="K784" s="189" t="s">
        <v>364</v>
      </c>
      <c r="L784" s="189" t="s">
        <v>114</v>
      </c>
      <c r="M784" s="189" t="s">
        <v>501</v>
      </c>
      <c r="N784" s="189" t="s">
        <v>638</v>
      </c>
      <c r="O784" s="189" t="s">
        <v>713</v>
      </c>
      <c r="P784" s="189" t="s">
        <v>111</v>
      </c>
      <c r="Q784" s="189" t="s">
        <v>112</v>
      </c>
      <c r="R784" s="189" t="s">
        <v>22</v>
      </c>
      <c r="S784" s="189" t="s">
        <v>152</v>
      </c>
      <c r="T784" s="189" t="s">
        <v>264</v>
      </c>
      <c r="U784" s="189" t="s">
        <v>1278</v>
      </c>
      <c r="V784" s="189" t="s">
        <v>192</v>
      </c>
      <c r="W784" s="189" t="s">
        <v>124</v>
      </c>
      <c r="X784" s="189" t="s">
        <v>715</v>
      </c>
      <c r="Y784" s="189" t="s">
        <v>2108</v>
      </c>
      <c r="Z784" s="0" t="n">
        <v>2</v>
      </c>
      <c r="AA784" s="189" t="s">
        <v>2269</v>
      </c>
    </row>
    <row r="785" customFormat="false" ht="15" hidden="false" customHeight="false" outlineLevel="0" collapsed="false">
      <c r="A785" s="0" t="n">
        <v>159</v>
      </c>
      <c r="B785" s="188" t="n">
        <v>46172.5117365307</v>
      </c>
      <c r="C785" s="188" t="n">
        <v>46172.5182064382</v>
      </c>
      <c r="D785" s="189" t="s">
        <v>1272</v>
      </c>
      <c r="E785" s="189" t="s">
        <v>1273</v>
      </c>
      <c r="F785" s="189" t="s">
        <v>1273</v>
      </c>
      <c r="G785" s="189" t="s">
        <v>1274</v>
      </c>
      <c r="H785" s="188" t="n">
        <v>46164</v>
      </c>
      <c r="I785" s="189" t="s">
        <v>113</v>
      </c>
      <c r="J785" s="189" t="s">
        <v>108</v>
      </c>
      <c r="K785" s="189" t="s">
        <v>364</v>
      </c>
      <c r="L785" s="189" t="s">
        <v>114</v>
      </c>
      <c r="M785" s="189" t="s">
        <v>501</v>
      </c>
      <c r="N785" s="189" t="s">
        <v>638</v>
      </c>
      <c r="O785" s="189" t="s">
        <v>713</v>
      </c>
      <c r="P785" s="189" t="s">
        <v>111</v>
      </c>
      <c r="Q785" s="189" t="s">
        <v>112</v>
      </c>
      <c r="R785" s="189" t="s">
        <v>22</v>
      </c>
      <c r="S785" s="189" t="s">
        <v>152</v>
      </c>
      <c r="T785" s="189" t="s">
        <v>264</v>
      </c>
      <c r="U785" s="189" t="s">
        <v>1278</v>
      </c>
      <c r="V785" s="189" t="s">
        <v>192</v>
      </c>
      <c r="W785" s="189" t="s">
        <v>124</v>
      </c>
      <c r="X785" s="189" t="s">
        <v>715</v>
      </c>
      <c r="Y785" s="189" t="s">
        <v>2110</v>
      </c>
      <c r="Z785" s="0" t="n">
        <v>1</v>
      </c>
      <c r="AA785" s="189" t="s">
        <v>2270</v>
      </c>
    </row>
    <row r="786" customFormat="false" ht="15" hidden="false" customHeight="false" outlineLevel="0" collapsed="false">
      <c r="A786" s="0" t="n">
        <v>159</v>
      </c>
      <c r="B786" s="188" t="n">
        <v>46172.5117365307</v>
      </c>
      <c r="C786" s="188" t="n">
        <v>46172.5182064382</v>
      </c>
      <c r="D786" s="189" t="s">
        <v>1272</v>
      </c>
      <c r="E786" s="189" t="s">
        <v>1273</v>
      </c>
      <c r="F786" s="189" t="s">
        <v>1273</v>
      </c>
      <c r="G786" s="189" t="s">
        <v>1274</v>
      </c>
      <c r="H786" s="188" t="n">
        <v>46164</v>
      </c>
      <c r="I786" s="189" t="s">
        <v>113</v>
      </c>
      <c r="J786" s="189" t="s">
        <v>108</v>
      </c>
      <c r="K786" s="189" t="s">
        <v>364</v>
      </c>
      <c r="L786" s="189" t="s">
        <v>114</v>
      </c>
      <c r="M786" s="189" t="s">
        <v>501</v>
      </c>
      <c r="N786" s="189" t="s">
        <v>638</v>
      </c>
      <c r="O786" s="189" t="s">
        <v>713</v>
      </c>
      <c r="P786" s="189" t="s">
        <v>111</v>
      </c>
      <c r="Q786" s="189" t="s">
        <v>112</v>
      </c>
      <c r="R786" s="189" t="s">
        <v>22</v>
      </c>
      <c r="S786" s="189" t="s">
        <v>152</v>
      </c>
      <c r="T786" s="189" t="s">
        <v>264</v>
      </c>
      <c r="U786" s="189" t="s">
        <v>1278</v>
      </c>
      <c r="V786" s="189" t="s">
        <v>192</v>
      </c>
      <c r="W786" s="189" t="s">
        <v>124</v>
      </c>
      <c r="X786" s="189" t="s">
        <v>715</v>
      </c>
      <c r="Y786" s="189" t="s">
        <v>2113</v>
      </c>
      <c r="Z786" s="0" t="n">
        <v>1</v>
      </c>
      <c r="AA786" s="189" t="s">
        <v>2331</v>
      </c>
    </row>
    <row r="787" customFormat="false" ht="15" hidden="false" customHeight="false" outlineLevel="0" collapsed="false">
      <c r="A787" s="0" t="n">
        <v>159</v>
      </c>
      <c r="B787" s="188" t="n">
        <v>46172.5117365307</v>
      </c>
      <c r="C787" s="188" t="n">
        <v>46172.5182064382</v>
      </c>
      <c r="D787" s="189" t="s">
        <v>1272</v>
      </c>
      <c r="E787" s="189" t="s">
        <v>1273</v>
      </c>
      <c r="F787" s="189" t="s">
        <v>1273</v>
      </c>
      <c r="G787" s="189" t="s">
        <v>1274</v>
      </c>
      <c r="H787" s="188" t="n">
        <v>46164</v>
      </c>
      <c r="I787" s="189" t="s">
        <v>113</v>
      </c>
      <c r="J787" s="189" t="s">
        <v>108</v>
      </c>
      <c r="K787" s="189" t="s">
        <v>364</v>
      </c>
      <c r="L787" s="189" t="s">
        <v>114</v>
      </c>
      <c r="M787" s="189" t="s">
        <v>501</v>
      </c>
      <c r="N787" s="189" t="s">
        <v>638</v>
      </c>
      <c r="O787" s="189" t="s">
        <v>713</v>
      </c>
      <c r="P787" s="189" t="s">
        <v>111</v>
      </c>
      <c r="Q787" s="189" t="s">
        <v>112</v>
      </c>
      <c r="R787" s="189" t="s">
        <v>22</v>
      </c>
      <c r="S787" s="189" t="s">
        <v>152</v>
      </c>
      <c r="T787" s="189" t="s">
        <v>264</v>
      </c>
      <c r="U787" s="189" t="s">
        <v>1278</v>
      </c>
      <c r="V787" s="189" t="s">
        <v>192</v>
      </c>
      <c r="W787" s="189" t="s">
        <v>124</v>
      </c>
      <c r="X787" s="189" t="s">
        <v>715</v>
      </c>
      <c r="Y787" s="189" t="s">
        <v>2113</v>
      </c>
      <c r="Z787" s="0" t="n">
        <v>2</v>
      </c>
      <c r="AA787" s="189" t="s">
        <v>2272</v>
      </c>
    </row>
    <row r="788" customFormat="false" ht="15" hidden="false" customHeight="false" outlineLevel="0" collapsed="false">
      <c r="A788" s="0" t="n">
        <v>160</v>
      </c>
      <c r="B788" s="188" t="n">
        <v>46203.1170961982</v>
      </c>
      <c r="C788" s="188" t="n">
        <v>46203.1198045316</v>
      </c>
      <c r="D788" s="189" t="s">
        <v>1279</v>
      </c>
      <c r="E788" s="189" t="s">
        <v>1280</v>
      </c>
      <c r="F788" s="189" t="s">
        <v>1280</v>
      </c>
      <c r="G788" s="189" t="s">
        <v>1281</v>
      </c>
      <c r="H788" s="188" t="n">
        <v>46190</v>
      </c>
      <c r="I788" s="189" t="s">
        <v>113</v>
      </c>
      <c r="J788" s="189" t="s">
        <v>128</v>
      </c>
      <c r="K788" s="189" t="s">
        <v>143</v>
      </c>
      <c r="L788" s="189" t="s">
        <v>246</v>
      </c>
      <c r="M788" s="189" t="s">
        <v>144</v>
      </c>
      <c r="N788" s="189" t="s">
        <v>1042</v>
      </c>
      <c r="O788" s="189" t="s">
        <v>172</v>
      </c>
      <c r="P788" s="189" t="s">
        <v>111</v>
      </c>
      <c r="Q788" s="189" t="s">
        <v>112</v>
      </c>
      <c r="R788" s="189" t="s">
        <v>22</v>
      </c>
      <c r="S788" s="189" t="s">
        <v>152</v>
      </c>
      <c r="T788" s="189" t="s">
        <v>121</v>
      </c>
      <c r="U788" s="189" t="s">
        <v>122</v>
      </c>
      <c r="V788" s="189" t="s">
        <v>123</v>
      </c>
      <c r="W788" s="189" t="s">
        <v>124</v>
      </c>
      <c r="X788" s="189" t="s">
        <v>298</v>
      </c>
      <c r="Y788" s="189" t="s">
        <v>2108</v>
      </c>
      <c r="Z788" s="0" t="n">
        <v>1</v>
      </c>
      <c r="AA788" s="189" t="s">
        <v>2168</v>
      </c>
    </row>
    <row r="789" customFormat="false" ht="15" hidden="false" customHeight="false" outlineLevel="0" collapsed="false">
      <c r="A789" s="0" t="n">
        <v>160</v>
      </c>
      <c r="B789" s="188" t="n">
        <v>46203.1170961982</v>
      </c>
      <c r="C789" s="188" t="n">
        <v>46203.1198045316</v>
      </c>
      <c r="D789" s="189" t="s">
        <v>1279</v>
      </c>
      <c r="E789" s="189" t="s">
        <v>1280</v>
      </c>
      <c r="F789" s="189" t="s">
        <v>1280</v>
      </c>
      <c r="G789" s="189" t="s">
        <v>1281</v>
      </c>
      <c r="H789" s="188" t="n">
        <v>46190</v>
      </c>
      <c r="I789" s="189" t="s">
        <v>113</v>
      </c>
      <c r="J789" s="189" t="s">
        <v>128</v>
      </c>
      <c r="K789" s="189" t="s">
        <v>143</v>
      </c>
      <c r="L789" s="189" t="s">
        <v>246</v>
      </c>
      <c r="M789" s="189" t="s">
        <v>144</v>
      </c>
      <c r="N789" s="189" t="s">
        <v>1042</v>
      </c>
      <c r="O789" s="189" t="s">
        <v>172</v>
      </c>
      <c r="P789" s="189" t="s">
        <v>111</v>
      </c>
      <c r="Q789" s="189" t="s">
        <v>112</v>
      </c>
      <c r="R789" s="189" t="s">
        <v>22</v>
      </c>
      <c r="S789" s="189" t="s">
        <v>152</v>
      </c>
      <c r="T789" s="189" t="s">
        <v>121</v>
      </c>
      <c r="U789" s="189" t="s">
        <v>122</v>
      </c>
      <c r="V789" s="189" t="s">
        <v>123</v>
      </c>
      <c r="W789" s="189" t="s">
        <v>124</v>
      </c>
      <c r="X789" s="189" t="s">
        <v>298</v>
      </c>
      <c r="Y789" s="189" t="s">
        <v>2108</v>
      </c>
      <c r="Z789" s="0" t="n">
        <v>2</v>
      </c>
      <c r="AA789" s="189" t="s">
        <v>2252</v>
      </c>
    </row>
    <row r="790" customFormat="false" ht="15" hidden="false" customHeight="false" outlineLevel="0" collapsed="false">
      <c r="A790" s="0" t="n">
        <v>160</v>
      </c>
      <c r="B790" s="188" t="n">
        <v>46203.1170961982</v>
      </c>
      <c r="C790" s="188" t="n">
        <v>46203.1198045316</v>
      </c>
      <c r="D790" s="189" t="s">
        <v>1279</v>
      </c>
      <c r="E790" s="189" t="s">
        <v>1280</v>
      </c>
      <c r="F790" s="189" t="s">
        <v>1280</v>
      </c>
      <c r="G790" s="189" t="s">
        <v>1281</v>
      </c>
      <c r="H790" s="188" t="n">
        <v>46190</v>
      </c>
      <c r="I790" s="189" t="s">
        <v>113</v>
      </c>
      <c r="J790" s="189" t="s">
        <v>128</v>
      </c>
      <c r="K790" s="189" t="s">
        <v>143</v>
      </c>
      <c r="L790" s="189" t="s">
        <v>246</v>
      </c>
      <c r="M790" s="189" t="s">
        <v>144</v>
      </c>
      <c r="N790" s="189" t="s">
        <v>1042</v>
      </c>
      <c r="O790" s="189" t="s">
        <v>172</v>
      </c>
      <c r="P790" s="189" t="s">
        <v>111</v>
      </c>
      <c r="Q790" s="189" t="s">
        <v>112</v>
      </c>
      <c r="R790" s="189" t="s">
        <v>22</v>
      </c>
      <c r="S790" s="189" t="s">
        <v>152</v>
      </c>
      <c r="T790" s="189" t="s">
        <v>121</v>
      </c>
      <c r="U790" s="189" t="s">
        <v>122</v>
      </c>
      <c r="V790" s="189" t="s">
        <v>123</v>
      </c>
      <c r="W790" s="189" t="s">
        <v>124</v>
      </c>
      <c r="X790" s="189" t="s">
        <v>298</v>
      </c>
      <c r="Y790" s="189" t="s">
        <v>2110</v>
      </c>
      <c r="Z790" s="0" t="n">
        <v>1</v>
      </c>
      <c r="AA790" s="189" t="s">
        <v>2332</v>
      </c>
    </row>
    <row r="791" customFormat="false" ht="15" hidden="false" customHeight="false" outlineLevel="0" collapsed="false">
      <c r="A791" s="0" t="n">
        <v>160</v>
      </c>
      <c r="B791" s="188" t="n">
        <v>46203.1170961982</v>
      </c>
      <c r="C791" s="188" t="n">
        <v>46203.1198045316</v>
      </c>
      <c r="D791" s="189" t="s">
        <v>1279</v>
      </c>
      <c r="E791" s="189" t="s">
        <v>1280</v>
      </c>
      <c r="F791" s="189" t="s">
        <v>1280</v>
      </c>
      <c r="G791" s="189" t="s">
        <v>1281</v>
      </c>
      <c r="H791" s="188" t="n">
        <v>46190</v>
      </c>
      <c r="I791" s="189" t="s">
        <v>113</v>
      </c>
      <c r="J791" s="189" t="s">
        <v>128</v>
      </c>
      <c r="K791" s="189" t="s">
        <v>143</v>
      </c>
      <c r="L791" s="189" t="s">
        <v>246</v>
      </c>
      <c r="M791" s="189" t="s">
        <v>144</v>
      </c>
      <c r="N791" s="189" t="s">
        <v>1042</v>
      </c>
      <c r="O791" s="189" t="s">
        <v>172</v>
      </c>
      <c r="P791" s="189" t="s">
        <v>111</v>
      </c>
      <c r="Q791" s="189" t="s">
        <v>112</v>
      </c>
      <c r="R791" s="189" t="s">
        <v>22</v>
      </c>
      <c r="S791" s="189" t="s">
        <v>152</v>
      </c>
      <c r="T791" s="189" t="s">
        <v>121</v>
      </c>
      <c r="U791" s="189" t="s">
        <v>122</v>
      </c>
      <c r="V791" s="189" t="s">
        <v>123</v>
      </c>
      <c r="W791" s="189" t="s">
        <v>124</v>
      </c>
      <c r="X791" s="189" t="s">
        <v>298</v>
      </c>
      <c r="Y791" s="189" t="s">
        <v>2113</v>
      </c>
      <c r="Z791" s="0" t="n">
        <v>1</v>
      </c>
      <c r="AA791" s="189" t="s">
        <v>2291</v>
      </c>
    </row>
    <row r="792" customFormat="false" ht="15" hidden="false" customHeight="false" outlineLevel="0" collapsed="false">
      <c r="A792" s="0" t="n">
        <v>160</v>
      </c>
      <c r="B792" s="188" t="n">
        <v>46203.1170961982</v>
      </c>
      <c r="C792" s="188" t="n">
        <v>46203.1198045316</v>
      </c>
      <c r="D792" s="189" t="s">
        <v>1279</v>
      </c>
      <c r="E792" s="189" t="s">
        <v>1280</v>
      </c>
      <c r="F792" s="189" t="s">
        <v>1280</v>
      </c>
      <c r="G792" s="189" t="s">
        <v>1281</v>
      </c>
      <c r="H792" s="188" t="n">
        <v>46190</v>
      </c>
      <c r="I792" s="189" t="s">
        <v>113</v>
      </c>
      <c r="J792" s="189" t="s">
        <v>128</v>
      </c>
      <c r="K792" s="189" t="s">
        <v>143</v>
      </c>
      <c r="L792" s="189" t="s">
        <v>246</v>
      </c>
      <c r="M792" s="189" t="s">
        <v>144</v>
      </c>
      <c r="N792" s="189" t="s">
        <v>1042</v>
      </c>
      <c r="O792" s="189" t="s">
        <v>172</v>
      </c>
      <c r="P792" s="189" t="s">
        <v>111</v>
      </c>
      <c r="Q792" s="189" t="s">
        <v>112</v>
      </c>
      <c r="R792" s="189" t="s">
        <v>22</v>
      </c>
      <c r="S792" s="189" t="s">
        <v>152</v>
      </c>
      <c r="T792" s="189" t="s">
        <v>121</v>
      </c>
      <c r="U792" s="189" t="s">
        <v>122</v>
      </c>
      <c r="V792" s="189" t="s">
        <v>123</v>
      </c>
      <c r="W792" s="189" t="s">
        <v>124</v>
      </c>
      <c r="X792" s="189" t="s">
        <v>298</v>
      </c>
      <c r="Y792" s="189" t="s">
        <v>2113</v>
      </c>
      <c r="Z792" s="0" t="n">
        <v>2</v>
      </c>
      <c r="AA792" s="189" t="s">
        <v>122</v>
      </c>
    </row>
    <row r="793" customFormat="false" ht="15" hidden="false" customHeight="false" outlineLevel="0" collapsed="false">
      <c r="A793" s="0" t="n">
        <v>161</v>
      </c>
      <c r="B793" s="188" t="n">
        <v>46039.0675145234</v>
      </c>
      <c r="C793" s="188" t="n">
        <v>46039.07511869</v>
      </c>
      <c r="D793" s="189" t="s">
        <v>1285</v>
      </c>
      <c r="E793" s="189" t="s">
        <v>1286</v>
      </c>
      <c r="F793" s="189" t="s">
        <v>1286</v>
      </c>
      <c r="G793" s="189" t="s">
        <v>1287</v>
      </c>
      <c r="H793" s="188" t="n">
        <v>46026</v>
      </c>
      <c r="I793" s="189" t="s">
        <v>113</v>
      </c>
      <c r="J793" s="189" t="s">
        <v>108</v>
      </c>
      <c r="K793" s="189" t="s">
        <v>1288</v>
      </c>
      <c r="L793" s="189" t="s">
        <v>286</v>
      </c>
      <c r="M793" s="189" t="s">
        <v>515</v>
      </c>
      <c r="N793" s="189" t="s">
        <v>893</v>
      </c>
      <c r="O793" s="189" t="s">
        <v>278</v>
      </c>
      <c r="P793" s="189" t="s">
        <v>111</v>
      </c>
      <c r="Q793" s="189" t="s">
        <v>112</v>
      </c>
      <c r="R793" s="189" t="s">
        <v>22</v>
      </c>
      <c r="S793" s="189" t="s">
        <v>152</v>
      </c>
      <c r="T793" s="189" t="s">
        <v>121</v>
      </c>
      <c r="V793" s="189" t="s">
        <v>192</v>
      </c>
      <c r="W793" s="189" t="s">
        <v>168</v>
      </c>
      <c r="X793" s="189" t="s">
        <v>176</v>
      </c>
      <c r="Y793" s="189" t="s">
        <v>2108</v>
      </c>
      <c r="Z793" s="0" t="n">
        <v>1</v>
      </c>
      <c r="AA793" s="189" t="s">
        <v>2333</v>
      </c>
    </row>
    <row r="794" customFormat="false" ht="15" hidden="false" customHeight="false" outlineLevel="0" collapsed="false">
      <c r="A794" s="0" t="n">
        <v>161</v>
      </c>
      <c r="B794" s="188" t="n">
        <v>46039.0675145234</v>
      </c>
      <c r="C794" s="188" t="n">
        <v>46039.07511869</v>
      </c>
      <c r="D794" s="189" t="s">
        <v>1285</v>
      </c>
      <c r="E794" s="189" t="s">
        <v>1286</v>
      </c>
      <c r="F794" s="189" t="s">
        <v>1286</v>
      </c>
      <c r="G794" s="189" t="s">
        <v>1287</v>
      </c>
      <c r="H794" s="188" t="n">
        <v>46026</v>
      </c>
      <c r="I794" s="189" t="s">
        <v>113</v>
      </c>
      <c r="J794" s="189" t="s">
        <v>108</v>
      </c>
      <c r="K794" s="189" t="s">
        <v>1288</v>
      </c>
      <c r="L794" s="189" t="s">
        <v>286</v>
      </c>
      <c r="M794" s="189" t="s">
        <v>515</v>
      </c>
      <c r="N794" s="189" t="s">
        <v>893</v>
      </c>
      <c r="O794" s="189" t="s">
        <v>278</v>
      </c>
      <c r="P794" s="189" t="s">
        <v>111</v>
      </c>
      <c r="Q794" s="189" t="s">
        <v>112</v>
      </c>
      <c r="R794" s="189" t="s">
        <v>22</v>
      </c>
      <c r="S794" s="189" t="s">
        <v>152</v>
      </c>
      <c r="T794" s="189" t="s">
        <v>121</v>
      </c>
      <c r="V794" s="189" t="s">
        <v>192</v>
      </c>
      <c r="W794" s="189" t="s">
        <v>168</v>
      </c>
      <c r="X794" s="189" t="s">
        <v>176</v>
      </c>
      <c r="Y794" s="189" t="s">
        <v>2110</v>
      </c>
      <c r="Z794" s="0" t="n">
        <v>1</v>
      </c>
      <c r="AA794" s="189" t="s">
        <v>2249</v>
      </c>
    </row>
    <row r="795" customFormat="false" ht="15" hidden="false" customHeight="false" outlineLevel="0" collapsed="false">
      <c r="A795" s="0" t="n">
        <v>161</v>
      </c>
      <c r="B795" s="188" t="n">
        <v>46039.0675145234</v>
      </c>
      <c r="C795" s="188" t="n">
        <v>46039.07511869</v>
      </c>
      <c r="D795" s="189" t="s">
        <v>1285</v>
      </c>
      <c r="E795" s="189" t="s">
        <v>1286</v>
      </c>
      <c r="F795" s="189" t="s">
        <v>1286</v>
      </c>
      <c r="G795" s="189" t="s">
        <v>1287</v>
      </c>
      <c r="H795" s="188" t="n">
        <v>46026</v>
      </c>
      <c r="I795" s="189" t="s">
        <v>113</v>
      </c>
      <c r="J795" s="189" t="s">
        <v>108</v>
      </c>
      <c r="K795" s="189" t="s">
        <v>1288</v>
      </c>
      <c r="L795" s="189" t="s">
        <v>286</v>
      </c>
      <c r="M795" s="189" t="s">
        <v>515</v>
      </c>
      <c r="N795" s="189" t="s">
        <v>893</v>
      </c>
      <c r="O795" s="189" t="s">
        <v>278</v>
      </c>
      <c r="P795" s="189" t="s">
        <v>111</v>
      </c>
      <c r="Q795" s="189" t="s">
        <v>112</v>
      </c>
      <c r="R795" s="189" t="s">
        <v>22</v>
      </c>
      <c r="S795" s="189" t="s">
        <v>152</v>
      </c>
      <c r="T795" s="189" t="s">
        <v>121</v>
      </c>
      <c r="V795" s="189" t="s">
        <v>192</v>
      </c>
      <c r="W795" s="189" t="s">
        <v>168</v>
      </c>
      <c r="X795" s="189" t="s">
        <v>176</v>
      </c>
      <c r="Y795" s="189" t="s">
        <v>2110</v>
      </c>
      <c r="Z795" s="0" t="n">
        <v>2</v>
      </c>
      <c r="AA795" s="189" t="s">
        <v>2131</v>
      </c>
    </row>
    <row r="796" customFormat="false" ht="15" hidden="false" customHeight="false" outlineLevel="0" collapsed="false">
      <c r="A796" s="0" t="n">
        <v>161</v>
      </c>
      <c r="B796" s="191" t="n">
        <v>46039.0675145234</v>
      </c>
      <c r="C796" s="191" t="n">
        <v>46039.07511869</v>
      </c>
      <c r="D796" s="189" t="s">
        <v>1285</v>
      </c>
      <c r="E796" s="189" t="s">
        <v>1286</v>
      </c>
      <c r="F796" s="189" t="s">
        <v>1286</v>
      </c>
      <c r="G796" s="189" t="s">
        <v>1287</v>
      </c>
      <c r="H796" s="191" t="n">
        <v>46026</v>
      </c>
      <c r="I796" s="189" t="s">
        <v>113</v>
      </c>
      <c r="J796" s="189" t="s">
        <v>108</v>
      </c>
      <c r="K796" s="189" t="s">
        <v>1288</v>
      </c>
      <c r="L796" s="189" t="s">
        <v>286</v>
      </c>
      <c r="M796" s="189" t="s">
        <v>515</v>
      </c>
      <c r="N796" s="189" t="s">
        <v>893</v>
      </c>
      <c r="O796" s="189" t="s">
        <v>278</v>
      </c>
      <c r="P796" s="189" t="s">
        <v>111</v>
      </c>
      <c r="Q796" s="189" t="s">
        <v>112</v>
      </c>
      <c r="R796" s="189" t="s">
        <v>22</v>
      </c>
      <c r="S796" s="189" t="s">
        <v>152</v>
      </c>
      <c r="T796" s="189" t="s">
        <v>121</v>
      </c>
      <c r="V796" s="189" t="s">
        <v>192</v>
      </c>
      <c r="W796" s="189" t="s">
        <v>168</v>
      </c>
      <c r="X796" s="189" t="s">
        <v>176</v>
      </c>
      <c r="Y796" s="189" t="s">
        <v>2113</v>
      </c>
      <c r="Z796" s="0" t="n">
        <v>1</v>
      </c>
      <c r="AA796" s="189" t="s">
        <v>2132</v>
      </c>
    </row>
    <row r="797" customFormat="false" ht="15" hidden="false" customHeight="false" outlineLevel="0" collapsed="false">
      <c r="A797" s="0" t="n">
        <v>162</v>
      </c>
      <c r="B797" s="191" t="n">
        <v>46108.264724133</v>
      </c>
      <c r="C797" s="191" t="n">
        <v>46108.2851407997</v>
      </c>
      <c r="D797" s="189" t="s">
        <v>1291</v>
      </c>
      <c r="E797" s="189" t="s">
        <v>1292</v>
      </c>
      <c r="F797" s="189" t="s">
        <v>1292</v>
      </c>
      <c r="G797" s="189" t="s">
        <v>1293</v>
      </c>
      <c r="H797" s="191" t="n">
        <v>46094</v>
      </c>
      <c r="I797" s="189" t="s">
        <v>113</v>
      </c>
      <c r="J797" s="189" t="s">
        <v>295</v>
      </c>
      <c r="K797" s="189" t="s">
        <v>1294</v>
      </c>
      <c r="L797" s="189" t="s">
        <v>491</v>
      </c>
      <c r="M797" s="189" t="s">
        <v>357</v>
      </c>
      <c r="N797" s="189" t="s">
        <v>945</v>
      </c>
      <c r="O797" s="189" t="s">
        <v>107</v>
      </c>
      <c r="P797" s="189" t="s">
        <v>111</v>
      </c>
      <c r="Q797" s="189" t="s">
        <v>145</v>
      </c>
      <c r="R797" s="189" t="s">
        <v>22</v>
      </c>
      <c r="S797" s="189" t="s">
        <v>152</v>
      </c>
      <c r="T797" s="189" t="s">
        <v>352</v>
      </c>
      <c r="U797" s="189" t="s">
        <v>122</v>
      </c>
      <c r="V797" s="189" t="s">
        <v>192</v>
      </c>
      <c r="W797" s="189" t="s">
        <v>124</v>
      </c>
      <c r="X797" s="189" t="s">
        <v>298</v>
      </c>
      <c r="Y797" s="189" t="s">
        <v>2108</v>
      </c>
      <c r="Z797" s="0" t="n">
        <v>1</v>
      </c>
      <c r="AA797" s="189" t="s">
        <v>2318</v>
      </c>
    </row>
    <row r="798" customFormat="false" ht="15" hidden="false" customHeight="false" outlineLevel="0" collapsed="false">
      <c r="A798" s="0" t="n">
        <v>162</v>
      </c>
      <c r="B798" s="191" t="n">
        <v>46108.264724133</v>
      </c>
      <c r="C798" s="191" t="n">
        <v>46108.2851407997</v>
      </c>
      <c r="D798" s="189" t="s">
        <v>1291</v>
      </c>
      <c r="E798" s="189" t="s">
        <v>1292</v>
      </c>
      <c r="F798" s="189" t="s">
        <v>1292</v>
      </c>
      <c r="G798" s="189" t="s">
        <v>1293</v>
      </c>
      <c r="H798" s="191" t="n">
        <v>46094</v>
      </c>
      <c r="I798" s="189" t="s">
        <v>113</v>
      </c>
      <c r="J798" s="189" t="s">
        <v>295</v>
      </c>
      <c r="K798" s="189" t="s">
        <v>1294</v>
      </c>
      <c r="L798" s="189" t="s">
        <v>491</v>
      </c>
      <c r="M798" s="189" t="s">
        <v>357</v>
      </c>
      <c r="N798" s="189" t="s">
        <v>945</v>
      </c>
      <c r="O798" s="189" t="s">
        <v>107</v>
      </c>
      <c r="P798" s="189" t="s">
        <v>111</v>
      </c>
      <c r="Q798" s="189" t="s">
        <v>145</v>
      </c>
      <c r="R798" s="189" t="s">
        <v>22</v>
      </c>
      <c r="S798" s="189" t="s">
        <v>152</v>
      </c>
      <c r="T798" s="189" t="s">
        <v>352</v>
      </c>
      <c r="U798" s="189" t="s">
        <v>122</v>
      </c>
      <c r="V798" s="189" t="s">
        <v>192</v>
      </c>
      <c r="W798" s="189" t="s">
        <v>124</v>
      </c>
      <c r="X798" s="189" t="s">
        <v>298</v>
      </c>
      <c r="Y798" s="189" t="s">
        <v>2108</v>
      </c>
      <c r="Z798" s="0" t="n">
        <v>2</v>
      </c>
      <c r="AA798" s="189" t="s">
        <v>2251</v>
      </c>
    </row>
    <row r="799" customFormat="false" ht="15" hidden="false" customHeight="false" outlineLevel="0" collapsed="false">
      <c r="A799" s="0" t="n">
        <v>162</v>
      </c>
      <c r="B799" s="191" t="n">
        <v>46108.264724133</v>
      </c>
      <c r="C799" s="191" t="n">
        <v>46108.2851407997</v>
      </c>
      <c r="D799" s="189" t="s">
        <v>1291</v>
      </c>
      <c r="E799" s="189" t="s">
        <v>1292</v>
      </c>
      <c r="F799" s="189" t="s">
        <v>1292</v>
      </c>
      <c r="G799" s="189" t="s">
        <v>1293</v>
      </c>
      <c r="H799" s="191" t="n">
        <v>46094</v>
      </c>
      <c r="I799" s="189" t="s">
        <v>113</v>
      </c>
      <c r="J799" s="189" t="s">
        <v>295</v>
      </c>
      <c r="K799" s="189" t="s">
        <v>1294</v>
      </c>
      <c r="L799" s="189" t="s">
        <v>491</v>
      </c>
      <c r="M799" s="189" t="s">
        <v>357</v>
      </c>
      <c r="N799" s="189" t="s">
        <v>945</v>
      </c>
      <c r="O799" s="189" t="s">
        <v>107</v>
      </c>
      <c r="P799" s="189" t="s">
        <v>111</v>
      </c>
      <c r="Q799" s="189" t="s">
        <v>145</v>
      </c>
      <c r="R799" s="189" t="s">
        <v>22</v>
      </c>
      <c r="S799" s="189" t="s">
        <v>152</v>
      </c>
      <c r="T799" s="189" t="s">
        <v>352</v>
      </c>
      <c r="U799" s="189" t="s">
        <v>122</v>
      </c>
      <c r="V799" s="189" t="s">
        <v>192</v>
      </c>
      <c r="W799" s="189" t="s">
        <v>124</v>
      </c>
      <c r="X799" s="189" t="s">
        <v>298</v>
      </c>
      <c r="Y799" s="189" t="s">
        <v>2110</v>
      </c>
      <c r="Z799" s="0" t="n">
        <v>1</v>
      </c>
      <c r="AA799" s="189" t="s">
        <v>2281</v>
      </c>
    </row>
    <row r="800" customFormat="false" ht="15" hidden="false" customHeight="false" outlineLevel="0" collapsed="false">
      <c r="A800" s="0" t="n">
        <v>162</v>
      </c>
      <c r="B800" s="191" t="n">
        <v>46108.264724133</v>
      </c>
      <c r="C800" s="191" t="n">
        <v>46108.2851407997</v>
      </c>
      <c r="D800" s="189" t="s">
        <v>1291</v>
      </c>
      <c r="E800" s="189" t="s">
        <v>1292</v>
      </c>
      <c r="F800" s="189" t="s">
        <v>1292</v>
      </c>
      <c r="G800" s="189" t="s">
        <v>1293</v>
      </c>
      <c r="H800" s="191" t="n">
        <v>46094</v>
      </c>
      <c r="I800" s="189" t="s">
        <v>113</v>
      </c>
      <c r="J800" s="189" t="s">
        <v>295</v>
      </c>
      <c r="K800" s="189" t="s">
        <v>1294</v>
      </c>
      <c r="L800" s="189" t="s">
        <v>491</v>
      </c>
      <c r="M800" s="189" t="s">
        <v>357</v>
      </c>
      <c r="N800" s="189" t="s">
        <v>945</v>
      </c>
      <c r="O800" s="189" t="s">
        <v>107</v>
      </c>
      <c r="P800" s="189" t="s">
        <v>111</v>
      </c>
      <c r="Q800" s="189" t="s">
        <v>145</v>
      </c>
      <c r="R800" s="189" t="s">
        <v>22</v>
      </c>
      <c r="S800" s="189" t="s">
        <v>152</v>
      </c>
      <c r="T800" s="189" t="s">
        <v>352</v>
      </c>
      <c r="U800" s="189" t="s">
        <v>122</v>
      </c>
      <c r="V800" s="189" t="s">
        <v>192</v>
      </c>
      <c r="W800" s="189" t="s">
        <v>124</v>
      </c>
      <c r="X800" s="189" t="s">
        <v>298</v>
      </c>
      <c r="Y800" s="189" t="s">
        <v>2113</v>
      </c>
      <c r="Z800" s="0" t="n">
        <v>1</v>
      </c>
      <c r="AA800" s="189" t="s">
        <v>2291</v>
      </c>
    </row>
    <row r="801" customFormat="false" ht="15" hidden="false" customHeight="false" outlineLevel="0" collapsed="false">
      <c r="A801" s="0" t="n">
        <v>162</v>
      </c>
      <c r="B801" s="191" t="n">
        <v>46108.264724133</v>
      </c>
      <c r="C801" s="191" t="n">
        <v>46108.2851407997</v>
      </c>
      <c r="D801" s="189" t="s">
        <v>1291</v>
      </c>
      <c r="E801" s="189" t="s">
        <v>1292</v>
      </c>
      <c r="F801" s="189" t="s">
        <v>1292</v>
      </c>
      <c r="G801" s="189" t="s">
        <v>1293</v>
      </c>
      <c r="H801" s="191" t="n">
        <v>46094</v>
      </c>
      <c r="I801" s="189" t="s">
        <v>113</v>
      </c>
      <c r="J801" s="189" t="s">
        <v>295</v>
      </c>
      <c r="K801" s="189" t="s">
        <v>1294</v>
      </c>
      <c r="L801" s="189" t="s">
        <v>491</v>
      </c>
      <c r="M801" s="189" t="s">
        <v>357</v>
      </c>
      <c r="N801" s="189" t="s">
        <v>945</v>
      </c>
      <c r="O801" s="189" t="s">
        <v>107</v>
      </c>
      <c r="P801" s="189" t="s">
        <v>111</v>
      </c>
      <c r="Q801" s="189" t="s">
        <v>145</v>
      </c>
      <c r="R801" s="189" t="s">
        <v>22</v>
      </c>
      <c r="S801" s="189" t="s">
        <v>152</v>
      </c>
      <c r="T801" s="189" t="s">
        <v>352</v>
      </c>
      <c r="U801" s="189" t="s">
        <v>122</v>
      </c>
      <c r="V801" s="189" t="s">
        <v>192</v>
      </c>
      <c r="W801" s="189" t="s">
        <v>124</v>
      </c>
      <c r="X801" s="189" t="s">
        <v>298</v>
      </c>
      <c r="Y801" s="189" t="s">
        <v>2113</v>
      </c>
      <c r="Z801" s="0" t="n">
        <v>2</v>
      </c>
      <c r="AA801" s="189" t="s">
        <v>2317</v>
      </c>
    </row>
    <row r="802" customFormat="false" ht="15" hidden="false" customHeight="false" outlineLevel="0" collapsed="false">
      <c r="A802" s="0" t="n">
        <v>163</v>
      </c>
      <c r="B802" s="191" t="n">
        <v>46124.761761008</v>
      </c>
      <c r="C802" s="191" t="n">
        <v>46124.7789832303</v>
      </c>
      <c r="D802" s="189" t="s">
        <v>1297</v>
      </c>
      <c r="E802" s="189" t="s">
        <v>1298</v>
      </c>
      <c r="F802" s="189" t="s">
        <v>1298</v>
      </c>
      <c r="G802" s="189" t="s">
        <v>1299</v>
      </c>
      <c r="H802" s="191" t="n">
        <v>46108</v>
      </c>
      <c r="I802" s="189" t="s">
        <v>113</v>
      </c>
      <c r="J802" s="189" t="s">
        <v>108</v>
      </c>
      <c r="K802" s="189" t="s">
        <v>1300</v>
      </c>
      <c r="L802" s="189" t="s">
        <v>346</v>
      </c>
      <c r="M802" s="189" t="s">
        <v>212</v>
      </c>
      <c r="N802" s="189" t="s">
        <v>775</v>
      </c>
      <c r="O802" s="189" t="s">
        <v>107</v>
      </c>
      <c r="P802" s="189" t="s">
        <v>111</v>
      </c>
      <c r="Q802" s="189" t="s">
        <v>112</v>
      </c>
      <c r="R802" s="189" t="s">
        <v>22</v>
      </c>
      <c r="S802" s="189" t="s">
        <v>120</v>
      </c>
      <c r="T802" s="189" t="s">
        <v>121</v>
      </c>
      <c r="V802" s="189" t="s">
        <v>123</v>
      </c>
      <c r="W802" s="189" t="s">
        <v>139</v>
      </c>
      <c r="X802" s="189" t="s">
        <v>271</v>
      </c>
      <c r="Y802" s="189" t="s">
        <v>2108</v>
      </c>
      <c r="Z802" s="0" t="n">
        <v>1</v>
      </c>
      <c r="AA802" s="189" t="s">
        <v>2159</v>
      </c>
    </row>
    <row r="803" customFormat="false" ht="15" hidden="false" customHeight="false" outlineLevel="0" collapsed="false">
      <c r="A803" s="0" t="n">
        <v>163</v>
      </c>
      <c r="B803" s="191" t="n">
        <v>46124.761761008</v>
      </c>
      <c r="C803" s="191" t="n">
        <v>46124.7789832303</v>
      </c>
      <c r="D803" s="189" t="s">
        <v>1297</v>
      </c>
      <c r="E803" s="189" t="s">
        <v>1298</v>
      </c>
      <c r="F803" s="189" t="s">
        <v>1298</v>
      </c>
      <c r="G803" s="189" t="s">
        <v>1299</v>
      </c>
      <c r="H803" s="191" t="n">
        <v>46108</v>
      </c>
      <c r="I803" s="189" t="s">
        <v>113</v>
      </c>
      <c r="J803" s="189" t="s">
        <v>108</v>
      </c>
      <c r="K803" s="189" t="s">
        <v>1300</v>
      </c>
      <c r="L803" s="189" t="s">
        <v>346</v>
      </c>
      <c r="M803" s="189" t="s">
        <v>212</v>
      </c>
      <c r="N803" s="189" t="s">
        <v>775</v>
      </c>
      <c r="O803" s="189" t="s">
        <v>107</v>
      </c>
      <c r="P803" s="189" t="s">
        <v>111</v>
      </c>
      <c r="Q803" s="189" t="s">
        <v>112</v>
      </c>
      <c r="R803" s="189" t="s">
        <v>22</v>
      </c>
      <c r="S803" s="189" t="s">
        <v>120</v>
      </c>
      <c r="T803" s="189" t="s">
        <v>121</v>
      </c>
      <c r="V803" s="189" t="s">
        <v>123</v>
      </c>
      <c r="W803" s="189" t="s">
        <v>139</v>
      </c>
      <c r="X803" s="189" t="s">
        <v>271</v>
      </c>
      <c r="Y803" s="189" t="s">
        <v>2110</v>
      </c>
      <c r="Z803" s="0" t="n">
        <v>1</v>
      </c>
      <c r="AA803" s="189" t="s">
        <v>2311</v>
      </c>
    </row>
    <row r="804" customFormat="false" ht="15" hidden="false" customHeight="false" outlineLevel="0" collapsed="false">
      <c r="A804" s="0" t="n">
        <v>163</v>
      </c>
      <c r="B804" s="191" t="n">
        <v>46124.761761008</v>
      </c>
      <c r="C804" s="191" t="n">
        <v>46124.7789832303</v>
      </c>
      <c r="D804" s="189" t="s">
        <v>1297</v>
      </c>
      <c r="E804" s="189" t="s">
        <v>1298</v>
      </c>
      <c r="F804" s="189" t="s">
        <v>1298</v>
      </c>
      <c r="G804" s="189" t="s">
        <v>1299</v>
      </c>
      <c r="H804" s="191" t="n">
        <v>46108</v>
      </c>
      <c r="I804" s="189" t="s">
        <v>113</v>
      </c>
      <c r="J804" s="189" t="s">
        <v>108</v>
      </c>
      <c r="K804" s="189" t="s">
        <v>1300</v>
      </c>
      <c r="L804" s="189" t="s">
        <v>346</v>
      </c>
      <c r="M804" s="189" t="s">
        <v>212</v>
      </c>
      <c r="N804" s="189" t="s">
        <v>775</v>
      </c>
      <c r="O804" s="189" t="s">
        <v>107</v>
      </c>
      <c r="P804" s="189" t="s">
        <v>111</v>
      </c>
      <c r="Q804" s="189" t="s">
        <v>112</v>
      </c>
      <c r="R804" s="189" t="s">
        <v>22</v>
      </c>
      <c r="S804" s="189" t="s">
        <v>120</v>
      </c>
      <c r="T804" s="189" t="s">
        <v>121</v>
      </c>
      <c r="V804" s="189" t="s">
        <v>123</v>
      </c>
      <c r="W804" s="189" t="s">
        <v>139</v>
      </c>
      <c r="X804" s="189" t="s">
        <v>271</v>
      </c>
      <c r="Y804" s="189" t="s">
        <v>2110</v>
      </c>
      <c r="Z804" s="0" t="n">
        <v>2</v>
      </c>
      <c r="AA804" s="189" t="s">
        <v>2161</v>
      </c>
    </row>
    <row r="805" customFormat="false" ht="15" hidden="false" customHeight="false" outlineLevel="0" collapsed="false">
      <c r="A805" s="0" t="n">
        <v>163</v>
      </c>
      <c r="B805" s="191" t="n">
        <v>46124.761761008</v>
      </c>
      <c r="C805" s="191" t="n">
        <v>46124.7789832303</v>
      </c>
      <c r="D805" s="189" t="s">
        <v>1297</v>
      </c>
      <c r="E805" s="189" t="s">
        <v>1298</v>
      </c>
      <c r="F805" s="189" t="s">
        <v>1298</v>
      </c>
      <c r="G805" s="189" t="s">
        <v>1299</v>
      </c>
      <c r="H805" s="191" t="n">
        <v>46108</v>
      </c>
      <c r="I805" s="189" t="s">
        <v>113</v>
      </c>
      <c r="J805" s="189" t="s">
        <v>108</v>
      </c>
      <c r="K805" s="189" t="s">
        <v>1300</v>
      </c>
      <c r="L805" s="189" t="s">
        <v>346</v>
      </c>
      <c r="M805" s="189" t="s">
        <v>212</v>
      </c>
      <c r="N805" s="189" t="s">
        <v>775</v>
      </c>
      <c r="O805" s="189" t="s">
        <v>107</v>
      </c>
      <c r="P805" s="189" t="s">
        <v>111</v>
      </c>
      <c r="Q805" s="189" t="s">
        <v>112</v>
      </c>
      <c r="R805" s="189" t="s">
        <v>22</v>
      </c>
      <c r="S805" s="189" t="s">
        <v>120</v>
      </c>
      <c r="T805" s="189" t="s">
        <v>121</v>
      </c>
      <c r="V805" s="189" t="s">
        <v>123</v>
      </c>
      <c r="W805" s="189" t="s">
        <v>139</v>
      </c>
      <c r="X805" s="189" t="s">
        <v>271</v>
      </c>
      <c r="Y805" s="189" t="s">
        <v>2113</v>
      </c>
      <c r="Z805" s="0" t="n">
        <v>1</v>
      </c>
      <c r="AA805" s="189" t="s">
        <v>122</v>
      </c>
    </row>
    <row r="806" customFormat="false" ht="15" hidden="false" customHeight="false" outlineLevel="0" collapsed="false">
      <c r="A806" s="0" t="n">
        <v>163</v>
      </c>
      <c r="B806" s="191" t="n">
        <v>46124.761761008</v>
      </c>
      <c r="C806" s="191" t="n">
        <v>46124.7789832303</v>
      </c>
      <c r="D806" s="189" t="s">
        <v>1297</v>
      </c>
      <c r="E806" s="189" t="s">
        <v>1298</v>
      </c>
      <c r="F806" s="189" t="s">
        <v>1298</v>
      </c>
      <c r="G806" s="189" t="s">
        <v>1299</v>
      </c>
      <c r="H806" s="191" t="n">
        <v>46108</v>
      </c>
      <c r="I806" s="189" t="s">
        <v>113</v>
      </c>
      <c r="J806" s="189" t="s">
        <v>108</v>
      </c>
      <c r="K806" s="189" t="s">
        <v>1300</v>
      </c>
      <c r="L806" s="189" t="s">
        <v>346</v>
      </c>
      <c r="M806" s="189" t="s">
        <v>212</v>
      </c>
      <c r="N806" s="189" t="s">
        <v>775</v>
      </c>
      <c r="O806" s="189" t="s">
        <v>107</v>
      </c>
      <c r="P806" s="189" t="s">
        <v>111</v>
      </c>
      <c r="Q806" s="189" t="s">
        <v>112</v>
      </c>
      <c r="R806" s="189" t="s">
        <v>22</v>
      </c>
      <c r="S806" s="189" t="s">
        <v>120</v>
      </c>
      <c r="T806" s="189" t="s">
        <v>121</v>
      </c>
      <c r="V806" s="189" t="s">
        <v>123</v>
      </c>
      <c r="W806" s="189" t="s">
        <v>139</v>
      </c>
      <c r="X806" s="189" t="s">
        <v>271</v>
      </c>
      <c r="Y806" s="189" t="s">
        <v>2113</v>
      </c>
      <c r="Z806" s="0" t="n">
        <v>2</v>
      </c>
      <c r="AA806" s="189" t="s">
        <v>2162</v>
      </c>
    </row>
    <row r="807" customFormat="false" ht="15" hidden="false" customHeight="false" outlineLevel="0" collapsed="false">
      <c r="A807" s="0" t="n">
        <v>164</v>
      </c>
      <c r="B807" s="191" t="n">
        <v>46212.7125142317</v>
      </c>
      <c r="C807" s="191" t="n">
        <v>46212.7264494168</v>
      </c>
      <c r="D807" s="189" t="s">
        <v>1303</v>
      </c>
      <c r="E807" s="189" t="s">
        <v>1304</v>
      </c>
      <c r="F807" s="189" t="s">
        <v>1304</v>
      </c>
      <c r="G807" s="189" t="s">
        <v>1305</v>
      </c>
      <c r="H807" s="191" t="n">
        <v>46200</v>
      </c>
      <c r="I807" s="189" t="s">
        <v>113</v>
      </c>
      <c r="J807" s="189" t="s">
        <v>108</v>
      </c>
      <c r="K807" s="189" t="s">
        <v>257</v>
      </c>
      <c r="L807" s="189" t="s">
        <v>130</v>
      </c>
      <c r="M807" s="189" t="s">
        <v>864</v>
      </c>
      <c r="N807" s="189" t="s">
        <v>1306</v>
      </c>
      <c r="O807" s="189" t="s">
        <v>278</v>
      </c>
      <c r="P807" s="189" t="s">
        <v>111</v>
      </c>
      <c r="Q807" s="189" t="s">
        <v>198</v>
      </c>
      <c r="R807" s="189" t="s">
        <v>22</v>
      </c>
      <c r="S807" s="189" t="s">
        <v>152</v>
      </c>
      <c r="T807" s="189" t="s">
        <v>121</v>
      </c>
      <c r="U807" s="189" t="s">
        <v>1174</v>
      </c>
      <c r="V807" s="189" t="s">
        <v>167</v>
      </c>
      <c r="W807" s="189" t="s">
        <v>124</v>
      </c>
      <c r="X807" s="189" t="s">
        <v>339</v>
      </c>
      <c r="Y807" s="189" t="s">
        <v>2108</v>
      </c>
      <c r="Z807" s="0" t="n">
        <v>1</v>
      </c>
      <c r="AA807" s="189" t="s">
        <v>2212</v>
      </c>
    </row>
    <row r="808" customFormat="false" ht="15" hidden="false" customHeight="false" outlineLevel="0" collapsed="false">
      <c r="A808" s="0" t="n">
        <v>164</v>
      </c>
      <c r="B808" s="191" t="n">
        <v>46212.7125142317</v>
      </c>
      <c r="C808" s="191" t="n">
        <v>46212.7264494168</v>
      </c>
      <c r="D808" s="189" t="s">
        <v>1303</v>
      </c>
      <c r="E808" s="189" t="s">
        <v>1304</v>
      </c>
      <c r="F808" s="189" t="s">
        <v>1304</v>
      </c>
      <c r="G808" s="189" t="s">
        <v>1305</v>
      </c>
      <c r="H808" s="191" t="n">
        <v>46200</v>
      </c>
      <c r="I808" s="189" t="s">
        <v>113</v>
      </c>
      <c r="J808" s="189" t="s">
        <v>108</v>
      </c>
      <c r="K808" s="189" t="s">
        <v>257</v>
      </c>
      <c r="L808" s="189" t="s">
        <v>130</v>
      </c>
      <c r="M808" s="189" t="s">
        <v>864</v>
      </c>
      <c r="N808" s="189" t="s">
        <v>1306</v>
      </c>
      <c r="O808" s="189" t="s">
        <v>278</v>
      </c>
      <c r="P808" s="189" t="s">
        <v>111</v>
      </c>
      <c r="Q808" s="189" t="s">
        <v>198</v>
      </c>
      <c r="R808" s="189" t="s">
        <v>22</v>
      </c>
      <c r="S808" s="189" t="s">
        <v>152</v>
      </c>
      <c r="T808" s="189" t="s">
        <v>121</v>
      </c>
      <c r="U808" s="189" t="s">
        <v>1174</v>
      </c>
      <c r="V808" s="189" t="s">
        <v>167</v>
      </c>
      <c r="W808" s="189" t="s">
        <v>124</v>
      </c>
      <c r="X808" s="189" t="s">
        <v>339</v>
      </c>
      <c r="Y808" s="189" t="s">
        <v>2110</v>
      </c>
      <c r="Z808" s="0" t="n">
        <v>1</v>
      </c>
      <c r="AA808" s="189" t="s">
        <v>2305</v>
      </c>
    </row>
    <row r="809" customFormat="false" ht="15" hidden="false" customHeight="false" outlineLevel="0" collapsed="false">
      <c r="A809" s="0" t="n">
        <v>164</v>
      </c>
      <c r="B809" s="191" t="n">
        <v>46212.7125142317</v>
      </c>
      <c r="C809" s="191" t="n">
        <v>46212.7264494168</v>
      </c>
      <c r="D809" s="189" t="s">
        <v>1303</v>
      </c>
      <c r="E809" s="189" t="s">
        <v>1304</v>
      </c>
      <c r="F809" s="189" t="s">
        <v>1304</v>
      </c>
      <c r="G809" s="189" t="s">
        <v>1305</v>
      </c>
      <c r="H809" s="191" t="n">
        <v>46200</v>
      </c>
      <c r="I809" s="189" t="s">
        <v>113</v>
      </c>
      <c r="J809" s="189" t="s">
        <v>108</v>
      </c>
      <c r="K809" s="189" t="s">
        <v>257</v>
      </c>
      <c r="L809" s="189" t="s">
        <v>130</v>
      </c>
      <c r="M809" s="189" t="s">
        <v>864</v>
      </c>
      <c r="N809" s="189" t="s">
        <v>1306</v>
      </c>
      <c r="O809" s="189" t="s">
        <v>278</v>
      </c>
      <c r="P809" s="189" t="s">
        <v>111</v>
      </c>
      <c r="Q809" s="189" t="s">
        <v>198</v>
      </c>
      <c r="R809" s="189" t="s">
        <v>22</v>
      </c>
      <c r="S809" s="189" t="s">
        <v>152</v>
      </c>
      <c r="T809" s="189" t="s">
        <v>121</v>
      </c>
      <c r="U809" s="189" t="s">
        <v>1174</v>
      </c>
      <c r="V809" s="189" t="s">
        <v>167</v>
      </c>
      <c r="W809" s="189" t="s">
        <v>124</v>
      </c>
      <c r="X809" s="189" t="s">
        <v>339</v>
      </c>
      <c r="Y809" s="189" t="s">
        <v>2110</v>
      </c>
      <c r="Z809" s="0" t="n">
        <v>2</v>
      </c>
      <c r="AA809" s="189" t="s">
        <v>2187</v>
      </c>
    </row>
    <row r="810" customFormat="false" ht="15" hidden="false" customHeight="false" outlineLevel="0" collapsed="false">
      <c r="A810" s="0" t="n">
        <v>164</v>
      </c>
      <c r="B810" s="191" t="n">
        <v>46212.7125142317</v>
      </c>
      <c r="C810" s="191" t="n">
        <v>46212.7264494168</v>
      </c>
      <c r="D810" s="189" t="s">
        <v>1303</v>
      </c>
      <c r="E810" s="189" t="s">
        <v>1304</v>
      </c>
      <c r="F810" s="189" t="s">
        <v>1304</v>
      </c>
      <c r="G810" s="189" t="s">
        <v>1305</v>
      </c>
      <c r="H810" s="191" t="n">
        <v>46200</v>
      </c>
      <c r="I810" s="189" t="s">
        <v>113</v>
      </c>
      <c r="J810" s="189" t="s">
        <v>108</v>
      </c>
      <c r="K810" s="189" t="s">
        <v>257</v>
      </c>
      <c r="L810" s="189" t="s">
        <v>130</v>
      </c>
      <c r="M810" s="189" t="s">
        <v>864</v>
      </c>
      <c r="N810" s="189" t="s">
        <v>1306</v>
      </c>
      <c r="O810" s="189" t="s">
        <v>278</v>
      </c>
      <c r="P810" s="189" t="s">
        <v>111</v>
      </c>
      <c r="Q810" s="189" t="s">
        <v>198</v>
      </c>
      <c r="R810" s="189" t="s">
        <v>22</v>
      </c>
      <c r="S810" s="189" t="s">
        <v>152</v>
      </c>
      <c r="T810" s="189" t="s">
        <v>121</v>
      </c>
      <c r="U810" s="189" t="s">
        <v>1174</v>
      </c>
      <c r="V810" s="189" t="s">
        <v>167</v>
      </c>
      <c r="W810" s="189" t="s">
        <v>124</v>
      </c>
      <c r="X810" s="189" t="s">
        <v>339</v>
      </c>
      <c r="Y810" s="189" t="s">
        <v>2113</v>
      </c>
      <c r="Z810" s="0" t="n">
        <v>1</v>
      </c>
      <c r="AA810" s="189" t="s">
        <v>2188</v>
      </c>
    </row>
    <row r="811" customFormat="false" ht="15" hidden="false" customHeight="false" outlineLevel="0" collapsed="false">
      <c r="A811" s="0" t="n">
        <v>164</v>
      </c>
      <c r="B811" s="191" t="n">
        <v>46212.7125142317</v>
      </c>
      <c r="C811" s="191" t="n">
        <v>46212.7264494168</v>
      </c>
      <c r="D811" s="189" t="s">
        <v>1303</v>
      </c>
      <c r="E811" s="189" t="s">
        <v>1304</v>
      </c>
      <c r="F811" s="189" t="s">
        <v>1304</v>
      </c>
      <c r="G811" s="189" t="s">
        <v>1305</v>
      </c>
      <c r="H811" s="191" t="n">
        <v>46200</v>
      </c>
      <c r="I811" s="189" t="s">
        <v>113</v>
      </c>
      <c r="J811" s="189" t="s">
        <v>108</v>
      </c>
      <c r="K811" s="189" t="s">
        <v>257</v>
      </c>
      <c r="L811" s="189" t="s">
        <v>130</v>
      </c>
      <c r="M811" s="189" t="s">
        <v>864</v>
      </c>
      <c r="N811" s="189" t="s">
        <v>1306</v>
      </c>
      <c r="O811" s="189" t="s">
        <v>278</v>
      </c>
      <c r="P811" s="189" t="s">
        <v>111</v>
      </c>
      <c r="Q811" s="189" t="s">
        <v>198</v>
      </c>
      <c r="R811" s="189" t="s">
        <v>22</v>
      </c>
      <c r="S811" s="189" t="s">
        <v>152</v>
      </c>
      <c r="T811" s="189" t="s">
        <v>121</v>
      </c>
      <c r="U811" s="189" t="s">
        <v>1174</v>
      </c>
      <c r="V811" s="189" t="s">
        <v>167</v>
      </c>
      <c r="W811" s="189" t="s">
        <v>124</v>
      </c>
      <c r="X811" s="189" t="s">
        <v>339</v>
      </c>
      <c r="Y811" s="189" t="s">
        <v>2113</v>
      </c>
      <c r="Z811" s="0" t="n">
        <v>2</v>
      </c>
      <c r="AA811" s="189" t="s">
        <v>2261</v>
      </c>
    </row>
    <row r="812" customFormat="false" ht="15" hidden="false" customHeight="false" outlineLevel="0" collapsed="false">
      <c r="A812" s="0" t="n">
        <v>165</v>
      </c>
      <c r="B812" s="191" t="n">
        <v>46103.8103830268</v>
      </c>
      <c r="C812" s="191" t="n">
        <v>46103.819167749</v>
      </c>
      <c r="D812" s="189" t="s">
        <v>1310</v>
      </c>
      <c r="E812" s="189" t="s">
        <v>1311</v>
      </c>
      <c r="F812" s="189" t="s">
        <v>1311</v>
      </c>
      <c r="G812" s="189" t="s">
        <v>1312</v>
      </c>
      <c r="H812" s="191" t="n">
        <v>46086</v>
      </c>
      <c r="I812" s="189" t="s">
        <v>113</v>
      </c>
      <c r="J812" s="189" t="s">
        <v>295</v>
      </c>
      <c r="K812" s="189" t="s">
        <v>143</v>
      </c>
      <c r="L812" s="189" t="s">
        <v>431</v>
      </c>
      <c r="M812" s="189" t="s">
        <v>1313</v>
      </c>
      <c r="N812" s="189" t="s">
        <v>270</v>
      </c>
      <c r="O812" s="189" t="s">
        <v>107</v>
      </c>
      <c r="P812" s="189" t="s">
        <v>111</v>
      </c>
      <c r="Q812" s="189" t="s">
        <v>145</v>
      </c>
      <c r="R812" s="189" t="s">
        <v>25</v>
      </c>
      <c r="S812" s="189" t="s">
        <v>152</v>
      </c>
      <c r="T812" s="189" t="s">
        <v>264</v>
      </c>
      <c r="U812" s="189" t="s">
        <v>1314</v>
      </c>
      <c r="V812" s="189" t="s">
        <v>167</v>
      </c>
      <c r="W812" s="189" t="s">
        <v>124</v>
      </c>
      <c r="X812" s="189" t="s">
        <v>327</v>
      </c>
      <c r="Y812" s="189" t="s">
        <v>2108</v>
      </c>
      <c r="Z812" s="0" t="n">
        <v>1</v>
      </c>
      <c r="AA812" s="189" t="s">
        <v>2109</v>
      </c>
    </row>
    <row r="813" customFormat="false" ht="15" hidden="false" customHeight="false" outlineLevel="0" collapsed="false">
      <c r="A813" s="0" t="n">
        <v>165</v>
      </c>
      <c r="B813" s="191" t="n">
        <v>46103.8103830268</v>
      </c>
      <c r="C813" s="191" t="n">
        <v>46103.819167749</v>
      </c>
      <c r="D813" s="189" t="s">
        <v>1310</v>
      </c>
      <c r="E813" s="189" t="s">
        <v>1311</v>
      </c>
      <c r="F813" s="189" t="s">
        <v>1311</v>
      </c>
      <c r="G813" s="189" t="s">
        <v>1312</v>
      </c>
      <c r="H813" s="191" t="n">
        <v>46086</v>
      </c>
      <c r="I813" s="189" t="s">
        <v>113</v>
      </c>
      <c r="J813" s="189" t="s">
        <v>295</v>
      </c>
      <c r="K813" s="189" t="s">
        <v>143</v>
      </c>
      <c r="L813" s="189" t="s">
        <v>431</v>
      </c>
      <c r="M813" s="189" t="s">
        <v>1313</v>
      </c>
      <c r="N813" s="189" t="s">
        <v>270</v>
      </c>
      <c r="O813" s="189" t="s">
        <v>107</v>
      </c>
      <c r="P813" s="189" t="s">
        <v>111</v>
      </c>
      <c r="Q813" s="189" t="s">
        <v>145</v>
      </c>
      <c r="R813" s="189" t="s">
        <v>25</v>
      </c>
      <c r="S813" s="189" t="s">
        <v>152</v>
      </c>
      <c r="T813" s="189" t="s">
        <v>264</v>
      </c>
      <c r="U813" s="189" t="s">
        <v>1314</v>
      </c>
      <c r="V813" s="189" t="s">
        <v>167</v>
      </c>
      <c r="W813" s="189" t="s">
        <v>124</v>
      </c>
      <c r="X813" s="189" t="s">
        <v>327</v>
      </c>
      <c r="Y813" s="189" t="s">
        <v>2108</v>
      </c>
      <c r="Z813" s="0" t="n">
        <v>2</v>
      </c>
      <c r="AA813" s="189" t="s">
        <v>2151</v>
      </c>
    </row>
    <row r="814" customFormat="false" ht="15" hidden="false" customHeight="false" outlineLevel="0" collapsed="false">
      <c r="A814" s="0" t="n">
        <v>165</v>
      </c>
      <c r="B814" s="191" t="n">
        <v>46103.8103830268</v>
      </c>
      <c r="C814" s="191" t="n">
        <v>46103.819167749</v>
      </c>
      <c r="D814" s="189" t="s">
        <v>1310</v>
      </c>
      <c r="E814" s="189" t="s">
        <v>1311</v>
      </c>
      <c r="F814" s="189" t="s">
        <v>1311</v>
      </c>
      <c r="G814" s="189" t="s">
        <v>1312</v>
      </c>
      <c r="H814" s="191" t="n">
        <v>46086</v>
      </c>
      <c r="I814" s="189" t="s">
        <v>113</v>
      </c>
      <c r="J814" s="189" t="s">
        <v>295</v>
      </c>
      <c r="K814" s="189" t="s">
        <v>143</v>
      </c>
      <c r="L814" s="189" t="s">
        <v>431</v>
      </c>
      <c r="M814" s="189" t="s">
        <v>1313</v>
      </c>
      <c r="N814" s="189" t="s">
        <v>270</v>
      </c>
      <c r="O814" s="189" t="s">
        <v>107</v>
      </c>
      <c r="P814" s="189" t="s">
        <v>111</v>
      </c>
      <c r="Q814" s="189" t="s">
        <v>145</v>
      </c>
      <c r="R814" s="189" t="s">
        <v>25</v>
      </c>
      <c r="S814" s="189" t="s">
        <v>152</v>
      </c>
      <c r="T814" s="189" t="s">
        <v>264</v>
      </c>
      <c r="U814" s="189" t="s">
        <v>1314</v>
      </c>
      <c r="V814" s="189" t="s">
        <v>167</v>
      </c>
      <c r="W814" s="189" t="s">
        <v>124</v>
      </c>
      <c r="X814" s="189" t="s">
        <v>327</v>
      </c>
      <c r="Y814" s="189" t="s">
        <v>2108</v>
      </c>
      <c r="Z814" s="0" t="n">
        <v>3</v>
      </c>
      <c r="AA814" s="189" t="s">
        <v>2139</v>
      </c>
    </row>
    <row r="815" customFormat="false" ht="15" hidden="false" customHeight="false" outlineLevel="0" collapsed="false">
      <c r="A815" s="0" t="n">
        <v>165</v>
      </c>
      <c r="B815" s="191" t="n">
        <v>46103.8103830268</v>
      </c>
      <c r="C815" s="191" t="n">
        <v>46103.819167749</v>
      </c>
      <c r="D815" s="189" t="s">
        <v>1310</v>
      </c>
      <c r="E815" s="189" t="s">
        <v>1311</v>
      </c>
      <c r="F815" s="189" t="s">
        <v>1311</v>
      </c>
      <c r="G815" s="189" t="s">
        <v>1312</v>
      </c>
      <c r="H815" s="191" t="n">
        <v>46086</v>
      </c>
      <c r="I815" s="189" t="s">
        <v>113</v>
      </c>
      <c r="J815" s="189" t="s">
        <v>295</v>
      </c>
      <c r="K815" s="189" t="s">
        <v>143</v>
      </c>
      <c r="L815" s="189" t="s">
        <v>431</v>
      </c>
      <c r="M815" s="189" t="s">
        <v>1313</v>
      </c>
      <c r="N815" s="189" t="s">
        <v>270</v>
      </c>
      <c r="O815" s="189" t="s">
        <v>107</v>
      </c>
      <c r="P815" s="189" t="s">
        <v>111</v>
      </c>
      <c r="Q815" s="189" t="s">
        <v>145</v>
      </c>
      <c r="R815" s="189" t="s">
        <v>25</v>
      </c>
      <c r="S815" s="189" t="s">
        <v>152</v>
      </c>
      <c r="T815" s="189" t="s">
        <v>264</v>
      </c>
      <c r="U815" s="189" t="s">
        <v>1314</v>
      </c>
      <c r="V815" s="189" t="s">
        <v>167</v>
      </c>
      <c r="W815" s="189" t="s">
        <v>124</v>
      </c>
      <c r="X815" s="189" t="s">
        <v>327</v>
      </c>
      <c r="Y815" s="189" t="s">
        <v>2110</v>
      </c>
      <c r="Z815" s="0" t="n">
        <v>1</v>
      </c>
      <c r="AA815" s="189" t="s">
        <v>2255</v>
      </c>
    </row>
    <row r="816" customFormat="false" ht="15" hidden="false" customHeight="false" outlineLevel="0" collapsed="false">
      <c r="A816" s="0" t="n">
        <v>165</v>
      </c>
      <c r="B816" s="191" t="n">
        <v>46103.8103830268</v>
      </c>
      <c r="C816" s="191" t="n">
        <v>46103.819167749</v>
      </c>
      <c r="D816" s="189" t="s">
        <v>1310</v>
      </c>
      <c r="E816" s="189" t="s">
        <v>1311</v>
      </c>
      <c r="F816" s="189" t="s">
        <v>1311</v>
      </c>
      <c r="G816" s="189" t="s">
        <v>1312</v>
      </c>
      <c r="H816" s="191" t="n">
        <v>46086</v>
      </c>
      <c r="I816" s="189" t="s">
        <v>113</v>
      </c>
      <c r="J816" s="189" t="s">
        <v>295</v>
      </c>
      <c r="K816" s="189" t="s">
        <v>143</v>
      </c>
      <c r="L816" s="189" t="s">
        <v>431</v>
      </c>
      <c r="M816" s="189" t="s">
        <v>1313</v>
      </c>
      <c r="N816" s="189" t="s">
        <v>270</v>
      </c>
      <c r="O816" s="189" t="s">
        <v>107</v>
      </c>
      <c r="P816" s="189" t="s">
        <v>111</v>
      </c>
      <c r="Q816" s="189" t="s">
        <v>145</v>
      </c>
      <c r="R816" s="189" t="s">
        <v>25</v>
      </c>
      <c r="S816" s="189" t="s">
        <v>152</v>
      </c>
      <c r="T816" s="189" t="s">
        <v>264</v>
      </c>
      <c r="U816" s="189" t="s">
        <v>1314</v>
      </c>
      <c r="V816" s="189" t="s">
        <v>167</v>
      </c>
      <c r="W816" s="189" t="s">
        <v>124</v>
      </c>
      <c r="X816" s="189" t="s">
        <v>327</v>
      </c>
      <c r="Y816" s="189" t="s">
        <v>2113</v>
      </c>
      <c r="Z816" s="0" t="n">
        <v>1</v>
      </c>
      <c r="AA816" s="189" t="s">
        <v>2114</v>
      </c>
    </row>
    <row r="817" customFormat="false" ht="15" hidden="false" customHeight="false" outlineLevel="0" collapsed="false">
      <c r="A817" s="0" t="n">
        <v>166</v>
      </c>
      <c r="B817" s="191" t="n">
        <v>46174.8269291051</v>
      </c>
      <c r="C817" s="191" t="n">
        <v>46174.8434105866</v>
      </c>
      <c r="D817" s="189" t="s">
        <v>1315</v>
      </c>
      <c r="E817" s="189" t="s">
        <v>1316</v>
      </c>
      <c r="F817" s="189" t="s">
        <v>1316</v>
      </c>
      <c r="G817" s="189" t="s">
        <v>1317</v>
      </c>
      <c r="H817" s="191" t="n">
        <v>46168</v>
      </c>
      <c r="I817" s="189" t="s">
        <v>113</v>
      </c>
      <c r="J817" s="189" t="s">
        <v>108</v>
      </c>
      <c r="K817" s="189" t="s">
        <v>232</v>
      </c>
      <c r="L817" s="189" t="s">
        <v>184</v>
      </c>
      <c r="M817" s="189" t="s">
        <v>1120</v>
      </c>
      <c r="N817" s="189" t="s">
        <v>1036</v>
      </c>
      <c r="O817" s="189" t="s">
        <v>107</v>
      </c>
      <c r="P817" s="189" t="s">
        <v>111</v>
      </c>
      <c r="Q817" s="189" t="s">
        <v>112</v>
      </c>
      <c r="R817" s="189" t="s">
        <v>24</v>
      </c>
      <c r="S817" s="189" t="s">
        <v>152</v>
      </c>
      <c r="T817" s="189" t="s">
        <v>121</v>
      </c>
      <c r="U817" s="189" t="s">
        <v>122</v>
      </c>
      <c r="V817" s="189" t="s">
        <v>167</v>
      </c>
      <c r="W817" s="189" t="s">
        <v>139</v>
      </c>
      <c r="X817" s="189" t="s">
        <v>223</v>
      </c>
      <c r="Y817" s="189" t="s">
        <v>2108</v>
      </c>
      <c r="Z817" s="0" t="n">
        <v>1</v>
      </c>
      <c r="AA817" s="189" t="s">
        <v>2148</v>
      </c>
    </row>
    <row r="818" customFormat="false" ht="15" hidden="false" customHeight="false" outlineLevel="0" collapsed="false">
      <c r="A818" s="0" t="n">
        <v>166</v>
      </c>
      <c r="B818" s="191" t="n">
        <v>46174.8269291051</v>
      </c>
      <c r="C818" s="191" t="n">
        <v>46174.8434105866</v>
      </c>
      <c r="D818" s="189" t="s">
        <v>1315</v>
      </c>
      <c r="E818" s="189" t="s">
        <v>1316</v>
      </c>
      <c r="F818" s="189" t="s">
        <v>1316</v>
      </c>
      <c r="G818" s="189" t="s">
        <v>1317</v>
      </c>
      <c r="H818" s="191" t="n">
        <v>46168</v>
      </c>
      <c r="I818" s="189" t="s">
        <v>113</v>
      </c>
      <c r="J818" s="189" t="s">
        <v>108</v>
      </c>
      <c r="K818" s="189" t="s">
        <v>232</v>
      </c>
      <c r="L818" s="189" t="s">
        <v>184</v>
      </c>
      <c r="M818" s="189" t="s">
        <v>1120</v>
      </c>
      <c r="N818" s="189" t="s">
        <v>1036</v>
      </c>
      <c r="O818" s="189" t="s">
        <v>107</v>
      </c>
      <c r="P818" s="189" t="s">
        <v>111</v>
      </c>
      <c r="Q818" s="189" t="s">
        <v>112</v>
      </c>
      <c r="R818" s="189" t="s">
        <v>24</v>
      </c>
      <c r="S818" s="189" t="s">
        <v>152</v>
      </c>
      <c r="T818" s="189" t="s">
        <v>121</v>
      </c>
      <c r="U818" s="189" t="s">
        <v>122</v>
      </c>
      <c r="V818" s="189" t="s">
        <v>167</v>
      </c>
      <c r="W818" s="189" t="s">
        <v>139</v>
      </c>
      <c r="X818" s="189" t="s">
        <v>223</v>
      </c>
      <c r="Y818" s="189" t="s">
        <v>2108</v>
      </c>
      <c r="Z818" s="0" t="n">
        <v>2</v>
      </c>
      <c r="AA818" s="189" t="s">
        <v>2164</v>
      </c>
    </row>
    <row r="819" customFormat="false" ht="15" hidden="false" customHeight="false" outlineLevel="0" collapsed="false">
      <c r="A819" s="0" t="n">
        <v>166</v>
      </c>
      <c r="B819" s="191" t="n">
        <v>46174.8269291051</v>
      </c>
      <c r="C819" s="191" t="n">
        <v>46174.8434105866</v>
      </c>
      <c r="D819" s="189" t="s">
        <v>1315</v>
      </c>
      <c r="E819" s="189" t="s">
        <v>1316</v>
      </c>
      <c r="F819" s="189" t="s">
        <v>1316</v>
      </c>
      <c r="G819" s="189" t="s">
        <v>1317</v>
      </c>
      <c r="H819" s="191" t="n">
        <v>46168</v>
      </c>
      <c r="I819" s="189" t="s">
        <v>113</v>
      </c>
      <c r="J819" s="189" t="s">
        <v>108</v>
      </c>
      <c r="K819" s="189" t="s">
        <v>232</v>
      </c>
      <c r="L819" s="189" t="s">
        <v>184</v>
      </c>
      <c r="M819" s="189" t="s">
        <v>1120</v>
      </c>
      <c r="N819" s="189" t="s">
        <v>1036</v>
      </c>
      <c r="O819" s="189" t="s">
        <v>107</v>
      </c>
      <c r="P819" s="189" t="s">
        <v>111</v>
      </c>
      <c r="Q819" s="189" t="s">
        <v>112</v>
      </c>
      <c r="R819" s="189" t="s">
        <v>24</v>
      </c>
      <c r="S819" s="189" t="s">
        <v>152</v>
      </c>
      <c r="T819" s="189" t="s">
        <v>121</v>
      </c>
      <c r="U819" s="189" t="s">
        <v>122</v>
      </c>
      <c r="V819" s="189" t="s">
        <v>167</v>
      </c>
      <c r="W819" s="189" t="s">
        <v>139</v>
      </c>
      <c r="X819" s="189" t="s">
        <v>223</v>
      </c>
      <c r="Y819" s="189" t="s">
        <v>2108</v>
      </c>
      <c r="Z819" s="0" t="n">
        <v>3</v>
      </c>
      <c r="AA819" s="189" t="s">
        <v>2165</v>
      </c>
    </row>
    <row r="820" customFormat="false" ht="15" hidden="false" customHeight="false" outlineLevel="0" collapsed="false">
      <c r="A820" s="0" t="n">
        <v>166</v>
      </c>
      <c r="B820" s="191" t="n">
        <v>46174.8269291051</v>
      </c>
      <c r="C820" s="191" t="n">
        <v>46174.8434105866</v>
      </c>
      <c r="D820" s="189" t="s">
        <v>1315</v>
      </c>
      <c r="E820" s="189" t="s">
        <v>1316</v>
      </c>
      <c r="F820" s="189" t="s">
        <v>1316</v>
      </c>
      <c r="G820" s="189" t="s">
        <v>1317</v>
      </c>
      <c r="H820" s="191" t="n">
        <v>46168</v>
      </c>
      <c r="I820" s="189" t="s">
        <v>113</v>
      </c>
      <c r="J820" s="189" t="s">
        <v>108</v>
      </c>
      <c r="K820" s="189" t="s">
        <v>232</v>
      </c>
      <c r="L820" s="189" t="s">
        <v>184</v>
      </c>
      <c r="M820" s="189" t="s">
        <v>1120</v>
      </c>
      <c r="N820" s="189" t="s">
        <v>1036</v>
      </c>
      <c r="O820" s="189" t="s">
        <v>107</v>
      </c>
      <c r="P820" s="189" t="s">
        <v>111</v>
      </c>
      <c r="Q820" s="189" t="s">
        <v>112</v>
      </c>
      <c r="R820" s="189" t="s">
        <v>24</v>
      </c>
      <c r="S820" s="189" t="s">
        <v>152</v>
      </c>
      <c r="T820" s="189" t="s">
        <v>121</v>
      </c>
      <c r="U820" s="189" t="s">
        <v>122</v>
      </c>
      <c r="V820" s="189" t="s">
        <v>167</v>
      </c>
      <c r="W820" s="189" t="s">
        <v>139</v>
      </c>
      <c r="X820" s="189" t="s">
        <v>223</v>
      </c>
      <c r="Y820" s="189" t="s">
        <v>2110</v>
      </c>
      <c r="Z820" s="0" t="n">
        <v>1</v>
      </c>
      <c r="AA820" s="189" t="s">
        <v>2144</v>
      </c>
    </row>
    <row r="821" customFormat="false" ht="15" hidden="false" customHeight="false" outlineLevel="0" collapsed="false">
      <c r="A821" s="0" t="n">
        <v>166</v>
      </c>
      <c r="B821" s="191" t="n">
        <v>46174.8269291051</v>
      </c>
      <c r="C821" s="191" t="n">
        <v>46174.8434105866</v>
      </c>
      <c r="D821" s="189" t="s">
        <v>1315</v>
      </c>
      <c r="E821" s="189" t="s">
        <v>1316</v>
      </c>
      <c r="F821" s="189" t="s">
        <v>1316</v>
      </c>
      <c r="G821" s="189" t="s">
        <v>1317</v>
      </c>
      <c r="H821" s="191" t="n">
        <v>46168</v>
      </c>
      <c r="I821" s="189" t="s">
        <v>113</v>
      </c>
      <c r="J821" s="189" t="s">
        <v>108</v>
      </c>
      <c r="K821" s="189" t="s">
        <v>232</v>
      </c>
      <c r="L821" s="189" t="s">
        <v>184</v>
      </c>
      <c r="M821" s="189" t="s">
        <v>1120</v>
      </c>
      <c r="N821" s="189" t="s">
        <v>1036</v>
      </c>
      <c r="O821" s="189" t="s">
        <v>107</v>
      </c>
      <c r="P821" s="189" t="s">
        <v>111</v>
      </c>
      <c r="Q821" s="189" t="s">
        <v>112</v>
      </c>
      <c r="R821" s="189" t="s">
        <v>24</v>
      </c>
      <c r="S821" s="189" t="s">
        <v>152</v>
      </c>
      <c r="T821" s="189" t="s">
        <v>121</v>
      </c>
      <c r="U821" s="189" t="s">
        <v>122</v>
      </c>
      <c r="V821" s="189" t="s">
        <v>167</v>
      </c>
      <c r="W821" s="189" t="s">
        <v>139</v>
      </c>
      <c r="X821" s="189" t="s">
        <v>223</v>
      </c>
      <c r="Y821" s="189" t="s">
        <v>2110</v>
      </c>
      <c r="Z821" s="0" t="n">
        <v>2</v>
      </c>
      <c r="AA821" s="189" t="s">
        <v>2143</v>
      </c>
    </row>
    <row r="822" customFormat="false" ht="15" hidden="false" customHeight="false" outlineLevel="0" collapsed="false">
      <c r="A822" s="0" t="n">
        <v>166</v>
      </c>
      <c r="B822" s="191" t="n">
        <v>46174.8269291051</v>
      </c>
      <c r="C822" s="191" t="n">
        <v>46174.8434105866</v>
      </c>
      <c r="D822" s="189" t="s">
        <v>1315</v>
      </c>
      <c r="E822" s="189" t="s">
        <v>1316</v>
      </c>
      <c r="F822" s="189" t="s">
        <v>1316</v>
      </c>
      <c r="G822" s="189" t="s">
        <v>1317</v>
      </c>
      <c r="H822" s="191" t="n">
        <v>46168</v>
      </c>
      <c r="I822" s="189" t="s">
        <v>113</v>
      </c>
      <c r="J822" s="189" t="s">
        <v>108</v>
      </c>
      <c r="K822" s="189" t="s">
        <v>232</v>
      </c>
      <c r="L822" s="189" t="s">
        <v>184</v>
      </c>
      <c r="M822" s="189" t="s">
        <v>1120</v>
      </c>
      <c r="N822" s="189" t="s">
        <v>1036</v>
      </c>
      <c r="O822" s="189" t="s">
        <v>107</v>
      </c>
      <c r="P822" s="189" t="s">
        <v>111</v>
      </c>
      <c r="Q822" s="189" t="s">
        <v>112</v>
      </c>
      <c r="R822" s="189" t="s">
        <v>24</v>
      </c>
      <c r="S822" s="189" t="s">
        <v>152</v>
      </c>
      <c r="T822" s="189" t="s">
        <v>121</v>
      </c>
      <c r="U822" s="189" t="s">
        <v>122</v>
      </c>
      <c r="V822" s="189" t="s">
        <v>167</v>
      </c>
      <c r="W822" s="189" t="s">
        <v>139</v>
      </c>
      <c r="X822" s="189" t="s">
        <v>223</v>
      </c>
      <c r="Y822" s="189" t="s">
        <v>2113</v>
      </c>
      <c r="Z822" s="0" t="n">
        <v>1</v>
      </c>
      <c r="AA822" s="189" t="s">
        <v>2145</v>
      </c>
    </row>
    <row r="823" customFormat="false" ht="15" hidden="false" customHeight="false" outlineLevel="0" collapsed="false">
      <c r="A823" s="0" t="n">
        <v>166</v>
      </c>
      <c r="B823" s="191" t="n">
        <v>46174.8269291051</v>
      </c>
      <c r="C823" s="191" t="n">
        <v>46174.8434105866</v>
      </c>
      <c r="D823" s="189" t="s">
        <v>1315</v>
      </c>
      <c r="E823" s="189" t="s">
        <v>1316</v>
      </c>
      <c r="F823" s="189" t="s">
        <v>1316</v>
      </c>
      <c r="G823" s="189" t="s">
        <v>1317</v>
      </c>
      <c r="H823" s="191" t="n">
        <v>46168</v>
      </c>
      <c r="I823" s="189" t="s">
        <v>113</v>
      </c>
      <c r="J823" s="189" t="s">
        <v>108</v>
      </c>
      <c r="K823" s="189" t="s">
        <v>232</v>
      </c>
      <c r="L823" s="189" t="s">
        <v>184</v>
      </c>
      <c r="M823" s="189" t="s">
        <v>1120</v>
      </c>
      <c r="N823" s="189" t="s">
        <v>1036</v>
      </c>
      <c r="O823" s="189" t="s">
        <v>107</v>
      </c>
      <c r="P823" s="189" t="s">
        <v>111</v>
      </c>
      <c r="Q823" s="189" t="s">
        <v>112</v>
      </c>
      <c r="R823" s="189" t="s">
        <v>24</v>
      </c>
      <c r="S823" s="189" t="s">
        <v>152</v>
      </c>
      <c r="T823" s="189" t="s">
        <v>121</v>
      </c>
      <c r="U823" s="189" t="s">
        <v>122</v>
      </c>
      <c r="V823" s="189" t="s">
        <v>167</v>
      </c>
      <c r="W823" s="189" t="s">
        <v>139</v>
      </c>
      <c r="X823" s="189" t="s">
        <v>223</v>
      </c>
      <c r="Y823" s="189" t="s">
        <v>2113</v>
      </c>
      <c r="Z823" s="0" t="n">
        <v>2</v>
      </c>
      <c r="AA823" s="189" t="s">
        <v>2194</v>
      </c>
    </row>
    <row r="824" customFormat="false" ht="15" hidden="false" customHeight="false" outlineLevel="0" collapsed="false">
      <c r="A824" s="0" t="n">
        <v>167</v>
      </c>
      <c r="B824" s="191" t="n">
        <v>46082.5626183519</v>
      </c>
      <c r="C824" s="191" t="n">
        <v>46082.5688452037</v>
      </c>
      <c r="D824" s="189" t="s">
        <v>1320</v>
      </c>
      <c r="E824" s="189" t="s">
        <v>1321</v>
      </c>
      <c r="F824" s="189" t="s">
        <v>1321</v>
      </c>
      <c r="G824" s="189" t="s">
        <v>1322</v>
      </c>
      <c r="H824" s="191" t="n">
        <v>46068</v>
      </c>
      <c r="I824" s="189" t="s">
        <v>113</v>
      </c>
      <c r="J824" s="189" t="s">
        <v>108</v>
      </c>
      <c r="K824" s="189" t="s">
        <v>196</v>
      </c>
      <c r="L824" s="189" t="s">
        <v>184</v>
      </c>
      <c r="M824" s="189" t="s">
        <v>484</v>
      </c>
      <c r="N824" s="189" t="s">
        <v>1323</v>
      </c>
      <c r="O824" s="189" t="s">
        <v>157</v>
      </c>
      <c r="P824" s="189" t="s">
        <v>111</v>
      </c>
      <c r="Q824" s="189" t="s">
        <v>145</v>
      </c>
      <c r="R824" s="189" t="s">
        <v>22</v>
      </c>
      <c r="S824" s="189" t="s">
        <v>152</v>
      </c>
      <c r="T824" s="189" t="s">
        <v>121</v>
      </c>
      <c r="U824" s="189" t="s">
        <v>1326</v>
      </c>
      <c r="V824" s="189" t="s">
        <v>123</v>
      </c>
      <c r="W824" s="189" t="s">
        <v>168</v>
      </c>
      <c r="X824" s="189" t="s">
        <v>339</v>
      </c>
      <c r="Y824" s="189" t="s">
        <v>2108</v>
      </c>
      <c r="Z824" s="0" t="n">
        <v>1</v>
      </c>
      <c r="AA824" s="189" t="s">
        <v>2185</v>
      </c>
    </row>
    <row r="825" customFormat="false" ht="15" hidden="false" customHeight="false" outlineLevel="0" collapsed="false">
      <c r="A825" s="0" t="n">
        <v>167</v>
      </c>
      <c r="B825" s="191" t="n">
        <v>46082.5626183519</v>
      </c>
      <c r="C825" s="191" t="n">
        <v>46082.5688452037</v>
      </c>
      <c r="D825" s="189" t="s">
        <v>1320</v>
      </c>
      <c r="E825" s="189" t="s">
        <v>1321</v>
      </c>
      <c r="F825" s="189" t="s">
        <v>1321</v>
      </c>
      <c r="G825" s="189" t="s">
        <v>1322</v>
      </c>
      <c r="H825" s="191" t="n">
        <v>46068</v>
      </c>
      <c r="I825" s="189" t="s">
        <v>113</v>
      </c>
      <c r="J825" s="189" t="s">
        <v>108</v>
      </c>
      <c r="K825" s="189" t="s">
        <v>196</v>
      </c>
      <c r="L825" s="189" t="s">
        <v>184</v>
      </c>
      <c r="M825" s="189" t="s">
        <v>484</v>
      </c>
      <c r="N825" s="189" t="s">
        <v>1323</v>
      </c>
      <c r="O825" s="189" t="s">
        <v>157</v>
      </c>
      <c r="P825" s="189" t="s">
        <v>111</v>
      </c>
      <c r="Q825" s="189" t="s">
        <v>145</v>
      </c>
      <c r="R825" s="189" t="s">
        <v>22</v>
      </c>
      <c r="S825" s="189" t="s">
        <v>152</v>
      </c>
      <c r="T825" s="189" t="s">
        <v>121</v>
      </c>
      <c r="U825" s="189" t="s">
        <v>1326</v>
      </c>
      <c r="V825" s="189" t="s">
        <v>123</v>
      </c>
      <c r="W825" s="189" t="s">
        <v>168</v>
      </c>
      <c r="X825" s="189" t="s">
        <v>339</v>
      </c>
      <c r="Y825" s="189" t="s">
        <v>2108</v>
      </c>
      <c r="Z825" s="0" t="n">
        <v>2</v>
      </c>
      <c r="AA825" s="189" t="s">
        <v>2212</v>
      </c>
    </row>
    <row r="826" customFormat="false" ht="15" hidden="false" customHeight="false" outlineLevel="0" collapsed="false">
      <c r="A826" s="0" t="n">
        <v>167</v>
      </c>
      <c r="B826" s="191" t="n">
        <v>46082.5626183519</v>
      </c>
      <c r="C826" s="191" t="n">
        <v>46082.5688452037</v>
      </c>
      <c r="D826" s="189" t="s">
        <v>1320</v>
      </c>
      <c r="E826" s="189" t="s">
        <v>1321</v>
      </c>
      <c r="F826" s="189" t="s">
        <v>1321</v>
      </c>
      <c r="G826" s="189" t="s">
        <v>1322</v>
      </c>
      <c r="H826" s="191" t="n">
        <v>46068</v>
      </c>
      <c r="I826" s="189" t="s">
        <v>113</v>
      </c>
      <c r="J826" s="189" t="s">
        <v>108</v>
      </c>
      <c r="K826" s="189" t="s">
        <v>196</v>
      </c>
      <c r="L826" s="189" t="s">
        <v>184</v>
      </c>
      <c r="M826" s="189" t="s">
        <v>484</v>
      </c>
      <c r="N826" s="189" t="s">
        <v>1323</v>
      </c>
      <c r="O826" s="189" t="s">
        <v>157</v>
      </c>
      <c r="P826" s="189" t="s">
        <v>111</v>
      </c>
      <c r="Q826" s="189" t="s">
        <v>145</v>
      </c>
      <c r="R826" s="189" t="s">
        <v>22</v>
      </c>
      <c r="S826" s="189" t="s">
        <v>152</v>
      </c>
      <c r="T826" s="189" t="s">
        <v>121</v>
      </c>
      <c r="U826" s="189" t="s">
        <v>1326</v>
      </c>
      <c r="V826" s="189" t="s">
        <v>123</v>
      </c>
      <c r="W826" s="189" t="s">
        <v>168</v>
      </c>
      <c r="X826" s="189" t="s">
        <v>339</v>
      </c>
      <c r="Y826" s="189" t="s">
        <v>2108</v>
      </c>
      <c r="Z826" s="0" t="n">
        <v>3</v>
      </c>
      <c r="AA826" s="189" t="s">
        <v>2260</v>
      </c>
    </row>
    <row r="827" customFormat="false" ht="15" hidden="false" customHeight="false" outlineLevel="0" collapsed="false">
      <c r="A827" s="0" t="n">
        <v>167</v>
      </c>
      <c r="B827" s="191" t="n">
        <v>46082.5626183519</v>
      </c>
      <c r="C827" s="191" t="n">
        <v>46082.5688452037</v>
      </c>
      <c r="D827" s="189" t="s">
        <v>1320</v>
      </c>
      <c r="E827" s="189" t="s">
        <v>1321</v>
      </c>
      <c r="F827" s="189" t="s">
        <v>1321</v>
      </c>
      <c r="G827" s="189" t="s">
        <v>1322</v>
      </c>
      <c r="H827" s="191" t="n">
        <v>46068</v>
      </c>
      <c r="I827" s="189" t="s">
        <v>113</v>
      </c>
      <c r="J827" s="189" t="s">
        <v>108</v>
      </c>
      <c r="K827" s="189" t="s">
        <v>196</v>
      </c>
      <c r="L827" s="189" t="s">
        <v>184</v>
      </c>
      <c r="M827" s="189" t="s">
        <v>484</v>
      </c>
      <c r="N827" s="189" t="s">
        <v>1323</v>
      </c>
      <c r="O827" s="189" t="s">
        <v>157</v>
      </c>
      <c r="P827" s="189" t="s">
        <v>111</v>
      </c>
      <c r="Q827" s="189" t="s">
        <v>145</v>
      </c>
      <c r="R827" s="189" t="s">
        <v>22</v>
      </c>
      <c r="S827" s="189" t="s">
        <v>152</v>
      </c>
      <c r="T827" s="189" t="s">
        <v>121</v>
      </c>
      <c r="U827" s="189" t="s">
        <v>1326</v>
      </c>
      <c r="V827" s="189" t="s">
        <v>123</v>
      </c>
      <c r="W827" s="189" t="s">
        <v>168</v>
      </c>
      <c r="X827" s="189" t="s">
        <v>339</v>
      </c>
      <c r="Y827" s="189" t="s">
        <v>2110</v>
      </c>
      <c r="Z827" s="0" t="n">
        <v>1</v>
      </c>
      <c r="AA827" s="189" t="s">
        <v>2287</v>
      </c>
    </row>
    <row r="828" customFormat="false" ht="15" hidden="false" customHeight="false" outlineLevel="0" collapsed="false">
      <c r="A828" s="0" t="n">
        <v>167</v>
      </c>
      <c r="B828" s="191" t="n">
        <v>46082.5626183519</v>
      </c>
      <c r="C828" s="191" t="n">
        <v>46082.5688452037</v>
      </c>
      <c r="D828" s="189" t="s">
        <v>1320</v>
      </c>
      <c r="E828" s="189" t="s">
        <v>1321</v>
      </c>
      <c r="F828" s="189" t="s">
        <v>1321</v>
      </c>
      <c r="G828" s="189" t="s">
        <v>1322</v>
      </c>
      <c r="H828" s="191" t="n">
        <v>46068</v>
      </c>
      <c r="I828" s="189" t="s">
        <v>113</v>
      </c>
      <c r="J828" s="189" t="s">
        <v>108</v>
      </c>
      <c r="K828" s="189" t="s">
        <v>196</v>
      </c>
      <c r="L828" s="189" t="s">
        <v>184</v>
      </c>
      <c r="M828" s="189" t="s">
        <v>484</v>
      </c>
      <c r="N828" s="189" t="s">
        <v>1323</v>
      </c>
      <c r="O828" s="189" t="s">
        <v>157</v>
      </c>
      <c r="P828" s="189" t="s">
        <v>111</v>
      </c>
      <c r="Q828" s="189" t="s">
        <v>145</v>
      </c>
      <c r="R828" s="189" t="s">
        <v>22</v>
      </c>
      <c r="S828" s="189" t="s">
        <v>152</v>
      </c>
      <c r="T828" s="189" t="s">
        <v>121</v>
      </c>
      <c r="U828" s="189" t="s">
        <v>1326</v>
      </c>
      <c r="V828" s="189" t="s">
        <v>123</v>
      </c>
      <c r="W828" s="189" t="s">
        <v>168</v>
      </c>
      <c r="X828" s="189" t="s">
        <v>339</v>
      </c>
      <c r="Y828" s="189" t="s">
        <v>2113</v>
      </c>
      <c r="Z828" s="0" t="n">
        <v>1</v>
      </c>
      <c r="AA828" s="189" t="s">
        <v>2279</v>
      </c>
    </row>
    <row r="829" customFormat="false" ht="15" hidden="false" customHeight="false" outlineLevel="0" collapsed="false">
      <c r="A829" s="0" t="n">
        <v>167</v>
      </c>
      <c r="B829" s="191" t="n">
        <v>46082.5626183519</v>
      </c>
      <c r="C829" s="191" t="n">
        <v>46082.5688452037</v>
      </c>
      <c r="D829" s="189" t="s">
        <v>1320</v>
      </c>
      <c r="E829" s="189" t="s">
        <v>1321</v>
      </c>
      <c r="F829" s="189" t="s">
        <v>1321</v>
      </c>
      <c r="G829" s="189" t="s">
        <v>1322</v>
      </c>
      <c r="H829" s="191" t="n">
        <v>46068</v>
      </c>
      <c r="I829" s="189" t="s">
        <v>113</v>
      </c>
      <c r="J829" s="189" t="s">
        <v>108</v>
      </c>
      <c r="K829" s="189" t="s">
        <v>196</v>
      </c>
      <c r="L829" s="189" t="s">
        <v>184</v>
      </c>
      <c r="M829" s="189" t="s">
        <v>484</v>
      </c>
      <c r="N829" s="189" t="s">
        <v>1323</v>
      </c>
      <c r="O829" s="189" t="s">
        <v>157</v>
      </c>
      <c r="P829" s="189" t="s">
        <v>111</v>
      </c>
      <c r="Q829" s="189" t="s">
        <v>145</v>
      </c>
      <c r="R829" s="189" t="s">
        <v>22</v>
      </c>
      <c r="S829" s="189" t="s">
        <v>152</v>
      </c>
      <c r="T829" s="189" t="s">
        <v>121</v>
      </c>
      <c r="U829" s="189" t="s">
        <v>1326</v>
      </c>
      <c r="V829" s="189" t="s">
        <v>123</v>
      </c>
      <c r="W829" s="189" t="s">
        <v>168</v>
      </c>
      <c r="X829" s="189" t="s">
        <v>339</v>
      </c>
      <c r="Y829" s="189" t="s">
        <v>2113</v>
      </c>
      <c r="Z829" s="0" t="n">
        <v>2</v>
      </c>
      <c r="AA829" s="189" t="s">
        <v>2261</v>
      </c>
    </row>
    <row r="830" customFormat="false" ht="15" hidden="false" customHeight="false" outlineLevel="0" collapsed="false">
      <c r="A830" s="0" t="n">
        <v>168</v>
      </c>
      <c r="B830" s="191" t="n">
        <v>46186.654369283</v>
      </c>
      <c r="C830" s="191" t="n">
        <v>46186.6629688201</v>
      </c>
      <c r="D830" s="189" t="s">
        <v>1327</v>
      </c>
      <c r="E830" s="189" t="s">
        <v>1328</v>
      </c>
      <c r="F830" s="189" t="s">
        <v>1328</v>
      </c>
      <c r="G830" s="189" t="s">
        <v>1329</v>
      </c>
      <c r="H830" s="191" t="n">
        <v>46172</v>
      </c>
      <c r="I830" s="189" t="s">
        <v>325</v>
      </c>
      <c r="J830" s="189" t="s">
        <v>108</v>
      </c>
      <c r="K830" s="189" t="s">
        <v>364</v>
      </c>
      <c r="L830" s="189" t="s">
        <v>296</v>
      </c>
      <c r="M830" s="189" t="s">
        <v>566</v>
      </c>
      <c r="N830" s="189" t="s">
        <v>1255</v>
      </c>
      <c r="O830" s="189" t="s">
        <v>107</v>
      </c>
      <c r="P830" s="189" t="s">
        <v>131</v>
      </c>
      <c r="Q830" s="189" t="s">
        <v>112</v>
      </c>
      <c r="R830" s="189" t="s">
        <v>24</v>
      </c>
      <c r="S830" s="189" t="s">
        <v>152</v>
      </c>
      <c r="T830" s="189" t="s">
        <v>121</v>
      </c>
      <c r="V830" s="189" t="s">
        <v>167</v>
      </c>
      <c r="W830" s="189" t="s">
        <v>168</v>
      </c>
      <c r="X830" s="189" t="s">
        <v>19</v>
      </c>
      <c r="Y830" s="189" t="s">
        <v>2216</v>
      </c>
      <c r="Z830" s="0" t="n">
        <v>1</v>
      </c>
      <c r="AA830" s="189" t="s">
        <v>880</v>
      </c>
    </row>
    <row r="831" customFormat="false" ht="15" hidden="false" customHeight="false" outlineLevel="0" collapsed="false">
      <c r="A831" s="0" t="n">
        <v>169</v>
      </c>
      <c r="B831" s="191" t="n">
        <v>46132.0999909314</v>
      </c>
      <c r="C831" s="191" t="n">
        <v>46132.1167501907</v>
      </c>
      <c r="D831" s="189" t="s">
        <v>1330</v>
      </c>
      <c r="E831" s="189" t="s">
        <v>1331</v>
      </c>
      <c r="F831" s="189" t="s">
        <v>1331</v>
      </c>
      <c r="G831" s="189" t="s">
        <v>1332</v>
      </c>
      <c r="H831" s="191" t="n">
        <v>46129</v>
      </c>
      <c r="I831" s="189" t="s">
        <v>1333</v>
      </c>
      <c r="J831" s="189" t="s">
        <v>295</v>
      </c>
      <c r="K831" s="189" t="s">
        <v>462</v>
      </c>
      <c r="L831" s="189" t="s">
        <v>233</v>
      </c>
      <c r="M831" s="189" t="s">
        <v>515</v>
      </c>
      <c r="N831" s="189" t="s">
        <v>259</v>
      </c>
      <c r="O831" s="189" t="s">
        <v>107</v>
      </c>
      <c r="P831" s="189" t="s">
        <v>111</v>
      </c>
      <c r="Q831" s="189" t="s">
        <v>145</v>
      </c>
      <c r="R831" s="189" t="s">
        <v>22</v>
      </c>
      <c r="S831" s="189" t="s">
        <v>152</v>
      </c>
      <c r="T831" s="189" t="s">
        <v>352</v>
      </c>
      <c r="V831" s="189" t="s">
        <v>192</v>
      </c>
      <c r="W831" s="189" t="s">
        <v>124</v>
      </c>
      <c r="X831" s="189" t="s">
        <v>339</v>
      </c>
      <c r="Y831" s="189" t="s">
        <v>2108</v>
      </c>
      <c r="Z831" s="0" t="n">
        <v>1</v>
      </c>
      <c r="AA831" s="189" t="s">
        <v>2243</v>
      </c>
    </row>
    <row r="832" customFormat="false" ht="15" hidden="false" customHeight="false" outlineLevel="0" collapsed="false">
      <c r="A832" s="0" t="n">
        <v>169</v>
      </c>
      <c r="B832" s="191" t="n">
        <v>46132.0999909314</v>
      </c>
      <c r="C832" s="191" t="n">
        <v>46132.1167501907</v>
      </c>
      <c r="D832" s="189" t="s">
        <v>1330</v>
      </c>
      <c r="E832" s="189" t="s">
        <v>1331</v>
      </c>
      <c r="F832" s="189" t="s">
        <v>1331</v>
      </c>
      <c r="G832" s="189" t="s">
        <v>1332</v>
      </c>
      <c r="H832" s="191" t="n">
        <v>46129</v>
      </c>
      <c r="I832" s="189" t="s">
        <v>1333</v>
      </c>
      <c r="J832" s="189" t="s">
        <v>295</v>
      </c>
      <c r="K832" s="189" t="s">
        <v>462</v>
      </c>
      <c r="L832" s="189" t="s">
        <v>233</v>
      </c>
      <c r="M832" s="189" t="s">
        <v>515</v>
      </c>
      <c r="N832" s="189" t="s">
        <v>259</v>
      </c>
      <c r="O832" s="189" t="s">
        <v>107</v>
      </c>
      <c r="P832" s="189" t="s">
        <v>111</v>
      </c>
      <c r="Q832" s="189" t="s">
        <v>145</v>
      </c>
      <c r="R832" s="189" t="s">
        <v>22</v>
      </c>
      <c r="S832" s="189" t="s">
        <v>152</v>
      </c>
      <c r="T832" s="189" t="s">
        <v>352</v>
      </c>
      <c r="V832" s="189" t="s">
        <v>192</v>
      </c>
      <c r="W832" s="189" t="s">
        <v>124</v>
      </c>
      <c r="X832" s="189" t="s">
        <v>339</v>
      </c>
      <c r="Y832" s="189" t="s">
        <v>2110</v>
      </c>
      <c r="Z832" s="0" t="n">
        <v>1</v>
      </c>
      <c r="AA832" s="189" t="s">
        <v>2186</v>
      </c>
    </row>
    <row r="833" customFormat="false" ht="15" hidden="false" customHeight="false" outlineLevel="0" collapsed="false">
      <c r="A833" s="0" t="n">
        <v>169</v>
      </c>
      <c r="B833" s="191" t="n">
        <v>46132.0999909314</v>
      </c>
      <c r="C833" s="191" t="n">
        <v>46132.1167501907</v>
      </c>
      <c r="D833" s="189" t="s">
        <v>1330</v>
      </c>
      <c r="E833" s="189" t="s">
        <v>1331</v>
      </c>
      <c r="F833" s="189" t="s">
        <v>1331</v>
      </c>
      <c r="G833" s="189" t="s">
        <v>1332</v>
      </c>
      <c r="H833" s="191" t="n">
        <v>46129</v>
      </c>
      <c r="I833" s="189" t="s">
        <v>1333</v>
      </c>
      <c r="J833" s="189" t="s">
        <v>295</v>
      </c>
      <c r="K833" s="189" t="s">
        <v>462</v>
      </c>
      <c r="L833" s="189" t="s">
        <v>233</v>
      </c>
      <c r="M833" s="189" t="s">
        <v>515</v>
      </c>
      <c r="N833" s="189" t="s">
        <v>259</v>
      </c>
      <c r="O833" s="189" t="s">
        <v>107</v>
      </c>
      <c r="P833" s="189" t="s">
        <v>111</v>
      </c>
      <c r="Q833" s="189" t="s">
        <v>145</v>
      </c>
      <c r="R833" s="189" t="s">
        <v>22</v>
      </c>
      <c r="S833" s="189" t="s">
        <v>152</v>
      </c>
      <c r="T833" s="189" t="s">
        <v>352</v>
      </c>
      <c r="V833" s="189" t="s">
        <v>192</v>
      </c>
      <c r="W833" s="189" t="s">
        <v>124</v>
      </c>
      <c r="X833" s="189" t="s">
        <v>339</v>
      </c>
      <c r="Y833" s="189" t="s">
        <v>2110</v>
      </c>
      <c r="Z833" s="0" t="n">
        <v>2</v>
      </c>
      <c r="AA833" s="189" t="s">
        <v>2305</v>
      </c>
    </row>
    <row r="834" customFormat="false" ht="15" hidden="false" customHeight="false" outlineLevel="0" collapsed="false">
      <c r="A834" s="0" t="n">
        <v>169</v>
      </c>
      <c r="B834" s="191" t="n">
        <v>46132.0999909314</v>
      </c>
      <c r="C834" s="191" t="n">
        <v>46132.1167501907</v>
      </c>
      <c r="D834" s="189" t="s">
        <v>1330</v>
      </c>
      <c r="E834" s="189" t="s">
        <v>1331</v>
      </c>
      <c r="F834" s="189" t="s">
        <v>1331</v>
      </c>
      <c r="G834" s="189" t="s">
        <v>1332</v>
      </c>
      <c r="H834" s="191" t="n">
        <v>46129</v>
      </c>
      <c r="I834" s="189" t="s">
        <v>1333</v>
      </c>
      <c r="J834" s="189" t="s">
        <v>295</v>
      </c>
      <c r="K834" s="189" t="s">
        <v>462</v>
      </c>
      <c r="L834" s="189" t="s">
        <v>233</v>
      </c>
      <c r="M834" s="189" t="s">
        <v>515</v>
      </c>
      <c r="N834" s="189" t="s">
        <v>259</v>
      </c>
      <c r="O834" s="189" t="s">
        <v>107</v>
      </c>
      <c r="P834" s="189" t="s">
        <v>111</v>
      </c>
      <c r="Q834" s="189" t="s">
        <v>145</v>
      </c>
      <c r="R834" s="189" t="s">
        <v>22</v>
      </c>
      <c r="S834" s="189" t="s">
        <v>152</v>
      </c>
      <c r="T834" s="189" t="s">
        <v>352</v>
      </c>
      <c r="V834" s="189" t="s">
        <v>192</v>
      </c>
      <c r="W834" s="189" t="s">
        <v>124</v>
      </c>
      <c r="X834" s="189" t="s">
        <v>339</v>
      </c>
      <c r="Y834" s="189" t="s">
        <v>2113</v>
      </c>
      <c r="Z834" s="0" t="n">
        <v>1</v>
      </c>
      <c r="AA834" s="189" t="s">
        <v>2261</v>
      </c>
    </row>
    <row r="835" customFormat="false" ht="15" hidden="false" customHeight="false" outlineLevel="0" collapsed="false">
      <c r="A835" s="0" t="n">
        <v>170</v>
      </c>
      <c r="B835" s="191" t="n">
        <v>46116.9077633594</v>
      </c>
      <c r="C835" s="191" t="n">
        <v>46116.913955489</v>
      </c>
      <c r="D835" s="189" t="s">
        <v>1336</v>
      </c>
      <c r="E835" s="189" t="s">
        <v>1337</v>
      </c>
      <c r="F835" s="189" t="s">
        <v>1337</v>
      </c>
      <c r="G835" s="189" t="s">
        <v>1338</v>
      </c>
      <c r="H835" s="191" t="n">
        <v>46108</v>
      </c>
      <c r="I835" s="189" t="s">
        <v>113</v>
      </c>
      <c r="J835" s="189" t="s">
        <v>108</v>
      </c>
      <c r="K835" s="189" t="s">
        <v>173</v>
      </c>
      <c r="L835" s="189" t="s">
        <v>389</v>
      </c>
      <c r="M835" s="189" t="s">
        <v>279</v>
      </c>
      <c r="N835" s="189" t="s">
        <v>1224</v>
      </c>
      <c r="O835" s="189" t="s">
        <v>107</v>
      </c>
      <c r="P835" s="189" t="s">
        <v>111</v>
      </c>
      <c r="Q835" s="189" t="s">
        <v>112</v>
      </c>
      <c r="R835" s="189" t="s">
        <v>21</v>
      </c>
      <c r="S835" s="189" t="s">
        <v>152</v>
      </c>
      <c r="T835" s="189" t="s">
        <v>180</v>
      </c>
      <c r="U835" s="189" t="s">
        <v>122</v>
      </c>
      <c r="V835" s="189" t="s">
        <v>192</v>
      </c>
      <c r="W835" s="189" t="s">
        <v>168</v>
      </c>
      <c r="X835" s="189" t="s">
        <v>457</v>
      </c>
      <c r="Y835" s="189" t="s">
        <v>2108</v>
      </c>
      <c r="Z835" s="0" t="n">
        <v>1</v>
      </c>
      <c r="AA835" s="189" t="s">
        <v>2151</v>
      </c>
    </row>
    <row r="836" customFormat="false" ht="15" hidden="false" customHeight="false" outlineLevel="0" collapsed="false">
      <c r="A836" s="0" t="n">
        <v>170</v>
      </c>
      <c r="B836" s="191" t="n">
        <v>46116.9077633594</v>
      </c>
      <c r="C836" s="191" t="n">
        <v>46116.913955489</v>
      </c>
      <c r="D836" s="189" t="s">
        <v>1336</v>
      </c>
      <c r="E836" s="189" t="s">
        <v>1337</v>
      </c>
      <c r="F836" s="189" t="s">
        <v>1337</v>
      </c>
      <c r="G836" s="189" t="s">
        <v>1338</v>
      </c>
      <c r="H836" s="191" t="n">
        <v>46108</v>
      </c>
      <c r="I836" s="189" t="s">
        <v>113</v>
      </c>
      <c r="J836" s="189" t="s">
        <v>108</v>
      </c>
      <c r="K836" s="189" t="s">
        <v>173</v>
      </c>
      <c r="L836" s="189" t="s">
        <v>389</v>
      </c>
      <c r="M836" s="189" t="s">
        <v>279</v>
      </c>
      <c r="N836" s="189" t="s">
        <v>1224</v>
      </c>
      <c r="O836" s="189" t="s">
        <v>107</v>
      </c>
      <c r="P836" s="189" t="s">
        <v>111</v>
      </c>
      <c r="Q836" s="189" t="s">
        <v>112</v>
      </c>
      <c r="R836" s="189" t="s">
        <v>21</v>
      </c>
      <c r="S836" s="189" t="s">
        <v>152</v>
      </c>
      <c r="T836" s="189" t="s">
        <v>180</v>
      </c>
      <c r="U836" s="189" t="s">
        <v>122</v>
      </c>
      <c r="V836" s="189" t="s">
        <v>192</v>
      </c>
      <c r="W836" s="189" t="s">
        <v>168</v>
      </c>
      <c r="X836" s="189" t="s">
        <v>457</v>
      </c>
      <c r="Y836" s="189" t="s">
        <v>2110</v>
      </c>
      <c r="Z836" s="0" t="n">
        <v>1</v>
      </c>
      <c r="AA836" s="189" t="s">
        <v>2255</v>
      </c>
    </row>
    <row r="837" customFormat="false" ht="15" hidden="false" customHeight="false" outlineLevel="0" collapsed="false">
      <c r="A837" s="0" t="n">
        <v>170</v>
      </c>
      <c r="B837" s="191" t="n">
        <v>46116.9077633594</v>
      </c>
      <c r="C837" s="191" t="n">
        <v>46116.913955489</v>
      </c>
      <c r="D837" s="189" t="s">
        <v>1336</v>
      </c>
      <c r="E837" s="189" t="s">
        <v>1337</v>
      </c>
      <c r="F837" s="189" t="s">
        <v>1337</v>
      </c>
      <c r="G837" s="189" t="s">
        <v>1338</v>
      </c>
      <c r="H837" s="191" t="n">
        <v>46108</v>
      </c>
      <c r="I837" s="189" t="s">
        <v>113</v>
      </c>
      <c r="J837" s="189" t="s">
        <v>108</v>
      </c>
      <c r="K837" s="189" t="s">
        <v>173</v>
      </c>
      <c r="L837" s="189" t="s">
        <v>389</v>
      </c>
      <c r="M837" s="189" t="s">
        <v>279</v>
      </c>
      <c r="N837" s="189" t="s">
        <v>1224</v>
      </c>
      <c r="O837" s="189" t="s">
        <v>107</v>
      </c>
      <c r="P837" s="189" t="s">
        <v>111</v>
      </c>
      <c r="Q837" s="189" t="s">
        <v>112</v>
      </c>
      <c r="R837" s="189" t="s">
        <v>21</v>
      </c>
      <c r="S837" s="189" t="s">
        <v>152</v>
      </c>
      <c r="T837" s="189" t="s">
        <v>180</v>
      </c>
      <c r="U837" s="189" t="s">
        <v>122</v>
      </c>
      <c r="V837" s="189" t="s">
        <v>192</v>
      </c>
      <c r="W837" s="189" t="s">
        <v>168</v>
      </c>
      <c r="X837" s="189" t="s">
        <v>457</v>
      </c>
      <c r="Y837" s="189" t="s">
        <v>2110</v>
      </c>
      <c r="Z837" s="0" t="n">
        <v>2</v>
      </c>
      <c r="AA837" s="189" t="s">
        <v>2111</v>
      </c>
    </row>
    <row r="838" customFormat="false" ht="15" hidden="false" customHeight="false" outlineLevel="0" collapsed="false">
      <c r="A838" s="0" t="n">
        <v>170</v>
      </c>
      <c r="B838" s="191" t="n">
        <v>46116.9077633594</v>
      </c>
      <c r="C838" s="191" t="n">
        <v>46116.913955489</v>
      </c>
      <c r="D838" s="189" t="s">
        <v>1336</v>
      </c>
      <c r="E838" s="189" t="s">
        <v>1337</v>
      </c>
      <c r="F838" s="189" t="s">
        <v>1337</v>
      </c>
      <c r="G838" s="189" t="s">
        <v>1338</v>
      </c>
      <c r="H838" s="191" t="n">
        <v>46108</v>
      </c>
      <c r="I838" s="189" t="s">
        <v>113</v>
      </c>
      <c r="J838" s="189" t="s">
        <v>108</v>
      </c>
      <c r="K838" s="189" t="s">
        <v>173</v>
      </c>
      <c r="L838" s="189" t="s">
        <v>389</v>
      </c>
      <c r="M838" s="189" t="s">
        <v>279</v>
      </c>
      <c r="N838" s="189" t="s">
        <v>1224</v>
      </c>
      <c r="O838" s="189" t="s">
        <v>107</v>
      </c>
      <c r="P838" s="189" t="s">
        <v>111</v>
      </c>
      <c r="Q838" s="189" t="s">
        <v>112</v>
      </c>
      <c r="R838" s="189" t="s">
        <v>21</v>
      </c>
      <c r="S838" s="189" t="s">
        <v>152</v>
      </c>
      <c r="T838" s="189" t="s">
        <v>180</v>
      </c>
      <c r="U838" s="189" t="s">
        <v>122</v>
      </c>
      <c r="V838" s="189" t="s">
        <v>192</v>
      </c>
      <c r="W838" s="189" t="s">
        <v>168</v>
      </c>
      <c r="X838" s="189" t="s">
        <v>457</v>
      </c>
      <c r="Y838" s="189" t="s">
        <v>2113</v>
      </c>
      <c r="Z838" s="0" t="n">
        <v>1</v>
      </c>
      <c r="AA838" s="189" t="s">
        <v>2114</v>
      </c>
    </row>
    <row r="839" customFormat="false" ht="15" hidden="false" customHeight="false" outlineLevel="0" collapsed="false">
      <c r="A839" s="0" t="n">
        <v>171</v>
      </c>
      <c r="B839" s="191" t="n">
        <v>46138.162769504</v>
      </c>
      <c r="C839" s="191" t="n">
        <v>46138.174031078</v>
      </c>
      <c r="D839" s="189" t="s">
        <v>1339</v>
      </c>
      <c r="E839" s="189" t="s">
        <v>1340</v>
      </c>
      <c r="F839" s="189" t="s">
        <v>1340</v>
      </c>
      <c r="G839" s="189" t="s">
        <v>1341</v>
      </c>
      <c r="H839" s="191" t="n">
        <v>46129</v>
      </c>
      <c r="I839" s="189" t="s">
        <v>113</v>
      </c>
      <c r="J839" s="189" t="s">
        <v>295</v>
      </c>
      <c r="K839" s="189" t="s">
        <v>364</v>
      </c>
      <c r="L839" s="189" t="s">
        <v>296</v>
      </c>
      <c r="M839" s="189" t="s">
        <v>326</v>
      </c>
      <c r="N839" s="189" t="s">
        <v>508</v>
      </c>
      <c r="O839" s="189" t="s">
        <v>244</v>
      </c>
      <c r="P839" s="189" t="s">
        <v>111</v>
      </c>
      <c r="Q839" s="189" t="s">
        <v>112</v>
      </c>
      <c r="R839" s="189" t="s">
        <v>22</v>
      </c>
      <c r="S839" s="189" t="s">
        <v>120</v>
      </c>
      <c r="T839" s="189" t="s">
        <v>121</v>
      </c>
      <c r="U839" s="189" t="s">
        <v>122</v>
      </c>
      <c r="V839" s="189" t="s">
        <v>192</v>
      </c>
      <c r="W839" s="189" t="s">
        <v>124</v>
      </c>
      <c r="X839" s="189" t="s">
        <v>339</v>
      </c>
      <c r="Y839" s="189" t="s">
        <v>2108</v>
      </c>
      <c r="Z839" s="0" t="n">
        <v>1</v>
      </c>
      <c r="AA839" s="189" t="s">
        <v>2242</v>
      </c>
    </row>
    <row r="840" customFormat="false" ht="15" hidden="false" customHeight="false" outlineLevel="0" collapsed="false">
      <c r="A840" s="0" t="n">
        <v>171</v>
      </c>
      <c r="B840" s="191" t="n">
        <v>46138.162769504</v>
      </c>
      <c r="C840" s="191" t="n">
        <v>46138.174031078</v>
      </c>
      <c r="D840" s="189" t="s">
        <v>1339</v>
      </c>
      <c r="E840" s="189" t="s">
        <v>1340</v>
      </c>
      <c r="F840" s="189" t="s">
        <v>1340</v>
      </c>
      <c r="G840" s="189" t="s">
        <v>1341</v>
      </c>
      <c r="H840" s="191" t="n">
        <v>46129</v>
      </c>
      <c r="I840" s="189" t="s">
        <v>113</v>
      </c>
      <c r="J840" s="189" t="s">
        <v>295</v>
      </c>
      <c r="K840" s="189" t="s">
        <v>364</v>
      </c>
      <c r="L840" s="189" t="s">
        <v>296</v>
      </c>
      <c r="M840" s="189" t="s">
        <v>326</v>
      </c>
      <c r="N840" s="189" t="s">
        <v>508</v>
      </c>
      <c r="O840" s="189" t="s">
        <v>244</v>
      </c>
      <c r="P840" s="189" t="s">
        <v>111</v>
      </c>
      <c r="Q840" s="189" t="s">
        <v>112</v>
      </c>
      <c r="R840" s="189" t="s">
        <v>22</v>
      </c>
      <c r="S840" s="189" t="s">
        <v>120</v>
      </c>
      <c r="T840" s="189" t="s">
        <v>121</v>
      </c>
      <c r="U840" s="189" t="s">
        <v>122</v>
      </c>
      <c r="V840" s="189" t="s">
        <v>192</v>
      </c>
      <c r="W840" s="189" t="s">
        <v>124</v>
      </c>
      <c r="X840" s="189" t="s">
        <v>339</v>
      </c>
      <c r="Y840" s="189" t="s">
        <v>2110</v>
      </c>
      <c r="Z840" s="0" t="n">
        <v>1</v>
      </c>
      <c r="AA840" s="189" t="s">
        <v>122</v>
      </c>
    </row>
    <row r="841" customFormat="false" ht="15" hidden="false" customHeight="false" outlineLevel="0" collapsed="false">
      <c r="A841" s="0" t="n">
        <v>171</v>
      </c>
      <c r="B841" s="191" t="n">
        <v>46138.162769504</v>
      </c>
      <c r="C841" s="191" t="n">
        <v>46138.174031078</v>
      </c>
      <c r="D841" s="189" t="s">
        <v>1339</v>
      </c>
      <c r="E841" s="189" t="s">
        <v>1340</v>
      </c>
      <c r="F841" s="189" t="s">
        <v>1340</v>
      </c>
      <c r="G841" s="189" t="s">
        <v>1341</v>
      </c>
      <c r="H841" s="191" t="n">
        <v>46129</v>
      </c>
      <c r="I841" s="189" t="s">
        <v>113</v>
      </c>
      <c r="J841" s="189" t="s">
        <v>295</v>
      </c>
      <c r="K841" s="189" t="s">
        <v>364</v>
      </c>
      <c r="L841" s="189" t="s">
        <v>296</v>
      </c>
      <c r="M841" s="189" t="s">
        <v>326</v>
      </c>
      <c r="N841" s="189" t="s">
        <v>508</v>
      </c>
      <c r="O841" s="189" t="s">
        <v>244</v>
      </c>
      <c r="P841" s="189" t="s">
        <v>111</v>
      </c>
      <c r="Q841" s="189" t="s">
        <v>112</v>
      </c>
      <c r="R841" s="189" t="s">
        <v>22</v>
      </c>
      <c r="S841" s="189" t="s">
        <v>120</v>
      </c>
      <c r="T841" s="189" t="s">
        <v>121</v>
      </c>
      <c r="U841" s="189" t="s">
        <v>122</v>
      </c>
      <c r="V841" s="189" t="s">
        <v>192</v>
      </c>
      <c r="W841" s="189" t="s">
        <v>124</v>
      </c>
      <c r="X841" s="189" t="s">
        <v>339</v>
      </c>
      <c r="Y841" s="189" t="s">
        <v>2113</v>
      </c>
      <c r="Z841" s="0" t="n">
        <v>1</v>
      </c>
      <c r="AA841" s="189" t="s">
        <v>2261</v>
      </c>
    </row>
    <row r="842" customFormat="false" ht="15" hidden="false" customHeight="false" outlineLevel="0" collapsed="false">
      <c r="A842" s="0" t="n">
        <v>171</v>
      </c>
      <c r="B842" s="191" t="n">
        <v>46138.162769504</v>
      </c>
      <c r="C842" s="191" t="n">
        <v>46138.174031078</v>
      </c>
      <c r="D842" s="189" t="s">
        <v>1339</v>
      </c>
      <c r="E842" s="189" t="s">
        <v>1340</v>
      </c>
      <c r="F842" s="189" t="s">
        <v>1340</v>
      </c>
      <c r="G842" s="189" t="s">
        <v>1341</v>
      </c>
      <c r="H842" s="191" t="n">
        <v>46129</v>
      </c>
      <c r="I842" s="189" t="s">
        <v>113</v>
      </c>
      <c r="J842" s="189" t="s">
        <v>295</v>
      </c>
      <c r="K842" s="189" t="s">
        <v>364</v>
      </c>
      <c r="L842" s="189" t="s">
        <v>296</v>
      </c>
      <c r="M842" s="189" t="s">
        <v>326</v>
      </c>
      <c r="N842" s="189" t="s">
        <v>508</v>
      </c>
      <c r="O842" s="189" t="s">
        <v>244</v>
      </c>
      <c r="P842" s="189" t="s">
        <v>111</v>
      </c>
      <c r="Q842" s="189" t="s">
        <v>112</v>
      </c>
      <c r="R842" s="189" t="s">
        <v>22</v>
      </c>
      <c r="S842" s="189" t="s">
        <v>120</v>
      </c>
      <c r="T842" s="189" t="s">
        <v>121</v>
      </c>
      <c r="U842" s="189" t="s">
        <v>122</v>
      </c>
      <c r="V842" s="189" t="s">
        <v>192</v>
      </c>
      <c r="W842" s="189" t="s">
        <v>124</v>
      </c>
      <c r="X842" s="189" t="s">
        <v>339</v>
      </c>
      <c r="Y842" s="189" t="s">
        <v>2113</v>
      </c>
      <c r="Z842" s="0" t="n">
        <v>2</v>
      </c>
      <c r="AA842" s="189" t="s">
        <v>2279</v>
      </c>
    </row>
    <row r="843" customFormat="false" ht="15" hidden="false" customHeight="false" outlineLevel="0" collapsed="false">
      <c r="A843" s="0" t="n">
        <v>172</v>
      </c>
      <c r="B843" s="191" t="n">
        <v>46091.8718071356</v>
      </c>
      <c r="C843" s="191" t="n">
        <v>46091.8752677838</v>
      </c>
      <c r="D843" s="189" t="s">
        <v>1344</v>
      </c>
      <c r="E843" s="189" t="s">
        <v>1345</v>
      </c>
      <c r="F843" s="189" t="s">
        <v>1345</v>
      </c>
      <c r="G843" s="189" t="s">
        <v>1346</v>
      </c>
      <c r="H843" s="191" t="n">
        <v>46072</v>
      </c>
      <c r="I843" s="189" t="s">
        <v>113</v>
      </c>
      <c r="J843" s="189" t="s">
        <v>128</v>
      </c>
      <c r="K843" s="189" t="s">
        <v>1347</v>
      </c>
      <c r="L843" s="189" t="s">
        <v>144</v>
      </c>
      <c r="M843" s="189" t="s">
        <v>1313</v>
      </c>
      <c r="N843" s="189" t="s">
        <v>1094</v>
      </c>
      <c r="O843" s="189" t="s">
        <v>750</v>
      </c>
      <c r="P843" s="189" t="s">
        <v>111</v>
      </c>
      <c r="Q843" s="189" t="s">
        <v>112</v>
      </c>
      <c r="R843" s="189" t="s">
        <v>22</v>
      </c>
      <c r="S843" s="189" t="s">
        <v>152</v>
      </c>
      <c r="T843" s="189" t="s">
        <v>121</v>
      </c>
      <c r="U843" s="189" t="s">
        <v>122</v>
      </c>
      <c r="V843" s="189" t="s">
        <v>192</v>
      </c>
      <c r="W843" s="189" t="s">
        <v>139</v>
      </c>
      <c r="X843" s="189" t="s">
        <v>116</v>
      </c>
      <c r="Y843" s="189" t="s">
        <v>2108</v>
      </c>
      <c r="Z843" s="0" t="n">
        <v>1</v>
      </c>
      <c r="AA843" s="189" t="s">
        <v>2139</v>
      </c>
    </row>
    <row r="844" customFormat="false" ht="15" hidden="false" customHeight="false" outlineLevel="0" collapsed="false">
      <c r="A844" s="0" t="n">
        <v>172</v>
      </c>
      <c r="B844" s="191" t="n">
        <v>46091.8718071356</v>
      </c>
      <c r="C844" s="191" t="n">
        <v>46091.8752677838</v>
      </c>
      <c r="D844" s="189" t="s">
        <v>1344</v>
      </c>
      <c r="E844" s="189" t="s">
        <v>1345</v>
      </c>
      <c r="F844" s="189" t="s">
        <v>1345</v>
      </c>
      <c r="G844" s="189" t="s">
        <v>1346</v>
      </c>
      <c r="H844" s="191" t="n">
        <v>46072</v>
      </c>
      <c r="I844" s="189" t="s">
        <v>113</v>
      </c>
      <c r="J844" s="189" t="s">
        <v>128</v>
      </c>
      <c r="K844" s="189" t="s">
        <v>1347</v>
      </c>
      <c r="L844" s="189" t="s">
        <v>144</v>
      </c>
      <c r="M844" s="189" t="s">
        <v>1313</v>
      </c>
      <c r="N844" s="189" t="s">
        <v>1094</v>
      </c>
      <c r="O844" s="189" t="s">
        <v>750</v>
      </c>
      <c r="P844" s="189" t="s">
        <v>111</v>
      </c>
      <c r="Q844" s="189" t="s">
        <v>112</v>
      </c>
      <c r="R844" s="189" t="s">
        <v>22</v>
      </c>
      <c r="S844" s="189" t="s">
        <v>152</v>
      </c>
      <c r="T844" s="189" t="s">
        <v>121</v>
      </c>
      <c r="U844" s="189" t="s">
        <v>122</v>
      </c>
      <c r="V844" s="189" t="s">
        <v>192</v>
      </c>
      <c r="W844" s="189" t="s">
        <v>139</v>
      </c>
      <c r="X844" s="189" t="s">
        <v>116</v>
      </c>
      <c r="Y844" s="189" t="s">
        <v>2108</v>
      </c>
      <c r="Z844" s="0" t="n">
        <v>2</v>
      </c>
      <c r="AA844" s="189" t="s">
        <v>2109</v>
      </c>
    </row>
    <row r="845" customFormat="false" ht="15" hidden="false" customHeight="false" outlineLevel="0" collapsed="false">
      <c r="A845" s="0" t="n">
        <v>172</v>
      </c>
      <c r="B845" s="191" t="n">
        <v>46091.8718071356</v>
      </c>
      <c r="C845" s="191" t="n">
        <v>46091.8752677838</v>
      </c>
      <c r="D845" s="189" t="s">
        <v>1344</v>
      </c>
      <c r="E845" s="189" t="s">
        <v>1345</v>
      </c>
      <c r="F845" s="189" t="s">
        <v>1345</v>
      </c>
      <c r="G845" s="189" t="s">
        <v>1346</v>
      </c>
      <c r="H845" s="191" t="n">
        <v>46072</v>
      </c>
      <c r="I845" s="189" t="s">
        <v>113</v>
      </c>
      <c r="J845" s="189" t="s">
        <v>128</v>
      </c>
      <c r="K845" s="189" t="s">
        <v>1347</v>
      </c>
      <c r="L845" s="189" t="s">
        <v>144</v>
      </c>
      <c r="M845" s="189" t="s">
        <v>1313</v>
      </c>
      <c r="N845" s="189" t="s">
        <v>1094</v>
      </c>
      <c r="O845" s="189" t="s">
        <v>750</v>
      </c>
      <c r="P845" s="189" t="s">
        <v>111</v>
      </c>
      <c r="Q845" s="189" t="s">
        <v>112</v>
      </c>
      <c r="R845" s="189" t="s">
        <v>22</v>
      </c>
      <c r="S845" s="189" t="s">
        <v>152</v>
      </c>
      <c r="T845" s="189" t="s">
        <v>121</v>
      </c>
      <c r="U845" s="189" t="s">
        <v>122</v>
      </c>
      <c r="V845" s="189" t="s">
        <v>192</v>
      </c>
      <c r="W845" s="189" t="s">
        <v>139</v>
      </c>
      <c r="X845" s="189" t="s">
        <v>116</v>
      </c>
      <c r="Y845" s="189" t="s">
        <v>2108</v>
      </c>
      <c r="Z845" s="0" t="n">
        <v>3</v>
      </c>
      <c r="AA845" s="189" t="s">
        <v>2125</v>
      </c>
    </row>
    <row r="846" customFormat="false" ht="15" hidden="false" customHeight="false" outlineLevel="0" collapsed="false">
      <c r="A846" s="0" t="n">
        <v>172</v>
      </c>
      <c r="B846" s="191" t="n">
        <v>46091.8718071356</v>
      </c>
      <c r="C846" s="191" t="n">
        <v>46091.8752677838</v>
      </c>
      <c r="D846" s="189" t="s">
        <v>1344</v>
      </c>
      <c r="E846" s="189" t="s">
        <v>1345</v>
      </c>
      <c r="F846" s="189" t="s">
        <v>1345</v>
      </c>
      <c r="G846" s="189" t="s">
        <v>1346</v>
      </c>
      <c r="H846" s="191" t="n">
        <v>46072</v>
      </c>
      <c r="I846" s="189" t="s">
        <v>113</v>
      </c>
      <c r="J846" s="189" t="s">
        <v>128</v>
      </c>
      <c r="K846" s="189" t="s">
        <v>1347</v>
      </c>
      <c r="L846" s="189" t="s">
        <v>144</v>
      </c>
      <c r="M846" s="189" t="s">
        <v>1313</v>
      </c>
      <c r="N846" s="189" t="s">
        <v>1094</v>
      </c>
      <c r="O846" s="189" t="s">
        <v>750</v>
      </c>
      <c r="P846" s="189" t="s">
        <v>111</v>
      </c>
      <c r="Q846" s="189" t="s">
        <v>112</v>
      </c>
      <c r="R846" s="189" t="s">
        <v>22</v>
      </c>
      <c r="S846" s="189" t="s">
        <v>152</v>
      </c>
      <c r="T846" s="189" t="s">
        <v>121</v>
      </c>
      <c r="U846" s="189" t="s">
        <v>122</v>
      </c>
      <c r="V846" s="189" t="s">
        <v>192</v>
      </c>
      <c r="W846" s="189" t="s">
        <v>139</v>
      </c>
      <c r="X846" s="189" t="s">
        <v>116</v>
      </c>
      <c r="Y846" s="189" t="s">
        <v>2110</v>
      </c>
      <c r="Z846" s="0" t="n">
        <v>1</v>
      </c>
      <c r="AA846" s="189" t="s">
        <v>2126</v>
      </c>
    </row>
    <row r="847" customFormat="false" ht="15" hidden="false" customHeight="false" outlineLevel="0" collapsed="false">
      <c r="A847" s="0" t="n">
        <v>172</v>
      </c>
      <c r="B847" s="191" t="n">
        <v>46091.8718071356</v>
      </c>
      <c r="C847" s="191" t="n">
        <v>46091.8752677838</v>
      </c>
      <c r="D847" s="189" t="s">
        <v>1344</v>
      </c>
      <c r="E847" s="189" t="s">
        <v>1345</v>
      </c>
      <c r="F847" s="189" t="s">
        <v>1345</v>
      </c>
      <c r="G847" s="189" t="s">
        <v>1346</v>
      </c>
      <c r="H847" s="191" t="n">
        <v>46072</v>
      </c>
      <c r="I847" s="189" t="s">
        <v>113</v>
      </c>
      <c r="J847" s="189" t="s">
        <v>128</v>
      </c>
      <c r="K847" s="189" t="s">
        <v>1347</v>
      </c>
      <c r="L847" s="189" t="s">
        <v>144</v>
      </c>
      <c r="M847" s="189" t="s">
        <v>1313</v>
      </c>
      <c r="N847" s="189" t="s">
        <v>1094</v>
      </c>
      <c r="O847" s="189" t="s">
        <v>750</v>
      </c>
      <c r="P847" s="189" t="s">
        <v>111</v>
      </c>
      <c r="Q847" s="189" t="s">
        <v>112</v>
      </c>
      <c r="R847" s="189" t="s">
        <v>22</v>
      </c>
      <c r="S847" s="189" t="s">
        <v>152</v>
      </c>
      <c r="T847" s="189" t="s">
        <v>121</v>
      </c>
      <c r="U847" s="189" t="s">
        <v>122</v>
      </c>
      <c r="V847" s="189" t="s">
        <v>192</v>
      </c>
      <c r="W847" s="189" t="s">
        <v>139</v>
      </c>
      <c r="X847" s="189" t="s">
        <v>116</v>
      </c>
      <c r="Y847" s="189" t="s">
        <v>2113</v>
      </c>
      <c r="Z847" s="0" t="n">
        <v>1</v>
      </c>
      <c r="AA847" s="189" t="s">
        <v>122</v>
      </c>
    </row>
    <row r="848" customFormat="false" ht="15" hidden="false" customHeight="false" outlineLevel="0" collapsed="false">
      <c r="A848" s="0" t="n">
        <v>173</v>
      </c>
      <c r="B848" s="191" t="n">
        <v>46209.8980203803</v>
      </c>
      <c r="C848" s="191" t="n">
        <v>46209.9145134359</v>
      </c>
      <c r="D848" s="189" t="s">
        <v>1349</v>
      </c>
      <c r="E848" s="189" t="s">
        <v>1350</v>
      </c>
      <c r="F848" s="189" t="s">
        <v>1351</v>
      </c>
      <c r="G848" s="189" t="s">
        <v>1352</v>
      </c>
      <c r="H848" s="191" t="n">
        <v>46203</v>
      </c>
      <c r="I848" s="189" t="s">
        <v>113</v>
      </c>
      <c r="J848" s="189" t="s">
        <v>108</v>
      </c>
      <c r="K848" s="189" t="s">
        <v>1353</v>
      </c>
      <c r="L848" s="189" t="s">
        <v>130</v>
      </c>
      <c r="M848" s="189" t="s">
        <v>594</v>
      </c>
      <c r="N848" s="189" t="s">
        <v>905</v>
      </c>
      <c r="O848" s="189" t="s">
        <v>244</v>
      </c>
      <c r="P848" s="189" t="s">
        <v>111</v>
      </c>
      <c r="Q848" s="189" t="s">
        <v>112</v>
      </c>
      <c r="R848" s="189" t="s">
        <v>22</v>
      </c>
      <c r="S848" s="189" t="s">
        <v>120</v>
      </c>
      <c r="T848" s="189" t="s">
        <v>121</v>
      </c>
      <c r="U848" s="189" t="s">
        <v>153</v>
      </c>
      <c r="V848" s="189" t="s">
        <v>167</v>
      </c>
      <c r="W848" s="189" t="s">
        <v>124</v>
      </c>
      <c r="X848" s="189" t="s">
        <v>135</v>
      </c>
      <c r="Y848" s="189" t="s">
        <v>2108</v>
      </c>
      <c r="Z848" s="0" t="n">
        <v>1</v>
      </c>
      <c r="AA848" s="189" t="s">
        <v>2115</v>
      </c>
    </row>
    <row r="849" customFormat="false" ht="15" hidden="false" customHeight="false" outlineLevel="0" collapsed="false">
      <c r="A849" s="0" t="n">
        <v>173</v>
      </c>
      <c r="B849" s="191" t="n">
        <v>46209.8980203803</v>
      </c>
      <c r="C849" s="191" t="n">
        <v>46209.9145134359</v>
      </c>
      <c r="D849" s="189" t="s">
        <v>1349</v>
      </c>
      <c r="E849" s="189" t="s">
        <v>1350</v>
      </c>
      <c r="F849" s="189" t="s">
        <v>1351</v>
      </c>
      <c r="G849" s="189" t="s">
        <v>1352</v>
      </c>
      <c r="H849" s="191" t="n">
        <v>46203</v>
      </c>
      <c r="I849" s="189" t="s">
        <v>113</v>
      </c>
      <c r="J849" s="189" t="s">
        <v>108</v>
      </c>
      <c r="K849" s="189" t="s">
        <v>1353</v>
      </c>
      <c r="L849" s="189" t="s">
        <v>130</v>
      </c>
      <c r="M849" s="189" t="s">
        <v>594</v>
      </c>
      <c r="N849" s="189" t="s">
        <v>905</v>
      </c>
      <c r="O849" s="189" t="s">
        <v>244</v>
      </c>
      <c r="P849" s="189" t="s">
        <v>111</v>
      </c>
      <c r="Q849" s="189" t="s">
        <v>112</v>
      </c>
      <c r="R849" s="189" t="s">
        <v>22</v>
      </c>
      <c r="S849" s="189" t="s">
        <v>120</v>
      </c>
      <c r="T849" s="189" t="s">
        <v>121</v>
      </c>
      <c r="U849" s="189" t="s">
        <v>153</v>
      </c>
      <c r="V849" s="189" t="s">
        <v>167</v>
      </c>
      <c r="W849" s="189" t="s">
        <v>124</v>
      </c>
      <c r="X849" s="189" t="s">
        <v>135</v>
      </c>
      <c r="Y849" s="189" t="s">
        <v>2110</v>
      </c>
      <c r="Z849" s="0" t="n">
        <v>1</v>
      </c>
      <c r="AA849" s="189" t="s">
        <v>2229</v>
      </c>
    </row>
    <row r="850" customFormat="false" ht="15" hidden="false" customHeight="false" outlineLevel="0" collapsed="false">
      <c r="A850" s="0" t="n">
        <v>173</v>
      </c>
      <c r="B850" s="191" t="n">
        <v>46209.8980203803</v>
      </c>
      <c r="C850" s="191" t="n">
        <v>46209.9145134359</v>
      </c>
      <c r="D850" s="189" t="s">
        <v>1349</v>
      </c>
      <c r="E850" s="189" t="s">
        <v>1350</v>
      </c>
      <c r="F850" s="189" t="s">
        <v>1351</v>
      </c>
      <c r="G850" s="189" t="s">
        <v>1352</v>
      </c>
      <c r="H850" s="191" t="n">
        <v>46203</v>
      </c>
      <c r="I850" s="189" t="s">
        <v>113</v>
      </c>
      <c r="J850" s="189" t="s">
        <v>108</v>
      </c>
      <c r="K850" s="189" t="s">
        <v>1353</v>
      </c>
      <c r="L850" s="189" t="s">
        <v>130</v>
      </c>
      <c r="M850" s="189" t="s">
        <v>594</v>
      </c>
      <c r="N850" s="189" t="s">
        <v>905</v>
      </c>
      <c r="O850" s="189" t="s">
        <v>244</v>
      </c>
      <c r="P850" s="189" t="s">
        <v>111</v>
      </c>
      <c r="Q850" s="189" t="s">
        <v>112</v>
      </c>
      <c r="R850" s="189" t="s">
        <v>22</v>
      </c>
      <c r="S850" s="189" t="s">
        <v>120</v>
      </c>
      <c r="T850" s="189" t="s">
        <v>121</v>
      </c>
      <c r="U850" s="189" t="s">
        <v>153</v>
      </c>
      <c r="V850" s="189" t="s">
        <v>167</v>
      </c>
      <c r="W850" s="189" t="s">
        <v>124</v>
      </c>
      <c r="X850" s="189" t="s">
        <v>135</v>
      </c>
      <c r="Y850" s="189" t="s">
        <v>2110</v>
      </c>
      <c r="Z850" s="0" t="n">
        <v>2</v>
      </c>
      <c r="AA850" s="189" t="s">
        <v>2195</v>
      </c>
    </row>
    <row r="851" customFormat="false" ht="15" hidden="false" customHeight="false" outlineLevel="0" collapsed="false">
      <c r="A851" s="0" t="n">
        <v>173</v>
      </c>
      <c r="B851" s="191" t="n">
        <v>46209.8980203803</v>
      </c>
      <c r="C851" s="191" t="n">
        <v>46209.9145134359</v>
      </c>
      <c r="D851" s="189" t="s">
        <v>1349</v>
      </c>
      <c r="E851" s="189" t="s">
        <v>1350</v>
      </c>
      <c r="F851" s="189" t="s">
        <v>1351</v>
      </c>
      <c r="G851" s="189" t="s">
        <v>1352</v>
      </c>
      <c r="H851" s="191" t="n">
        <v>46203</v>
      </c>
      <c r="I851" s="189" t="s">
        <v>113</v>
      </c>
      <c r="J851" s="189" t="s">
        <v>108</v>
      </c>
      <c r="K851" s="189" t="s">
        <v>1353</v>
      </c>
      <c r="L851" s="189" t="s">
        <v>130</v>
      </c>
      <c r="M851" s="189" t="s">
        <v>594</v>
      </c>
      <c r="N851" s="189" t="s">
        <v>905</v>
      </c>
      <c r="O851" s="189" t="s">
        <v>244</v>
      </c>
      <c r="P851" s="189" t="s">
        <v>111</v>
      </c>
      <c r="Q851" s="189" t="s">
        <v>112</v>
      </c>
      <c r="R851" s="189" t="s">
        <v>22</v>
      </c>
      <c r="S851" s="189" t="s">
        <v>120</v>
      </c>
      <c r="T851" s="189" t="s">
        <v>121</v>
      </c>
      <c r="U851" s="189" t="s">
        <v>153</v>
      </c>
      <c r="V851" s="189" t="s">
        <v>167</v>
      </c>
      <c r="W851" s="189" t="s">
        <v>124</v>
      </c>
      <c r="X851" s="189" t="s">
        <v>135</v>
      </c>
      <c r="Y851" s="189" t="s">
        <v>2113</v>
      </c>
      <c r="Z851" s="0" t="n">
        <v>1</v>
      </c>
      <c r="AA851" s="189" t="s">
        <v>122</v>
      </c>
    </row>
    <row r="852" customFormat="false" ht="15" hidden="false" customHeight="false" outlineLevel="0" collapsed="false">
      <c r="A852" s="0" t="n">
        <v>173</v>
      </c>
      <c r="B852" s="191" t="n">
        <v>46209.8980203803</v>
      </c>
      <c r="C852" s="191" t="n">
        <v>46209.9145134359</v>
      </c>
      <c r="D852" s="189" t="s">
        <v>1349</v>
      </c>
      <c r="E852" s="189" t="s">
        <v>1350</v>
      </c>
      <c r="F852" s="189" t="s">
        <v>1351</v>
      </c>
      <c r="G852" s="189" t="s">
        <v>1352</v>
      </c>
      <c r="H852" s="191" t="n">
        <v>46203</v>
      </c>
      <c r="I852" s="189" t="s">
        <v>113</v>
      </c>
      <c r="J852" s="189" t="s">
        <v>108</v>
      </c>
      <c r="K852" s="189" t="s">
        <v>1353</v>
      </c>
      <c r="L852" s="189" t="s">
        <v>130</v>
      </c>
      <c r="M852" s="189" t="s">
        <v>594</v>
      </c>
      <c r="N852" s="189" t="s">
        <v>905</v>
      </c>
      <c r="O852" s="189" t="s">
        <v>244</v>
      </c>
      <c r="P852" s="189" t="s">
        <v>111</v>
      </c>
      <c r="Q852" s="189" t="s">
        <v>112</v>
      </c>
      <c r="R852" s="189" t="s">
        <v>22</v>
      </c>
      <c r="S852" s="189" t="s">
        <v>120</v>
      </c>
      <c r="T852" s="189" t="s">
        <v>121</v>
      </c>
      <c r="U852" s="189" t="s">
        <v>153</v>
      </c>
      <c r="V852" s="189" t="s">
        <v>167</v>
      </c>
      <c r="W852" s="189" t="s">
        <v>124</v>
      </c>
      <c r="X852" s="189" t="s">
        <v>135</v>
      </c>
      <c r="Y852" s="189" t="s">
        <v>2113</v>
      </c>
      <c r="Z852" s="0" t="n">
        <v>2</v>
      </c>
      <c r="AA852" s="189" t="s">
        <v>2247</v>
      </c>
    </row>
    <row r="853" customFormat="false" ht="15" hidden="false" customHeight="false" outlineLevel="0" collapsed="false">
      <c r="A853" s="0" t="n">
        <v>174</v>
      </c>
      <c r="B853" s="191" t="n">
        <v>46165.6587112971</v>
      </c>
      <c r="C853" s="191" t="n">
        <v>46165.672449723</v>
      </c>
      <c r="D853" s="189" t="s">
        <v>1356</v>
      </c>
      <c r="E853" s="189" t="s">
        <v>1357</v>
      </c>
      <c r="F853" s="189" t="s">
        <v>1357</v>
      </c>
      <c r="G853" s="189" t="s">
        <v>1358</v>
      </c>
      <c r="H853" s="191" t="n">
        <v>46155</v>
      </c>
      <c r="I853" s="189" t="s">
        <v>132</v>
      </c>
      <c r="J853" s="189" t="s">
        <v>108</v>
      </c>
      <c r="K853" s="189" t="s">
        <v>257</v>
      </c>
      <c r="L853" s="189" t="s">
        <v>491</v>
      </c>
      <c r="M853" s="189" t="s">
        <v>612</v>
      </c>
      <c r="N853" s="189" t="s">
        <v>1323</v>
      </c>
      <c r="O853" s="189" t="s">
        <v>244</v>
      </c>
      <c r="P853" s="189" t="s">
        <v>111</v>
      </c>
      <c r="Q853" s="189" t="s">
        <v>112</v>
      </c>
      <c r="R853" s="189" t="s">
        <v>22</v>
      </c>
      <c r="S853" s="189" t="s">
        <v>152</v>
      </c>
      <c r="T853" s="189" t="s">
        <v>121</v>
      </c>
      <c r="U853" s="189" t="s">
        <v>1361</v>
      </c>
      <c r="V853" s="189" t="s">
        <v>192</v>
      </c>
      <c r="W853" s="189" t="s">
        <v>139</v>
      </c>
      <c r="X853" s="189" t="s">
        <v>298</v>
      </c>
      <c r="Y853" s="189" t="s">
        <v>2108</v>
      </c>
      <c r="Z853" s="0" t="n">
        <v>1</v>
      </c>
      <c r="AA853" s="189" t="s">
        <v>2239</v>
      </c>
    </row>
    <row r="854" customFormat="false" ht="15" hidden="false" customHeight="false" outlineLevel="0" collapsed="false">
      <c r="A854" s="0" t="n">
        <v>174</v>
      </c>
      <c r="B854" s="191" t="n">
        <v>46165.6587112971</v>
      </c>
      <c r="C854" s="191" t="n">
        <v>46165.672449723</v>
      </c>
      <c r="D854" s="189" t="s">
        <v>1356</v>
      </c>
      <c r="E854" s="189" t="s">
        <v>1357</v>
      </c>
      <c r="F854" s="189" t="s">
        <v>1357</v>
      </c>
      <c r="G854" s="189" t="s">
        <v>1358</v>
      </c>
      <c r="H854" s="191" t="n">
        <v>46155</v>
      </c>
      <c r="I854" s="189" t="s">
        <v>132</v>
      </c>
      <c r="J854" s="189" t="s">
        <v>108</v>
      </c>
      <c r="K854" s="189" t="s">
        <v>257</v>
      </c>
      <c r="L854" s="189" t="s">
        <v>491</v>
      </c>
      <c r="M854" s="189" t="s">
        <v>612</v>
      </c>
      <c r="N854" s="189" t="s">
        <v>1323</v>
      </c>
      <c r="O854" s="189" t="s">
        <v>244</v>
      </c>
      <c r="P854" s="189" t="s">
        <v>111</v>
      </c>
      <c r="Q854" s="189" t="s">
        <v>112</v>
      </c>
      <c r="R854" s="189" t="s">
        <v>22</v>
      </c>
      <c r="S854" s="189" t="s">
        <v>152</v>
      </c>
      <c r="T854" s="189" t="s">
        <v>121</v>
      </c>
      <c r="U854" s="189" t="s">
        <v>1361</v>
      </c>
      <c r="V854" s="189" t="s">
        <v>192</v>
      </c>
      <c r="W854" s="189" t="s">
        <v>139</v>
      </c>
      <c r="X854" s="189" t="s">
        <v>298</v>
      </c>
      <c r="Y854" s="189" t="s">
        <v>2108</v>
      </c>
      <c r="Z854" s="0" t="n">
        <v>2</v>
      </c>
      <c r="AA854" s="189" t="s">
        <v>2169</v>
      </c>
    </row>
    <row r="855" customFormat="false" ht="15" hidden="false" customHeight="false" outlineLevel="0" collapsed="false">
      <c r="A855" s="0" t="n">
        <v>174</v>
      </c>
      <c r="B855" s="191" t="n">
        <v>46165.6587112971</v>
      </c>
      <c r="C855" s="191" t="n">
        <v>46165.672449723</v>
      </c>
      <c r="D855" s="189" t="s">
        <v>1356</v>
      </c>
      <c r="E855" s="189" t="s">
        <v>1357</v>
      </c>
      <c r="F855" s="189" t="s">
        <v>1357</v>
      </c>
      <c r="G855" s="189" t="s">
        <v>1358</v>
      </c>
      <c r="H855" s="191" t="n">
        <v>46155</v>
      </c>
      <c r="I855" s="189" t="s">
        <v>132</v>
      </c>
      <c r="J855" s="189" t="s">
        <v>108</v>
      </c>
      <c r="K855" s="189" t="s">
        <v>257</v>
      </c>
      <c r="L855" s="189" t="s">
        <v>491</v>
      </c>
      <c r="M855" s="189" t="s">
        <v>612</v>
      </c>
      <c r="N855" s="189" t="s">
        <v>1323</v>
      </c>
      <c r="O855" s="189" t="s">
        <v>244</v>
      </c>
      <c r="P855" s="189" t="s">
        <v>111</v>
      </c>
      <c r="Q855" s="189" t="s">
        <v>112</v>
      </c>
      <c r="R855" s="189" t="s">
        <v>22</v>
      </c>
      <c r="S855" s="189" t="s">
        <v>152</v>
      </c>
      <c r="T855" s="189" t="s">
        <v>121</v>
      </c>
      <c r="U855" s="189" t="s">
        <v>1361</v>
      </c>
      <c r="V855" s="189" t="s">
        <v>192</v>
      </c>
      <c r="W855" s="189" t="s">
        <v>139</v>
      </c>
      <c r="X855" s="189" t="s">
        <v>298</v>
      </c>
      <c r="Y855" s="189" t="s">
        <v>2108</v>
      </c>
      <c r="Z855" s="0" t="n">
        <v>3</v>
      </c>
      <c r="AA855" s="189" t="s">
        <v>2238</v>
      </c>
    </row>
    <row r="856" customFormat="false" ht="15" hidden="false" customHeight="false" outlineLevel="0" collapsed="false">
      <c r="A856" s="0" t="n">
        <v>174</v>
      </c>
      <c r="B856" s="191" t="n">
        <v>46165.6587112971</v>
      </c>
      <c r="C856" s="191" t="n">
        <v>46165.672449723</v>
      </c>
      <c r="D856" s="189" t="s">
        <v>1356</v>
      </c>
      <c r="E856" s="189" t="s">
        <v>1357</v>
      </c>
      <c r="F856" s="189" t="s">
        <v>1357</v>
      </c>
      <c r="G856" s="189" t="s">
        <v>1358</v>
      </c>
      <c r="H856" s="191" t="n">
        <v>46155</v>
      </c>
      <c r="I856" s="189" t="s">
        <v>132</v>
      </c>
      <c r="J856" s="189" t="s">
        <v>108</v>
      </c>
      <c r="K856" s="189" t="s">
        <v>257</v>
      </c>
      <c r="L856" s="189" t="s">
        <v>491</v>
      </c>
      <c r="M856" s="189" t="s">
        <v>612</v>
      </c>
      <c r="N856" s="189" t="s">
        <v>1323</v>
      </c>
      <c r="O856" s="189" t="s">
        <v>244</v>
      </c>
      <c r="P856" s="189" t="s">
        <v>111</v>
      </c>
      <c r="Q856" s="189" t="s">
        <v>112</v>
      </c>
      <c r="R856" s="189" t="s">
        <v>22</v>
      </c>
      <c r="S856" s="189" t="s">
        <v>152</v>
      </c>
      <c r="T856" s="189" t="s">
        <v>121</v>
      </c>
      <c r="U856" s="189" t="s">
        <v>1361</v>
      </c>
      <c r="V856" s="189" t="s">
        <v>192</v>
      </c>
      <c r="W856" s="189" t="s">
        <v>139</v>
      </c>
      <c r="X856" s="189" t="s">
        <v>298</v>
      </c>
      <c r="Y856" s="189" t="s">
        <v>2110</v>
      </c>
      <c r="Z856" s="0" t="n">
        <v>1</v>
      </c>
      <c r="AA856" s="189" t="s">
        <v>2281</v>
      </c>
    </row>
    <row r="857" customFormat="false" ht="15" hidden="false" customHeight="false" outlineLevel="0" collapsed="false">
      <c r="A857" s="0" t="n">
        <v>174</v>
      </c>
      <c r="B857" s="191" t="n">
        <v>46165.6587112971</v>
      </c>
      <c r="C857" s="191" t="n">
        <v>46165.672449723</v>
      </c>
      <c r="D857" s="189" t="s">
        <v>1356</v>
      </c>
      <c r="E857" s="189" t="s">
        <v>1357</v>
      </c>
      <c r="F857" s="189" t="s">
        <v>1357</v>
      </c>
      <c r="G857" s="189" t="s">
        <v>1358</v>
      </c>
      <c r="H857" s="191" t="n">
        <v>46155</v>
      </c>
      <c r="I857" s="189" t="s">
        <v>132</v>
      </c>
      <c r="J857" s="189" t="s">
        <v>108</v>
      </c>
      <c r="K857" s="189" t="s">
        <v>257</v>
      </c>
      <c r="L857" s="189" t="s">
        <v>491</v>
      </c>
      <c r="M857" s="189" t="s">
        <v>612</v>
      </c>
      <c r="N857" s="189" t="s">
        <v>1323</v>
      </c>
      <c r="O857" s="189" t="s">
        <v>244</v>
      </c>
      <c r="P857" s="189" t="s">
        <v>111</v>
      </c>
      <c r="Q857" s="189" t="s">
        <v>112</v>
      </c>
      <c r="R857" s="189" t="s">
        <v>22</v>
      </c>
      <c r="S857" s="189" t="s">
        <v>152</v>
      </c>
      <c r="T857" s="189" t="s">
        <v>121</v>
      </c>
      <c r="U857" s="189" t="s">
        <v>1361</v>
      </c>
      <c r="V857" s="189" t="s">
        <v>192</v>
      </c>
      <c r="W857" s="189" t="s">
        <v>139</v>
      </c>
      <c r="X857" s="189" t="s">
        <v>298</v>
      </c>
      <c r="Y857" s="189" t="s">
        <v>2113</v>
      </c>
      <c r="Z857" s="0" t="n">
        <v>1</v>
      </c>
      <c r="AA857" s="189" t="s">
        <v>2313</v>
      </c>
    </row>
    <row r="858" customFormat="false" ht="15" hidden="false" customHeight="false" outlineLevel="0" collapsed="false">
      <c r="A858" s="0" t="n">
        <v>174</v>
      </c>
      <c r="B858" s="191" t="n">
        <v>46165.6587112971</v>
      </c>
      <c r="C858" s="191" t="n">
        <v>46165.672449723</v>
      </c>
      <c r="D858" s="189" t="s">
        <v>1356</v>
      </c>
      <c r="E858" s="189" t="s">
        <v>1357</v>
      </c>
      <c r="F858" s="189" t="s">
        <v>1357</v>
      </c>
      <c r="G858" s="189" t="s">
        <v>1358</v>
      </c>
      <c r="H858" s="191" t="n">
        <v>46155</v>
      </c>
      <c r="I858" s="189" t="s">
        <v>132</v>
      </c>
      <c r="J858" s="189" t="s">
        <v>108</v>
      </c>
      <c r="K858" s="189" t="s">
        <v>257</v>
      </c>
      <c r="L858" s="189" t="s">
        <v>491</v>
      </c>
      <c r="M858" s="189" t="s">
        <v>612</v>
      </c>
      <c r="N858" s="189" t="s">
        <v>1323</v>
      </c>
      <c r="O858" s="189" t="s">
        <v>244</v>
      </c>
      <c r="P858" s="189" t="s">
        <v>111</v>
      </c>
      <c r="Q858" s="189" t="s">
        <v>112</v>
      </c>
      <c r="R858" s="189" t="s">
        <v>22</v>
      </c>
      <c r="S858" s="189" t="s">
        <v>152</v>
      </c>
      <c r="T858" s="189" t="s">
        <v>121</v>
      </c>
      <c r="U858" s="189" t="s">
        <v>1361</v>
      </c>
      <c r="V858" s="189" t="s">
        <v>192</v>
      </c>
      <c r="W858" s="189" t="s">
        <v>139</v>
      </c>
      <c r="X858" s="189" t="s">
        <v>298</v>
      </c>
      <c r="Y858" s="189" t="s">
        <v>2113</v>
      </c>
      <c r="Z858" s="0" t="n">
        <v>2</v>
      </c>
      <c r="AA858" s="189" t="s">
        <v>2317</v>
      </c>
    </row>
    <row r="859" customFormat="false" ht="15" hidden="false" customHeight="false" outlineLevel="0" collapsed="false">
      <c r="A859" s="0" t="n">
        <v>175</v>
      </c>
      <c r="B859" s="191" t="n">
        <v>46119.4896883806</v>
      </c>
      <c r="C859" s="191" t="n">
        <v>46119.5096768066</v>
      </c>
      <c r="D859" s="189" t="s">
        <v>1362</v>
      </c>
      <c r="E859" s="189" t="s">
        <v>1363</v>
      </c>
      <c r="F859" s="189" t="s">
        <v>1363</v>
      </c>
      <c r="G859" s="189" t="s">
        <v>1364</v>
      </c>
      <c r="H859" s="191" t="n">
        <v>46117</v>
      </c>
      <c r="I859" s="189" t="s">
        <v>305</v>
      </c>
      <c r="J859" s="189" t="s">
        <v>108</v>
      </c>
      <c r="K859" s="189" t="s">
        <v>364</v>
      </c>
      <c r="L859" s="189" t="s">
        <v>286</v>
      </c>
      <c r="M859" s="189" t="s">
        <v>477</v>
      </c>
      <c r="N859" s="189" t="s">
        <v>1050</v>
      </c>
      <c r="O859" s="189" t="s">
        <v>172</v>
      </c>
      <c r="P859" s="189" t="s">
        <v>111</v>
      </c>
      <c r="Q859" s="189" t="s">
        <v>112</v>
      </c>
      <c r="R859" s="189" t="s">
        <v>22</v>
      </c>
      <c r="S859" s="189" t="s">
        <v>152</v>
      </c>
      <c r="T859" s="189" t="s">
        <v>121</v>
      </c>
      <c r="U859" s="189" t="s">
        <v>122</v>
      </c>
      <c r="V859" s="189" t="s">
        <v>167</v>
      </c>
      <c r="W859" s="189" t="s">
        <v>124</v>
      </c>
      <c r="X859" s="189" t="s">
        <v>148</v>
      </c>
      <c r="Y859" s="189" t="s">
        <v>2108</v>
      </c>
      <c r="Z859" s="0" t="n">
        <v>1</v>
      </c>
      <c r="AA859" s="189" t="s">
        <v>2136</v>
      </c>
    </row>
    <row r="860" customFormat="false" ht="15" hidden="false" customHeight="false" outlineLevel="0" collapsed="false">
      <c r="A860" s="0" t="n">
        <v>175</v>
      </c>
      <c r="B860" s="191" t="n">
        <v>46119.4896883806</v>
      </c>
      <c r="C860" s="191" t="n">
        <v>46119.5096768066</v>
      </c>
      <c r="D860" s="189" t="s">
        <v>1362</v>
      </c>
      <c r="E860" s="189" t="s">
        <v>1363</v>
      </c>
      <c r="F860" s="189" t="s">
        <v>1363</v>
      </c>
      <c r="G860" s="189" t="s">
        <v>1364</v>
      </c>
      <c r="H860" s="191" t="n">
        <v>46117</v>
      </c>
      <c r="I860" s="189" t="s">
        <v>305</v>
      </c>
      <c r="J860" s="189" t="s">
        <v>108</v>
      </c>
      <c r="K860" s="189" t="s">
        <v>364</v>
      </c>
      <c r="L860" s="189" t="s">
        <v>286</v>
      </c>
      <c r="M860" s="189" t="s">
        <v>477</v>
      </c>
      <c r="N860" s="189" t="s">
        <v>1050</v>
      </c>
      <c r="O860" s="189" t="s">
        <v>172</v>
      </c>
      <c r="P860" s="189" t="s">
        <v>111</v>
      </c>
      <c r="Q860" s="189" t="s">
        <v>112</v>
      </c>
      <c r="R860" s="189" t="s">
        <v>22</v>
      </c>
      <c r="S860" s="189" t="s">
        <v>152</v>
      </c>
      <c r="T860" s="189" t="s">
        <v>121</v>
      </c>
      <c r="U860" s="189" t="s">
        <v>122</v>
      </c>
      <c r="V860" s="189" t="s">
        <v>167</v>
      </c>
      <c r="W860" s="189" t="s">
        <v>124</v>
      </c>
      <c r="X860" s="189" t="s">
        <v>148</v>
      </c>
      <c r="Y860" s="189" t="s">
        <v>2108</v>
      </c>
      <c r="Z860" s="0" t="n">
        <v>2</v>
      </c>
      <c r="AA860" s="189" t="s">
        <v>2120</v>
      </c>
    </row>
    <row r="861" customFormat="false" ht="15" hidden="false" customHeight="false" outlineLevel="0" collapsed="false">
      <c r="A861" s="0" t="n">
        <v>175</v>
      </c>
      <c r="B861" s="191" t="n">
        <v>46119.4896883806</v>
      </c>
      <c r="C861" s="191" t="n">
        <v>46119.5096768066</v>
      </c>
      <c r="D861" s="189" t="s">
        <v>1362</v>
      </c>
      <c r="E861" s="189" t="s">
        <v>1363</v>
      </c>
      <c r="F861" s="189" t="s">
        <v>1363</v>
      </c>
      <c r="G861" s="189" t="s">
        <v>1364</v>
      </c>
      <c r="H861" s="191" t="n">
        <v>46117</v>
      </c>
      <c r="I861" s="189" t="s">
        <v>305</v>
      </c>
      <c r="J861" s="189" t="s">
        <v>108</v>
      </c>
      <c r="K861" s="189" t="s">
        <v>364</v>
      </c>
      <c r="L861" s="189" t="s">
        <v>286</v>
      </c>
      <c r="M861" s="189" t="s">
        <v>477</v>
      </c>
      <c r="N861" s="189" t="s">
        <v>1050</v>
      </c>
      <c r="O861" s="189" t="s">
        <v>172</v>
      </c>
      <c r="P861" s="189" t="s">
        <v>111</v>
      </c>
      <c r="Q861" s="189" t="s">
        <v>112</v>
      </c>
      <c r="R861" s="189" t="s">
        <v>22</v>
      </c>
      <c r="S861" s="189" t="s">
        <v>152</v>
      </c>
      <c r="T861" s="189" t="s">
        <v>121</v>
      </c>
      <c r="U861" s="189" t="s">
        <v>122</v>
      </c>
      <c r="V861" s="189" t="s">
        <v>167</v>
      </c>
      <c r="W861" s="189" t="s">
        <v>124</v>
      </c>
      <c r="X861" s="189" t="s">
        <v>148</v>
      </c>
      <c r="Y861" s="189" t="s">
        <v>2108</v>
      </c>
      <c r="Z861" s="0" t="n">
        <v>3</v>
      </c>
      <c r="AA861" s="189" t="s">
        <v>2230</v>
      </c>
    </row>
    <row r="862" customFormat="false" ht="15" hidden="false" customHeight="false" outlineLevel="0" collapsed="false">
      <c r="A862" s="0" t="n">
        <v>175</v>
      </c>
      <c r="B862" s="191" t="n">
        <v>46119.4896883806</v>
      </c>
      <c r="C862" s="191" t="n">
        <v>46119.5096768066</v>
      </c>
      <c r="D862" s="189" t="s">
        <v>1362</v>
      </c>
      <c r="E862" s="189" t="s">
        <v>1363</v>
      </c>
      <c r="F862" s="189" t="s">
        <v>1363</v>
      </c>
      <c r="G862" s="189" t="s">
        <v>1364</v>
      </c>
      <c r="H862" s="191" t="n">
        <v>46117</v>
      </c>
      <c r="I862" s="189" t="s">
        <v>305</v>
      </c>
      <c r="J862" s="189" t="s">
        <v>108</v>
      </c>
      <c r="K862" s="189" t="s">
        <v>364</v>
      </c>
      <c r="L862" s="189" t="s">
        <v>286</v>
      </c>
      <c r="M862" s="189" t="s">
        <v>477</v>
      </c>
      <c r="N862" s="189" t="s">
        <v>1050</v>
      </c>
      <c r="O862" s="189" t="s">
        <v>172</v>
      </c>
      <c r="P862" s="189" t="s">
        <v>111</v>
      </c>
      <c r="Q862" s="189" t="s">
        <v>112</v>
      </c>
      <c r="R862" s="189" t="s">
        <v>22</v>
      </c>
      <c r="S862" s="189" t="s">
        <v>152</v>
      </c>
      <c r="T862" s="189" t="s">
        <v>121</v>
      </c>
      <c r="U862" s="189" t="s">
        <v>122</v>
      </c>
      <c r="V862" s="189" t="s">
        <v>167</v>
      </c>
      <c r="W862" s="189" t="s">
        <v>124</v>
      </c>
      <c r="X862" s="189" t="s">
        <v>148</v>
      </c>
      <c r="Y862" s="189" t="s">
        <v>2110</v>
      </c>
      <c r="Z862" s="0" t="n">
        <v>1</v>
      </c>
      <c r="AA862" s="189" t="s">
        <v>2122</v>
      </c>
    </row>
    <row r="863" customFormat="false" ht="15" hidden="false" customHeight="false" outlineLevel="0" collapsed="false">
      <c r="A863" s="0" t="n">
        <v>175</v>
      </c>
      <c r="B863" s="191" t="n">
        <v>46119.4896883806</v>
      </c>
      <c r="C863" s="191" t="n">
        <v>46119.5096768066</v>
      </c>
      <c r="D863" s="189" t="s">
        <v>1362</v>
      </c>
      <c r="E863" s="189" t="s">
        <v>1363</v>
      </c>
      <c r="F863" s="189" t="s">
        <v>1363</v>
      </c>
      <c r="G863" s="189" t="s">
        <v>1364</v>
      </c>
      <c r="H863" s="191" t="n">
        <v>46117</v>
      </c>
      <c r="I863" s="189" t="s">
        <v>305</v>
      </c>
      <c r="J863" s="189" t="s">
        <v>108</v>
      </c>
      <c r="K863" s="189" t="s">
        <v>364</v>
      </c>
      <c r="L863" s="189" t="s">
        <v>286</v>
      </c>
      <c r="M863" s="189" t="s">
        <v>477</v>
      </c>
      <c r="N863" s="189" t="s">
        <v>1050</v>
      </c>
      <c r="O863" s="189" t="s">
        <v>172</v>
      </c>
      <c r="P863" s="189" t="s">
        <v>111</v>
      </c>
      <c r="Q863" s="189" t="s">
        <v>112</v>
      </c>
      <c r="R863" s="189" t="s">
        <v>22</v>
      </c>
      <c r="S863" s="189" t="s">
        <v>152</v>
      </c>
      <c r="T863" s="189" t="s">
        <v>121</v>
      </c>
      <c r="U863" s="189" t="s">
        <v>122</v>
      </c>
      <c r="V863" s="189" t="s">
        <v>167</v>
      </c>
      <c r="W863" s="189" t="s">
        <v>124</v>
      </c>
      <c r="X863" s="189" t="s">
        <v>148</v>
      </c>
      <c r="Y863" s="189" t="s">
        <v>2113</v>
      </c>
      <c r="Z863" s="0" t="n">
        <v>1</v>
      </c>
      <c r="AA863" s="189" t="s">
        <v>2123</v>
      </c>
    </row>
    <row r="864" customFormat="false" ht="15" hidden="false" customHeight="false" outlineLevel="0" collapsed="false">
      <c r="A864" s="0" t="n">
        <v>175</v>
      </c>
      <c r="B864" s="191" t="n">
        <v>46119.4896883806</v>
      </c>
      <c r="C864" s="191" t="n">
        <v>46119.5096768066</v>
      </c>
      <c r="D864" s="189" t="s">
        <v>1362</v>
      </c>
      <c r="E864" s="189" t="s">
        <v>1363</v>
      </c>
      <c r="F864" s="189" t="s">
        <v>1363</v>
      </c>
      <c r="G864" s="189" t="s">
        <v>1364</v>
      </c>
      <c r="H864" s="191" t="n">
        <v>46117</v>
      </c>
      <c r="I864" s="189" t="s">
        <v>305</v>
      </c>
      <c r="J864" s="189" t="s">
        <v>108</v>
      </c>
      <c r="K864" s="189" t="s">
        <v>364</v>
      </c>
      <c r="L864" s="189" t="s">
        <v>286</v>
      </c>
      <c r="M864" s="189" t="s">
        <v>477</v>
      </c>
      <c r="N864" s="189" t="s">
        <v>1050</v>
      </c>
      <c r="O864" s="189" t="s">
        <v>172</v>
      </c>
      <c r="P864" s="189" t="s">
        <v>111</v>
      </c>
      <c r="Q864" s="189" t="s">
        <v>112</v>
      </c>
      <c r="R864" s="189" t="s">
        <v>22</v>
      </c>
      <c r="S864" s="189" t="s">
        <v>152</v>
      </c>
      <c r="T864" s="189" t="s">
        <v>121</v>
      </c>
      <c r="U864" s="189" t="s">
        <v>122</v>
      </c>
      <c r="V864" s="189" t="s">
        <v>167</v>
      </c>
      <c r="W864" s="189" t="s">
        <v>124</v>
      </c>
      <c r="X864" s="189" t="s">
        <v>148</v>
      </c>
      <c r="Y864" s="189" t="s">
        <v>2113</v>
      </c>
      <c r="Z864" s="0" t="n">
        <v>2</v>
      </c>
      <c r="AA864" s="189" t="s">
        <v>2327</v>
      </c>
    </row>
    <row r="865" customFormat="false" ht="15" hidden="false" customHeight="false" outlineLevel="0" collapsed="false">
      <c r="A865" s="0" t="n">
        <v>176</v>
      </c>
      <c r="B865" s="191" t="n">
        <v>46152.4064497177</v>
      </c>
      <c r="C865" s="191" t="n">
        <v>46152.4255006436</v>
      </c>
      <c r="D865" s="189" t="s">
        <v>1368</v>
      </c>
      <c r="E865" s="189" t="s">
        <v>1369</v>
      </c>
      <c r="F865" s="189" t="s">
        <v>1370</v>
      </c>
      <c r="G865" s="189" t="s">
        <v>1371</v>
      </c>
      <c r="H865" s="191" t="n">
        <v>46143</v>
      </c>
      <c r="I865" s="189" t="s">
        <v>113</v>
      </c>
      <c r="J865" s="189" t="s">
        <v>108</v>
      </c>
      <c r="K865" s="189" t="s">
        <v>1372</v>
      </c>
      <c r="L865" s="189" t="s">
        <v>130</v>
      </c>
      <c r="M865" s="189" t="s">
        <v>566</v>
      </c>
      <c r="N865" s="189" t="s">
        <v>357</v>
      </c>
      <c r="O865" s="189" t="s">
        <v>244</v>
      </c>
      <c r="P865" s="189" t="s">
        <v>111</v>
      </c>
      <c r="Q865" s="189" t="s">
        <v>112</v>
      </c>
      <c r="R865" s="189" t="s">
        <v>22</v>
      </c>
      <c r="S865" s="189" t="s">
        <v>152</v>
      </c>
      <c r="T865" s="189" t="s">
        <v>228</v>
      </c>
      <c r="U865" s="189" t="s">
        <v>1376</v>
      </c>
      <c r="V865" s="189" t="s">
        <v>123</v>
      </c>
      <c r="W865" s="189" t="s">
        <v>124</v>
      </c>
      <c r="X865" s="189" t="s">
        <v>715</v>
      </c>
      <c r="Y865" s="189" t="s">
        <v>2108</v>
      </c>
      <c r="Z865" s="0" t="n">
        <v>1</v>
      </c>
      <c r="AA865" s="189" t="s">
        <v>2296</v>
      </c>
    </row>
    <row r="866" customFormat="false" ht="15" hidden="false" customHeight="false" outlineLevel="0" collapsed="false">
      <c r="A866" s="0" t="n">
        <v>176</v>
      </c>
      <c r="B866" s="191" t="n">
        <v>46152.4064497177</v>
      </c>
      <c r="C866" s="191" t="n">
        <v>46152.4255006436</v>
      </c>
      <c r="D866" s="189" t="s">
        <v>1368</v>
      </c>
      <c r="E866" s="189" t="s">
        <v>1369</v>
      </c>
      <c r="F866" s="189" t="s">
        <v>1370</v>
      </c>
      <c r="G866" s="189" t="s">
        <v>1371</v>
      </c>
      <c r="H866" s="191" t="n">
        <v>46143</v>
      </c>
      <c r="I866" s="189" t="s">
        <v>113</v>
      </c>
      <c r="J866" s="189" t="s">
        <v>108</v>
      </c>
      <c r="K866" s="189" t="s">
        <v>1372</v>
      </c>
      <c r="L866" s="189" t="s">
        <v>130</v>
      </c>
      <c r="M866" s="189" t="s">
        <v>566</v>
      </c>
      <c r="N866" s="189" t="s">
        <v>357</v>
      </c>
      <c r="O866" s="189" t="s">
        <v>244</v>
      </c>
      <c r="P866" s="189" t="s">
        <v>111</v>
      </c>
      <c r="Q866" s="189" t="s">
        <v>112</v>
      </c>
      <c r="R866" s="189" t="s">
        <v>22</v>
      </c>
      <c r="S866" s="189" t="s">
        <v>152</v>
      </c>
      <c r="T866" s="189" t="s">
        <v>228</v>
      </c>
      <c r="U866" s="189" t="s">
        <v>1376</v>
      </c>
      <c r="V866" s="189" t="s">
        <v>123</v>
      </c>
      <c r="W866" s="189" t="s">
        <v>124</v>
      </c>
      <c r="X866" s="189" t="s">
        <v>715</v>
      </c>
      <c r="Y866" s="189" t="s">
        <v>2110</v>
      </c>
      <c r="Z866" s="0" t="n">
        <v>1</v>
      </c>
      <c r="AA866" s="189" t="s">
        <v>2275</v>
      </c>
    </row>
    <row r="867" customFormat="false" ht="15" hidden="false" customHeight="false" outlineLevel="0" collapsed="false">
      <c r="A867" s="0" t="n">
        <v>176</v>
      </c>
      <c r="B867" s="191" t="n">
        <v>46152.4064497177</v>
      </c>
      <c r="C867" s="191" t="n">
        <v>46152.4255006436</v>
      </c>
      <c r="D867" s="189" t="s">
        <v>1368</v>
      </c>
      <c r="E867" s="189" t="s">
        <v>1369</v>
      </c>
      <c r="F867" s="189" t="s">
        <v>1370</v>
      </c>
      <c r="G867" s="189" t="s">
        <v>1371</v>
      </c>
      <c r="H867" s="191" t="n">
        <v>46143</v>
      </c>
      <c r="I867" s="189" t="s">
        <v>113</v>
      </c>
      <c r="J867" s="189" t="s">
        <v>108</v>
      </c>
      <c r="K867" s="189" t="s">
        <v>1372</v>
      </c>
      <c r="L867" s="189" t="s">
        <v>130</v>
      </c>
      <c r="M867" s="189" t="s">
        <v>566</v>
      </c>
      <c r="N867" s="189" t="s">
        <v>357</v>
      </c>
      <c r="O867" s="189" t="s">
        <v>244</v>
      </c>
      <c r="P867" s="189" t="s">
        <v>111</v>
      </c>
      <c r="Q867" s="189" t="s">
        <v>112</v>
      </c>
      <c r="R867" s="189" t="s">
        <v>22</v>
      </c>
      <c r="S867" s="189" t="s">
        <v>152</v>
      </c>
      <c r="T867" s="189" t="s">
        <v>228</v>
      </c>
      <c r="U867" s="189" t="s">
        <v>1376</v>
      </c>
      <c r="V867" s="189" t="s">
        <v>123</v>
      </c>
      <c r="W867" s="189" t="s">
        <v>124</v>
      </c>
      <c r="X867" s="189" t="s">
        <v>715</v>
      </c>
      <c r="Y867" s="189" t="s">
        <v>2113</v>
      </c>
      <c r="Z867" s="0" t="n">
        <v>1</v>
      </c>
      <c r="AA867" s="189" t="s">
        <v>2276</v>
      </c>
    </row>
    <row r="868" customFormat="false" ht="15" hidden="false" customHeight="false" outlineLevel="0" collapsed="false">
      <c r="A868" s="0" t="n">
        <v>176</v>
      </c>
      <c r="B868" s="191" t="n">
        <v>46152.4064497177</v>
      </c>
      <c r="C868" s="191" t="n">
        <v>46152.4255006436</v>
      </c>
      <c r="D868" s="189" t="s">
        <v>1368</v>
      </c>
      <c r="E868" s="189" t="s">
        <v>1369</v>
      </c>
      <c r="F868" s="189" t="s">
        <v>1370</v>
      </c>
      <c r="G868" s="189" t="s">
        <v>1371</v>
      </c>
      <c r="H868" s="191" t="n">
        <v>46143</v>
      </c>
      <c r="I868" s="189" t="s">
        <v>113</v>
      </c>
      <c r="J868" s="189" t="s">
        <v>108</v>
      </c>
      <c r="K868" s="189" t="s">
        <v>1372</v>
      </c>
      <c r="L868" s="189" t="s">
        <v>130</v>
      </c>
      <c r="M868" s="189" t="s">
        <v>566</v>
      </c>
      <c r="N868" s="189" t="s">
        <v>357</v>
      </c>
      <c r="O868" s="189" t="s">
        <v>244</v>
      </c>
      <c r="P868" s="189" t="s">
        <v>111</v>
      </c>
      <c r="Q868" s="189" t="s">
        <v>112</v>
      </c>
      <c r="R868" s="189" t="s">
        <v>22</v>
      </c>
      <c r="S868" s="189" t="s">
        <v>152</v>
      </c>
      <c r="T868" s="189" t="s">
        <v>228</v>
      </c>
      <c r="U868" s="189" t="s">
        <v>1376</v>
      </c>
      <c r="V868" s="189" t="s">
        <v>123</v>
      </c>
      <c r="W868" s="189" t="s">
        <v>124</v>
      </c>
      <c r="X868" s="189" t="s">
        <v>715</v>
      </c>
      <c r="Y868" s="189" t="s">
        <v>2113</v>
      </c>
      <c r="Z868" s="0" t="n">
        <v>2</v>
      </c>
      <c r="AA868" s="189" t="s">
        <v>2273</v>
      </c>
    </row>
    <row r="869" customFormat="false" ht="15" hidden="false" customHeight="false" outlineLevel="0" collapsed="false">
      <c r="A869" s="0" t="n">
        <v>177</v>
      </c>
      <c r="B869" s="191" t="n">
        <v>46215.8484433469</v>
      </c>
      <c r="C869" s="191" t="n">
        <v>46215.8529109394</v>
      </c>
      <c r="D869" s="189" t="s">
        <v>1377</v>
      </c>
      <c r="E869" s="189" t="s">
        <v>1378</v>
      </c>
      <c r="F869" s="189" t="s">
        <v>1378</v>
      </c>
      <c r="G869" s="189" t="s">
        <v>1379</v>
      </c>
      <c r="H869" s="191" t="n">
        <v>46214</v>
      </c>
      <c r="I869" s="189" t="s">
        <v>132</v>
      </c>
      <c r="J869" s="189" t="s">
        <v>108</v>
      </c>
      <c r="K869" s="189" t="s">
        <v>364</v>
      </c>
      <c r="L869" s="189" t="s">
        <v>296</v>
      </c>
      <c r="M869" s="189" t="s">
        <v>1380</v>
      </c>
      <c r="N869" s="189" t="s">
        <v>1381</v>
      </c>
      <c r="O869" s="189" t="s">
        <v>107</v>
      </c>
      <c r="P869" s="189" t="s">
        <v>111</v>
      </c>
      <c r="Q869" s="189" t="s">
        <v>112</v>
      </c>
      <c r="R869" s="189" t="s">
        <v>22</v>
      </c>
      <c r="S869" s="189" t="s">
        <v>152</v>
      </c>
      <c r="T869" s="189" t="s">
        <v>180</v>
      </c>
      <c r="U869" s="189" t="s">
        <v>562</v>
      </c>
      <c r="V869" s="189" t="s">
        <v>123</v>
      </c>
      <c r="W869" s="189" t="s">
        <v>124</v>
      </c>
      <c r="X869" s="189" t="s">
        <v>116</v>
      </c>
      <c r="Y869" s="189" t="s">
        <v>2108</v>
      </c>
      <c r="Z869" s="0" t="n">
        <v>1</v>
      </c>
      <c r="AA869" s="189" t="s">
        <v>2139</v>
      </c>
    </row>
    <row r="870" customFormat="false" ht="15" hidden="false" customHeight="false" outlineLevel="0" collapsed="false">
      <c r="A870" s="0" t="n">
        <v>177</v>
      </c>
      <c r="B870" s="191" t="n">
        <v>46215.8484433469</v>
      </c>
      <c r="C870" s="191" t="n">
        <v>46215.8529109394</v>
      </c>
      <c r="D870" s="189" t="s">
        <v>1377</v>
      </c>
      <c r="E870" s="189" t="s">
        <v>1378</v>
      </c>
      <c r="F870" s="189" t="s">
        <v>1378</v>
      </c>
      <c r="G870" s="189" t="s">
        <v>1379</v>
      </c>
      <c r="H870" s="191" t="n">
        <v>46214</v>
      </c>
      <c r="I870" s="189" t="s">
        <v>132</v>
      </c>
      <c r="J870" s="189" t="s">
        <v>108</v>
      </c>
      <c r="K870" s="189" t="s">
        <v>364</v>
      </c>
      <c r="L870" s="189" t="s">
        <v>296</v>
      </c>
      <c r="M870" s="189" t="s">
        <v>1380</v>
      </c>
      <c r="N870" s="189" t="s">
        <v>1381</v>
      </c>
      <c r="O870" s="189" t="s">
        <v>107</v>
      </c>
      <c r="P870" s="189" t="s">
        <v>111</v>
      </c>
      <c r="Q870" s="189" t="s">
        <v>112</v>
      </c>
      <c r="R870" s="189" t="s">
        <v>22</v>
      </c>
      <c r="S870" s="189" t="s">
        <v>152</v>
      </c>
      <c r="T870" s="189" t="s">
        <v>180</v>
      </c>
      <c r="U870" s="189" t="s">
        <v>562</v>
      </c>
      <c r="V870" s="189" t="s">
        <v>123</v>
      </c>
      <c r="W870" s="189" t="s">
        <v>124</v>
      </c>
      <c r="X870" s="189" t="s">
        <v>116</v>
      </c>
      <c r="Y870" s="189" t="s">
        <v>2110</v>
      </c>
      <c r="Z870" s="0" t="n">
        <v>1</v>
      </c>
      <c r="AA870" s="189" t="s">
        <v>122</v>
      </c>
    </row>
    <row r="871" customFormat="false" ht="15" hidden="false" customHeight="false" outlineLevel="0" collapsed="false">
      <c r="A871" s="0" t="n">
        <v>177</v>
      </c>
      <c r="B871" s="191" t="n">
        <v>46215.8484433469</v>
      </c>
      <c r="C871" s="191" t="n">
        <v>46215.8529109394</v>
      </c>
      <c r="D871" s="189" t="s">
        <v>1377</v>
      </c>
      <c r="E871" s="189" t="s">
        <v>1378</v>
      </c>
      <c r="F871" s="189" t="s">
        <v>1378</v>
      </c>
      <c r="G871" s="189" t="s">
        <v>1379</v>
      </c>
      <c r="H871" s="191" t="n">
        <v>46214</v>
      </c>
      <c r="I871" s="189" t="s">
        <v>132</v>
      </c>
      <c r="J871" s="189" t="s">
        <v>108</v>
      </c>
      <c r="K871" s="189" t="s">
        <v>364</v>
      </c>
      <c r="L871" s="189" t="s">
        <v>296</v>
      </c>
      <c r="M871" s="189" t="s">
        <v>1380</v>
      </c>
      <c r="N871" s="189" t="s">
        <v>1381</v>
      </c>
      <c r="O871" s="189" t="s">
        <v>107</v>
      </c>
      <c r="P871" s="189" t="s">
        <v>111</v>
      </c>
      <c r="Q871" s="189" t="s">
        <v>112</v>
      </c>
      <c r="R871" s="189" t="s">
        <v>22</v>
      </c>
      <c r="S871" s="189" t="s">
        <v>152</v>
      </c>
      <c r="T871" s="189" t="s">
        <v>180</v>
      </c>
      <c r="U871" s="189" t="s">
        <v>562</v>
      </c>
      <c r="V871" s="189" t="s">
        <v>123</v>
      </c>
      <c r="W871" s="189" t="s">
        <v>124</v>
      </c>
      <c r="X871" s="189" t="s">
        <v>116</v>
      </c>
      <c r="Y871" s="189" t="s">
        <v>2113</v>
      </c>
      <c r="Z871" s="0" t="n">
        <v>1</v>
      </c>
      <c r="AA871" s="189" t="s">
        <v>122</v>
      </c>
    </row>
    <row r="872" customFormat="false" ht="15" hidden="false" customHeight="false" outlineLevel="0" collapsed="false">
      <c r="A872" s="0" t="n">
        <v>177</v>
      </c>
      <c r="B872" s="191" t="n">
        <v>46215.8484433469</v>
      </c>
      <c r="C872" s="191" t="n">
        <v>46215.8529109394</v>
      </c>
      <c r="D872" s="189" t="s">
        <v>1377</v>
      </c>
      <c r="E872" s="189" t="s">
        <v>1378</v>
      </c>
      <c r="F872" s="189" t="s">
        <v>1378</v>
      </c>
      <c r="G872" s="189" t="s">
        <v>1379</v>
      </c>
      <c r="H872" s="191" t="n">
        <v>46214</v>
      </c>
      <c r="I872" s="189" t="s">
        <v>132</v>
      </c>
      <c r="J872" s="189" t="s">
        <v>108</v>
      </c>
      <c r="K872" s="189" t="s">
        <v>364</v>
      </c>
      <c r="L872" s="189" t="s">
        <v>296</v>
      </c>
      <c r="M872" s="189" t="s">
        <v>1380</v>
      </c>
      <c r="N872" s="189" t="s">
        <v>1381</v>
      </c>
      <c r="O872" s="189" t="s">
        <v>107</v>
      </c>
      <c r="P872" s="189" t="s">
        <v>111</v>
      </c>
      <c r="Q872" s="189" t="s">
        <v>112</v>
      </c>
      <c r="R872" s="189" t="s">
        <v>22</v>
      </c>
      <c r="S872" s="189" t="s">
        <v>152</v>
      </c>
      <c r="T872" s="189" t="s">
        <v>180</v>
      </c>
      <c r="U872" s="189" t="s">
        <v>562</v>
      </c>
      <c r="V872" s="189" t="s">
        <v>123</v>
      </c>
      <c r="W872" s="189" t="s">
        <v>124</v>
      </c>
      <c r="X872" s="189" t="s">
        <v>116</v>
      </c>
      <c r="Y872" s="189" t="s">
        <v>2113</v>
      </c>
      <c r="Z872" s="0" t="n">
        <v>2</v>
      </c>
      <c r="AA872" s="189" t="s">
        <v>2127</v>
      </c>
    </row>
    <row r="873" customFormat="false" ht="15" hidden="false" customHeight="false" outlineLevel="0" collapsed="false">
      <c r="A873" s="0" t="n">
        <v>178</v>
      </c>
      <c r="B873" s="191" t="n">
        <v>46172.5809402542</v>
      </c>
      <c r="C873" s="191" t="n">
        <v>46172.5916115505</v>
      </c>
      <c r="D873" s="189" t="s">
        <v>1382</v>
      </c>
      <c r="E873" s="189" t="s">
        <v>1383</v>
      </c>
      <c r="F873" s="189" t="s">
        <v>1383</v>
      </c>
      <c r="G873" s="189" t="s">
        <v>1384</v>
      </c>
      <c r="H873" s="191" t="n">
        <v>46162</v>
      </c>
      <c r="I873" s="189" t="s">
        <v>113</v>
      </c>
      <c r="J873" s="189" t="s">
        <v>128</v>
      </c>
      <c r="K873" s="189" t="s">
        <v>173</v>
      </c>
      <c r="L873" s="189" t="s">
        <v>110</v>
      </c>
      <c r="M873" s="189" t="s">
        <v>944</v>
      </c>
      <c r="N873" s="189" t="s">
        <v>440</v>
      </c>
      <c r="O873" s="189" t="s">
        <v>278</v>
      </c>
      <c r="P873" s="189" t="s">
        <v>111</v>
      </c>
      <c r="Q873" s="189" t="s">
        <v>112</v>
      </c>
      <c r="R873" s="189" t="s">
        <v>23</v>
      </c>
      <c r="S873" s="189" t="s">
        <v>152</v>
      </c>
      <c r="T873" s="189" t="s">
        <v>352</v>
      </c>
      <c r="U873" s="189" t="s">
        <v>122</v>
      </c>
      <c r="V873" s="189" t="s">
        <v>123</v>
      </c>
      <c r="W873" s="189" t="s">
        <v>124</v>
      </c>
      <c r="X873" s="189" t="s">
        <v>442</v>
      </c>
      <c r="Y873" s="189" t="s">
        <v>2216</v>
      </c>
      <c r="Z873" s="0" t="n">
        <v>1</v>
      </c>
      <c r="AA873" s="189" t="s">
        <v>441</v>
      </c>
    </row>
    <row r="874" customFormat="false" ht="15" hidden="false" customHeight="false" outlineLevel="0" collapsed="false">
      <c r="A874" s="0" t="n">
        <v>179</v>
      </c>
      <c r="B874" s="191" t="n">
        <v>46160.4673561219</v>
      </c>
      <c r="C874" s="191" t="n">
        <v>46160.4745204738</v>
      </c>
      <c r="D874" s="189" t="s">
        <v>1385</v>
      </c>
      <c r="E874" s="189" t="s">
        <v>1386</v>
      </c>
      <c r="F874" s="189" t="s">
        <v>1386</v>
      </c>
      <c r="G874" s="189" t="s">
        <v>1387</v>
      </c>
      <c r="H874" s="191" t="n">
        <v>46145</v>
      </c>
      <c r="I874" s="189" t="s">
        <v>113</v>
      </c>
      <c r="J874" s="189" t="s">
        <v>108</v>
      </c>
      <c r="K874" s="189" t="s">
        <v>245</v>
      </c>
      <c r="L874" s="189" t="s">
        <v>159</v>
      </c>
      <c r="M874" s="189" t="s">
        <v>1388</v>
      </c>
      <c r="N874" s="189" t="s">
        <v>775</v>
      </c>
      <c r="O874" s="189" t="s">
        <v>172</v>
      </c>
      <c r="P874" s="189" t="s">
        <v>111</v>
      </c>
      <c r="Q874" s="189" t="s">
        <v>112</v>
      </c>
      <c r="R874" s="189" t="s">
        <v>22</v>
      </c>
      <c r="S874" s="189" t="s">
        <v>227</v>
      </c>
      <c r="T874" s="189" t="s">
        <v>121</v>
      </c>
      <c r="U874" s="189" t="s">
        <v>122</v>
      </c>
      <c r="V874" s="189" t="s">
        <v>192</v>
      </c>
      <c r="W874" s="189" t="s">
        <v>124</v>
      </c>
      <c r="X874" s="189" t="s">
        <v>381</v>
      </c>
      <c r="Y874" s="189" t="s">
        <v>2108</v>
      </c>
      <c r="Z874" s="0" t="n">
        <v>1</v>
      </c>
      <c r="AA874" s="189" t="s">
        <v>2277</v>
      </c>
    </row>
    <row r="875" customFormat="false" ht="15" hidden="false" customHeight="false" outlineLevel="0" collapsed="false">
      <c r="A875" s="0" t="n">
        <v>179</v>
      </c>
      <c r="B875" s="191" t="n">
        <v>46160.4673561219</v>
      </c>
      <c r="C875" s="191" t="n">
        <v>46160.4745204738</v>
      </c>
      <c r="D875" s="189" t="s">
        <v>1385</v>
      </c>
      <c r="E875" s="189" t="s">
        <v>1386</v>
      </c>
      <c r="F875" s="189" t="s">
        <v>1386</v>
      </c>
      <c r="G875" s="189" t="s">
        <v>1387</v>
      </c>
      <c r="H875" s="191" t="n">
        <v>46145</v>
      </c>
      <c r="I875" s="189" t="s">
        <v>113</v>
      </c>
      <c r="J875" s="189" t="s">
        <v>108</v>
      </c>
      <c r="K875" s="189" t="s">
        <v>245</v>
      </c>
      <c r="L875" s="189" t="s">
        <v>159</v>
      </c>
      <c r="M875" s="189" t="s">
        <v>1388</v>
      </c>
      <c r="N875" s="189" t="s">
        <v>775</v>
      </c>
      <c r="O875" s="189" t="s">
        <v>172</v>
      </c>
      <c r="P875" s="189" t="s">
        <v>111</v>
      </c>
      <c r="Q875" s="189" t="s">
        <v>112</v>
      </c>
      <c r="R875" s="189" t="s">
        <v>22</v>
      </c>
      <c r="S875" s="189" t="s">
        <v>227</v>
      </c>
      <c r="T875" s="189" t="s">
        <v>121</v>
      </c>
      <c r="U875" s="189" t="s">
        <v>122</v>
      </c>
      <c r="V875" s="189" t="s">
        <v>192</v>
      </c>
      <c r="W875" s="189" t="s">
        <v>124</v>
      </c>
      <c r="X875" s="189" t="s">
        <v>381</v>
      </c>
      <c r="Y875" s="189" t="s">
        <v>2110</v>
      </c>
      <c r="Z875" s="0" t="n">
        <v>1</v>
      </c>
      <c r="AA875" s="189" t="s">
        <v>2204</v>
      </c>
    </row>
    <row r="876" customFormat="false" ht="15" hidden="false" customHeight="false" outlineLevel="0" collapsed="false">
      <c r="A876" s="0" t="n">
        <v>179</v>
      </c>
      <c r="B876" s="191" t="n">
        <v>46160.4673561219</v>
      </c>
      <c r="C876" s="191" t="n">
        <v>46160.4745204738</v>
      </c>
      <c r="D876" s="189" t="s">
        <v>1385</v>
      </c>
      <c r="E876" s="189" t="s">
        <v>1386</v>
      </c>
      <c r="F876" s="189" t="s">
        <v>1386</v>
      </c>
      <c r="G876" s="189" t="s">
        <v>1387</v>
      </c>
      <c r="H876" s="191" t="n">
        <v>46145</v>
      </c>
      <c r="I876" s="189" t="s">
        <v>113</v>
      </c>
      <c r="J876" s="189" t="s">
        <v>108</v>
      </c>
      <c r="K876" s="189" t="s">
        <v>245</v>
      </c>
      <c r="L876" s="189" t="s">
        <v>159</v>
      </c>
      <c r="M876" s="189" t="s">
        <v>1388</v>
      </c>
      <c r="N876" s="189" t="s">
        <v>775</v>
      </c>
      <c r="O876" s="189" t="s">
        <v>172</v>
      </c>
      <c r="P876" s="189" t="s">
        <v>111</v>
      </c>
      <c r="Q876" s="189" t="s">
        <v>112</v>
      </c>
      <c r="R876" s="189" t="s">
        <v>22</v>
      </c>
      <c r="S876" s="189" t="s">
        <v>227</v>
      </c>
      <c r="T876" s="189" t="s">
        <v>121</v>
      </c>
      <c r="U876" s="189" t="s">
        <v>122</v>
      </c>
      <c r="V876" s="189" t="s">
        <v>192</v>
      </c>
      <c r="W876" s="189" t="s">
        <v>124</v>
      </c>
      <c r="X876" s="189" t="s">
        <v>381</v>
      </c>
      <c r="Y876" s="189" t="s">
        <v>2110</v>
      </c>
      <c r="Z876" s="0" t="n">
        <v>2</v>
      </c>
      <c r="AA876" s="189" t="s">
        <v>2294</v>
      </c>
    </row>
    <row r="877" customFormat="false" ht="15" hidden="false" customHeight="false" outlineLevel="0" collapsed="false">
      <c r="A877" s="0" t="n">
        <v>179</v>
      </c>
      <c r="B877" s="191" t="n">
        <v>46160.4673561219</v>
      </c>
      <c r="C877" s="191" t="n">
        <v>46160.4745204738</v>
      </c>
      <c r="D877" s="189" t="s">
        <v>1385</v>
      </c>
      <c r="E877" s="189" t="s">
        <v>1386</v>
      </c>
      <c r="F877" s="189" t="s">
        <v>1386</v>
      </c>
      <c r="G877" s="189" t="s">
        <v>1387</v>
      </c>
      <c r="H877" s="191" t="n">
        <v>46145</v>
      </c>
      <c r="I877" s="189" t="s">
        <v>113</v>
      </c>
      <c r="J877" s="189" t="s">
        <v>108</v>
      </c>
      <c r="K877" s="189" t="s">
        <v>245</v>
      </c>
      <c r="L877" s="189" t="s">
        <v>159</v>
      </c>
      <c r="M877" s="189" t="s">
        <v>1388</v>
      </c>
      <c r="N877" s="189" t="s">
        <v>775</v>
      </c>
      <c r="O877" s="189" t="s">
        <v>172</v>
      </c>
      <c r="P877" s="189" t="s">
        <v>111</v>
      </c>
      <c r="Q877" s="189" t="s">
        <v>112</v>
      </c>
      <c r="R877" s="189" t="s">
        <v>22</v>
      </c>
      <c r="S877" s="189" t="s">
        <v>227</v>
      </c>
      <c r="T877" s="189" t="s">
        <v>121</v>
      </c>
      <c r="U877" s="189" t="s">
        <v>122</v>
      </c>
      <c r="V877" s="189" t="s">
        <v>192</v>
      </c>
      <c r="W877" s="189" t="s">
        <v>124</v>
      </c>
      <c r="X877" s="189" t="s">
        <v>381</v>
      </c>
      <c r="Y877" s="189" t="s">
        <v>2113</v>
      </c>
      <c r="Z877" s="0" t="n">
        <v>1</v>
      </c>
      <c r="AA877" s="189" t="s">
        <v>2278</v>
      </c>
    </row>
    <row r="878" customFormat="false" ht="15" hidden="false" customHeight="false" outlineLevel="0" collapsed="false">
      <c r="A878" s="0" t="n">
        <v>179</v>
      </c>
      <c r="B878" s="191" t="n">
        <v>46160.4673561219</v>
      </c>
      <c r="C878" s="191" t="n">
        <v>46160.4745204738</v>
      </c>
      <c r="D878" s="189" t="s">
        <v>1385</v>
      </c>
      <c r="E878" s="189" t="s">
        <v>1386</v>
      </c>
      <c r="F878" s="189" t="s">
        <v>1386</v>
      </c>
      <c r="G878" s="189" t="s">
        <v>1387</v>
      </c>
      <c r="H878" s="191" t="n">
        <v>46145</v>
      </c>
      <c r="I878" s="189" t="s">
        <v>113</v>
      </c>
      <c r="J878" s="189" t="s">
        <v>108</v>
      </c>
      <c r="K878" s="189" t="s">
        <v>245</v>
      </c>
      <c r="L878" s="189" t="s">
        <v>159</v>
      </c>
      <c r="M878" s="189" t="s">
        <v>1388</v>
      </c>
      <c r="N878" s="189" t="s">
        <v>775</v>
      </c>
      <c r="O878" s="189" t="s">
        <v>172</v>
      </c>
      <c r="P878" s="189" t="s">
        <v>111</v>
      </c>
      <c r="Q878" s="189" t="s">
        <v>112</v>
      </c>
      <c r="R878" s="189" t="s">
        <v>22</v>
      </c>
      <c r="S878" s="189" t="s">
        <v>227</v>
      </c>
      <c r="T878" s="189" t="s">
        <v>121</v>
      </c>
      <c r="U878" s="189" t="s">
        <v>122</v>
      </c>
      <c r="V878" s="189" t="s">
        <v>192</v>
      </c>
      <c r="W878" s="189" t="s">
        <v>124</v>
      </c>
      <c r="X878" s="189" t="s">
        <v>381</v>
      </c>
      <c r="Y878" s="189" t="s">
        <v>2113</v>
      </c>
      <c r="Z878" s="0" t="n">
        <v>2</v>
      </c>
      <c r="AA878" s="189" t="s">
        <v>2207</v>
      </c>
    </row>
    <row r="879" customFormat="false" ht="15" hidden="false" customHeight="false" outlineLevel="0" collapsed="false">
      <c r="A879" s="0" t="n">
        <v>180</v>
      </c>
      <c r="B879" s="191" t="n">
        <v>46179.1103691503</v>
      </c>
      <c r="C879" s="191" t="n">
        <v>46179.1311214651</v>
      </c>
      <c r="D879" s="189" t="s">
        <v>1391</v>
      </c>
      <c r="E879" s="189" t="s">
        <v>1392</v>
      </c>
      <c r="F879" s="189" t="s">
        <v>1392</v>
      </c>
      <c r="G879" s="189" t="s">
        <v>1393</v>
      </c>
      <c r="H879" s="191" t="n">
        <v>46159</v>
      </c>
      <c r="I879" s="189" t="s">
        <v>113</v>
      </c>
      <c r="J879" s="189" t="s">
        <v>295</v>
      </c>
      <c r="K879" s="189" t="s">
        <v>196</v>
      </c>
      <c r="L879" s="189" t="s">
        <v>130</v>
      </c>
      <c r="M879" s="189" t="s">
        <v>594</v>
      </c>
      <c r="N879" s="189" t="s">
        <v>147</v>
      </c>
      <c r="O879" s="189" t="s">
        <v>278</v>
      </c>
      <c r="P879" s="189" t="s">
        <v>111</v>
      </c>
      <c r="Q879" s="189" t="s">
        <v>112</v>
      </c>
      <c r="R879" s="189" t="s">
        <v>22</v>
      </c>
      <c r="S879" s="189" t="s">
        <v>152</v>
      </c>
      <c r="T879" s="189" t="s">
        <v>264</v>
      </c>
      <c r="U879" s="189" t="s">
        <v>1395</v>
      </c>
      <c r="V879" s="189" t="s">
        <v>192</v>
      </c>
      <c r="W879" s="189" t="s">
        <v>168</v>
      </c>
      <c r="X879" s="189" t="s">
        <v>715</v>
      </c>
      <c r="Y879" s="189" t="s">
        <v>2108</v>
      </c>
      <c r="Z879" s="0" t="n">
        <v>1</v>
      </c>
      <c r="AA879" s="189" t="s">
        <v>2295</v>
      </c>
    </row>
    <row r="880" customFormat="false" ht="15" hidden="false" customHeight="false" outlineLevel="0" collapsed="false">
      <c r="A880" s="0" t="n">
        <v>180</v>
      </c>
      <c r="B880" s="191" t="n">
        <v>46179.1103691503</v>
      </c>
      <c r="C880" s="191" t="n">
        <v>46179.1311214651</v>
      </c>
      <c r="D880" s="189" t="s">
        <v>1391</v>
      </c>
      <c r="E880" s="189" t="s">
        <v>1392</v>
      </c>
      <c r="F880" s="189" t="s">
        <v>1392</v>
      </c>
      <c r="G880" s="189" t="s">
        <v>1393</v>
      </c>
      <c r="H880" s="191" t="n">
        <v>46159</v>
      </c>
      <c r="I880" s="189" t="s">
        <v>113</v>
      </c>
      <c r="J880" s="189" t="s">
        <v>295</v>
      </c>
      <c r="K880" s="189" t="s">
        <v>196</v>
      </c>
      <c r="L880" s="189" t="s">
        <v>130</v>
      </c>
      <c r="M880" s="189" t="s">
        <v>594</v>
      </c>
      <c r="N880" s="189" t="s">
        <v>147</v>
      </c>
      <c r="O880" s="189" t="s">
        <v>278</v>
      </c>
      <c r="P880" s="189" t="s">
        <v>111</v>
      </c>
      <c r="Q880" s="189" t="s">
        <v>112</v>
      </c>
      <c r="R880" s="189" t="s">
        <v>22</v>
      </c>
      <c r="S880" s="189" t="s">
        <v>152</v>
      </c>
      <c r="T880" s="189" t="s">
        <v>264</v>
      </c>
      <c r="U880" s="189" t="s">
        <v>1395</v>
      </c>
      <c r="V880" s="189" t="s">
        <v>192</v>
      </c>
      <c r="W880" s="189" t="s">
        <v>168</v>
      </c>
      <c r="X880" s="189" t="s">
        <v>715</v>
      </c>
      <c r="Y880" s="189" t="s">
        <v>2108</v>
      </c>
      <c r="Z880" s="0" t="n">
        <v>2</v>
      </c>
      <c r="AA880" s="189" t="s">
        <v>2296</v>
      </c>
    </row>
    <row r="881" customFormat="false" ht="15" hidden="false" customHeight="false" outlineLevel="0" collapsed="false">
      <c r="A881" s="0" t="n">
        <v>180</v>
      </c>
      <c r="B881" s="191" t="n">
        <v>46179.1103691503</v>
      </c>
      <c r="C881" s="191" t="n">
        <v>46179.1311214651</v>
      </c>
      <c r="D881" s="189" t="s">
        <v>1391</v>
      </c>
      <c r="E881" s="189" t="s">
        <v>1392</v>
      </c>
      <c r="F881" s="189" t="s">
        <v>1392</v>
      </c>
      <c r="G881" s="189" t="s">
        <v>1393</v>
      </c>
      <c r="H881" s="191" t="n">
        <v>46159</v>
      </c>
      <c r="I881" s="189" t="s">
        <v>113</v>
      </c>
      <c r="J881" s="189" t="s">
        <v>295</v>
      </c>
      <c r="K881" s="189" t="s">
        <v>196</v>
      </c>
      <c r="L881" s="189" t="s">
        <v>130</v>
      </c>
      <c r="M881" s="189" t="s">
        <v>594</v>
      </c>
      <c r="N881" s="189" t="s">
        <v>147</v>
      </c>
      <c r="O881" s="189" t="s">
        <v>278</v>
      </c>
      <c r="P881" s="189" t="s">
        <v>111</v>
      </c>
      <c r="Q881" s="189" t="s">
        <v>112</v>
      </c>
      <c r="R881" s="189" t="s">
        <v>22</v>
      </c>
      <c r="S881" s="189" t="s">
        <v>152</v>
      </c>
      <c r="T881" s="189" t="s">
        <v>264</v>
      </c>
      <c r="U881" s="189" t="s">
        <v>1395</v>
      </c>
      <c r="V881" s="189" t="s">
        <v>192</v>
      </c>
      <c r="W881" s="189" t="s">
        <v>168</v>
      </c>
      <c r="X881" s="189" t="s">
        <v>715</v>
      </c>
      <c r="Y881" s="189" t="s">
        <v>2110</v>
      </c>
      <c r="Z881" s="0" t="n">
        <v>1</v>
      </c>
      <c r="AA881" s="189" t="s">
        <v>2297</v>
      </c>
    </row>
    <row r="882" customFormat="false" ht="15" hidden="false" customHeight="false" outlineLevel="0" collapsed="false">
      <c r="A882" s="0" t="n">
        <v>180</v>
      </c>
      <c r="B882" s="191" t="n">
        <v>46179.1103691503</v>
      </c>
      <c r="C882" s="191" t="n">
        <v>46179.1311214651</v>
      </c>
      <c r="D882" s="189" t="s">
        <v>1391</v>
      </c>
      <c r="E882" s="189" t="s">
        <v>1392</v>
      </c>
      <c r="F882" s="189" t="s">
        <v>1392</v>
      </c>
      <c r="G882" s="189" t="s">
        <v>1393</v>
      </c>
      <c r="H882" s="191" t="n">
        <v>46159</v>
      </c>
      <c r="I882" s="189" t="s">
        <v>113</v>
      </c>
      <c r="J882" s="189" t="s">
        <v>295</v>
      </c>
      <c r="K882" s="189" t="s">
        <v>196</v>
      </c>
      <c r="L882" s="189" t="s">
        <v>130</v>
      </c>
      <c r="M882" s="189" t="s">
        <v>594</v>
      </c>
      <c r="N882" s="189" t="s">
        <v>147</v>
      </c>
      <c r="O882" s="189" t="s">
        <v>278</v>
      </c>
      <c r="P882" s="189" t="s">
        <v>111</v>
      </c>
      <c r="Q882" s="189" t="s">
        <v>112</v>
      </c>
      <c r="R882" s="189" t="s">
        <v>22</v>
      </c>
      <c r="S882" s="189" t="s">
        <v>152</v>
      </c>
      <c r="T882" s="189" t="s">
        <v>264</v>
      </c>
      <c r="U882" s="189" t="s">
        <v>1395</v>
      </c>
      <c r="V882" s="189" t="s">
        <v>192</v>
      </c>
      <c r="W882" s="189" t="s">
        <v>168</v>
      </c>
      <c r="X882" s="189" t="s">
        <v>715</v>
      </c>
      <c r="Y882" s="189" t="s">
        <v>2113</v>
      </c>
      <c r="Z882" s="0" t="n">
        <v>1</v>
      </c>
      <c r="AA882" s="189" t="s">
        <v>2272</v>
      </c>
    </row>
    <row r="883" customFormat="false" ht="15" hidden="false" customHeight="false" outlineLevel="0" collapsed="false">
      <c r="A883" s="0" t="n">
        <v>180</v>
      </c>
      <c r="B883" s="191" t="n">
        <v>46179.1103691503</v>
      </c>
      <c r="C883" s="191" t="n">
        <v>46179.1311214651</v>
      </c>
      <c r="D883" s="189" t="s">
        <v>1391</v>
      </c>
      <c r="E883" s="189" t="s">
        <v>1392</v>
      </c>
      <c r="F883" s="189" t="s">
        <v>1392</v>
      </c>
      <c r="G883" s="189" t="s">
        <v>1393</v>
      </c>
      <c r="H883" s="191" t="n">
        <v>46159</v>
      </c>
      <c r="I883" s="189" t="s">
        <v>113</v>
      </c>
      <c r="J883" s="189" t="s">
        <v>295</v>
      </c>
      <c r="K883" s="189" t="s">
        <v>196</v>
      </c>
      <c r="L883" s="189" t="s">
        <v>130</v>
      </c>
      <c r="M883" s="189" t="s">
        <v>594</v>
      </c>
      <c r="N883" s="189" t="s">
        <v>147</v>
      </c>
      <c r="O883" s="189" t="s">
        <v>278</v>
      </c>
      <c r="P883" s="189" t="s">
        <v>111</v>
      </c>
      <c r="Q883" s="189" t="s">
        <v>112</v>
      </c>
      <c r="R883" s="189" t="s">
        <v>22</v>
      </c>
      <c r="S883" s="189" t="s">
        <v>152</v>
      </c>
      <c r="T883" s="189" t="s">
        <v>264</v>
      </c>
      <c r="U883" s="189" t="s">
        <v>1395</v>
      </c>
      <c r="V883" s="189" t="s">
        <v>192</v>
      </c>
      <c r="W883" s="189" t="s">
        <v>168</v>
      </c>
      <c r="X883" s="189" t="s">
        <v>715</v>
      </c>
      <c r="Y883" s="189" t="s">
        <v>2113</v>
      </c>
      <c r="Z883" s="0" t="n">
        <v>2</v>
      </c>
      <c r="AA883" s="189" t="s">
        <v>2273</v>
      </c>
    </row>
    <row r="884" customFormat="false" ht="15" hidden="false" customHeight="false" outlineLevel="0" collapsed="false">
      <c r="A884" s="0" t="n">
        <v>181</v>
      </c>
      <c r="B884" s="191" t="n">
        <v>46112.4072164083</v>
      </c>
      <c r="C884" s="191" t="n">
        <v>46112.4141724268</v>
      </c>
      <c r="D884" s="189" t="s">
        <v>1396</v>
      </c>
      <c r="E884" s="189" t="s">
        <v>1397</v>
      </c>
      <c r="F884" s="189" t="s">
        <v>1397</v>
      </c>
      <c r="G884" s="189" t="s">
        <v>1398</v>
      </c>
      <c r="H884" s="191" t="n">
        <v>46100</v>
      </c>
      <c r="I884" s="189" t="s">
        <v>113</v>
      </c>
      <c r="J884" s="189" t="s">
        <v>295</v>
      </c>
      <c r="K884" s="189" t="s">
        <v>245</v>
      </c>
      <c r="L884" s="189" t="s">
        <v>286</v>
      </c>
      <c r="M884" s="189" t="s">
        <v>212</v>
      </c>
      <c r="N884" s="189" t="s">
        <v>1144</v>
      </c>
      <c r="O884" s="189" t="s">
        <v>244</v>
      </c>
      <c r="P884" s="189" t="s">
        <v>111</v>
      </c>
      <c r="Q884" s="189" t="s">
        <v>112</v>
      </c>
      <c r="R884" s="189" t="s">
        <v>24</v>
      </c>
      <c r="S884" s="189" t="s">
        <v>120</v>
      </c>
      <c r="T884" s="189" t="s">
        <v>121</v>
      </c>
      <c r="U884" s="189" t="s">
        <v>994</v>
      </c>
      <c r="V884" s="189" t="s">
        <v>123</v>
      </c>
      <c r="W884" s="189" t="s">
        <v>139</v>
      </c>
      <c r="X884" s="189" t="s">
        <v>223</v>
      </c>
      <c r="Y884" s="189" t="s">
        <v>2108</v>
      </c>
      <c r="Z884" s="0" t="n">
        <v>1</v>
      </c>
      <c r="AA884" s="189" t="s">
        <v>2148</v>
      </c>
    </row>
    <row r="885" customFormat="false" ht="15" hidden="false" customHeight="false" outlineLevel="0" collapsed="false">
      <c r="A885" s="0" t="n">
        <v>181</v>
      </c>
      <c r="B885" s="191" t="n">
        <v>46112.4072164083</v>
      </c>
      <c r="C885" s="191" t="n">
        <v>46112.4141724268</v>
      </c>
      <c r="D885" s="189" t="s">
        <v>1396</v>
      </c>
      <c r="E885" s="189" t="s">
        <v>1397</v>
      </c>
      <c r="F885" s="189" t="s">
        <v>1397</v>
      </c>
      <c r="G885" s="189" t="s">
        <v>1398</v>
      </c>
      <c r="H885" s="191" t="n">
        <v>46100</v>
      </c>
      <c r="I885" s="189" t="s">
        <v>113</v>
      </c>
      <c r="J885" s="189" t="s">
        <v>295</v>
      </c>
      <c r="K885" s="189" t="s">
        <v>245</v>
      </c>
      <c r="L885" s="189" t="s">
        <v>286</v>
      </c>
      <c r="M885" s="189" t="s">
        <v>212</v>
      </c>
      <c r="N885" s="189" t="s">
        <v>1144</v>
      </c>
      <c r="O885" s="189" t="s">
        <v>244</v>
      </c>
      <c r="P885" s="189" t="s">
        <v>111</v>
      </c>
      <c r="Q885" s="189" t="s">
        <v>112</v>
      </c>
      <c r="R885" s="189" t="s">
        <v>24</v>
      </c>
      <c r="S885" s="189" t="s">
        <v>120</v>
      </c>
      <c r="T885" s="189" t="s">
        <v>121</v>
      </c>
      <c r="U885" s="189" t="s">
        <v>994</v>
      </c>
      <c r="V885" s="189" t="s">
        <v>123</v>
      </c>
      <c r="W885" s="189" t="s">
        <v>139</v>
      </c>
      <c r="X885" s="189" t="s">
        <v>223</v>
      </c>
      <c r="Y885" s="189" t="s">
        <v>2108</v>
      </c>
      <c r="Z885" s="0" t="n">
        <v>2</v>
      </c>
      <c r="AA885" s="189" t="s">
        <v>2140</v>
      </c>
    </row>
    <row r="886" customFormat="false" ht="15" hidden="false" customHeight="false" outlineLevel="0" collapsed="false">
      <c r="A886" s="0" t="n">
        <v>181</v>
      </c>
      <c r="B886" s="191" t="n">
        <v>46112.4072164083</v>
      </c>
      <c r="C886" s="191" t="n">
        <v>46112.4141724268</v>
      </c>
      <c r="D886" s="189" t="s">
        <v>1396</v>
      </c>
      <c r="E886" s="189" t="s">
        <v>1397</v>
      </c>
      <c r="F886" s="189" t="s">
        <v>1397</v>
      </c>
      <c r="G886" s="189" t="s">
        <v>1398</v>
      </c>
      <c r="H886" s="191" t="n">
        <v>46100</v>
      </c>
      <c r="I886" s="189" t="s">
        <v>113</v>
      </c>
      <c r="J886" s="189" t="s">
        <v>295</v>
      </c>
      <c r="K886" s="189" t="s">
        <v>245</v>
      </c>
      <c r="L886" s="189" t="s">
        <v>286</v>
      </c>
      <c r="M886" s="189" t="s">
        <v>212</v>
      </c>
      <c r="N886" s="189" t="s">
        <v>1144</v>
      </c>
      <c r="O886" s="189" t="s">
        <v>244</v>
      </c>
      <c r="P886" s="189" t="s">
        <v>111</v>
      </c>
      <c r="Q886" s="189" t="s">
        <v>112</v>
      </c>
      <c r="R886" s="189" t="s">
        <v>24</v>
      </c>
      <c r="S886" s="189" t="s">
        <v>120</v>
      </c>
      <c r="T886" s="189" t="s">
        <v>121</v>
      </c>
      <c r="U886" s="189" t="s">
        <v>994</v>
      </c>
      <c r="V886" s="189" t="s">
        <v>123</v>
      </c>
      <c r="W886" s="189" t="s">
        <v>139</v>
      </c>
      <c r="X886" s="189" t="s">
        <v>223</v>
      </c>
      <c r="Y886" s="189" t="s">
        <v>2110</v>
      </c>
      <c r="Z886" s="0" t="n">
        <v>1</v>
      </c>
      <c r="AA886" s="189" t="s">
        <v>2144</v>
      </c>
    </row>
    <row r="887" customFormat="false" ht="15" hidden="false" customHeight="false" outlineLevel="0" collapsed="false">
      <c r="A887" s="0" t="n">
        <v>181</v>
      </c>
      <c r="B887" s="191" t="n">
        <v>46112.4072164083</v>
      </c>
      <c r="C887" s="191" t="n">
        <v>46112.4141724268</v>
      </c>
      <c r="D887" s="189" t="s">
        <v>1396</v>
      </c>
      <c r="E887" s="189" t="s">
        <v>1397</v>
      </c>
      <c r="F887" s="189" t="s">
        <v>1397</v>
      </c>
      <c r="G887" s="189" t="s">
        <v>1398</v>
      </c>
      <c r="H887" s="191" t="n">
        <v>46100</v>
      </c>
      <c r="I887" s="189" t="s">
        <v>113</v>
      </c>
      <c r="J887" s="189" t="s">
        <v>295</v>
      </c>
      <c r="K887" s="189" t="s">
        <v>245</v>
      </c>
      <c r="L887" s="189" t="s">
        <v>286</v>
      </c>
      <c r="M887" s="189" t="s">
        <v>212</v>
      </c>
      <c r="N887" s="189" t="s">
        <v>1144</v>
      </c>
      <c r="O887" s="189" t="s">
        <v>244</v>
      </c>
      <c r="P887" s="189" t="s">
        <v>111</v>
      </c>
      <c r="Q887" s="189" t="s">
        <v>112</v>
      </c>
      <c r="R887" s="189" t="s">
        <v>24</v>
      </c>
      <c r="S887" s="189" t="s">
        <v>120</v>
      </c>
      <c r="T887" s="189" t="s">
        <v>121</v>
      </c>
      <c r="U887" s="189" t="s">
        <v>994</v>
      </c>
      <c r="V887" s="189" t="s">
        <v>123</v>
      </c>
      <c r="W887" s="189" t="s">
        <v>139</v>
      </c>
      <c r="X887" s="189" t="s">
        <v>223</v>
      </c>
      <c r="Y887" s="189" t="s">
        <v>2113</v>
      </c>
      <c r="Z887" s="0" t="n">
        <v>1</v>
      </c>
      <c r="AA887" s="189" t="s">
        <v>2194</v>
      </c>
    </row>
    <row r="888" customFormat="false" ht="15" hidden="false" customHeight="false" outlineLevel="0" collapsed="false">
      <c r="A888" s="0" t="n">
        <v>182</v>
      </c>
      <c r="B888" s="191" t="n">
        <v>46064.8236795168</v>
      </c>
      <c r="C888" s="191" t="n">
        <v>46064.8358670168</v>
      </c>
      <c r="D888" s="189" t="s">
        <v>1401</v>
      </c>
      <c r="E888" s="189" t="s">
        <v>1402</v>
      </c>
      <c r="F888" s="189" t="s">
        <v>1402</v>
      </c>
      <c r="G888" s="189" t="s">
        <v>1403</v>
      </c>
      <c r="H888" s="191" t="n">
        <v>46051</v>
      </c>
      <c r="I888" s="189" t="s">
        <v>113</v>
      </c>
      <c r="J888" s="189" t="s">
        <v>108</v>
      </c>
      <c r="K888" s="189" t="s">
        <v>196</v>
      </c>
      <c r="L888" s="189" t="s">
        <v>210</v>
      </c>
      <c r="M888" s="189" t="s">
        <v>133</v>
      </c>
      <c r="N888" s="189" t="s">
        <v>567</v>
      </c>
      <c r="O888" s="189" t="s">
        <v>244</v>
      </c>
      <c r="P888" s="189" t="s">
        <v>111</v>
      </c>
      <c r="Q888" s="189" t="s">
        <v>112</v>
      </c>
      <c r="R888" s="189" t="s">
        <v>24</v>
      </c>
      <c r="S888" s="189" t="s">
        <v>152</v>
      </c>
      <c r="T888" s="189" t="s">
        <v>1406</v>
      </c>
      <c r="U888" s="189" t="s">
        <v>122</v>
      </c>
      <c r="V888" s="189" t="s">
        <v>192</v>
      </c>
      <c r="W888" s="189" t="s">
        <v>168</v>
      </c>
      <c r="X888" s="189" t="s">
        <v>223</v>
      </c>
      <c r="Y888" s="189" t="s">
        <v>2108</v>
      </c>
      <c r="Z888" s="0" t="n">
        <v>1</v>
      </c>
      <c r="AA888" s="189" t="s">
        <v>2164</v>
      </c>
    </row>
    <row r="889" customFormat="false" ht="15" hidden="false" customHeight="false" outlineLevel="0" collapsed="false">
      <c r="A889" s="0" t="n">
        <v>182</v>
      </c>
      <c r="B889" s="191" t="n">
        <v>46064.8236795168</v>
      </c>
      <c r="C889" s="191" t="n">
        <v>46064.8358670168</v>
      </c>
      <c r="D889" s="189" t="s">
        <v>1401</v>
      </c>
      <c r="E889" s="189" t="s">
        <v>1402</v>
      </c>
      <c r="F889" s="189" t="s">
        <v>1402</v>
      </c>
      <c r="G889" s="189" t="s">
        <v>1403</v>
      </c>
      <c r="H889" s="191" t="n">
        <v>46051</v>
      </c>
      <c r="I889" s="189" t="s">
        <v>113</v>
      </c>
      <c r="J889" s="189" t="s">
        <v>108</v>
      </c>
      <c r="K889" s="189" t="s">
        <v>196</v>
      </c>
      <c r="L889" s="189" t="s">
        <v>210</v>
      </c>
      <c r="M889" s="189" t="s">
        <v>133</v>
      </c>
      <c r="N889" s="189" t="s">
        <v>567</v>
      </c>
      <c r="O889" s="189" t="s">
        <v>244</v>
      </c>
      <c r="P889" s="189" t="s">
        <v>111</v>
      </c>
      <c r="Q889" s="189" t="s">
        <v>112</v>
      </c>
      <c r="R889" s="189" t="s">
        <v>24</v>
      </c>
      <c r="S889" s="189" t="s">
        <v>152</v>
      </c>
      <c r="T889" s="189" t="s">
        <v>1406</v>
      </c>
      <c r="U889" s="189" t="s">
        <v>122</v>
      </c>
      <c r="V889" s="189" t="s">
        <v>192</v>
      </c>
      <c r="W889" s="189" t="s">
        <v>168</v>
      </c>
      <c r="X889" s="189" t="s">
        <v>223</v>
      </c>
      <c r="Y889" s="189" t="s">
        <v>2108</v>
      </c>
      <c r="Z889" s="0" t="n">
        <v>2</v>
      </c>
      <c r="AA889" s="189" t="s">
        <v>2141</v>
      </c>
    </row>
    <row r="890" customFormat="false" ht="15" hidden="false" customHeight="false" outlineLevel="0" collapsed="false">
      <c r="A890" s="0" t="n">
        <v>182</v>
      </c>
      <c r="B890" s="191" t="n">
        <v>46064.8236795168</v>
      </c>
      <c r="C890" s="191" t="n">
        <v>46064.8358670168</v>
      </c>
      <c r="D890" s="189" t="s">
        <v>1401</v>
      </c>
      <c r="E890" s="189" t="s">
        <v>1402</v>
      </c>
      <c r="F890" s="189" t="s">
        <v>1402</v>
      </c>
      <c r="G890" s="189" t="s">
        <v>1403</v>
      </c>
      <c r="H890" s="191" t="n">
        <v>46051</v>
      </c>
      <c r="I890" s="189" t="s">
        <v>113</v>
      </c>
      <c r="J890" s="189" t="s">
        <v>108</v>
      </c>
      <c r="K890" s="189" t="s">
        <v>196</v>
      </c>
      <c r="L890" s="189" t="s">
        <v>210</v>
      </c>
      <c r="M890" s="189" t="s">
        <v>133</v>
      </c>
      <c r="N890" s="189" t="s">
        <v>567</v>
      </c>
      <c r="O890" s="189" t="s">
        <v>244</v>
      </c>
      <c r="P890" s="189" t="s">
        <v>111</v>
      </c>
      <c r="Q890" s="189" t="s">
        <v>112</v>
      </c>
      <c r="R890" s="189" t="s">
        <v>24</v>
      </c>
      <c r="S890" s="189" t="s">
        <v>152</v>
      </c>
      <c r="T890" s="189" t="s">
        <v>1406</v>
      </c>
      <c r="U890" s="189" t="s">
        <v>122</v>
      </c>
      <c r="V890" s="189" t="s">
        <v>192</v>
      </c>
      <c r="W890" s="189" t="s">
        <v>168</v>
      </c>
      <c r="X890" s="189" t="s">
        <v>223</v>
      </c>
      <c r="Y890" s="189" t="s">
        <v>2108</v>
      </c>
      <c r="Z890" s="0" t="n">
        <v>3</v>
      </c>
      <c r="AA890" s="189" t="s">
        <v>2165</v>
      </c>
    </row>
    <row r="891" customFormat="false" ht="15" hidden="false" customHeight="false" outlineLevel="0" collapsed="false">
      <c r="A891" s="0" t="n">
        <v>182</v>
      </c>
      <c r="B891" s="191" t="n">
        <v>46064.8236795168</v>
      </c>
      <c r="C891" s="191" t="n">
        <v>46064.8358670168</v>
      </c>
      <c r="D891" s="189" t="s">
        <v>1401</v>
      </c>
      <c r="E891" s="189" t="s">
        <v>1402</v>
      </c>
      <c r="F891" s="189" t="s">
        <v>1402</v>
      </c>
      <c r="G891" s="189" t="s">
        <v>1403</v>
      </c>
      <c r="H891" s="191" t="n">
        <v>46051</v>
      </c>
      <c r="I891" s="189" t="s">
        <v>113</v>
      </c>
      <c r="J891" s="189" t="s">
        <v>108</v>
      </c>
      <c r="K891" s="189" t="s">
        <v>196</v>
      </c>
      <c r="L891" s="189" t="s">
        <v>210</v>
      </c>
      <c r="M891" s="189" t="s">
        <v>133</v>
      </c>
      <c r="N891" s="189" t="s">
        <v>567</v>
      </c>
      <c r="O891" s="189" t="s">
        <v>244</v>
      </c>
      <c r="P891" s="189" t="s">
        <v>111</v>
      </c>
      <c r="Q891" s="189" t="s">
        <v>112</v>
      </c>
      <c r="R891" s="189" t="s">
        <v>24</v>
      </c>
      <c r="S891" s="189" t="s">
        <v>152</v>
      </c>
      <c r="T891" s="189" t="s">
        <v>1406</v>
      </c>
      <c r="U891" s="189" t="s">
        <v>122</v>
      </c>
      <c r="V891" s="189" t="s">
        <v>192</v>
      </c>
      <c r="W891" s="189" t="s">
        <v>168</v>
      </c>
      <c r="X891" s="189" t="s">
        <v>223</v>
      </c>
      <c r="Y891" s="189" t="s">
        <v>2110</v>
      </c>
      <c r="Z891" s="0" t="n">
        <v>1</v>
      </c>
      <c r="AA891" s="189" t="s">
        <v>2215</v>
      </c>
    </row>
    <row r="892" customFormat="false" ht="15" hidden="false" customHeight="false" outlineLevel="0" collapsed="false">
      <c r="A892" s="0" t="n">
        <v>182</v>
      </c>
      <c r="B892" s="191" t="n">
        <v>46064.8236795168</v>
      </c>
      <c r="C892" s="191" t="n">
        <v>46064.8358670168</v>
      </c>
      <c r="D892" s="189" t="s">
        <v>1401</v>
      </c>
      <c r="E892" s="189" t="s">
        <v>1402</v>
      </c>
      <c r="F892" s="189" t="s">
        <v>1402</v>
      </c>
      <c r="G892" s="189" t="s">
        <v>1403</v>
      </c>
      <c r="H892" s="191" t="n">
        <v>46051</v>
      </c>
      <c r="I892" s="189" t="s">
        <v>113</v>
      </c>
      <c r="J892" s="189" t="s">
        <v>108</v>
      </c>
      <c r="K892" s="189" t="s">
        <v>196</v>
      </c>
      <c r="L892" s="189" t="s">
        <v>210</v>
      </c>
      <c r="M892" s="189" t="s">
        <v>133</v>
      </c>
      <c r="N892" s="189" t="s">
        <v>567</v>
      </c>
      <c r="O892" s="189" t="s">
        <v>244</v>
      </c>
      <c r="P892" s="189" t="s">
        <v>111</v>
      </c>
      <c r="Q892" s="189" t="s">
        <v>112</v>
      </c>
      <c r="R892" s="189" t="s">
        <v>24</v>
      </c>
      <c r="S892" s="189" t="s">
        <v>152</v>
      </c>
      <c r="T892" s="189" t="s">
        <v>1406</v>
      </c>
      <c r="U892" s="189" t="s">
        <v>122</v>
      </c>
      <c r="V892" s="189" t="s">
        <v>192</v>
      </c>
      <c r="W892" s="189" t="s">
        <v>168</v>
      </c>
      <c r="X892" s="189" t="s">
        <v>223</v>
      </c>
      <c r="Y892" s="189" t="s">
        <v>2110</v>
      </c>
      <c r="Z892" s="0" t="n">
        <v>2</v>
      </c>
      <c r="AA892" s="189" t="s">
        <v>2214</v>
      </c>
    </row>
    <row r="893" customFormat="false" ht="15" hidden="false" customHeight="false" outlineLevel="0" collapsed="false">
      <c r="A893" s="0" t="n">
        <v>182</v>
      </c>
      <c r="B893" s="191" t="n">
        <v>46064.8236795168</v>
      </c>
      <c r="C893" s="191" t="n">
        <v>46064.8358670168</v>
      </c>
      <c r="D893" s="189" t="s">
        <v>1401</v>
      </c>
      <c r="E893" s="189" t="s">
        <v>1402</v>
      </c>
      <c r="F893" s="189" t="s">
        <v>1402</v>
      </c>
      <c r="G893" s="189" t="s">
        <v>1403</v>
      </c>
      <c r="H893" s="191" t="n">
        <v>46051</v>
      </c>
      <c r="I893" s="189" t="s">
        <v>113</v>
      </c>
      <c r="J893" s="189" t="s">
        <v>108</v>
      </c>
      <c r="K893" s="189" t="s">
        <v>196</v>
      </c>
      <c r="L893" s="189" t="s">
        <v>210</v>
      </c>
      <c r="M893" s="189" t="s">
        <v>133</v>
      </c>
      <c r="N893" s="189" t="s">
        <v>567</v>
      </c>
      <c r="O893" s="189" t="s">
        <v>244</v>
      </c>
      <c r="P893" s="189" t="s">
        <v>111</v>
      </c>
      <c r="Q893" s="189" t="s">
        <v>112</v>
      </c>
      <c r="R893" s="189" t="s">
        <v>24</v>
      </c>
      <c r="S893" s="189" t="s">
        <v>152</v>
      </c>
      <c r="T893" s="189" t="s">
        <v>1406</v>
      </c>
      <c r="U893" s="189" t="s">
        <v>122</v>
      </c>
      <c r="V893" s="189" t="s">
        <v>192</v>
      </c>
      <c r="W893" s="189" t="s">
        <v>168</v>
      </c>
      <c r="X893" s="189" t="s">
        <v>223</v>
      </c>
      <c r="Y893" s="189" t="s">
        <v>2113</v>
      </c>
      <c r="Z893" s="0" t="n">
        <v>1</v>
      </c>
      <c r="AA893" s="189" t="s">
        <v>2150</v>
      </c>
    </row>
    <row r="894" customFormat="false" ht="15" hidden="false" customHeight="false" outlineLevel="0" collapsed="false">
      <c r="A894" s="0" t="n">
        <v>182</v>
      </c>
      <c r="B894" s="191" t="n">
        <v>46064.8236795168</v>
      </c>
      <c r="C894" s="191" t="n">
        <v>46064.8358670168</v>
      </c>
      <c r="D894" s="189" t="s">
        <v>1401</v>
      </c>
      <c r="E894" s="189" t="s">
        <v>1402</v>
      </c>
      <c r="F894" s="189" t="s">
        <v>1402</v>
      </c>
      <c r="G894" s="189" t="s">
        <v>1403</v>
      </c>
      <c r="H894" s="191" t="n">
        <v>46051</v>
      </c>
      <c r="I894" s="189" t="s">
        <v>113</v>
      </c>
      <c r="J894" s="189" t="s">
        <v>108</v>
      </c>
      <c r="K894" s="189" t="s">
        <v>196</v>
      </c>
      <c r="L894" s="189" t="s">
        <v>210</v>
      </c>
      <c r="M894" s="189" t="s">
        <v>133</v>
      </c>
      <c r="N894" s="189" t="s">
        <v>567</v>
      </c>
      <c r="O894" s="189" t="s">
        <v>244</v>
      </c>
      <c r="P894" s="189" t="s">
        <v>111</v>
      </c>
      <c r="Q894" s="189" t="s">
        <v>112</v>
      </c>
      <c r="R894" s="189" t="s">
        <v>24</v>
      </c>
      <c r="S894" s="189" t="s">
        <v>152</v>
      </c>
      <c r="T894" s="189" t="s">
        <v>1406</v>
      </c>
      <c r="U894" s="189" t="s">
        <v>122</v>
      </c>
      <c r="V894" s="189" t="s">
        <v>192</v>
      </c>
      <c r="W894" s="189" t="s">
        <v>168</v>
      </c>
      <c r="X894" s="189" t="s">
        <v>223</v>
      </c>
      <c r="Y894" s="189" t="s">
        <v>2113</v>
      </c>
      <c r="Z894" s="0" t="n">
        <v>2</v>
      </c>
      <c r="AA894" s="189" t="s">
        <v>2194</v>
      </c>
    </row>
    <row r="895" customFormat="false" ht="15" hidden="false" customHeight="false" outlineLevel="0" collapsed="false">
      <c r="A895" s="0" t="n">
        <v>183</v>
      </c>
      <c r="B895" s="191" t="n">
        <v>46124.6324907911</v>
      </c>
      <c r="C895" s="191" t="n">
        <v>46124.6462755133</v>
      </c>
      <c r="D895" s="189" t="s">
        <v>1407</v>
      </c>
      <c r="E895" s="189" t="s">
        <v>1408</v>
      </c>
      <c r="F895" s="189" t="s">
        <v>1409</v>
      </c>
      <c r="G895" s="189" t="s">
        <v>1410</v>
      </c>
      <c r="H895" s="191" t="n">
        <v>46109</v>
      </c>
      <c r="I895" s="189" t="s">
        <v>113</v>
      </c>
      <c r="J895" s="189" t="s">
        <v>295</v>
      </c>
      <c r="K895" s="189" t="s">
        <v>232</v>
      </c>
      <c r="L895" s="189" t="s">
        <v>197</v>
      </c>
      <c r="M895" s="189" t="s">
        <v>160</v>
      </c>
      <c r="N895" s="189" t="s">
        <v>899</v>
      </c>
      <c r="O895" s="189" t="s">
        <v>244</v>
      </c>
      <c r="P895" s="189" t="s">
        <v>211</v>
      </c>
      <c r="Q895" s="189" t="s">
        <v>112</v>
      </c>
      <c r="R895" s="189" t="s">
        <v>24</v>
      </c>
      <c r="S895" s="189" t="s">
        <v>152</v>
      </c>
      <c r="T895" s="189" t="s">
        <v>165</v>
      </c>
      <c r="U895" s="189" t="s">
        <v>426</v>
      </c>
      <c r="V895" s="189" t="s">
        <v>123</v>
      </c>
      <c r="W895" s="189" t="s">
        <v>124</v>
      </c>
      <c r="X895" s="189" t="s">
        <v>19</v>
      </c>
      <c r="Y895" s="189" t="s">
        <v>2216</v>
      </c>
      <c r="Z895" s="0" t="n">
        <v>1</v>
      </c>
      <c r="AA895" s="189" t="s">
        <v>880</v>
      </c>
    </row>
    <row r="896" customFormat="false" ht="15" hidden="false" customHeight="false" outlineLevel="0" collapsed="false">
      <c r="A896" s="0" t="n">
        <v>184</v>
      </c>
      <c r="B896" s="191" t="n">
        <v>46155.5100316044</v>
      </c>
      <c r="C896" s="191" t="n">
        <v>46155.5175894747</v>
      </c>
      <c r="D896" s="189" t="s">
        <v>1411</v>
      </c>
      <c r="E896" s="189" t="s">
        <v>1412</v>
      </c>
      <c r="F896" s="189" t="s">
        <v>1412</v>
      </c>
      <c r="G896" s="189" t="s">
        <v>1413</v>
      </c>
      <c r="H896" s="191" t="n">
        <v>46137</v>
      </c>
      <c r="I896" s="189" t="s">
        <v>113</v>
      </c>
      <c r="J896" s="189" t="s">
        <v>108</v>
      </c>
      <c r="K896" s="189" t="s">
        <v>173</v>
      </c>
      <c r="L896" s="189" t="s">
        <v>130</v>
      </c>
      <c r="M896" s="189" t="s">
        <v>447</v>
      </c>
      <c r="N896" s="189" t="s">
        <v>819</v>
      </c>
      <c r="O896" s="189" t="s">
        <v>107</v>
      </c>
      <c r="P896" s="189" t="s">
        <v>111</v>
      </c>
      <c r="Q896" s="189" t="s">
        <v>112</v>
      </c>
      <c r="R896" s="189" t="s">
        <v>22</v>
      </c>
      <c r="S896" s="189" t="s">
        <v>120</v>
      </c>
      <c r="T896" s="189" t="s">
        <v>180</v>
      </c>
      <c r="V896" s="189" t="s">
        <v>192</v>
      </c>
      <c r="W896" s="189" t="s">
        <v>124</v>
      </c>
      <c r="X896" s="189" t="s">
        <v>715</v>
      </c>
      <c r="Y896" s="189" t="s">
        <v>2108</v>
      </c>
      <c r="Z896" s="0" t="n">
        <v>1</v>
      </c>
      <c r="AA896" s="189" t="s">
        <v>2295</v>
      </c>
    </row>
    <row r="897" customFormat="false" ht="15" hidden="false" customHeight="false" outlineLevel="0" collapsed="false">
      <c r="A897" s="0" t="n">
        <v>184</v>
      </c>
      <c r="B897" s="191" t="n">
        <v>46155.5100316044</v>
      </c>
      <c r="C897" s="191" t="n">
        <v>46155.5175894747</v>
      </c>
      <c r="D897" s="189" t="s">
        <v>1411</v>
      </c>
      <c r="E897" s="189" t="s">
        <v>1412</v>
      </c>
      <c r="F897" s="189" t="s">
        <v>1412</v>
      </c>
      <c r="G897" s="189" t="s">
        <v>1413</v>
      </c>
      <c r="H897" s="191" t="n">
        <v>46137</v>
      </c>
      <c r="I897" s="189" t="s">
        <v>113</v>
      </c>
      <c r="J897" s="189" t="s">
        <v>108</v>
      </c>
      <c r="K897" s="189" t="s">
        <v>173</v>
      </c>
      <c r="L897" s="189" t="s">
        <v>130</v>
      </c>
      <c r="M897" s="189" t="s">
        <v>447</v>
      </c>
      <c r="N897" s="189" t="s">
        <v>819</v>
      </c>
      <c r="O897" s="189" t="s">
        <v>107</v>
      </c>
      <c r="P897" s="189" t="s">
        <v>111</v>
      </c>
      <c r="Q897" s="189" t="s">
        <v>112</v>
      </c>
      <c r="R897" s="189" t="s">
        <v>22</v>
      </c>
      <c r="S897" s="189" t="s">
        <v>120</v>
      </c>
      <c r="T897" s="189" t="s">
        <v>180</v>
      </c>
      <c r="V897" s="189" t="s">
        <v>192</v>
      </c>
      <c r="W897" s="189" t="s">
        <v>124</v>
      </c>
      <c r="X897" s="189" t="s">
        <v>715</v>
      </c>
      <c r="Y897" s="189" t="s">
        <v>2108</v>
      </c>
      <c r="Z897" s="0" t="n">
        <v>2</v>
      </c>
      <c r="AA897" s="189" t="s">
        <v>2296</v>
      </c>
    </row>
    <row r="898" customFormat="false" ht="15" hidden="false" customHeight="false" outlineLevel="0" collapsed="false">
      <c r="A898" s="0" t="n">
        <v>184</v>
      </c>
      <c r="B898" s="191" t="n">
        <v>46155.5100316044</v>
      </c>
      <c r="C898" s="191" t="n">
        <v>46155.5175894747</v>
      </c>
      <c r="D898" s="189" t="s">
        <v>1411</v>
      </c>
      <c r="E898" s="189" t="s">
        <v>1412</v>
      </c>
      <c r="F898" s="189" t="s">
        <v>1412</v>
      </c>
      <c r="G898" s="189" t="s">
        <v>1413</v>
      </c>
      <c r="H898" s="191" t="n">
        <v>46137</v>
      </c>
      <c r="I898" s="189" t="s">
        <v>113</v>
      </c>
      <c r="J898" s="189" t="s">
        <v>108</v>
      </c>
      <c r="K898" s="189" t="s">
        <v>173</v>
      </c>
      <c r="L898" s="189" t="s">
        <v>130</v>
      </c>
      <c r="M898" s="189" t="s">
        <v>447</v>
      </c>
      <c r="N898" s="189" t="s">
        <v>819</v>
      </c>
      <c r="O898" s="189" t="s">
        <v>107</v>
      </c>
      <c r="P898" s="189" t="s">
        <v>111</v>
      </c>
      <c r="Q898" s="189" t="s">
        <v>112</v>
      </c>
      <c r="R898" s="189" t="s">
        <v>22</v>
      </c>
      <c r="S898" s="189" t="s">
        <v>120</v>
      </c>
      <c r="T898" s="189" t="s">
        <v>180</v>
      </c>
      <c r="V898" s="189" t="s">
        <v>192</v>
      </c>
      <c r="W898" s="189" t="s">
        <v>124</v>
      </c>
      <c r="X898" s="189" t="s">
        <v>715</v>
      </c>
      <c r="Y898" s="189" t="s">
        <v>2110</v>
      </c>
      <c r="Z898" s="0" t="n">
        <v>1</v>
      </c>
      <c r="AA898" s="189" t="s">
        <v>2297</v>
      </c>
    </row>
    <row r="899" customFormat="false" ht="15" hidden="false" customHeight="false" outlineLevel="0" collapsed="false">
      <c r="A899" s="0" t="n">
        <v>184</v>
      </c>
      <c r="B899" s="191" t="n">
        <v>46155.5100316044</v>
      </c>
      <c r="C899" s="191" t="n">
        <v>46155.5175894747</v>
      </c>
      <c r="D899" s="189" t="s">
        <v>1411</v>
      </c>
      <c r="E899" s="189" t="s">
        <v>1412</v>
      </c>
      <c r="F899" s="189" t="s">
        <v>1412</v>
      </c>
      <c r="G899" s="189" t="s">
        <v>1413</v>
      </c>
      <c r="H899" s="191" t="n">
        <v>46137</v>
      </c>
      <c r="I899" s="189" t="s">
        <v>113</v>
      </c>
      <c r="J899" s="189" t="s">
        <v>108</v>
      </c>
      <c r="K899" s="189" t="s">
        <v>173</v>
      </c>
      <c r="L899" s="189" t="s">
        <v>130</v>
      </c>
      <c r="M899" s="189" t="s">
        <v>447</v>
      </c>
      <c r="N899" s="189" t="s">
        <v>819</v>
      </c>
      <c r="O899" s="189" t="s">
        <v>107</v>
      </c>
      <c r="P899" s="189" t="s">
        <v>111</v>
      </c>
      <c r="Q899" s="189" t="s">
        <v>112</v>
      </c>
      <c r="R899" s="189" t="s">
        <v>22</v>
      </c>
      <c r="S899" s="189" t="s">
        <v>120</v>
      </c>
      <c r="T899" s="189" t="s">
        <v>180</v>
      </c>
      <c r="V899" s="189" t="s">
        <v>192</v>
      </c>
      <c r="W899" s="189" t="s">
        <v>124</v>
      </c>
      <c r="X899" s="189" t="s">
        <v>715</v>
      </c>
      <c r="Y899" s="189" t="s">
        <v>2113</v>
      </c>
      <c r="Z899" s="0" t="n">
        <v>1</v>
      </c>
      <c r="AA899" s="189" t="s">
        <v>2276</v>
      </c>
    </row>
    <row r="900" customFormat="false" ht="15" hidden="false" customHeight="false" outlineLevel="0" collapsed="false">
      <c r="A900" s="0" t="n">
        <v>185</v>
      </c>
      <c r="B900" s="191" t="n">
        <v>46047.2795379285</v>
      </c>
      <c r="C900" s="191" t="n">
        <v>46047.2829175582</v>
      </c>
      <c r="D900" s="189" t="s">
        <v>1414</v>
      </c>
      <c r="E900" s="189" t="s">
        <v>1415</v>
      </c>
      <c r="F900" s="189" t="s">
        <v>1415</v>
      </c>
      <c r="G900" s="189" t="s">
        <v>1416</v>
      </c>
      <c r="H900" s="191" t="n">
        <v>46043</v>
      </c>
      <c r="I900" s="189" t="s">
        <v>113</v>
      </c>
      <c r="J900" s="189" t="s">
        <v>295</v>
      </c>
      <c r="K900" s="189" t="s">
        <v>245</v>
      </c>
      <c r="L900" s="189" t="s">
        <v>184</v>
      </c>
      <c r="M900" s="189" t="s">
        <v>133</v>
      </c>
      <c r="N900" s="189" t="s">
        <v>200</v>
      </c>
      <c r="O900" s="189" t="s">
        <v>157</v>
      </c>
      <c r="P900" s="189" t="s">
        <v>111</v>
      </c>
      <c r="Q900" s="189" t="s">
        <v>145</v>
      </c>
      <c r="R900" s="189" t="s">
        <v>24</v>
      </c>
      <c r="S900" s="189" t="s">
        <v>152</v>
      </c>
      <c r="T900" s="189" t="s">
        <v>228</v>
      </c>
      <c r="U900" s="189" t="s">
        <v>1420</v>
      </c>
      <c r="V900" s="189" t="s">
        <v>123</v>
      </c>
      <c r="W900" s="189" t="s">
        <v>124</v>
      </c>
      <c r="X900" s="189" t="s">
        <v>260</v>
      </c>
      <c r="Y900" s="189" t="s">
        <v>2108</v>
      </c>
      <c r="Z900" s="0" t="n">
        <v>1</v>
      </c>
      <c r="AA900" s="189" t="s">
        <v>2334</v>
      </c>
    </row>
    <row r="901" customFormat="false" ht="15" hidden="false" customHeight="false" outlineLevel="0" collapsed="false">
      <c r="A901" s="0" t="n">
        <v>185</v>
      </c>
      <c r="B901" s="191" t="n">
        <v>46047.2795379285</v>
      </c>
      <c r="C901" s="191" t="n">
        <v>46047.2829175582</v>
      </c>
      <c r="D901" s="189" t="s">
        <v>1414</v>
      </c>
      <c r="E901" s="189" t="s">
        <v>1415</v>
      </c>
      <c r="F901" s="189" t="s">
        <v>1415</v>
      </c>
      <c r="G901" s="189" t="s">
        <v>1416</v>
      </c>
      <c r="H901" s="191" t="n">
        <v>46043</v>
      </c>
      <c r="I901" s="189" t="s">
        <v>113</v>
      </c>
      <c r="J901" s="189" t="s">
        <v>295</v>
      </c>
      <c r="K901" s="189" t="s">
        <v>245</v>
      </c>
      <c r="L901" s="189" t="s">
        <v>184</v>
      </c>
      <c r="M901" s="189" t="s">
        <v>133</v>
      </c>
      <c r="N901" s="189" t="s">
        <v>200</v>
      </c>
      <c r="O901" s="189" t="s">
        <v>157</v>
      </c>
      <c r="P901" s="189" t="s">
        <v>111</v>
      </c>
      <c r="Q901" s="189" t="s">
        <v>145</v>
      </c>
      <c r="R901" s="189" t="s">
        <v>24</v>
      </c>
      <c r="S901" s="189" t="s">
        <v>152</v>
      </c>
      <c r="T901" s="189" t="s">
        <v>228</v>
      </c>
      <c r="U901" s="189" t="s">
        <v>1420</v>
      </c>
      <c r="V901" s="189" t="s">
        <v>123</v>
      </c>
      <c r="W901" s="189" t="s">
        <v>124</v>
      </c>
      <c r="X901" s="189" t="s">
        <v>260</v>
      </c>
      <c r="Y901" s="189" t="s">
        <v>2108</v>
      </c>
      <c r="Z901" s="0" t="n">
        <v>2</v>
      </c>
      <c r="AA901" s="189" t="s">
        <v>2307</v>
      </c>
    </row>
    <row r="902" customFormat="false" ht="15" hidden="false" customHeight="false" outlineLevel="0" collapsed="false">
      <c r="A902" s="0" t="n">
        <v>185</v>
      </c>
      <c r="B902" s="191" t="n">
        <v>46047.2795379285</v>
      </c>
      <c r="C902" s="191" t="n">
        <v>46047.2829175582</v>
      </c>
      <c r="D902" s="189" t="s">
        <v>1414</v>
      </c>
      <c r="E902" s="189" t="s">
        <v>1415</v>
      </c>
      <c r="F902" s="189" t="s">
        <v>1415</v>
      </c>
      <c r="G902" s="189" t="s">
        <v>1416</v>
      </c>
      <c r="H902" s="191" t="n">
        <v>46043</v>
      </c>
      <c r="I902" s="189" t="s">
        <v>113</v>
      </c>
      <c r="J902" s="189" t="s">
        <v>295</v>
      </c>
      <c r="K902" s="189" t="s">
        <v>245</v>
      </c>
      <c r="L902" s="189" t="s">
        <v>184</v>
      </c>
      <c r="M902" s="189" t="s">
        <v>133</v>
      </c>
      <c r="N902" s="189" t="s">
        <v>200</v>
      </c>
      <c r="O902" s="189" t="s">
        <v>157</v>
      </c>
      <c r="P902" s="189" t="s">
        <v>111</v>
      </c>
      <c r="Q902" s="189" t="s">
        <v>145</v>
      </c>
      <c r="R902" s="189" t="s">
        <v>24</v>
      </c>
      <c r="S902" s="189" t="s">
        <v>152</v>
      </c>
      <c r="T902" s="189" t="s">
        <v>228</v>
      </c>
      <c r="U902" s="189" t="s">
        <v>1420</v>
      </c>
      <c r="V902" s="189" t="s">
        <v>123</v>
      </c>
      <c r="W902" s="189" t="s">
        <v>124</v>
      </c>
      <c r="X902" s="189" t="s">
        <v>260</v>
      </c>
      <c r="Y902" s="189" t="s">
        <v>2108</v>
      </c>
      <c r="Z902" s="0" t="n">
        <v>3</v>
      </c>
      <c r="AA902" s="189" t="s">
        <v>2153</v>
      </c>
    </row>
    <row r="903" customFormat="false" ht="15" hidden="false" customHeight="false" outlineLevel="0" collapsed="false">
      <c r="A903" s="0" t="n">
        <v>185</v>
      </c>
      <c r="B903" s="191" t="n">
        <v>46047.2795379285</v>
      </c>
      <c r="C903" s="191" t="n">
        <v>46047.2829175582</v>
      </c>
      <c r="D903" s="189" t="s">
        <v>1414</v>
      </c>
      <c r="E903" s="189" t="s">
        <v>1415</v>
      </c>
      <c r="F903" s="189" t="s">
        <v>1415</v>
      </c>
      <c r="G903" s="189" t="s">
        <v>1416</v>
      </c>
      <c r="H903" s="191" t="n">
        <v>46043</v>
      </c>
      <c r="I903" s="189" t="s">
        <v>113</v>
      </c>
      <c r="J903" s="189" t="s">
        <v>295</v>
      </c>
      <c r="K903" s="189" t="s">
        <v>245</v>
      </c>
      <c r="L903" s="189" t="s">
        <v>184</v>
      </c>
      <c r="M903" s="189" t="s">
        <v>133</v>
      </c>
      <c r="N903" s="189" t="s">
        <v>200</v>
      </c>
      <c r="O903" s="189" t="s">
        <v>157</v>
      </c>
      <c r="P903" s="189" t="s">
        <v>111</v>
      </c>
      <c r="Q903" s="189" t="s">
        <v>145</v>
      </c>
      <c r="R903" s="189" t="s">
        <v>24</v>
      </c>
      <c r="S903" s="189" t="s">
        <v>152</v>
      </c>
      <c r="T903" s="189" t="s">
        <v>228</v>
      </c>
      <c r="U903" s="189" t="s">
        <v>1420</v>
      </c>
      <c r="V903" s="189" t="s">
        <v>123</v>
      </c>
      <c r="W903" s="189" t="s">
        <v>124</v>
      </c>
      <c r="X903" s="189" t="s">
        <v>260</v>
      </c>
      <c r="Y903" s="189" t="s">
        <v>2110</v>
      </c>
      <c r="Z903" s="0" t="n">
        <v>1</v>
      </c>
      <c r="AA903" s="189" t="s">
        <v>2335</v>
      </c>
    </row>
    <row r="904" customFormat="false" ht="15" hidden="false" customHeight="false" outlineLevel="0" collapsed="false">
      <c r="A904" s="0" t="n">
        <v>185</v>
      </c>
      <c r="B904" s="191" t="n">
        <v>46047.2795379285</v>
      </c>
      <c r="C904" s="191" t="n">
        <v>46047.2829175582</v>
      </c>
      <c r="D904" s="189" t="s">
        <v>1414</v>
      </c>
      <c r="E904" s="189" t="s">
        <v>1415</v>
      </c>
      <c r="F904" s="189" t="s">
        <v>1415</v>
      </c>
      <c r="G904" s="189" t="s">
        <v>1416</v>
      </c>
      <c r="H904" s="191" t="n">
        <v>46043</v>
      </c>
      <c r="I904" s="189" t="s">
        <v>113</v>
      </c>
      <c r="J904" s="189" t="s">
        <v>295</v>
      </c>
      <c r="K904" s="189" t="s">
        <v>245</v>
      </c>
      <c r="L904" s="189" t="s">
        <v>184</v>
      </c>
      <c r="M904" s="189" t="s">
        <v>133</v>
      </c>
      <c r="N904" s="189" t="s">
        <v>200</v>
      </c>
      <c r="O904" s="189" t="s">
        <v>157</v>
      </c>
      <c r="P904" s="189" t="s">
        <v>111</v>
      </c>
      <c r="Q904" s="189" t="s">
        <v>145</v>
      </c>
      <c r="R904" s="189" t="s">
        <v>24</v>
      </c>
      <c r="S904" s="189" t="s">
        <v>152</v>
      </c>
      <c r="T904" s="189" t="s">
        <v>228</v>
      </c>
      <c r="U904" s="189" t="s">
        <v>1420</v>
      </c>
      <c r="V904" s="189" t="s">
        <v>123</v>
      </c>
      <c r="W904" s="189" t="s">
        <v>124</v>
      </c>
      <c r="X904" s="189" t="s">
        <v>260</v>
      </c>
      <c r="Y904" s="189" t="s">
        <v>2113</v>
      </c>
      <c r="Z904" s="0" t="n">
        <v>1</v>
      </c>
      <c r="AA904" s="189" t="s">
        <v>2304</v>
      </c>
    </row>
    <row r="905" customFormat="false" ht="15" hidden="false" customHeight="false" outlineLevel="0" collapsed="false">
      <c r="A905" s="0" t="n">
        <v>185</v>
      </c>
      <c r="B905" s="191" t="n">
        <v>46047.2795379285</v>
      </c>
      <c r="C905" s="191" t="n">
        <v>46047.2829175582</v>
      </c>
      <c r="D905" s="189" t="s">
        <v>1414</v>
      </c>
      <c r="E905" s="189" t="s">
        <v>1415</v>
      </c>
      <c r="F905" s="189" t="s">
        <v>1415</v>
      </c>
      <c r="G905" s="189" t="s">
        <v>1416</v>
      </c>
      <c r="H905" s="191" t="n">
        <v>46043</v>
      </c>
      <c r="I905" s="189" t="s">
        <v>113</v>
      </c>
      <c r="J905" s="189" t="s">
        <v>295</v>
      </c>
      <c r="K905" s="189" t="s">
        <v>245</v>
      </c>
      <c r="L905" s="189" t="s">
        <v>184</v>
      </c>
      <c r="M905" s="189" t="s">
        <v>133</v>
      </c>
      <c r="N905" s="189" t="s">
        <v>200</v>
      </c>
      <c r="O905" s="189" t="s">
        <v>157</v>
      </c>
      <c r="P905" s="189" t="s">
        <v>111</v>
      </c>
      <c r="Q905" s="189" t="s">
        <v>145</v>
      </c>
      <c r="R905" s="189" t="s">
        <v>24</v>
      </c>
      <c r="S905" s="189" t="s">
        <v>152</v>
      </c>
      <c r="T905" s="189" t="s">
        <v>228</v>
      </c>
      <c r="U905" s="189" t="s">
        <v>1420</v>
      </c>
      <c r="V905" s="189" t="s">
        <v>123</v>
      </c>
      <c r="W905" s="189" t="s">
        <v>124</v>
      </c>
      <c r="X905" s="189" t="s">
        <v>260</v>
      </c>
      <c r="Y905" s="189" t="s">
        <v>2113</v>
      </c>
      <c r="Z905" s="0" t="n">
        <v>2</v>
      </c>
      <c r="AA905" s="189" t="s">
        <v>2157</v>
      </c>
    </row>
    <row r="906" customFormat="false" ht="15" hidden="false" customHeight="false" outlineLevel="0" collapsed="false">
      <c r="A906" s="0" t="n">
        <v>186</v>
      </c>
      <c r="B906" s="191" t="n">
        <v>46159.7942861831</v>
      </c>
      <c r="C906" s="191" t="n">
        <v>46159.7959528498</v>
      </c>
      <c r="D906" s="189" t="s">
        <v>1421</v>
      </c>
      <c r="E906" s="189" t="s">
        <v>1422</v>
      </c>
      <c r="F906" s="189" t="s">
        <v>1422</v>
      </c>
      <c r="G906" s="189" t="s">
        <v>1423</v>
      </c>
      <c r="H906" s="191" t="n">
        <v>46145</v>
      </c>
      <c r="I906" s="189" t="s">
        <v>336</v>
      </c>
      <c r="J906" s="189" t="s">
        <v>108</v>
      </c>
      <c r="K906" s="189" t="s">
        <v>173</v>
      </c>
      <c r="L906" s="189" t="s">
        <v>114</v>
      </c>
      <c r="M906" s="189" t="s">
        <v>1074</v>
      </c>
      <c r="N906" s="189" t="s">
        <v>1094</v>
      </c>
      <c r="O906" s="189" t="s">
        <v>172</v>
      </c>
      <c r="P906" s="189" t="s">
        <v>211</v>
      </c>
      <c r="Q906" s="189" t="s">
        <v>112</v>
      </c>
      <c r="R906" s="189" t="s">
        <v>24</v>
      </c>
      <c r="S906" s="189" t="s">
        <v>120</v>
      </c>
      <c r="T906" s="189" t="s">
        <v>180</v>
      </c>
      <c r="V906" s="189" t="s">
        <v>192</v>
      </c>
      <c r="W906" s="189" t="s">
        <v>124</v>
      </c>
      <c r="X906" s="189" t="s">
        <v>448</v>
      </c>
      <c r="Y906" s="189" t="s">
        <v>2108</v>
      </c>
      <c r="Z906" s="0" t="n">
        <v>1</v>
      </c>
      <c r="AA906" s="189" t="s">
        <v>2218</v>
      </c>
    </row>
    <row r="907" customFormat="false" ht="15" hidden="false" customHeight="false" outlineLevel="0" collapsed="false">
      <c r="A907" s="0" t="n">
        <v>186</v>
      </c>
      <c r="B907" s="191" t="n">
        <v>46159.7942861831</v>
      </c>
      <c r="C907" s="191" t="n">
        <v>46159.7959528498</v>
      </c>
      <c r="D907" s="189" t="s">
        <v>1421</v>
      </c>
      <c r="E907" s="189" t="s">
        <v>1422</v>
      </c>
      <c r="F907" s="189" t="s">
        <v>1422</v>
      </c>
      <c r="G907" s="189" t="s">
        <v>1423</v>
      </c>
      <c r="H907" s="191" t="n">
        <v>46145</v>
      </c>
      <c r="I907" s="189" t="s">
        <v>336</v>
      </c>
      <c r="J907" s="189" t="s">
        <v>108</v>
      </c>
      <c r="K907" s="189" t="s">
        <v>173</v>
      </c>
      <c r="L907" s="189" t="s">
        <v>114</v>
      </c>
      <c r="M907" s="189" t="s">
        <v>1074</v>
      </c>
      <c r="N907" s="189" t="s">
        <v>1094</v>
      </c>
      <c r="O907" s="189" t="s">
        <v>172</v>
      </c>
      <c r="P907" s="189" t="s">
        <v>211</v>
      </c>
      <c r="Q907" s="189" t="s">
        <v>112</v>
      </c>
      <c r="R907" s="189" t="s">
        <v>24</v>
      </c>
      <c r="S907" s="189" t="s">
        <v>120</v>
      </c>
      <c r="T907" s="189" t="s">
        <v>180</v>
      </c>
      <c r="V907" s="189" t="s">
        <v>192</v>
      </c>
      <c r="W907" s="189" t="s">
        <v>124</v>
      </c>
      <c r="X907" s="189" t="s">
        <v>448</v>
      </c>
      <c r="Y907" s="189" t="s">
        <v>2108</v>
      </c>
      <c r="Z907" s="0" t="n">
        <v>2</v>
      </c>
      <c r="AA907" s="189" t="s">
        <v>2217</v>
      </c>
    </row>
    <row r="908" customFormat="false" ht="15" hidden="false" customHeight="false" outlineLevel="0" collapsed="false">
      <c r="A908" s="0" t="n">
        <v>186</v>
      </c>
      <c r="B908" s="191" t="n">
        <v>46159.7942861831</v>
      </c>
      <c r="C908" s="191" t="n">
        <v>46159.7959528498</v>
      </c>
      <c r="D908" s="189" t="s">
        <v>1421</v>
      </c>
      <c r="E908" s="189" t="s">
        <v>1422</v>
      </c>
      <c r="F908" s="189" t="s">
        <v>1422</v>
      </c>
      <c r="G908" s="189" t="s">
        <v>1423</v>
      </c>
      <c r="H908" s="191" t="n">
        <v>46145</v>
      </c>
      <c r="I908" s="189" t="s">
        <v>336</v>
      </c>
      <c r="J908" s="189" t="s">
        <v>108</v>
      </c>
      <c r="K908" s="189" t="s">
        <v>173</v>
      </c>
      <c r="L908" s="189" t="s">
        <v>114</v>
      </c>
      <c r="M908" s="189" t="s">
        <v>1074</v>
      </c>
      <c r="N908" s="189" t="s">
        <v>1094</v>
      </c>
      <c r="O908" s="189" t="s">
        <v>172</v>
      </c>
      <c r="P908" s="189" t="s">
        <v>211</v>
      </c>
      <c r="Q908" s="189" t="s">
        <v>112</v>
      </c>
      <c r="R908" s="189" t="s">
        <v>24</v>
      </c>
      <c r="S908" s="189" t="s">
        <v>120</v>
      </c>
      <c r="T908" s="189" t="s">
        <v>180</v>
      </c>
      <c r="V908" s="189" t="s">
        <v>192</v>
      </c>
      <c r="W908" s="189" t="s">
        <v>124</v>
      </c>
      <c r="X908" s="189" t="s">
        <v>448</v>
      </c>
      <c r="Y908" s="189" t="s">
        <v>2110</v>
      </c>
      <c r="Z908" s="0" t="n">
        <v>1</v>
      </c>
      <c r="AA908" s="189" t="s">
        <v>2324</v>
      </c>
    </row>
    <row r="909" customFormat="false" ht="15" hidden="false" customHeight="false" outlineLevel="0" collapsed="false">
      <c r="A909" s="0" t="n">
        <v>186</v>
      </c>
      <c r="B909" s="191" t="n">
        <v>46159.7942861831</v>
      </c>
      <c r="C909" s="191" t="n">
        <v>46159.7959528498</v>
      </c>
      <c r="D909" s="189" t="s">
        <v>1421</v>
      </c>
      <c r="E909" s="189" t="s">
        <v>1422</v>
      </c>
      <c r="F909" s="189" t="s">
        <v>1422</v>
      </c>
      <c r="G909" s="189" t="s">
        <v>1423</v>
      </c>
      <c r="H909" s="191" t="n">
        <v>46145</v>
      </c>
      <c r="I909" s="189" t="s">
        <v>336</v>
      </c>
      <c r="J909" s="189" t="s">
        <v>108</v>
      </c>
      <c r="K909" s="189" t="s">
        <v>173</v>
      </c>
      <c r="L909" s="189" t="s">
        <v>114</v>
      </c>
      <c r="M909" s="189" t="s">
        <v>1074</v>
      </c>
      <c r="N909" s="189" t="s">
        <v>1094</v>
      </c>
      <c r="O909" s="189" t="s">
        <v>172</v>
      </c>
      <c r="P909" s="189" t="s">
        <v>211</v>
      </c>
      <c r="Q909" s="189" t="s">
        <v>112</v>
      </c>
      <c r="R909" s="189" t="s">
        <v>24</v>
      </c>
      <c r="S909" s="189" t="s">
        <v>120</v>
      </c>
      <c r="T909" s="189" t="s">
        <v>180</v>
      </c>
      <c r="V909" s="189" t="s">
        <v>192</v>
      </c>
      <c r="W909" s="189" t="s">
        <v>124</v>
      </c>
      <c r="X909" s="189" t="s">
        <v>448</v>
      </c>
      <c r="Y909" s="189" t="s">
        <v>2113</v>
      </c>
      <c r="Z909" s="0" t="n">
        <v>1</v>
      </c>
      <c r="AA909" s="189" t="s">
        <v>2223</v>
      </c>
    </row>
    <row r="910" customFormat="false" ht="15" hidden="false" customHeight="false" outlineLevel="0" collapsed="false">
      <c r="A910" s="0" t="n">
        <v>186</v>
      </c>
      <c r="B910" s="191" t="n">
        <v>46159.7942861831</v>
      </c>
      <c r="C910" s="191" t="n">
        <v>46159.7959528498</v>
      </c>
      <c r="D910" s="189" t="s">
        <v>1421</v>
      </c>
      <c r="E910" s="189" t="s">
        <v>1422</v>
      </c>
      <c r="F910" s="189" t="s">
        <v>1422</v>
      </c>
      <c r="G910" s="189" t="s">
        <v>1423</v>
      </c>
      <c r="H910" s="191" t="n">
        <v>46145</v>
      </c>
      <c r="I910" s="189" t="s">
        <v>336</v>
      </c>
      <c r="J910" s="189" t="s">
        <v>108</v>
      </c>
      <c r="K910" s="189" t="s">
        <v>173</v>
      </c>
      <c r="L910" s="189" t="s">
        <v>114</v>
      </c>
      <c r="M910" s="189" t="s">
        <v>1074</v>
      </c>
      <c r="N910" s="189" t="s">
        <v>1094</v>
      </c>
      <c r="O910" s="189" t="s">
        <v>172</v>
      </c>
      <c r="P910" s="189" t="s">
        <v>211</v>
      </c>
      <c r="Q910" s="189" t="s">
        <v>112</v>
      </c>
      <c r="R910" s="189" t="s">
        <v>24</v>
      </c>
      <c r="S910" s="189" t="s">
        <v>120</v>
      </c>
      <c r="T910" s="189" t="s">
        <v>180</v>
      </c>
      <c r="V910" s="189" t="s">
        <v>192</v>
      </c>
      <c r="W910" s="189" t="s">
        <v>124</v>
      </c>
      <c r="X910" s="189" t="s">
        <v>448</v>
      </c>
      <c r="Y910" s="189" t="s">
        <v>2113</v>
      </c>
      <c r="Z910" s="0" t="n">
        <v>2</v>
      </c>
      <c r="AA910" s="189" t="s">
        <v>2222</v>
      </c>
    </row>
    <row r="911" customFormat="false" ht="15" hidden="false" customHeight="false" outlineLevel="0" collapsed="false">
      <c r="A911" s="0" t="n">
        <v>187</v>
      </c>
      <c r="B911" s="191" t="n">
        <v>46216.203927064</v>
      </c>
      <c r="C911" s="191" t="n">
        <v>46216.2055937307</v>
      </c>
      <c r="D911" s="189" t="s">
        <v>1426</v>
      </c>
      <c r="E911" s="189" t="s">
        <v>1427</v>
      </c>
      <c r="F911" s="189" t="s">
        <v>1428</v>
      </c>
      <c r="G911" s="189" t="s">
        <v>1429</v>
      </c>
      <c r="H911" s="191" t="n">
        <v>46213</v>
      </c>
      <c r="I911" s="189" t="s">
        <v>113</v>
      </c>
      <c r="J911" s="189" t="s">
        <v>108</v>
      </c>
      <c r="K911" s="189" t="s">
        <v>232</v>
      </c>
      <c r="L911" s="189" t="s">
        <v>286</v>
      </c>
      <c r="M911" s="189" t="s">
        <v>269</v>
      </c>
      <c r="N911" s="189" t="s">
        <v>775</v>
      </c>
      <c r="O911" s="189" t="s">
        <v>244</v>
      </c>
      <c r="P911" s="189" t="s">
        <v>111</v>
      </c>
      <c r="Q911" s="189" t="s">
        <v>112</v>
      </c>
      <c r="R911" s="189" t="s">
        <v>24</v>
      </c>
      <c r="S911" s="189" t="s">
        <v>120</v>
      </c>
      <c r="T911" s="189" t="s">
        <v>264</v>
      </c>
      <c r="U911" s="189" t="s">
        <v>122</v>
      </c>
      <c r="V911" s="189" t="s">
        <v>167</v>
      </c>
      <c r="W911" s="189" t="s">
        <v>124</v>
      </c>
      <c r="X911" s="189" t="s">
        <v>223</v>
      </c>
      <c r="Y911" s="189" t="s">
        <v>2108</v>
      </c>
      <c r="Z911" s="0" t="n">
        <v>1</v>
      </c>
      <c r="AA911" s="189" t="s">
        <v>2140</v>
      </c>
    </row>
    <row r="912" customFormat="false" ht="15" hidden="false" customHeight="false" outlineLevel="0" collapsed="false">
      <c r="A912" s="0" t="n">
        <v>187</v>
      </c>
      <c r="B912" s="191" t="n">
        <v>46216.203927064</v>
      </c>
      <c r="C912" s="191" t="n">
        <v>46216.2055937307</v>
      </c>
      <c r="D912" s="189" t="s">
        <v>1426</v>
      </c>
      <c r="E912" s="189" t="s">
        <v>1427</v>
      </c>
      <c r="F912" s="189" t="s">
        <v>1428</v>
      </c>
      <c r="G912" s="189" t="s">
        <v>1429</v>
      </c>
      <c r="H912" s="191" t="n">
        <v>46213</v>
      </c>
      <c r="I912" s="189" t="s">
        <v>113</v>
      </c>
      <c r="J912" s="189" t="s">
        <v>108</v>
      </c>
      <c r="K912" s="189" t="s">
        <v>232</v>
      </c>
      <c r="L912" s="189" t="s">
        <v>286</v>
      </c>
      <c r="M912" s="189" t="s">
        <v>269</v>
      </c>
      <c r="N912" s="189" t="s">
        <v>775</v>
      </c>
      <c r="O912" s="189" t="s">
        <v>244</v>
      </c>
      <c r="P912" s="189" t="s">
        <v>111</v>
      </c>
      <c r="Q912" s="189" t="s">
        <v>112</v>
      </c>
      <c r="R912" s="189" t="s">
        <v>24</v>
      </c>
      <c r="S912" s="189" t="s">
        <v>120</v>
      </c>
      <c r="T912" s="189" t="s">
        <v>264</v>
      </c>
      <c r="U912" s="189" t="s">
        <v>122</v>
      </c>
      <c r="V912" s="189" t="s">
        <v>167</v>
      </c>
      <c r="W912" s="189" t="s">
        <v>124</v>
      </c>
      <c r="X912" s="189" t="s">
        <v>223</v>
      </c>
      <c r="Y912" s="189" t="s">
        <v>2108</v>
      </c>
      <c r="Z912" s="0" t="n">
        <v>2</v>
      </c>
      <c r="AA912" s="189" t="s">
        <v>2147</v>
      </c>
    </row>
    <row r="913" customFormat="false" ht="15" hidden="false" customHeight="false" outlineLevel="0" collapsed="false">
      <c r="A913" s="0" t="n">
        <v>187</v>
      </c>
      <c r="B913" s="191" t="n">
        <v>46216.203927064</v>
      </c>
      <c r="C913" s="191" t="n">
        <v>46216.2055937307</v>
      </c>
      <c r="D913" s="189" t="s">
        <v>1426</v>
      </c>
      <c r="E913" s="189" t="s">
        <v>1427</v>
      </c>
      <c r="F913" s="189" t="s">
        <v>1428</v>
      </c>
      <c r="G913" s="189" t="s">
        <v>1429</v>
      </c>
      <c r="H913" s="191" t="n">
        <v>46213</v>
      </c>
      <c r="I913" s="189" t="s">
        <v>113</v>
      </c>
      <c r="J913" s="189" t="s">
        <v>108</v>
      </c>
      <c r="K913" s="189" t="s">
        <v>232</v>
      </c>
      <c r="L913" s="189" t="s">
        <v>286</v>
      </c>
      <c r="M913" s="189" t="s">
        <v>269</v>
      </c>
      <c r="N913" s="189" t="s">
        <v>775</v>
      </c>
      <c r="O913" s="189" t="s">
        <v>244</v>
      </c>
      <c r="P913" s="189" t="s">
        <v>111</v>
      </c>
      <c r="Q913" s="189" t="s">
        <v>112</v>
      </c>
      <c r="R913" s="189" t="s">
        <v>24</v>
      </c>
      <c r="S913" s="189" t="s">
        <v>120</v>
      </c>
      <c r="T913" s="189" t="s">
        <v>264</v>
      </c>
      <c r="U913" s="189" t="s">
        <v>122</v>
      </c>
      <c r="V913" s="189" t="s">
        <v>167</v>
      </c>
      <c r="W913" s="189" t="s">
        <v>124</v>
      </c>
      <c r="X913" s="189" t="s">
        <v>223</v>
      </c>
      <c r="Y913" s="189" t="s">
        <v>2108</v>
      </c>
      <c r="Z913" s="0" t="n">
        <v>3</v>
      </c>
      <c r="AA913" s="189" t="s">
        <v>2148</v>
      </c>
    </row>
    <row r="914" customFormat="false" ht="15" hidden="false" customHeight="false" outlineLevel="0" collapsed="false">
      <c r="A914" s="0" t="n">
        <v>187</v>
      </c>
      <c r="B914" s="191" t="n">
        <v>46216.203927064</v>
      </c>
      <c r="C914" s="191" t="n">
        <v>46216.2055937307</v>
      </c>
      <c r="D914" s="189" t="s">
        <v>1426</v>
      </c>
      <c r="E914" s="189" t="s">
        <v>1427</v>
      </c>
      <c r="F914" s="189" t="s">
        <v>1428</v>
      </c>
      <c r="G914" s="189" t="s">
        <v>1429</v>
      </c>
      <c r="H914" s="191" t="n">
        <v>46213</v>
      </c>
      <c r="I914" s="189" t="s">
        <v>113</v>
      </c>
      <c r="J914" s="189" t="s">
        <v>108</v>
      </c>
      <c r="K914" s="189" t="s">
        <v>232</v>
      </c>
      <c r="L914" s="189" t="s">
        <v>286</v>
      </c>
      <c r="M914" s="189" t="s">
        <v>269</v>
      </c>
      <c r="N914" s="189" t="s">
        <v>775</v>
      </c>
      <c r="O914" s="189" t="s">
        <v>244</v>
      </c>
      <c r="P914" s="189" t="s">
        <v>111</v>
      </c>
      <c r="Q914" s="189" t="s">
        <v>112</v>
      </c>
      <c r="R914" s="189" t="s">
        <v>24</v>
      </c>
      <c r="S914" s="189" t="s">
        <v>120</v>
      </c>
      <c r="T914" s="189" t="s">
        <v>264</v>
      </c>
      <c r="U914" s="189" t="s">
        <v>122</v>
      </c>
      <c r="V914" s="189" t="s">
        <v>167</v>
      </c>
      <c r="W914" s="189" t="s">
        <v>124</v>
      </c>
      <c r="X914" s="189" t="s">
        <v>223</v>
      </c>
      <c r="Y914" s="189" t="s">
        <v>2110</v>
      </c>
      <c r="Z914" s="0" t="n">
        <v>1</v>
      </c>
      <c r="AA914" s="189" t="s">
        <v>2214</v>
      </c>
    </row>
    <row r="915" customFormat="false" ht="15" hidden="false" customHeight="false" outlineLevel="0" collapsed="false">
      <c r="A915" s="0" t="n">
        <v>187</v>
      </c>
      <c r="B915" s="191" t="n">
        <v>46216.203927064</v>
      </c>
      <c r="C915" s="191" t="n">
        <v>46216.2055937307</v>
      </c>
      <c r="D915" s="189" t="s">
        <v>1426</v>
      </c>
      <c r="E915" s="189" t="s">
        <v>1427</v>
      </c>
      <c r="F915" s="189" t="s">
        <v>1428</v>
      </c>
      <c r="G915" s="189" t="s">
        <v>1429</v>
      </c>
      <c r="H915" s="191" t="n">
        <v>46213</v>
      </c>
      <c r="I915" s="189" t="s">
        <v>113</v>
      </c>
      <c r="J915" s="189" t="s">
        <v>108</v>
      </c>
      <c r="K915" s="189" t="s">
        <v>232</v>
      </c>
      <c r="L915" s="189" t="s">
        <v>286</v>
      </c>
      <c r="M915" s="189" t="s">
        <v>269</v>
      </c>
      <c r="N915" s="189" t="s">
        <v>775</v>
      </c>
      <c r="O915" s="189" t="s">
        <v>244</v>
      </c>
      <c r="P915" s="189" t="s">
        <v>111</v>
      </c>
      <c r="Q915" s="189" t="s">
        <v>112</v>
      </c>
      <c r="R915" s="189" t="s">
        <v>24</v>
      </c>
      <c r="S915" s="189" t="s">
        <v>120</v>
      </c>
      <c r="T915" s="189" t="s">
        <v>264</v>
      </c>
      <c r="U915" s="189" t="s">
        <v>122</v>
      </c>
      <c r="V915" s="189" t="s">
        <v>167</v>
      </c>
      <c r="W915" s="189" t="s">
        <v>124</v>
      </c>
      <c r="X915" s="189" t="s">
        <v>223</v>
      </c>
      <c r="Y915" s="189" t="s">
        <v>2113</v>
      </c>
      <c r="Z915" s="0" t="n">
        <v>1</v>
      </c>
      <c r="AA915" s="189" t="s">
        <v>2145</v>
      </c>
    </row>
    <row r="916" customFormat="false" ht="15" hidden="false" customHeight="false" outlineLevel="0" collapsed="false">
      <c r="A916" s="0" t="n">
        <v>188</v>
      </c>
      <c r="B916" s="191" t="n">
        <v>46214.9844156917</v>
      </c>
      <c r="C916" s="191" t="n">
        <v>46215.0009434694</v>
      </c>
      <c r="D916" s="189" t="s">
        <v>1433</v>
      </c>
      <c r="E916" s="189" t="s">
        <v>1434</v>
      </c>
      <c r="F916" s="189" t="s">
        <v>1434</v>
      </c>
      <c r="G916" s="189" t="s">
        <v>1435</v>
      </c>
      <c r="H916" s="191" t="n">
        <v>46206</v>
      </c>
      <c r="I916" s="189" t="s">
        <v>325</v>
      </c>
      <c r="J916" s="189" t="s">
        <v>295</v>
      </c>
      <c r="K916" s="189" t="s">
        <v>257</v>
      </c>
      <c r="L916" s="189" t="s">
        <v>346</v>
      </c>
      <c r="M916" s="189" t="s">
        <v>212</v>
      </c>
      <c r="N916" s="189" t="s">
        <v>743</v>
      </c>
      <c r="O916" s="189" t="s">
        <v>278</v>
      </c>
      <c r="P916" s="189" t="s">
        <v>111</v>
      </c>
      <c r="Q916" s="189" t="s">
        <v>112</v>
      </c>
      <c r="R916" s="189" t="s">
        <v>22</v>
      </c>
      <c r="S916" s="189" t="s">
        <v>152</v>
      </c>
      <c r="T916" s="189" t="s">
        <v>180</v>
      </c>
      <c r="U916" s="189" t="s">
        <v>122</v>
      </c>
      <c r="V916" s="189" t="s">
        <v>123</v>
      </c>
      <c r="W916" s="189" t="s">
        <v>124</v>
      </c>
      <c r="X916" s="189" t="s">
        <v>135</v>
      </c>
      <c r="Y916" s="189" t="s">
        <v>2108</v>
      </c>
      <c r="Z916" s="0" t="n">
        <v>1</v>
      </c>
      <c r="AA916" s="189" t="s">
        <v>2116</v>
      </c>
    </row>
    <row r="917" customFormat="false" ht="15" hidden="false" customHeight="false" outlineLevel="0" collapsed="false">
      <c r="A917" s="0" t="n">
        <v>188</v>
      </c>
      <c r="B917" s="191" t="n">
        <v>46214.9844156917</v>
      </c>
      <c r="C917" s="191" t="n">
        <v>46215.0009434694</v>
      </c>
      <c r="D917" s="189" t="s">
        <v>1433</v>
      </c>
      <c r="E917" s="189" t="s">
        <v>1434</v>
      </c>
      <c r="F917" s="189" t="s">
        <v>1434</v>
      </c>
      <c r="G917" s="189" t="s">
        <v>1435</v>
      </c>
      <c r="H917" s="191" t="n">
        <v>46206</v>
      </c>
      <c r="I917" s="189" t="s">
        <v>325</v>
      </c>
      <c r="J917" s="189" t="s">
        <v>295</v>
      </c>
      <c r="K917" s="189" t="s">
        <v>257</v>
      </c>
      <c r="L917" s="189" t="s">
        <v>346</v>
      </c>
      <c r="M917" s="189" t="s">
        <v>212</v>
      </c>
      <c r="N917" s="189" t="s">
        <v>743</v>
      </c>
      <c r="O917" s="189" t="s">
        <v>278</v>
      </c>
      <c r="P917" s="189" t="s">
        <v>111</v>
      </c>
      <c r="Q917" s="189" t="s">
        <v>112</v>
      </c>
      <c r="R917" s="189" t="s">
        <v>22</v>
      </c>
      <c r="S917" s="189" t="s">
        <v>152</v>
      </c>
      <c r="T917" s="189" t="s">
        <v>180</v>
      </c>
      <c r="U917" s="189" t="s">
        <v>122</v>
      </c>
      <c r="V917" s="189" t="s">
        <v>123</v>
      </c>
      <c r="W917" s="189" t="s">
        <v>124</v>
      </c>
      <c r="X917" s="189" t="s">
        <v>135</v>
      </c>
      <c r="Y917" s="189" t="s">
        <v>2108</v>
      </c>
      <c r="Z917" s="0" t="n">
        <v>2</v>
      </c>
      <c r="AA917" s="189" t="s">
        <v>2115</v>
      </c>
    </row>
    <row r="918" customFormat="false" ht="15" hidden="false" customHeight="false" outlineLevel="0" collapsed="false">
      <c r="A918" s="0" t="n">
        <v>188</v>
      </c>
      <c r="B918" s="191" t="n">
        <v>46214.9844156917</v>
      </c>
      <c r="C918" s="191" t="n">
        <v>46215.0009434694</v>
      </c>
      <c r="D918" s="189" t="s">
        <v>1433</v>
      </c>
      <c r="E918" s="189" t="s">
        <v>1434</v>
      </c>
      <c r="F918" s="189" t="s">
        <v>1434</v>
      </c>
      <c r="G918" s="189" t="s">
        <v>1435</v>
      </c>
      <c r="H918" s="191" t="n">
        <v>46206</v>
      </c>
      <c r="I918" s="189" t="s">
        <v>325</v>
      </c>
      <c r="J918" s="189" t="s">
        <v>295</v>
      </c>
      <c r="K918" s="189" t="s">
        <v>257</v>
      </c>
      <c r="L918" s="189" t="s">
        <v>346</v>
      </c>
      <c r="M918" s="189" t="s">
        <v>212</v>
      </c>
      <c r="N918" s="189" t="s">
        <v>743</v>
      </c>
      <c r="O918" s="189" t="s">
        <v>278</v>
      </c>
      <c r="P918" s="189" t="s">
        <v>111</v>
      </c>
      <c r="Q918" s="189" t="s">
        <v>112</v>
      </c>
      <c r="R918" s="189" t="s">
        <v>22</v>
      </c>
      <c r="S918" s="189" t="s">
        <v>152</v>
      </c>
      <c r="T918" s="189" t="s">
        <v>180</v>
      </c>
      <c r="U918" s="189" t="s">
        <v>122</v>
      </c>
      <c r="V918" s="189" t="s">
        <v>123</v>
      </c>
      <c r="W918" s="189" t="s">
        <v>124</v>
      </c>
      <c r="X918" s="189" t="s">
        <v>135</v>
      </c>
      <c r="Y918" s="189" t="s">
        <v>2110</v>
      </c>
      <c r="Z918" s="0" t="n">
        <v>1</v>
      </c>
      <c r="AA918" s="189" t="s">
        <v>2118</v>
      </c>
    </row>
    <row r="919" customFormat="false" ht="15" hidden="false" customHeight="false" outlineLevel="0" collapsed="false">
      <c r="A919" s="0" t="n">
        <v>188</v>
      </c>
      <c r="B919" s="191" t="n">
        <v>46214.9844156917</v>
      </c>
      <c r="C919" s="191" t="n">
        <v>46215.0009434694</v>
      </c>
      <c r="D919" s="189" t="s">
        <v>1433</v>
      </c>
      <c r="E919" s="189" t="s">
        <v>1434</v>
      </c>
      <c r="F919" s="189" t="s">
        <v>1434</v>
      </c>
      <c r="G919" s="189" t="s">
        <v>1435</v>
      </c>
      <c r="H919" s="191" t="n">
        <v>46206</v>
      </c>
      <c r="I919" s="189" t="s">
        <v>325</v>
      </c>
      <c r="J919" s="189" t="s">
        <v>295</v>
      </c>
      <c r="K919" s="189" t="s">
        <v>257</v>
      </c>
      <c r="L919" s="189" t="s">
        <v>346</v>
      </c>
      <c r="M919" s="189" t="s">
        <v>212</v>
      </c>
      <c r="N919" s="189" t="s">
        <v>743</v>
      </c>
      <c r="O919" s="189" t="s">
        <v>278</v>
      </c>
      <c r="P919" s="189" t="s">
        <v>111</v>
      </c>
      <c r="Q919" s="189" t="s">
        <v>112</v>
      </c>
      <c r="R919" s="189" t="s">
        <v>22</v>
      </c>
      <c r="S919" s="189" t="s">
        <v>152</v>
      </c>
      <c r="T919" s="189" t="s">
        <v>180</v>
      </c>
      <c r="U919" s="189" t="s">
        <v>122</v>
      </c>
      <c r="V919" s="189" t="s">
        <v>123</v>
      </c>
      <c r="W919" s="189" t="s">
        <v>124</v>
      </c>
      <c r="X919" s="189" t="s">
        <v>135</v>
      </c>
      <c r="Y919" s="189" t="s">
        <v>2110</v>
      </c>
      <c r="Z919" s="0" t="n">
        <v>2</v>
      </c>
      <c r="AA919" s="189" t="s">
        <v>2323</v>
      </c>
    </row>
    <row r="920" customFormat="false" ht="15" hidden="false" customHeight="false" outlineLevel="0" collapsed="false">
      <c r="A920" s="0" t="n">
        <v>188</v>
      </c>
      <c r="B920" s="191" t="n">
        <v>46214.9844156917</v>
      </c>
      <c r="C920" s="191" t="n">
        <v>46215.0009434694</v>
      </c>
      <c r="D920" s="189" t="s">
        <v>1433</v>
      </c>
      <c r="E920" s="189" t="s">
        <v>1434</v>
      </c>
      <c r="F920" s="189" t="s">
        <v>1434</v>
      </c>
      <c r="G920" s="189" t="s">
        <v>1435</v>
      </c>
      <c r="H920" s="191" t="n">
        <v>46206</v>
      </c>
      <c r="I920" s="189" t="s">
        <v>325</v>
      </c>
      <c r="J920" s="189" t="s">
        <v>295</v>
      </c>
      <c r="K920" s="189" t="s">
        <v>257</v>
      </c>
      <c r="L920" s="189" t="s">
        <v>346</v>
      </c>
      <c r="M920" s="189" t="s">
        <v>212</v>
      </c>
      <c r="N920" s="189" t="s">
        <v>743</v>
      </c>
      <c r="O920" s="189" t="s">
        <v>278</v>
      </c>
      <c r="P920" s="189" t="s">
        <v>111</v>
      </c>
      <c r="Q920" s="189" t="s">
        <v>112</v>
      </c>
      <c r="R920" s="189" t="s">
        <v>22</v>
      </c>
      <c r="S920" s="189" t="s">
        <v>152</v>
      </c>
      <c r="T920" s="189" t="s">
        <v>180</v>
      </c>
      <c r="U920" s="189" t="s">
        <v>122</v>
      </c>
      <c r="V920" s="189" t="s">
        <v>123</v>
      </c>
      <c r="W920" s="189" t="s">
        <v>124</v>
      </c>
      <c r="X920" s="189" t="s">
        <v>135</v>
      </c>
      <c r="Y920" s="189" t="s">
        <v>2113</v>
      </c>
      <c r="Z920" s="0" t="n">
        <v>1</v>
      </c>
      <c r="AA920" s="189" t="s">
        <v>2196</v>
      </c>
    </row>
    <row r="921" customFormat="false" ht="15" hidden="false" customHeight="false" outlineLevel="0" collapsed="false">
      <c r="A921" s="0" t="n">
        <v>189</v>
      </c>
      <c r="B921" s="191" t="n">
        <v>46083.896422879</v>
      </c>
      <c r="C921" s="191" t="n">
        <v>46083.8986335272</v>
      </c>
      <c r="D921" s="189" t="s">
        <v>1437</v>
      </c>
      <c r="E921" s="189" t="s">
        <v>1438</v>
      </c>
      <c r="F921" s="189" t="s">
        <v>1439</v>
      </c>
      <c r="G921" s="189" t="s">
        <v>1440</v>
      </c>
      <c r="H921" s="191" t="n">
        <v>46075</v>
      </c>
      <c r="I921" s="189" t="s">
        <v>325</v>
      </c>
      <c r="J921" s="189" t="s">
        <v>108</v>
      </c>
      <c r="K921" s="189" t="s">
        <v>173</v>
      </c>
      <c r="L921" s="189" t="s">
        <v>197</v>
      </c>
      <c r="M921" s="189" t="s">
        <v>439</v>
      </c>
      <c r="N921" s="189" t="s">
        <v>1441</v>
      </c>
      <c r="O921" s="189" t="s">
        <v>278</v>
      </c>
      <c r="P921" s="189" t="s">
        <v>111</v>
      </c>
      <c r="Q921" s="189" t="s">
        <v>112</v>
      </c>
      <c r="R921" s="189" t="s">
        <v>22</v>
      </c>
      <c r="S921" s="189" t="s">
        <v>227</v>
      </c>
      <c r="T921" s="189" t="s">
        <v>496</v>
      </c>
      <c r="U921" s="189" t="s">
        <v>122</v>
      </c>
      <c r="V921" s="189" t="s">
        <v>167</v>
      </c>
      <c r="W921" s="189" t="s">
        <v>124</v>
      </c>
      <c r="X921" s="189" t="s">
        <v>116</v>
      </c>
      <c r="Y921" s="189" t="s">
        <v>2108</v>
      </c>
      <c r="Z921" s="0" t="n">
        <v>1</v>
      </c>
      <c r="AA921" s="189" t="s">
        <v>2139</v>
      </c>
    </row>
    <row r="922" customFormat="false" ht="15" hidden="false" customHeight="false" outlineLevel="0" collapsed="false">
      <c r="A922" s="0" t="n">
        <v>189</v>
      </c>
      <c r="B922" s="191" t="n">
        <v>46083.896422879</v>
      </c>
      <c r="C922" s="191" t="n">
        <v>46083.8986335272</v>
      </c>
      <c r="D922" s="189" t="s">
        <v>1437</v>
      </c>
      <c r="E922" s="189" t="s">
        <v>1438</v>
      </c>
      <c r="F922" s="189" t="s">
        <v>1439</v>
      </c>
      <c r="G922" s="189" t="s">
        <v>1440</v>
      </c>
      <c r="H922" s="191" t="n">
        <v>46075</v>
      </c>
      <c r="I922" s="189" t="s">
        <v>325</v>
      </c>
      <c r="J922" s="189" t="s">
        <v>108</v>
      </c>
      <c r="K922" s="189" t="s">
        <v>173</v>
      </c>
      <c r="L922" s="189" t="s">
        <v>197</v>
      </c>
      <c r="M922" s="189" t="s">
        <v>439</v>
      </c>
      <c r="N922" s="189" t="s">
        <v>1441</v>
      </c>
      <c r="O922" s="189" t="s">
        <v>278</v>
      </c>
      <c r="P922" s="189" t="s">
        <v>111</v>
      </c>
      <c r="Q922" s="189" t="s">
        <v>112</v>
      </c>
      <c r="R922" s="189" t="s">
        <v>22</v>
      </c>
      <c r="S922" s="189" t="s">
        <v>227</v>
      </c>
      <c r="T922" s="189" t="s">
        <v>496</v>
      </c>
      <c r="U922" s="189" t="s">
        <v>122</v>
      </c>
      <c r="V922" s="189" t="s">
        <v>167</v>
      </c>
      <c r="W922" s="189" t="s">
        <v>124</v>
      </c>
      <c r="X922" s="189" t="s">
        <v>116</v>
      </c>
      <c r="Y922" s="189" t="s">
        <v>2108</v>
      </c>
      <c r="Z922" s="0" t="n">
        <v>2</v>
      </c>
      <c r="AA922" s="189" t="s">
        <v>2109</v>
      </c>
    </row>
    <row r="923" customFormat="false" ht="15" hidden="false" customHeight="false" outlineLevel="0" collapsed="false">
      <c r="A923" s="0" t="n">
        <v>189</v>
      </c>
      <c r="B923" s="191" t="n">
        <v>46083.896422879</v>
      </c>
      <c r="C923" s="191" t="n">
        <v>46083.8986335272</v>
      </c>
      <c r="D923" s="189" t="s">
        <v>1437</v>
      </c>
      <c r="E923" s="189" t="s">
        <v>1438</v>
      </c>
      <c r="F923" s="189" t="s">
        <v>1439</v>
      </c>
      <c r="G923" s="189" t="s">
        <v>1440</v>
      </c>
      <c r="H923" s="191" t="n">
        <v>46075</v>
      </c>
      <c r="I923" s="189" t="s">
        <v>325</v>
      </c>
      <c r="J923" s="189" t="s">
        <v>108</v>
      </c>
      <c r="K923" s="189" t="s">
        <v>173</v>
      </c>
      <c r="L923" s="189" t="s">
        <v>197</v>
      </c>
      <c r="M923" s="189" t="s">
        <v>439</v>
      </c>
      <c r="N923" s="189" t="s">
        <v>1441</v>
      </c>
      <c r="O923" s="189" t="s">
        <v>278</v>
      </c>
      <c r="P923" s="189" t="s">
        <v>111</v>
      </c>
      <c r="Q923" s="189" t="s">
        <v>112</v>
      </c>
      <c r="R923" s="189" t="s">
        <v>22</v>
      </c>
      <c r="S923" s="189" t="s">
        <v>227</v>
      </c>
      <c r="T923" s="189" t="s">
        <v>496</v>
      </c>
      <c r="U923" s="189" t="s">
        <v>122</v>
      </c>
      <c r="V923" s="189" t="s">
        <v>167</v>
      </c>
      <c r="W923" s="189" t="s">
        <v>124</v>
      </c>
      <c r="X923" s="189" t="s">
        <v>116</v>
      </c>
      <c r="Y923" s="189" t="s">
        <v>2108</v>
      </c>
      <c r="Z923" s="0" t="n">
        <v>3</v>
      </c>
      <c r="AA923" s="189" t="s">
        <v>2151</v>
      </c>
    </row>
    <row r="924" customFormat="false" ht="15" hidden="false" customHeight="false" outlineLevel="0" collapsed="false">
      <c r="A924" s="0" t="n">
        <v>189</v>
      </c>
      <c r="B924" s="191" t="n">
        <v>46083.896422879</v>
      </c>
      <c r="C924" s="191" t="n">
        <v>46083.8986335272</v>
      </c>
      <c r="D924" s="189" t="s">
        <v>1437</v>
      </c>
      <c r="E924" s="189" t="s">
        <v>1438</v>
      </c>
      <c r="F924" s="189" t="s">
        <v>1439</v>
      </c>
      <c r="G924" s="189" t="s">
        <v>1440</v>
      </c>
      <c r="H924" s="191" t="n">
        <v>46075</v>
      </c>
      <c r="I924" s="189" t="s">
        <v>325</v>
      </c>
      <c r="J924" s="189" t="s">
        <v>108</v>
      </c>
      <c r="K924" s="189" t="s">
        <v>173</v>
      </c>
      <c r="L924" s="189" t="s">
        <v>197</v>
      </c>
      <c r="M924" s="189" t="s">
        <v>439</v>
      </c>
      <c r="N924" s="189" t="s">
        <v>1441</v>
      </c>
      <c r="O924" s="189" t="s">
        <v>278</v>
      </c>
      <c r="P924" s="189" t="s">
        <v>111</v>
      </c>
      <c r="Q924" s="189" t="s">
        <v>112</v>
      </c>
      <c r="R924" s="189" t="s">
        <v>22</v>
      </c>
      <c r="S924" s="189" t="s">
        <v>227</v>
      </c>
      <c r="T924" s="189" t="s">
        <v>496</v>
      </c>
      <c r="U924" s="189" t="s">
        <v>122</v>
      </c>
      <c r="V924" s="189" t="s">
        <v>167</v>
      </c>
      <c r="W924" s="189" t="s">
        <v>124</v>
      </c>
      <c r="X924" s="189" t="s">
        <v>116</v>
      </c>
      <c r="Y924" s="189" t="s">
        <v>2110</v>
      </c>
      <c r="Z924" s="0" t="n">
        <v>1</v>
      </c>
      <c r="AA924" s="189" t="s">
        <v>122</v>
      </c>
    </row>
    <row r="925" customFormat="false" ht="15" hidden="false" customHeight="false" outlineLevel="0" collapsed="false">
      <c r="A925" s="0" t="n">
        <v>189</v>
      </c>
      <c r="B925" s="191" t="n">
        <v>46083.896422879</v>
      </c>
      <c r="C925" s="191" t="n">
        <v>46083.8986335272</v>
      </c>
      <c r="D925" s="189" t="s">
        <v>1437</v>
      </c>
      <c r="E925" s="189" t="s">
        <v>1438</v>
      </c>
      <c r="F925" s="189" t="s">
        <v>1439</v>
      </c>
      <c r="G925" s="189" t="s">
        <v>1440</v>
      </c>
      <c r="H925" s="191" t="n">
        <v>46075</v>
      </c>
      <c r="I925" s="189" t="s">
        <v>325</v>
      </c>
      <c r="J925" s="189" t="s">
        <v>108</v>
      </c>
      <c r="K925" s="189" t="s">
        <v>173</v>
      </c>
      <c r="L925" s="189" t="s">
        <v>197</v>
      </c>
      <c r="M925" s="189" t="s">
        <v>439</v>
      </c>
      <c r="N925" s="189" t="s">
        <v>1441</v>
      </c>
      <c r="O925" s="189" t="s">
        <v>278</v>
      </c>
      <c r="P925" s="189" t="s">
        <v>111</v>
      </c>
      <c r="Q925" s="189" t="s">
        <v>112</v>
      </c>
      <c r="R925" s="189" t="s">
        <v>22</v>
      </c>
      <c r="S925" s="189" t="s">
        <v>227</v>
      </c>
      <c r="T925" s="189" t="s">
        <v>496</v>
      </c>
      <c r="U925" s="189" t="s">
        <v>122</v>
      </c>
      <c r="V925" s="189" t="s">
        <v>167</v>
      </c>
      <c r="W925" s="189" t="s">
        <v>124</v>
      </c>
      <c r="X925" s="189" t="s">
        <v>116</v>
      </c>
      <c r="Y925" s="189" t="s">
        <v>2110</v>
      </c>
      <c r="Z925" s="0" t="n">
        <v>2</v>
      </c>
      <c r="AA925" s="189" t="s">
        <v>2111</v>
      </c>
    </row>
    <row r="926" customFormat="false" ht="15" hidden="false" customHeight="false" outlineLevel="0" collapsed="false">
      <c r="A926" s="0" t="n">
        <v>189</v>
      </c>
      <c r="B926" s="191" t="n">
        <v>46083.896422879</v>
      </c>
      <c r="C926" s="191" t="n">
        <v>46083.8986335272</v>
      </c>
      <c r="D926" s="189" t="s">
        <v>1437</v>
      </c>
      <c r="E926" s="189" t="s">
        <v>1438</v>
      </c>
      <c r="F926" s="189" t="s">
        <v>1439</v>
      </c>
      <c r="G926" s="189" t="s">
        <v>1440</v>
      </c>
      <c r="H926" s="191" t="n">
        <v>46075</v>
      </c>
      <c r="I926" s="189" t="s">
        <v>325</v>
      </c>
      <c r="J926" s="189" t="s">
        <v>108</v>
      </c>
      <c r="K926" s="189" t="s">
        <v>173</v>
      </c>
      <c r="L926" s="189" t="s">
        <v>197</v>
      </c>
      <c r="M926" s="189" t="s">
        <v>439</v>
      </c>
      <c r="N926" s="189" t="s">
        <v>1441</v>
      </c>
      <c r="O926" s="189" t="s">
        <v>278</v>
      </c>
      <c r="P926" s="189" t="s">
        <v>111</v>
      </c>
      <c r="Q926" s="189" t="s">
        <v>112</v>
      </c>
      <c r="R926" s="189" t="s">
        <v>22</v>
      </c>
      <c r="S926" s="189" t="s">
        <v>227</v>
      </c>
      <c r="T926" s="189" t="s">
        <v>496</v>
      </c>
      <c r="U926" s="189" t="s">
        <v>122</v>
      </c>
      <c r="V926" s="189" t="s">
        <v>167</v>
      </c>
      <c r="W926" s="189" t="s">
        <v>124</v>
      </c>
      <c r="X926" s="189" t="s">
        <v>116</v>
      </c>
      <c r="Y926" s="189" t="s">
        <v>2113</v>
      </c>
      <c r="Z926" s="0" t="n">
        <v>1</v>
      </c>
      <c r="AA926" s="189" t="s">
        <v>2127</v>
      </c>
    </row>
    <row r="927" customFormat="false" ht="15" hidden="false" customHeight="false" outlineLevel="0" collapsed="false">
      <c r="A927" s="0" t="n">
        <v>190</v>
      </c>
      <c r="B927" s="191" t="n">
        <v>46149.9937589825</v>
      </c>
      <c r="C927" s="191" t="n">
        <v>46150.0104835196</v>
      </c>
      <c r="D927" s="189" t="s">
        <v>1443</v>
      </c>
      <c r="E927" s="189" t="s">
        <v>1444</v>
      </c>
      <c r="F927" s="189" t="s">
        <v>1444</v>
      </c>
      <c r="G927" s="189" t="s">
        <v>1445</v>
      </c>
      <c r="H927" s="191" t="n">
        <v>46139</v>
      </c>
      <c r="I927" s="189" t="s">
        <v>113</v>
      </c>
      <c r="J927" s="189" t="s">
        <v>108</v>
      </c>
      <c r="K927" s="189" t="s">
        <v>143</v>
      </c>
      <c r="L927" s="189" t="s">
        <v>268</v>
      </c>
      <c r="M927" s="189" t="s">
        <v>477</v>
      </c>
      <c r="N927" s="189" t="s">
        <v>306</v>
      </c>
      <c r="O927" s="189" t="s">
        <v>107</v>
      </c>
      <c r="P927" s="189" t="s">
        <v>111</v>
      </c>
      <c r="Q927" s="189" t="s">
        <v>247</v>
      </c>
      <c r="R927" s="189" t="s">
        <v>22</v>
      </c>
      <c r="S927" s="189" t="s">
        <v>152</v>
      </c>
      <c r="T927" s="189" t="s">
        <v>352</v>
      </c>
      <c r="V927" s="189" t="s">
        <v>123</v>
      </c>
      <c r="W927" s="189" t="s">
        <v>124</v>
      </c>
      <c r="X927" s="189" t="s">
        <v>148</v>
      </c>
      <c r="Y927" s="189" t="s">
        <v>2108</v>
      </c>
      <c r="Z927" s="0" t="n">
        <v>1</v>
      </c>
      <c r="AA927" s="189" t="s">
        <v>2230</v>
      </c>
    </row>
    <row r="928" customFormat="false" ht="15" hidden="false" customHeight="false" outlineLevel="0" collapsed="false">
      <c r="A928" s="0" t="n">
        <v>190</v>
      </c>
      <c r="B928" s="191" t="n">
        <v>46149.9937589825</v>
      </c>
      <c r="C928" s="191" t="n">
        <v>46150.0104835196</v>
      </c>
      <c r="D928" s="189" t="s">
        <v>1443</v>
      </c>
      <c r="E928" s="189" t="s">
        <v>1444</v>
      </c>
      <c r="F928" s="189" t="s">
        <v>1444</v>
      </c>
      <c r="G928" s="189" t="s">
        <v>1445</v>
      </c>
      <c r="H928" s="191" t="n">
        <v>46139</v>
      </c>
      <c r="I928" s="189" t="s">
        <v>113</v>
      </c>
      <c r="J928" s="189" t="s">
        <v>108</v>
      </c>
      <c r="K928" s="189" t="s">
        <v>143</v>
      </c>
      <c r="L928" s="189" t="s">
        <v>268</v>
      </c>
      <c r="M928" s="189" t="s">
        <v>477</v>
      </c>
      <c r="N928" s="189" t="s">
        <v>306</v>
      </c>
      <c r="O928" s="189" t="s">
        <v>107</v>
      </c>
      <c r="P928" s="189" t="s">
        <v>111</v>
      </c>
      <c r="Q928" s="189" t="s">
        <v>247</v>
      </c>
      <c r="R928" s="189" t="s">
        <v>22</v>
      </c>
      <c r="S928" s="189" t="s">
        <v>152</v>
      </c>
      <c r="T928" s="189" t="s">
        <v>352</v>
      </c>
      <c r="V928" s="189" t="s">
        <v>123</v>
      </c>
      <c r="W928" s="189" t="s">
        <v>124</v>
      </c>
      <c r="X928" s="189" t="s">
        <v>148</v>
      </c>
      <c r="Y928" s="189" t="s">
        <v>2108</v>
      </c>
      <c r="Z928" s="0" t="n">
        <v>2</v>
      </c>
      <c r="AA928" s="189" t="s">
        <v>2166</v>
      </c>
    </row>
    <row r="929" customFormat="false" ht="15" hidden="false" customHeight="false" outlineLevel="0" collapsed="false">
      <c r="A929" s="0" t="n">
        <v>190</v>
      </c>
      <c r="B929" s="191" t="n">
        <v>46149.9937589825</v>
      </c>
      <c r="C929" s="191" t="n">
        <v>46150.0104835196</v>
      </c>
      <c r="D929" s="189" t="s">
        <v>1443</v>
      </c>
      <c r="E929" s="189" t="s">
        <v>1444</v>
      </c>
      <c r="F929" s="189" t="s">
        <v>1444</v>
      </c>
      <c r="G929" s="189" t="s">
        <v>1445</v>
      </c>
      <c r="H929" s="191" t="n">
        <v>46139</v>
      </c>
      <c r="I929" s="189" t="s">
        <v>113</v>
      </c>
      <c r="J929" s="189" t="s">
        <v>108</v>
      </c>
      <c r="K929" s="189" t="s">
        <v>143</v>
      </c>
      <c r="L929" s="189" t="s">
        <v>268</v>
      </c>
      <c r="M929" s="189" t="s">
        <v>477</v>
      </c>
      <c r="N929" s="189" t="s">
        <v>306</v>
      </c>
      <c r="O929" s="189" t="s">
        <v>107</v>
      </c>
      <c r="P929" s="189" t="s">
        <v>111</v>
      </c>
      <c r="Q929" s="189" t="s">
        <v>247</v>
      </c>
      <c r="R929" s="189" t="s">
        <v>22</v>
      </c>
      <c r="S929" s="189" t="s">
        <v>152</v>
      </c>
      <c r="T929" s="189" t="s">
        <v>352</v>
      </c>
      <c r="V929" s="189" t="s">
        <v>123</v>
      </c>
      <c r="W929" s="189" t="s">
        <v>124</v>
      </c>
      <c r="X929" s="189" t="s">
        <v>148</v>
      </c>
      <c r="Y929" s="189" t="s">
        <v>2108</v>
      </c>
      <c r="Z929" s="0" t="n">
        <v>3</v>
      </c>
      <c r="AA929" s="189" t="s">
        <v>2326</v>
      </c>
    </row>
    <row r="930" customFormat="false" ht="15" hidden="false" customHeight="false" outlineLevel="0" collapsed="false">
      <c r="A930" s="0" t="n">
        <v>190</v>
      </c>
      <c r="B930" s="191" t="n">
        <v>46149.9937589825</v>
      </c>
      <c r="C930" s="191" t="n">
        <v>46150.0104835196</v>
      </c>
      <c r="D930" s="189" t="s">
        <v>1443</v>
      </c>
      <c r="E930" s="189" t="s">
        <v>1444</v>
      </c>
      <c r="F930" s="189" t="s">
        <v>1444</v>
      </c>
      <c r="G930" s="189" t="s">
        <v>1445</v>
      </c>
      <c r="H930" s="191" t="n">
        <v>46139</v>
      </c>
      <c r="I930" s="189" t="s">
        <v>113</v>
      </c>
      <c r="J930" s="189" t="s">
        <v>108</v>
      </c>
      <c r="K930" s="189" t="s">
        <v>143</v>
      </c>
      <c r="L930" s="189" t="s">
        <v>268</v>
      </c>
      <c r="M930" s="189" t="s">
        <v>477</v>
      </c>
      <c r="N930" s="189" t="s">
        <v>306</v>
      </c>
      <c r="O930" s="189" t="s">
        <v>107</v>
      </c>
      <c r="P930" s="189" t="s">
        <v>111</v>
      </c>
      <c r="Q930" s="189" t="s">
        <v>247</v>
      </c>
      <c r="R930" s="189" t="s">
        <v>22</v>
      </c>
      <c r="S930" s="189" t="s">
        <v>152</v>
      </c>
      <c r="T930" s="189" t="s">
        <v>352</v>
      </c>
      <c r="V930" s="189" t="s">
        <v>123</v>
      </c>
      <c r="W930" s="189" t="s">
        <v>124</v>
      </c>
      <c r="X930" s="189" t="s">
        <v>148</v>
      </c>
      <c r="Y930" s="189" t="s">
        <v>2110</v>
      </c>
      <c r="Z930" s="0" t="n">
        <v>1</v>
      </c>
      <c r="AA930" s="189" t="s">
        <v>122</v>
      </c>
    </row>
    <row r="931" customFormat="false" ht="15" hidden="false" customHeight="false" outlineLevel="0" collapsed="false">
      <c r="A931" s="0" t="n">
        <v>190</v>
      </c>
      <c r="B931" s="191" t="n">
        <v>46149.9937589825</v>
      </c>
      <c r="C931" s="191" t="n">
        <v>46150.0104835196</v>
      </c>
      <c r="D931" s="189" t="s">
        <v>1443</v>
      </c>
      <c r="E931" s="189" t="s">
        <v>1444</v>
      </c>
      <c r="F931" s="189" t="s">
        <v>1444</v>
      </c>
      <c r="G931" s="189" t="s">
        <v>1445</v>
      </c>
      <c r="H931" s="191" t="n">
        <v>46139</v>
      </c>
      <c r="I931" s="189" t="s">
        <v>113</v>
      </c>
      <c r="J931" s="189" t="s">
        <v>108</v>
      </c>
      <c r="K931" s="189" t="s">
        <v>143</v>
      </c>
      <c r="L931" s="189" t="s">
        <v>268</v>
      </c>
      <c r="M931" s="189" t="s">
        <v>477</v>
      </c>
      <c r="N931" s="189" t="s">
        <v>306</v>
      </c>
      <c r="O931" s="189" t="s">
        <v>107</v>
      </c>
      <c r="P931" s="189" t="s">
        <v>111</v>
      </c>
      <c r="Q931" s="189" t="s">
        <v>247</v>
      </c>
      <c r="R931" s="189" t="s">
        <v>22</v>
      </c>
      <c r="S931" s="189" t="s">
        <v>152</v>
      </c>
      <c r="T931" s="189" t="s">
        <v>352</v>
      </c>
      <c r="V931" s="189" t="s">
        <v>123</v>
      </c>
      <c r="W931" s="189" t="s">
        <v>124</v>
      </c>
      <c r="X931" s="189" t="s">
        <v>148</v>
      </c>
      <c r="Y931" s="189" t="s">
        <v>2110</v>
      </c>
      <c r="Z931" s="0" t="n">
        <v>2</v>
      </c>
      <c r="AA931" s="189" t="s">
        <v>2121</v>
      </c>
    </row>
    <row r="932" customFormat="false" ht="15" hidden="false" customHeight="false" outlineLevel="0" collapsed="false">
      <c r="A932" s="0" t="n">
        <v>190</v>
      </c>
      <c r="B932" s="191" t="n">
        <v>46149.9937589825</v>
      </c>
      <c r="C932" s="191" t="n">
        <v>46150.0104835196</v>
      </c>
      <c r="D932" s="189" t="s">
        <v>1443</v>
      </c>
      <c r="E932" s="189" t="s">
        <v>1444</v>
      </c>
      <c r="F932" s="189" t="s">
        <v>1444</v>
      </c>
      <c r="G932" s="189" t="s">
        <v>1445</v>
      </c>
      <c r="H932" s="191" t="n">
        <v>46139</v>
      </c>
      <c r="I932" s="189" t="s">
        <v>113</v>
      </c>
      <c r="J932" s="189" t="s">
        <v>108</v>
      </c>
      <c r="K932" s="189" t="s">
        <v>143</v>
      </c>
      <c r="L932" s="189" t="s">
        <v>268</v>
      </c>
      <c r="M932" s="189" t="s">
        <v>477</v>
      </c>
      <c r="N932" s="189" t="s">
        <v>306</v>
      </c>
      <c r="O932" s="189" t="s">
        <v>107</v>
      </c>
      <c r="P932" s="189" t="s">
        <v>111</v>
      </c>
      <c r="Q932" s="189" t="s">
        <v>247</v>
      </c>
      <c r="R932" s="189" t="s">
        <v>22</v>
      </c>
      <c r="S932" s="189" t="s">
        <v>152</v>
      </c>
      <c r="T932" s="189" t="s">
        <v>352</v>
      </c>
      <c r="V932" s="189" t="s">
        <v>123</v>
      </c>
      <c r="W932" s="189" t="s">
        <v>124</v>
      </c>
      <c r="X932" s="189" t="s">
        <v>148</v>
      </c>
      <c r="Y932" s="189" t="s">
        <v>2113</v>
      </c>
      <c r="Z932" s="0" t="n">
        <v>1</v>
      </c>
      <c r="AA932" s="189" t="s">
        <v>2232</v>
      </c>
    </row>
    <row r="933" customFormat="false" ht="15" hidden="false" customHeight="false" outlineLevel="0" collapsed="false">
      <c r="A933" s="0" t="n">
        <v>191</v>
      </c>
      <c r="B933" s="191" t="n">
        <v>46198.6875079563</v>
      </c>
      <c r="C933" s="191" t="n">
        <v>46198.6995449933</v>
      </c>
      <c r="D933" s="189" t="s">
        <v>1447</v>
      </c>
      <c r="E933" s="189" t="s">
        <v>1448</v>
      </c>
      <c r="F933" s="189" t="s">
        <v>1449</v>
      </c>
      <c r="G933" s="189" t="s">
        <v>1450</v>
      </c>
      <c r="H933" s="191" t="n">
        <v>46197</v>
      </c>
      <c r="I933" s="189" t="s">
        <v>305</v>
      </c>
      <c r="J933" s="189" t="s">
        <v>295</v>
      </c>
      <c r="K933" s="189" t="s">
        <v>143</v>
      </c>
      <c r="L933" s="189" t="s">
        <v>233</v>
      </c>
      <c r="M933" s="189" t="s">
        <v>248</v>
      </c>
      <c r="N933" s="189" t="s">
        <v>893</v>
      </c>
      <c r="O933" s="189" t="s">
        <v>172</v>
      </c>
      <c r="P933" s="189" t="s">
        <v>111</v>
      </c>
      <c r="Q933" s="189" t="s">
        <v>112</v>
      </c>
      <c r="R933" s="189" t="s">
        <v>22</v>
      </c>
      <c r="S933" s="189" t="s">
        <v>152</v>
      </c>
      <c r="T933" s="189" t="s">
        <v>180</v>
      </c>
      <c r="U933" s="189" t="s">
        <v>122</v>
      </c>
      <c r="V933" s="189" t="s">
        <v>167</v>
      </c>
      <c r="W933" s="189" t="s">
        <v>168</v>
      </c>
      <c r="X933" s="189" t="s">
        <v>148</v>
      </c>
      <c r="Y933" s="189" t="s">
        <v>2108</v>
      </c>
      <c r="Z933" s="0" t="n">
        <v>1</v>
      </c>
      <c r="AA933" s="189" t="s">
        <v>2136</v>
      </c>
    </row>
    <row r="934" customFormat="false" ht="15" hidden="false" customHeight="false" outlineLevel="0" collapsed="false">
      <c r="A934" s="0" t="n">
        <v>191</v>
      </c>
      <c r="B934" s="191" t="n">
        <v>46198.6875079563</v>
      </c>
      <c r="C934" s="191" t="n">
        <v>46198.6995449933</v>
      </c>
      <c r="D934" s="189" t="s">
        <v>1447</v>
      </c>
      <c r="E934" s="189" t="s">
        <v>1448</v>
      </c>
      <c r="F934" s="189" t="s">
        <v>1449</v>
      </c>
      <c r="G934" s="189" t="s">
        <v>1450</v>
      </c>
      <c r="H934" s="191" t="n">
        <v>46197</v>
      </c>
      <c r="I934" s="189" t="s">
        <v>305</v>
      </c>
      <c r="J934" s="189" t="s">
        <v>295</v>
      </c>
      <c r="K934" s="189" t="s">
        <v>143</v>
      </c>
      <c r="L934" s="189" t="s">
        <v>233</v>
      </c>
      <c r="M934" s="189" t="s">
        <v>248</v>
      </c>
      <c r="N934" s="189" t="s">
        <v>893</v>
      </c>
      <c r="O934" s="189" t="s">
        <v>172</v>
      </c>
      <c r="P934" s="189" t="s">
        <v>111</v>
      </c>
      <c r="Q934" s="189" t="s">
        <v>112</v>
      </c>
      <c r="R934" s="189" t="s">
        <v>22</v>
      </c>
      <c r="S934" s="189" t="s">
        <v>152</v>
      </c>
      <c r="T934" s="189" t="s">
        <v>180</v>
      </c>
      <c r="U934" s="189" t="s">
        <v>122</v>
      </c>
      <c r="V934" s="189" t="s">
        <v>167</v>
      </c>
      <c r="W934" s="189" t="s">
        <v>168</v>
      </c>
      <c r="X934" s="189" t="s">
        <v>148</v>
      </c>
      <c r="Y934" s="189" t="s">
        <v>2110</v>
      </c>
      <c r="Z934" s="0" t="n">
        <v>1</v>
      </c>
      <c r="AA934" s="189" t="s">
        <v>122</v>
      </c>
    </row>
    <row r="935" customFormat="false" ht="15" hidden="false" customHeight="false" outlineLevel="0" collapsed="false">
      <c r="A935" s="0" t="n">
        <v>191</v>
      </c>
      <c r="B935" s="191" t="n">
        <v>46198.6875079563</v>
      </c>
      <c r="C935" s="191" t="n">
        <v>46198.6995449933</v>
      </c>
      <c r="D935" s="189" t="s">
        <v>1447</v>
      </c>
      <c r="E935" s="189" t="s">
        <v>1448</v>
      </c>
      <c r="F935" s="189" t="s">
        <v>1449</v>
      </c>
      <c r="G935" s="189" t="s">
        <v>1450</v>
      </c>
      <c r="H935" s="191" t="n">
        <v>46197</v>
      </c>
      <c r="I935" s="189" t="s">
        <v>305</v>
      </c>
      <c r="J935" s="189" t="s">
        <v>295</v>
      </c>
      <c r="K935" s="189" t="s">
        <v>143</v>
      </c>
      <c r="L935" s="189" t="s">
        <v>233</v>
      </c>
      <c r="M935" s="189" t="s">
        <v>248</v>
      </c>
      <c r="N935" s="189" t="s">
        <v>893</v>
      </c>
      <c r="O935" s="189" t="s">
        <v>172</v>
      </c>
      <c r="P935" s="189" t="s">
        <v>111</v>
      </c>
      <c r="Q935" s="189" t="s">
        <v>112</v>
      </c>
      <c r="R935" s="189" t="s">
        <v>22</v>
      </c>
      <c r="S935" s="189" t="s">
        <v>152</v>
      </c>
      <c r="T935" s="189" t="s">
        <v>180</v>
      </c>
      <c r="U935" s="189" t="s">
        <v>122</v>
      </c>
      <c r="V935" s="189" t="s">
        <v>167</v>
      </c>
      <c r="W935" s="189" t="s">
        <v>168</v>
      </c>
      <c r="X935" s="189" t="s">
        <v>148</v>
      </c>
      <c r="Y935" s="189" t="s">
        <v>2110</v>
      </c>
      <c r="Z935" s="0" t="n">
        <v>2</v>
      </c>
      <c r="AA935" s="189" t="s">
        <v>2328</v>
      </c>
    </row>
    <row r="936" customFormat="false" ht="15" hidden="false" customHeight="false" outlineLevel="0" collapsed="false">
      <c r="A936" s="0" t="n">
        <v>191</v>
      </c>
      <c r="B936" s="191" t="n">
        <v>46198.6875079563</v>
      </c>
      <c r="C936" s="191" t="n">
        <v>46198.6995449933</v>
      </c>
      <c r="D936" s="189" t="s">
        <v>1447</v>
      </c>
      <c r="E936" s="189" t="s">
        <v>1448</v>
      </c>
      <c r="F936" s="189" t="s">
        <v>1449</v>
      </c>
      <c r="G936" s="189" t="s">
        <v>1450</v>
      </c>
      <c r="H936" s="191" t="n">
        <v>46197</v>
      </c>
      <c r="I936" s="189" t="s">
        <v>305</v>
      </c>
      <c r="J936" s="189" t="s">
        <v>295</v>
      </c>
      <c r="K936" s="189" t="s">
        <v>143</v>
      </c>
      <c r="L936" s="189" t="s">
        <v>233</v>
      </c>
      <c r="M936" s="189" t="s">
        <v>248</v>
      </c>
      <c r="N936" s="189" t="s">
        <v>893</v>
      </c>
      <c r="O936" s="189" t="s">
        <v>172</v>
      </c>
      <c r="P936" s="189" t="s">
        <v>111</v>
      </c>
      <c r="Q936" s="189" t="s">
        <v>112</v>
      </c>
      <c r="R936" s="189" t="s">
        <v>22</v>
      </c>
      <c r="S936" s="189" t="s">
        <v>152</v>
      </c>
      <c r="T936" s="189" t="s">
        <v>180</v>
      </c>
      <c r="U936" s="189" t="s">
        <v>122</v>
      </c>
      <c r="V936" s="189" t="s">
        <v>167</v>
      </c>
      <c r="W936" s="189" t="s">
        <v>168</v>
      </c>
      <c r="X936" s="189" t="s">
        <v>148</v>
      </c>
      <c r="Y936" s="189" t="s">
        <v>2113</v>
      </c>
      <c r="Z936" s="0" t="n">
        <v>1</v>
      </c>
      <c r="AA936" s="189" t="s">
        <v>2327</v>
      </c>
    </row>
    <row r="937" customFormat="false" ht="15" hidden="false" customHeight="false" outlineLevel="0" collapsed="false">
      <c r="A937" s="0" t="n">
        <v>191</v>
      </c>
      <c r="B937" s="191" t="n">
        <v>46198.6875079563</v>
      </c>
      <c r="C937" s="191" t="n">
        <v>46198.6995449933</v>
      </c>
      <c r="D937" s="189" t="s">
        <v>1447</v>
      </c>
      <c r="E937" s="189" t="s">
        <v>1448</v>
      </c>
      <c r="F937" s="189" t="s">
        <v>1449</v>
      </c>
      <c r="G937" s="189" t="s">
        <v>1450</v>
      </c>
      <c r="H937" s="191" t="n">
        <v>46197</v>
      </c>
      <c r="I937" s="189" t="s">
        <v>305</v>
      </c>
      <c r="J937" s="189" t="s">
        <v>295</v>
      </c>
      <c r="K937" s="189" t="s">
        <v>143</v>
      </c>
      <c r="L937" s="189" t="s">
        <v>233</v>
      </c>
      <c r="M937" s="189" t="s">
        <v>248</v>
      </c>
      <c r="N937" s="189" t="s">
        <v>893</v>
      </c>
      <c r="O937" s="189" t="s">
        <v>172</v>
      </c>
      <c r="P937" s="189" t="s">
        <v>111</v>
      </c>
      <c r="Q937" s="189" t="s">
        <v>112</v>
      </c>
      <c r="R937" s="189" t="s">
        <v>22</v>
      </c>
      <c r="S937" s="189" t="s">
        <v>152</v>
      </c>
      <c r="T937" s="189" t="s">
        <v>180</v>
      </c>
      <c r="U937" s="189" t="s">
        <v>122</v>
      </c>
      <c r="V937" s="189" t="s">
        <v>167</v>
      </c>
      <c r="W937" s="189" t="s">
        <v>168</v>
      </c>
      <c r="X937" s="189" t="s">
        <v>148</v>
      </c>
      <c r="Y937" s="189" t="s">
        <v>2113</v>
      </c>
      <c r="Z937" s="0" t="n">
        <v>2</v>
      </c>
      <c r="AA937" s="189" t="s">
        <v>2232</v>
      </c>
    </row>
    <row r="938" customFormat="false" ht="15" hidden="false" customHeight="false" outlineLevel="0" collapsed="false">
      <c r="A938" s="0" t="n">
        <v>192</v>
      </c>
      <c r="B938" s="191" t="n">
        <v>46050.2494076301</v>
      </c>
      <c r="C938" s="191" t="n">
        <v>46050.2523011486</v>
      </c>
      <c r="D938" s="189" t="s">
        <v>1453</v>
      </c>
      <c r="E938" s="189" t="s">
        <v>1454</v>
      </c>
      <c r="F938" s="189" t="s">
        <v>1454</v>
      </c>
      <c r="G938" s="189" t="s">
        <v>1455</v>
      </c>
      <c r="H938" s="191" t="n">
        <v>46047</v>
      </c>
      <c r="I938" s="189" t="s">
        <v>551</v>
      </c>
      <c r="J938" s="189" t="s">
        <v>295</v>
      </c>
      <c r="K938" s="189" t="s">
        <v>1456</v>
      </c>
      <c r="L938" s="189" t="s">
        <v>286</v>
      </c>
      <c r="M938" s="189" t="s">
        <v>594</v>
      </c>
      <c r="N938" s="189" t="s">
        <v>174</v>
      </c>
      <c r="O938" s="189" t="s">
        <v>172</v>
      </c>
      <c r="P938" s="189" t="s">
        <v>111</v>
      </c>
      <c r="Q938" s="189" t="s">
        <v>145</v>
      </c>
      <c r="R938" s="189" t="s">
        <v>22</v>
      </c>
      <c r="S938" s="189" t="s">
        <v>152</v>
      </c>
      <c r="T938" s="189" t="s">
        <v>121</v>
      </c>
      <c r="U938" s="189" t="s">
        <v>547</v>
      </c>
      <c r="V938" s="189" t="s">
        <v>192</v>
      </c>
      <c r="W938" s="189" t="s">
        <v>124</v>
      </c>
      <c r="X938" s="189" t="s">
        <v>116</v>
      </c>
      <c r="Y938" s="189" t="s">
        <v>2108</v>
      </c>
      <c r="Z938" s="0" t="n">
        <v>1</v>
      </c>
      <c r="AA938" s="189" t="s">
        <v>2183</v>
      </c>
    </row>
    <row r="939" customFormat="false" ht="15" hidden="false" customHeight="false" outlineLevel="0" collapsed="false">
      <c r="A939" s="0" t="n">
        <v>192</v>
      </c>
      <c r="B939" s="191" t="n">
        <v>46050.2494076301</v>
      </c>
      <c r="C939" s="191" t="n">
        <v>46050.2523011486</v>
      </c>
      <c r="D939" s="189" t="s">
        <v>1453</v>
      </c>
      <c r="E939" s="189" t="s">
        <v>1454</v>
      </c>
      <c r="F939" s="189" t="s">
        <v>1454</v>
      </c>
      <c r="G939" s="189" t="s">
        <v>1455</v>
      </c>
      <c r="H939" s="191" t="n">
        <v>46047</v>
      </c>
      <c r="I939" s="189" t="s">
        <v>551</v>
      </c>
      <c r="J939" s="189" t="s">
        <v>295</v>
      </c>
      <c r="K939" s="189" t="s">
        <v>1456</v>
      </c>
      <c r="L939" s="189" t="s">
        <v>286</v>
      </c>
      <c r="M939" s="189" t="s">
        <v>594</v>
      </c>
      <c r="N939" s="189" t="s">
        <v>174</v>
      </c>
      <c r="O939" s="189" t="s">
        <v>172</v>
      </c>
      <c r="P939" s="189" t="s">
        <v>111</v>
      </c>
      <c r="Q939" s="189" t="s">
        <v>145</v>
      </c>
      <c r="R939" s="189" t="s">
        <v>22</v>
      </c>
      <c r="S939" s="189" t="s">
        <v>152</v>
      </c>
      <c r="T939" s="189" t="s">
        <v>121</v>
      </c>
      <c r="U939" s="189" t="s">
        <v>547</v>
      </c>
      <c r="V939" s="189" t="s">
        <v>192</v>
      </c>
      <c r="W939" s="189" t="s">
        <v>124</v>
      </c>
      <c r="X939" s="189" t="s">
        <v>116</v>
      </c>
      <c r="Y939" s="189" t="s">
        <v>2110</v>
      </c>
      <c r="Z939" s="0" t="n">
        <v>1</v>
      </c>
      <c r="AA939" s="189" t="s">
        <v>122</v>
      </c>
    </row>
    <row r="940" customFormat="false" ht="15" hidden="false" customHeight="false" outlineLevel="0" collapsed="false">
      <c r="A940" s="0" t="n">
        <v>192</v>
      </c>
      <c r="B940" s="191" t="n">
        <v>46050.2494076301</v>
      </c>
      <c r="C940" s="191" t="n">
        <v>46050.2523011486</v>
      </c>
      <c r="D940" s="189" t="s">
        <v>1453</v>
      </c>
      <c r="E940" s="189" t="s">
        <v>1454</v>
      </c>
      <c r="F940" s="189" t="s">
        <v>1454</v>
      </c>
      <c r="G940" s="189" t="s">
        <v>1455</v>
      </c>
      <c r="H940" s="191" t="n">
        <v>46047</v>
      </c>
      <c r="I940" s="189" t="s">
        <v>551</v>
      </c>
      <c r="J940" s="189" t="s">
        <v>295</v>
      </c>
      <c r="K940" s="189" t="s">
        <v>1456</v>
      </c>
      <c r="L940" s="189" t="s">
        <v>286</v>
      </c>
      <c r="M940" s="189" t="s">
        <v>594</v>
      </c>
      <c r="N940" s="189" t="s">
        <v>174</v>
      </c>
      <c r="O940" s="189" t="s">
        <v>172</v>
      </c>
      <c r="P940" s="189" t="s">
        <v>111</v>
      </c>
      <c r="Q940" s="189" t="s">
        <v>145</v>
      </c>
      <c r="R940" s="189" t="s">
        <v>22</v>
      </c>
      <c r="S940" s="189" t="s">
        <v>152</v>
      </c>
      <c r="T940" s="189" t="s">
        <v>121</v>
      </c>
      <c r="U940" s="189" t="s">
        <v>547</v>
      </c>
      <c r="V940" s="189" t="s">
        <v>192</v>
      </c>
      <c r="W940" s="189" t="s">
        <v>124</v>
      </c>
      <c r="X940" s="189" t="s">
        <v>116</v>
      </c>
      <c r="Y940" s="189" t="s">
        <v>2113</v>
      </c>
      <c r="Z940" s="0" t="n">
        <v>1</v>
      </c>
      <c r="AA940" s="189" t="s">
        <v>2152</v>
      </c>
    </row>
    <row r="941" customFormat="false" ht="15" hidden="false" customHeight="false" outlineLevel="0" collapsed="false">
      <c r="A941" s="0" t="n">
        <v>193</v>
      </c>
      <c r="B941" s="191" t="n">
        <v>46057.9200701736</v>
      </c>
      <c r="C941" s="191" t="n">
        <v>46057.9238201736</v>
      </c>
      <c r="D941" s="189" t="s">
        <v>1458</v>
      </c>
      <c r="E941" s="189" t="s">
        <v>1459</v>
      </c>
      <c r="F941" s="189" t="s">
        <v>1459</v>
      </c>
      <c r="G941" s="189" t="s">
        <v>1460</v>
      </c>
      <c r="H941" s="191" t="n">
        <v>46038</v>
      </c>
      <c r="I941" s="189" t="s">
        <v>325</v>
      </c>
      <c r="J941" s="189" t="s">
        <v>108</v>
      </c>
      <c r="K941" s="189" t="s">
        <v>462</v>
      </c>
      <c r="L941" s="189" t="s">
        <v>246</v>
      </c>
      <c r="M941" s="189" t="s">
        <v>185</v>
      </c>
      <c r="N941" s="189" t="s">
        <v>440</v>
      </c>
      <c r="O941" s="189" t="s">
        <v>172</v>
      </c>
      <c r="P941" s="189" t="s">
        <v>111</v>
      </c>
      <c r="Q941" s="189" t="s">
        <v>247</v>
      </c>
      <c r="R941" s="189" t="s">
        <v>22</v>
      </c>
      <c r="S941" s="189" t="s">
        <v>152</v>
      </c>
      <c r="T941" s="189" t="s">
        <v>121</v>
      </c>
      <c r="V941" s="189" t="s">
        <v>167</v>
      </c>
      <c r="W941" s="189" t="s">
        <v>124</v>
      </c>
      <c r="X941" s="189" t="s">
        <v>381</v>
      </c>
      <c r="Y941" s="189" t="s">
        <v>2108</v>
      </c>
      <c r="Z941" s="0" t="n">
        <v>1</v>
      </c>
      <c r="AA941" s="189" t="s">
        <v>2293</v>
      </c>
    </row>
    <row r="942" customFormat="false" ht="15" hidden="false" customHeight="false" outlineLevel="0" collapsed="false">
      <c r="A942" s="0" t="n">
        <v>193</v>
      </c>
      <c r="B942" s="191" t="n">
        <v>46057.9200701736</v>
      </c>
      <c r="C942" s="191" t="n">
        <v>46057.9238201736</v>
      </c>
      <c r="D942" s="189" t="s">
        <v>1458</v>
      </c>
      <c r="E942" s="189" t="s">
        <v>1459</v>
      </c>
      <c r="F942" s="189" t="s">
        <v>1459</v>
      </c>
      <c r="G942" s="189" t="s">
        <v>1460</v>
      </c>
      <c r="H942" s="191" t="n">
        <v>46038</v>
      </c>
      <c r="I942" s="189" t="s">
        <v>325</v>
      </c>
      <c r="J942" s="189" t="s">
        <v>108</v>
      </c>
      <c r="K942" s="189" t="s">
        <v>462</v>
      </c>
      <c r="L942" s="189" t="s">
        <v>246</v>
      </c>
      <c r="M942" s="189" t="s">
        <v>185</v>
      </c>
      <c r="N942" s="189" t="s">
        <v>440</v>
      </c>
      <c r="O942" s="189" t="s">
        <v>172</v>
      </c>
      <c r="P942" s="189" t="s">
        <v>111</v>
      </c>
      <c r="Q942" s="189" t="s">
        <v>247</v>
      </c>
      <c r="R942" s="189" t="s">
        <v>22</v>
      </c>
      <c r="S942" s="189" t="s">
        <v>152</v>
      </c>
      <c r="T942" s="189" t="s">
        <v>121</v>
      </c>
      <c r="V942" s="189" t="s">
        <v>167</v>
      </c>
      <c r="W942" s="189" t="s">
        <v>124</v>
      </c>
      <c r="X942" s="189" t="s">
        <v>381</v>
      </c>
      <c r="Y942" s="189" t="s">
        <v>2108</v>
      </c>
      <c r="Z942" s="0" t="n">
        <v>2</v>
      </c>
      <c r="AA942" s="189" t="s">
        <v>2203</v>
      </c>
    </row>
    <row r="943" customFormat="false" ht="15" hidden="false" customHeight="false" outlineLevel="0" collapsed="false">
      <c r="A943" s="0" t="n">
        <v>193</v>
      </c>
      <c r="B943" s="191" t="n">
        <v>46057.9200701736</v>
      </c>
      <c r="C943" s="191" t="n">
        <v>46057.9238201736</v>
      </c>
      <c r="D943" s="189" t="s">
        <v>1458</v>
      </c>
      <c r="E943" s="189" t="s">
        <v>1459</v>
      </c>
      <c r="F943" s="189" t="s">
        <v>1459</v>
      </c>
      <c r="G943" s="189" t="s">
        <v>1460</v>
      </c>
      <c r="H943" s="191" t="n">
        <v>46038</v>
      </c>
      <c r="I943" s="189" t="s">
        <v>325</v>
      </c>
      <c r="J943" s="189" t="s">
        <v>108</v>
      </c>
      <c r="K943" s="189" t="s">
        <v>462</v>
      </c>
      <c r="L943" s="189" t="s">
        <v>246</v>
      </c>
      <c r="M943" s="189" t="s">
        <v>185</v>
      </c>
      <c r="N943" s="189" t="s">
        <v>440</v>
      </c>
      <c r="O943" s="189" t="s">
        <v>172</v>
      </c>
      <c r="P943" s="189" t="s">
        <v>111</v>
      </c>
      <c r="Q943" s="189" t="s">
        <v>247</v>
      </c>
      <c r="R943" s="189" t="s">
        <v>22</v>
      </c>
      <c r="S943" s="189" t="s">
        <v>152</v>
      </c>
      <c r="T943" s="189" t="s">
        <v>121</v>
      </c>
      <c r="V943" s="189" t="s">
        <v>167</v>
      </c>
      <c r="W943" s="189" t="s">
        <v>124</v>
      </c>
      <c r="X943" s="189" t="s">
        <v>381</v>
      </c>
      <c r="Y943" s="189" t="s">
        <v>2108</v>
      </c>
      <c r="Z943" s="0" t="n">
        <v>3</v>
      </c>
      <c r="AA943" s="189" t="s">
        <v>2224</v>
      </c>
    </row>
    <row r="944" customFormat="false" ht="15" hidden="false" customHeight="false" outlineLevel="0" collapsed="false">
      <c r="A944" s="0" t="n">
        <v>193</v>
      </c>
      <c r="B944" s="191" t="n">
        <v>46057.9200701736</v>
      </c>
      <c r="C944" s="191" t="n">
        <v>46057.9238201736</v>
      </c>
      <c r="D944" s="189" t="s">
        <v>1458</v>
      </c>
      <c r="E944" s="189" t="s">
        <v>1459</v>
      </c>
      <c r="F944" s="189" t="s">
        <v>1459</v>
      </c>
      <c r="G944" s="189" t="s">
        <v>1460</v>
      </c>
      <c r="H944" s="191" t="n">
        <v>46038</v>
      </c>
      <c r="I944" s="189" t="s">
        <v>325</v>
      </c>
      <c r="J944" s="189" t="s">
        <v>108</v>
      </c>
      <c r="K944" s="189" t="s">
        <v>462</v>
      </c>
      <c r="L944" s="189" t="s">
        <v>246</v>
      </c>
      <c r="M944" s="189" t="s">
        <v>185</v>
      </c>
      <c r="N944" s="189" t="s">
        <v>440</v>
      </c>
      <c r="O944" s="189" t="s">
        <v>172</v>
      </c>
      <c r="P944" s="189" t="s">
        <v>111</v>
      </c>
      <c r="Q944" s="189" t="s">
        <v>247</v>
      </c>
      <c r="R944" s="189" t="s">
        <v>22</v>
      </c>
      <c r="S944" s="189" t="s">
        <v>152</v>
      </c>
      <c r="T944" s="189" t="s">
        <v>121</v>
      </c>
      <c r="V944" s="189" t="s">
        <v>167</v>
      </c>
      <c r="W944" s="189" t="s">
        <v>124</v>
      </c>
      <c r="X944" s="189" t="s">
        <v>381</v>
      </c>
      <c r="Y944" s="189" t="s">
        <v>2110</v>
      </c>
      <c r="Z944" s="0" t="n">
        <v>1</v>
      </c>
      <c r="AA944" s="189" t="s">
        <v>2204</v>
      </c>
    </row>
    <row r="945" customFormat="false" ht="15" hidden="false" customHeight="false" outlineLevel="0" collapsed="false">
      <c r="A945" s="0" t="n">
        <v>193</v>
      </c>
      <c r="B945" s="191" t="n">
        <v>46057.9200701736</v>
      </c>
      <c r="C945" s="191" t="n">
        <v>46057.9238201736</v>
      </c>
      <c r="D945" s="189" t="s">
        <v>1458</v>
      </c>
      <c r="E945" s="189" t="s">
        <v>1459</v>
      </c>
      <c r="F945" s="189" t="s">
        <v>1459</v>
      </c>
      <c r="G945" s="189" t="s">
        <v>1460</v>
      </c>
      <c r="H945" s="191" t="n">
        <v>46038</v>
      </c>
      <c r="I945" s="189" t="s">
        <v>325</v>
      </c>
      <c r="J945" s="189" t="s">
        <v>108</v>
      </c>
      <c r="K945" s="189" t="s">
        <v>462</v>
      </c>
      <c r="L945" s="189" t="s">
        <v>246</v>
      </c>
      <c r="M945" s="189" t="s">
        <v>185</v>
      </c>
      <c r="N945" s="189" t="s">
        <v>440</v>
      </c>
      <c r="O945" s="189" t="s">
        <v>172</v>
      </c>
      <c r="P945" s="189" t="s">
        <v>111</v>
      </c>
      <c r="Q945" s="189" t="s">
        <v>247</v>
      </c>
      <c r="R945" s="189" t="s">
        <v>22</v>
      </c>
      <c r="S945" s="189" t="s">
        <v>152</v>
      </c>
      <c r="T945" s="189" t="s">
        <v>121</v>
      </c>
      <c r="V945" s="189" t="s">
        <v>167</v>
      </c>
      <c r="W945" s="189" t="s">
        <v>124</v>
      </c>
      <c r="X945" s="189" t="s">
        <v>381</v>
      </c>
      <c r="Y945" s="189" t="s">
        <v>2110</v>
      </c>
      <c r="Z945" s="0" t="n">
        <v>2</v>
      </c>
      <c r="AA945" s="189" t="s">
        <v>2205</v>
      </c>
    </row>
    <row r="946" customFormat="false" ht="15" hidden="false" customHeight="false" outlineLevel="0" collapsed="false">
      <c r="A946" s="0" t="n">
        <v>193</v>
      </c>
      <c r="B946" s="191" t="n">
        <v>46057.9200701736</v>
      </c>
      <c r="C946" s="191" t="n">
        <v>46057.9238201736</v>
      </c>
      <c r="D946" s="189" t="s">
        <v>1458</v>
      </c>
      <c r="E946" s="189" t="s">
        <v>1459</v>
      </c>
      <c r="F946" s="189" t="s">
        <v>1459</v>
      </c>
      <c r="G946" s="189" t="s">
        <v>1460</v>
      </c>
      <c r="H946" s="191" t="n">
        <v>46038</v>
      </c>
      <c r="I946" s="189" t="s">
        <v>325</v>
      </c>
      <c r="J946" s="189" t="s">
        <v>108</v>
      </c>
      <c r="K946" s="189" t="s">
        <v>462</v>
      </c>
      <c r="L946" s="189" t="s">
        <v>246</v>
      </c>
      <c r="M946" s="189" t="s">
        <v>185</v>
      </c>
      <c r="N946" s="189" t="s">
        <v>440</v>
      </c>
      <c r="O946" s="189" t="s">
        <v>172</v>
      </c>
      <c r="P946" s="189" t="s">
        <v>111</v>
      </c>
      <c r="Q946" s="189" t="s">
        <v>247</v>
      </c>
      <c r="R946" s="189" t="s">
        <v>22</v>
      </c>
      <c r="S946" s="189" t="s">
        <v>152</v>
      </c>
      <c r="T946" s="189" t="s">
        <v>121</v>
      </c>
      <c r="V946" s="189" t="s">
        <v>167</v>
      </c>
      <c r="W946" s="189" t="s">
        <v>124</v>
      </c>
      <c r="X946" s="189" t="s">
        <v>381</v>
      </c>
      <c r="Y946" s="189" t="s">
        <v>2113</v>
      </c>
      <c r="Z946" s="0" t="n">
        <v>1</v>
      </c>
      <c r="AA946" s="189" t="s">
        <v>2278</v>
      </c>
    </row>
    <row r="947" customFormat="false" ht="15" hidden="false" customHeight="false" outlineLevel="0" collapsed="false">
      <c r="A947" s="0" t="n">
        <v>193</v>
      </c>
      <c r="B947" s="191" t="n">
        <v>46057.9200701736</v>
      </c>
      <c r="C947" s="191" t="n">
        <v>46057.9238201736</v>
      </c>
      <c r="D947" s="189" t="s">
        <v>1458</v>
      </c>
      <c r="E947" s="189" t="s">
        <v>1459</v>
      </c>
      <c r="F947" s="189" t="s">
        <v>1459</v>
      </c>
      <c r="G947" s="189" t="s">
        <v>1460</v>
      </c>
      <c r="H947" s="191" t="n">
        <v>46038</v>
      </c>
      <c r="I947" s="189" t="s">
        <v>325</v>
      </c>
      <c r="J947" s="189" t="s">
        <v>108</v>
      </c>
      <c r="K947" s="189" t="s">
        <v>462</v>
      </c>
      <c r="L947" s="189" t="s">
        <v>246</v>
      </c>
      <c r="M947" s="189" t="s">
        <v>185</v>
      </c>
      <c r="N947" s="189" t="s">
        <v>440</v>
      </c>
      <c r="O947" s="189" t="s">
        <v>172</v>
      </c>
      <c r="P947" s="189" t="s">
        <v>111</v>
      </c>
      <c r="Q947" s="189" t="s">
        <v>247</v>
      </c>
      <c r="R947" s="189" t="s">
        <v>22</v>
      </c>
      <c r="S947" s="189" t="s">
        <v>152</v>
      </c>
      <c r="T947" s="189" t="s">
        <v>121</v>
      </c>
      <c r="V947" s="189" t="s">
        <v>167</v>
      </c>
      <c r="W947" s="189" t="s">
        <v>124</v>
      </c>
      <c r="X947" s="189" t="s">
        <v>381</v>
      </c>
      <c r="Y947" s="189" t="s">
        <v>2113</v>
      </c>
      <c r="Z947" s="0" t="n">
        <v>2</v>
      </c>
      <c r="AA947" s="189" t="s">
        <v>2206</v>
      </c>
    </row>
    <row r="948" customFormat="false" ht="15" hidden="false" customHeight="false" outlineLevel="0" collapsed="false">
      <c r="A948" s="0" t="n">
        <v>194</v>
      </c>
      <c r="B948" s="191" t="n">
        <v>46185.3761264123</v>
      </c>
      <c r="C948" s="191" t="n">
        <v>46185.3830940049</v>
      </c>
      <c r="D948" s="189" t="s">
        <v>1463</v>
      </c>
      <c r="E948" s="189" t="s">
        <v>1464</v>
      </c>
      <c r="F948" s="189" t="s">
        <v>1465</v>
      </c>
      <c r="G948" s="189" t="s">
        <v>1466</v>
      </c>
      <c r="H948" s="191" t="n">
        <v>46169</v>
      </c>
      <c r="I948" s="189" t="s">
        <v>113</v>
      </c>
      <c r="J948" s="189" t="s">
        <v>108</v>
      </c>
      <c r="K948" s="189" t="s">
        <v>143</v>
      </c>
      <c r="L948" s="189" t="s">
        <v>296</v>
      </c>
      <c r="M948" s="189" t="s">
        <v>797</v>
      </c>
      <c r="N948" s="189" t="s">
        <v>810</v>
      </c>
      <c r="O948" s="189" t="s">
        <v>405</v>
      </c>
      <c r="P948" s="189" t="s">
        <v>111</v>
      </c>
      <c r="Q948" s="189" t="s">
        <v>112</v>
      </c>
      <c r="R948" s="189" t="s">
        <v>24</v>
      </c>
      <c r="S948" s="189" t="s">
        <v>152</v>
      </c>
      <c r="T948" s="189" t="s">
        <v>121</v>
      </c>
      <c r="U948" s="189" t="s">
        <v>1063</v>
      </c>
      <c r="V948" s="189" t="s">
        <v>123</v>
      </c>
      <c r="W948" s="189" t="s">
        <v>124</v>
      </c>
      <c r="X948" s="189" t="s">
        <v>214</v>
      </c>
      <c r="Y948" s="189" t="s">
        <v>2108</v>
      </c>
      <c r="Z948" s="0" t="n">
        <v>1</v>
      </c>
      <c r="AA948" s="189" t="s">
        <v>2151</v>
      </c>
    </row>
    <row r="949" customFormat="false" ht="15" hidden="false" customHeight="false" outlineLevel="0" collapsed="false">
      <c r="A949" s="0" t="n">
        <v>194</v>
      </c>
      <c r="B949" s="191" t="n">
        <v>46185.3761264123</v>
      </c>
      <c r="C949" s="191" t="n">
        <v>46185.3830940049</v>
      </c>
      <c r="D949" s="189" t="s">
        <v>1463</v>
      </c>
      <c r="E949" s="189" t="s">
        <v>1464</v>
      </c>
      <c r="F949" s="189" t="s">
        <v>1465</v>
      </c>
      <c r="G949" s="189" t="s">
        <v>1466</v>
      </c>
      <c r="H949" s="191" t="n">
        <v>46169</v>
      </c>
      <c r="I949" s="189" t="s">
        <v>113</v>
      </c>
      <c r="J949" s="189" t="s">
        <v>108</v>
      </c>
      <c r="K949" s="189" t="s">
        <v>143</v>
      </c>
      <c r="L949" s="189" t="s">
        <v>296</v>
      </c>
      <c r="M949" s="189" t="s">
        <v>797</v>
      </c>
      <c r="N949" s="189" t="s">
        <v>810</v>
      </c>
      <c r="O949" s="189" t="s">
        <v>405</v>
      </c>
      <c r="P949" s="189" t="s">
        <v>111</v>
      </c>
      <c r="Q949" s="189" t="s">
        <v>112</v>
      </c>
      <c r="R949" s="189" t="s">
        <v>24</v>
      </c>
      <c r="S949" s="189" t="s">
        <v>152</v>
      </c>
      <c r="T949" s="189" t="s">
        <v>121</v>
      </c>
      <c r="U949" s="189" t="s">
        <v>1063</v>
      </c>
      <c r="V949" s="189" t="s">
        <v>123</v>
      </c>
      <c r="W949" s="189" t="s">
        <v>124</v>
      </c>
      <c r="X949" s="189" t="s">
        <v>214</v>
      </c>
      <c r="Y949" s="189" t="s">
        <v>2108</v>
      </c>
      <c r="Z949" s="0" t="n">
        <v>2</v>
      </c>
      <c r="AA949" s="189" t="s">
        <v>2109</v>
      </c>
    </row>
    <row r="950" customFormat="false" ht="15" hidden="false" customHeight="false" outlineLevel="0" collapsed="false">
      <c r="A950" s="0" t="n">
        <v>194</v>
      </c>
      <c r="B950" s="191" t="n">
        <v>46185.3761264123</v>
      </c>
      <c r="C950" s="191" t="n">
        <v>46185.3830940049</v>
      </c>
      <c r="D950" s="189" t="s">
        <v>1463</v>
      </c>
      <c r="E950" s="189" t="s">
        <v>1464</v>
      </c>
      <c r="F950" s="189" t="s">
        <v>1465</v>
      </c>
      <c r="G950" s="189" t="s">
        <v>1466</v>
      </c>
      <c r="H950" s="191" t="n">
        <v>46169</v>
      </c>
      <c r="I950" s="189" t="s">
        <v>113</v>
      </c>
      <c r="J950" s="189" t="s">
        <v>108</v>
      </c>
      <c r="K950" s="189" t="s">
        <v>143</v>
      </c>
      <c r="L950" s="189" t="s">
        <v>296</v>
      </c>
      <c r="M950" s="189" t="s">
        <v>797</v>
      </c>
      <c r="N950" s="189" t="s">
        <v>810</v>
      </c>
      <c r="O950" s="189" t="s">
        <v>405</v>
      </c>
      <c r="P950" s="189" t="s">
        <v>111</v>
      </c>
      <c r="Q950" s="189" t="s">
        <v>112</v>
      </c>
      <c r="R950" s="189" t="s">
        <v>24</v>
      </c>
      <c r="S950" s="189" t="s">
        <v>152</v>
      </c>
      <c r="T950" s="189" t="s">
        <v>121</v>
      </c>
      <c r="U950" s="189" t="s">
        <v>1063</v>
      </c>
      <c r="V950" s="189" t="s">
        <v>123</v>
      </c>
      <c r="W950" s="189" t="s">
        <v>124</v>
      </c>
      <c r="X950" s="189" t="s">
        <v>214</v>
      </c>
      <c r="Y950" s="189" t="s">
        <v>2110</v>
      </c>
      <c r="Z950" s="0" t="n">
        <v>1</v>
      </c>
      <c r="AA950" s="189" t="s">
        <v>122</v>
      </c>
    </row>
    <row r="951" customFormat="false" ht="15" hidden="false" customHeight="false" outlineLevel="0" collapsed="false">
      <c r="A951" s="0" t="n">
        <v>194</v>
      </c>
      <c r="B951" s="191" t="n">
        <v>46185.3761264123</v>
      </c>
      <c r="C951" s="191" t="n">
        <v>46185.3830940049</v>
      </c>
      <c r="D951" s="189" t="s">
        <v>1463</v>
      </c>
      <c r="E951" s="189" t="s">
        <v>1464</v>
      </c>
      <c r="F951" s="189" t="s">
        <v>1465</v>
      </c>
      <c r="G951" s="189" t="s">
        <v>1466</v>
      </c>
      <c r="H951" s="191" t="n">
        <v>46169</v>
      </c>
      <c r="I951" s="189" t="s">
        <v>113</v>
      </c>
      <c r="J951" s="189" t="s">
        <v>108</v>
      </c>
      <c r="K951" s="189" t="s">
        <v>143</v>
      </c>
      <c r="L951" s="189" t="s">
        <v>296</v>
      </c>
      <c r="M951" s="189" t="s">
        <v>797</v>
      </c>
      <c r="N951" s="189" t="s">
        <v>810</v>
      </c>
      <c r="O951" s="189" t="s">
        <v>405</v>
      </c>
      <c r="P951" s="189" t="s">
        <v>111</v>
      </c>
      <c r="Q951" s="189" t="s">
        <v>112</v>
      </c>
      <c r="R951" s="189" t="s">
        <v>24</v>
      </c>
      <c r="S951" s="189" t="s">
        <v>152</v>
      </c>
      <c r="T951" s="189" t="s">
        <v>121</v>
      </c>
      <c r="U951" s="189" t="s">
        <v>1063</v>
      </c>
      <c r="V951" s="189" t="s">
        <v>123</v>
      </c>
      <c r="W951" s="189" t="s">
        <v>124</v>
      </c>
      <c r="X951" s="189" t="s">
        <v>214</v>
      </c>
      <c r="Y951" s="189" t="s">
        <v>2113</v>
      </c>
      <c r="Z951" s="0" t="n">
        <v>1</v>
      </c>
      <c r="AA951" s="189" t="s">
        <v>2152</v>
      </c>
    </row>
    <row r="952" customFormat="false" ht="15" hidden="false" customHeight="false" outlineLevel="0" collapsed="false">
      <c r="A952" s="0" t="n">
        <v>194</v>
      </c>
      <c r="B952" s="191" t="n">
        <v>46185.3761264123</v>
      </c>
      <c r="C952" s="191" t="n">
        <v>46185.3830940049</v>
      </c>
      <c r="D952" s="189" t="s">
        <v>1463</v>
      </c>
      <c r="E952" s="189" t="s">
        <v>1464</v>
      </c>
      <c r="F952" s="189" t="s">
        <v>1465</v>
      </c>
      <c r="G952" s="189" t="s">
        <v>1466</v>
      </c>
      <c r="H952" s="191" t="n">
        <v>46169</v>
      </c>
      <c r="I952" s="189" t="s">
        <v>113</v>
      </c>
      <c r="J952" s="189" t="s">
        <v>108</v>
      </c>
      <c r="K952" s="189" t="s">
        <v>143</v>
      </c>
      <c r="L952" s="189" t="s">
        <v>296</v>
      </c>
      <c r="M952" s="189" t="s">
        <v>797</v>
      </c>
      <c r="N952" s="189" t="s">
        <v>810</v>
      </c>
      <c r="O952" s="189" t="s">
        <v>405</v>
      </c>
      <c r="P952" s="189" t="s">
        <v>111</v>
      </c>
      <c r="Q952" s="189" t="s">
        <v>112</v>
      </c>
      <c r="R952" s="189" t="s">
        <v>24</v>
      </c>
      <c r="S952" s="189" t="s">
        <v>152</v>
      </c>
      <c r="T952" s="189" t="s">
        <v>121</v>
      </c>
      <c r="U952" s="189" t="s">
        <v>1063</v>
      </c>
      <c r="V952" s="189" t="s">
        <v>123</v>
      </c>
      <c r="W952" s="189" t="s">
        <v>124</v>
      </c>
      <c r="X952" s="189" t="s">
        <v>214</v>
      </c>
      <c r="Y952" s="189" t="s">
        <v>2113</v>
      </c>
      <c r="Z952" s="0" t="n">
        <v>2</v>
      </c>
      <c r="AA952" s="189" t="s">
        <v>2114</v>
      </c>
    </row>
    <row r="953" customFormat="false" ht="15" hidden="false" customHeight="false" outlineLevel="0" collapsed="false">
      <c r="A953" s="0" t="n">
        <v>195</v>
      </c>
      <c r="B953" s="191" t="n">
        <v>46209.5455477033</v>
      </c>
      <c r="C953" s="191" t="n">
        <v>46209.5591356663</v>
      </c>
      <c r="D953" s="189" t="s">
        <v>1467</v>
      </c>
      <c r="E953" s="189" t="s">
        <v>1468</v>
      </c>
      <c r="F953" s="189" t="s">
        <v>1469</v>
      </c>
      <c r="G953" s="189" t="s">
        <v>1470</v>
      </c>
      <c r="H953" s="191" t="n">
        <v>46202</v>
      </c>
      <c r="I953" s="189" t="s">
        <v>113</v>
      </c>
      <c r="J953" s="189" t="s">
        <v>108</v>
      </c>
      <c r="K953" s="189" t="s">
        <v>143</v>
      </c>
      <c r="L953" s="189" t="s">
        <v>144</v>
      </c>
      <c r="M953" s="189" t="s">
        <v>286</v>
      </c>
      <c r="N953" s="189" t="s">
        <v>893</v>
      </c>
      <c r="O953" s="189" t="s">
        <v>278</v>
      </c>
      <c r="P953" s="189" t="s">
        <v>111</v>
      </c>
      <c r="Q953" s="189" t="s">
        <v>112</v>
      </c>
      <c r="R953" s="189" t="s">
        <v>22</v>
      </c>
      <c r="S953" s="189" t="s">
        <v>227</v>
      </c>
      <c r="T953" s="189" t="s">
        <v>121</v>
      </c>
      <c r="V953" s="189" t="s">
        <v>192</v>
      </c>
      <c r="W953" s="189" t="s">
        <v>124</v>
      </c>
      <c r="X953" s="189" t="s">
        <v>176</v>
      </c>
      <c r="Y953" s="189" t="s">
        <v>2108</v>
      </c>
      <c r="Z953" s="0" t="n">
        <v>1</v>
      </c>
      <c r="AA953" s="189" t="s">
        <v>2336</v>
      </c>
    </row>
    <row r="954" customFormat="false" ht="15" hidden="false" customHeight="false" outlineLevel="0" collapsed="false">
      <c r="A954" s="0" t="n">
        <v>195</v>
      </c>
      <c r="B954" s="191" t="n">
        <v>46209.5455477033</v>
      </c>
      <c r="C954" s="191" t="n">
        <v>46209.5591356663</v>
      </c>
      <c r="D954" s="189" t="s">
        <v>1467</v>
      </c>
      <c r="E954" s="189" t="s">
        <v>1468</v>
      </c>
      <c r="F954" s="189" t="s">
        <v>1469</v>
      </c>
      <c r="G954" s="189" t="s">
        <v>1470</v>
      </c>
      <c r="H954" s="191" t="n">
        <v>46202</v>
      </c>
      <c r="I954" s="189" t="s">
        <v>113</v>
      </c>
      <c r="J954" s="189" t="s">
        <v>108</v>
      </c>
      <c r="K954" s="189" t="s">
        <v>143</v>
      </c>
      <c r="L954" s="189" t="s">
        <v>144</v>
      </c>
      <c r="M954" s="189" t="s">
        <v>286</v>
      </c>
      <c r="N954" s="189" t="s">
        <v>893</v>
      </c>
      <c r="O954" s="189" t="s">
        <v>278</v>
      </c>
      <c r="P954" s="189" t="s">
        <v>111</v>
      </c>
      <c r="Q954" s="189" t="s">
        <v>112</v>
      </c>
      <c r="R954" s="189" t="s">
        <v>22</v>
      </c>
      <c r="S954" s="189" t="s">
        <v>227</v>
      </c>
      <c r="T954" s="189" t="s">
        <v>121</v>
      </c>
      <c r="V954" s="189" t="s">
        <v>192</v>
      </c>
      <c r="W954" s="189" t="s">
        <v>124</v>
      </c>
      <c r="X954" s="189" t="s">
        <v>176</v>
      </c>
      <c r="Y954" s="189" t="s">
        <v>2108</v>
      </c>
      <c r="Z954" s="0" t="n">
        <v>2</v>
      </c>
      <c r="AA954" s="189" t="s">
        <v>2129</v>
      </c>
    </row>
    <row r="955" customFormat="false" ht="15" hidden="false" customHeight="false" outlineLevel="0" collapsed="false">
      <c r="A955" s="0" t="n">
        <v>195</v>
      </c>
      <c r="B955" s="191" t="n">
        <v>46209.5455477033</v>
      </c>
      <c r="C955" s="191" t="n">
        <v>46209.5591356663</v>
      </c>
      <c r="D955" s="189" t="s">
        <v>1467</v>
      </c>
      <c r="E955" s="189" t="s">
        <v>1468</v>
      </c>
      <c r="F955" s="189" t="s">
        <v>1469</v>
      </c>
      <c r="G955" s="189" t="s">
        <v>1470</v>
      </c>
      <c r="H955" s="191" t="n">
        <v>46202</v>
      </c>
      <c r="I955" s="189" t="s">
        <v>113</v>
      </c>
      <c r="J955" s="189" t="s">
        <v>108</v>
      </c>
      <c r="K955" s="189" t="s">
        <v>143</v>
      </c>
      <c r="L955" s="189" t="s">
        <v>144</v>
      </c>
      <c r="M955" s="189" t="s">
        <v>286</v>
      </c>
      <c r="N955" s="189" t="s">
        <v>893</v>
      </c>
      <c r="O955" s="189" t="s">
        <v>278</v>
      </c>
      <c r="P955" s="189" t="s">
        <v>111</v>
      </c>
      <c r="Q955" s="189" t="s">
        <v>112</v>
      </c>
      <c r="R955" s="189" t="s">
        <v>22</v>
      </c>
      <c r="S955" s="189" t="s">
        <v>227</v>
      </c>
      <c r="T955" s="189" t="s">
        <v>121</v>
      </c>
      <c r="V955" s="189" t="s">
        <v>192</v>
      </c>
      <c r="W955" s="189" t="s">
        <v>124</v>
      </c>
      <c r="X955" s="189" t="s">
        <v>176</v>
      </c>
      <c r="Y955" s="189" t="s">
        <v>2110</v>
      </c>
      <c r="Z955" s="0" t="n">
        <v>1</v>
      </c>
      <c r="AA955" s="189" t="s">
        <v>2337</v>
      </c>
    </row>
    <row r="956" customFormat="false" ht="15" hidden="false" customHeight="false" outlineLevel="0" collapsed="false">
      <c r="A956" s="0" t="n">
        <v>195</v>
      </c>
      <c r="B956" s="191" t="n">
        <v>46209.5455477033</v>
      </c>
      <c r="C956" s="191" t="n">
        <v>46209.5591356663</v>
      </c>
      <c r="D956" s="189" t="s">
        <v>1467</v>
      </c>
      <c r="E956" s="189" t="s">
        <v>1468</v>
      </c>
      <c r="F956" s="189" t="s">
        <v>1469</v>
      </c>
      <c r="G956" s="189" t="s">
        <v>1470</v>
      </c>
      <c r="H956" s="191" t="n">
        <v>46202</v>
      </c>
      <c r="I956" s="189" t="s">
        <v>113</v>
      </c>
      <c r="J956" s="189" t="s">
        <v>108</v>
      </c>
      <c r="K956" s="189" t="s">
        <v>143</v>
      </c>
      <c r="L956" s="189" t="s">
        <v>144</v>
      </c>
      <c r="M956" s="189" t="s">
        <v>286</v>
      </c>
      <c r="N956" s="189" t="s">
        <v>893</v>
      </c>
      <c r="O956" s="189" t="s">
        <v>278</v>
      </c>
      <c r="P956" s="189" t="s">
        <v>111</v>
      </c>
      <c r="Q956" s="189" t="s">
        <v>112</v>
      </c>
      <c r="R956" s="189" t="s">
        <v>22</v>
      </c>
      <c r="S956" s="189" t="s">
        <v>227</v>
      </c>
      <c r="T956" s="189" t="s">
        <v>121</v>
      </c>
      <c r="V956" s="189" t="s">
        <v>192</v>
      </c>
      <c r="W956" s="189" t="s">
        <v>124</v>
      </c>
      <c r="X956" s="189" t="s">
        <v>176</v>
      </c>
      <c r="Y956" s="189" t="s">
        <v>2110</v>
      </c>
      <c r="Z956" s="0" t="n">
        <v>2</v>
      </c>
      <c r="AA956" s="189" t="s">
        <v>2128</v>
      </c>
    </row>
    <row r="957" customFormat="false" ht="15" hidden="false" customHeight="false" outlineLevel="0" collapsed="false">
      <c r="A957" s="0" t="n">
        <v>195</v>
      </c>
      <c r="B957" s="191" t="n">
        <v>46209.5455477033</v>
      </c>
      <c r="C957" s="191" t="n">
        <v>46209.5591356663</v>
      </c>
      <c r="D957" s="189" t="s">
        <v>1467</v>
      </c>
      <c r="E957" s="189" t="s">
        <v>1468</v>
      </c>
      <c r="F957" s="189" t="s">
        <v>1469</v>
      </c>
      <c r="G957" s="189" t="s">
        <v>1470</v>
      </c>
      <c r="H957" s="191" t="n">
        <v>46202</v>
      </c>
      <c r="I957" s="189" t="s">
        <v>113</v>
      </c>
      <c r="J957" s="189" t="s">
        <v>108</v>
      </c>
      <c r="K957" s="189" t="s">
        <v>143</v>
      </c>
      <c r="L957" s="189" t="s">
        <v>144</v>
      </c>
      <c r="M957" s="189" t="s">
        <v>286</v>
      </c>
      <c r="N957" s="189" t="s">
        <v>893</v>
      </c>
      <c r="O957" s="189" t="s">
        <v>278</v>
      </c>
      <c r="P957" s="189" t="s">
        <v>111</v>
      </c>
      <c r="Q957" s="189" t="s">
        <v>112</v>
      </c>
      <c r="R957" s="189" t="s">
        <v>22</v>
      </c>
      <c r="S957" s="189" t="s">
        <v>227</v>
      </c>
      <c r="T957" s="189" t="s">
        <v>121</v>
      </c>
      <c r="V957" s="189" t="s">
        <v>192</v>
      </c>
      <c r="W957" s="189" t="s">
        <v>124</v>
      </c>
      <c r="X957" s="189" t="s">
        <v>176</v>
      </c>
      <c r="Y957" s="189" t="s">
        <v>2113</v>
      </c>
      <c r="Z957" s="0" t="n">
        <v>1</v>
      </c>
      <c r="AA957" s="189" t="s">
        <v>2315</v>
      </c>
    </row>
    <row r="958" customFormat="false" ht="15" hidden="false" customHeight="false" outlineLevel="0" collapsed="false">
      <c r="A958" s="0" t="n">
        <v>195</v>
      </c>
      <c r="B958" s="191" t="n">
        <v>46209.5455477033</v>
      </c>
      <c r="C958" s="191" t="n">
        <v>46209.5591356663</v>
      </c>
      <c r="D958" s="189" t="s">
        <v>1467</v>
      </c>
      <c r="E958" s="189" t="s">
        <v>1468</v>
      </c>
      <c r="F958" s="189" t="s">
        <v>1469</v>
      </c>
      <c r="G958" s="189" t="s">
        <v>1470</v>
      </c>
      <c r="H958" s="191" t="n">
        <v>46202</v>
      </c>
      <c r="I958" s="189" t="s">
        <v>113</v>
      </c>
      <c r="J958" s="189" t="s">
        <v>108</v>
      </c>
      <c r="K958" s="189" t="s">
        <v>143</v>
      </c>
      <c r="L958" s="189" t="s">
        <v>144</v>
      </c>
      <c r="M958" s="189" t="s">
        <v>286</v>
      </c>
      <c r="N958" s="189" t="s">
        <v>893</v>
      </c>
      <c r="O958" s="189" t="s">
        <v>278</v>
      </c>
      <c r="P958" s="189" t="s">
        <v>111</v>
      </c>
      <c r="Q958" s="189" t="s">
        <v>112</v>
      </c>
      <c r="R958" s="189" t="s">
        <v>22</v>
      </c>
      <c r="S958" s="189" t="s">
        <v>227</v>
      </c>
      <c r="T958" s="189" t="s">
        <v>121</v>
      </c>
      <c r="V958" s="189" t="s">
        <v>192</v>
      </c>
      <c r="W958" s="189" t="s">
        <v>124</v>
      </c>
      <c r="X958" s="189" t="s">
        <v>176</v>
      </c>
      <c r="Y958" s="189" t="s">
        <v>2113</v>
      </c>
      <c r="Z958" s="0" t="n">
        <v>2</v>
      </c>
      <c r="AA958" s="189" t="s">
        <v>2286</v>
      </c>
    </row>
    <row r="959" customFormat="false" ht="15" hidden="false" customHeight="false" outlineLevel="0" collapsed="false">
      <c r="A959" s="0" t="n">
        <v>196</v>
      </c>
      <c r="B959" s="191" t="n">
        <v>46036.3386968179</v>
      </c>
      <c r="C959" s="191" t="n">
        <v>46036.353557929</v>
      </c>
      <c r="D959" s="189" t="s">
        <v>1474</v>
      </c>
      <c r="E959" s="189" t="s">
        <v>1475</v>
      </c>
      <c r="F959" s="189" t="s">
        <v>1475</v>
      </c>
      <c r="G959" s="189" t="s">
        <v>1476</v>
      </c>
      <c r="H959" s="191" t="n">
        <v>46033</v>
      </c>
      <c r="I959" s="189" t="s">
        <v>113</v>
      </c>
      <c r="J959" s="189" t="s">
        <v>108</v>
      </c>
      <c r="K959" s="189" t="s">
        <v>1477</v>
      </c>
      <c r="L959" s="189" t="s">
        <v>144</v>
      </c>
      <c r="M959" s="189" t="s">
        <v>447</v>
      </c>
      <c r="N959" s="189" t="s">
        <v>990</v>
      </c>
      <c r="O959" s="189" t="s">
        <v>157</v>
      </c>
      <c r="P959" s="189" t="s">
        <v>111</v>
      </c>
      <c r="Q959" s="189" t="s">
        <v>112</v>
      </c>
      <c r="R959" s="189" t="s">
        <v>24</v>
      </c>
      <c r="S959" s="189" t="s">
        <v>152</v>
      </c>
      <c r="T959" s="189" t="s">
        <v>121</v>
      </c>
      <c r="V959" s="189" t="s">
        <v>167</v>
      </c>
      <c r="W959" s="189" t="s">
        <v>124</v>
      </c>
      <c r="X959" s="189" t="s">
        <v>223</v>
      </c>
      <c r="Y959" s="189" t="s">
        <v>2108</v>
      </c>
      <c r="Z959" s="0" t="n">
        <v>1</v>
      </c>
      <c r="AA959" s="189" t="s">
        <v>2164</v>
      </c>
    </row>
    <row r="960" customFormat="false" ht="15" hidden="false" customHeight="false" outlineLevel="0" collapsed="false">
      <c r="A960" s="0" t="n">
        <v>196</v>
      </c>
      <c r="B960" s="191" t="n">
        <v>46036.3386968179</v>
      </c>
      <c r="C960" s="191" t="n">
        <v>46036.353557929</v>
      </c>
      <c r="D960" s="189" t="s">
        <v>1474</v>
      </c>
      <c r="E960" s="189" t="s">
        <v>1475</v>
      </c>
      <c r="F960" s="189" t="s">
        <v>1475</v>
      </c>
      <c r="G960" s="189" t="s">
        <v>1476</v>
      </c>
      <c r="H960" s="191" t="n">
        <v>46033</v>
      </c>
      <c r="I960" s="189" t="s">
        <v>113</v>
      </c>
      <c r="J960" s="189" t="s">
        <v>108</v>
      </c>
      <c r="K960" s="189" t="s">
        <v>1477</v>
      </c>
      <c r="L960" s="189" t="s">
        <v>144</v>
      </c>
      <c r="M960" s="189" t="s">
        <v>447</v>
      </c>
      <c r="N960" s="189" t="s">
        <v>990</v>
      </c>
      <c r="O960" s="189" t="s">
        <v>157</v>
      </c>
      <c r="P960" s="189" t="s">
        <v>111</v>
      </c>
      <c r="Q960" s="189" t="s">
        <v>112</v>
      </c>
      <c r="R960" s="189" t="s">
        <v>24</v>
      </c>
      <c r="S960" s="189" t="s">
        <v>152</v>
      </c>
      <c r="T960" s="189" t="s">
        <v>121</v>
      </c>
      <c r="V960" s="189" t="s">
        <v>167</v>
      </c>
      <c r="W960" s="189" t="s">
        <v>124</v>
      </c>
      <c r="X960" s="189" t="s">
        <v>223</v>
      </c>
      <c r="Y960" s="189" t="s">
        <v>2108</v>
      </c>
      <c r="Z960" s="0" t="n">
        <v>2</v>
      </c>
      <c r="AA960" s="189" t="s">
        <v>2142</v>
      </c>
    </row>
    <row r="961" customFormat="false" ht="15" hidden="false" customHeight="false" outlineLevel="0" collapsed="false">
      <c r="A961" s="0" t="n">
        <v>196</v>
      </c>
      <c r="B961" s="191" t="n">
        <v>46036.3386968179</v>
      </c>
      <c r="C961" s="191" t="n">
        <v>46036.353557929</v>
      </c>
      <c r="D961" s="189" t="s">
        <v>1474</v>
      </c>
      <c r="E961" s="189" t="s">
        <v>1475</v>
      </c>
      <c r="F961" s="189" t="s">
        <v>1475</v>
      </c>
      <c r="G961" s="189" t="s">
        <v>1476</v>
      </c>
      <c r="H961" s="191" t="n">
        <v>46033</v>
      </c>
      <c r="I961" s="189" t="s">
        <v>113</v>
      </c>
      <c r="J961" s="189" t="s">
        <v>108</v>
      </c>
      <c r="K961" s="189" t="s">
        <v>1477</v>
      </c>
      <c r="L961" s="189" t="s">
        <v>144</v>
      </c>
      <c r="M961" s="189" t="s">
        <v>447</v>
      </c>
      <c r="N961" s="189" t="s">
        <v>990</v>
      </c>
      <c r="O961" s="189" t="s">
        <v>157</v>
      </c>
      <c r="P961" s="189" t="s">
        <v>111</v>
      </c>
      <c r="Q961" s="189" t="s">
        <v>112</v>
      </c>
      <c r="R961" s="189" t="s">
        <v>24</v>
      </c>
      <c r="S961" s="189" t="s">
        <v>152</v>
      </c>
      <c r="T961" s="189" t="s">
        <v>121</v>
      </c>
      <c r="V961" s="189" t="s">
        <v>167</v>
      </c>
      <c r="W961" s="189" t="s">
        <v>124</v>
      </c>
      <c r="X961" s="189" t="s">
        <v>223</v>
      </c>
      <c r="Y961" s="189" t="s">
        <v>2108</v>
      </c>
      <c r="Z961" s="0" t="n">
        <v>3</v>
      </c>
      <c r="AA961" s="189" t="s">
        <v>2147</v>
      </c>
    </row>
    <row r="962" customFormat="false" ht="15" hidden="false" customHeight="false" outlineLevel="0" collapsed="false">
      <c r="A962" s="0" t="n">
        <v>196</v>
      </c>
      <c r="B962" s="191" t="n">
        <v>46036.3386968179</v>
      </c>
      <c r="C962" s="191" t="n">
        <v>46036.353557929</v>
      </c>
      <c r="D962" s="189" t="s">
        <v>1474</v>
      </c>
      <c r="E962" s="189" t="s">
        <v>1475</v>
      </c>
      <c r="F962" s="189" t="s">
        <v>1475</v>
      </c>
      <c r="G962" s="189" t="s">
        <v>1476</v>
      </c>
      <c r="H962" s="191" t="n">
        <v>46033</v>
      </c>
      <c r="I962" s="189" t="s">
        <v>113</v>
      </c>
      <c r="J962" s="189" t="s">
        <v>108</v>
      </c>
      <c r="K962" s="189" t="s">
        <v>1477</v>
      </c>
      <c r="L962" s="189" t="s">
        <v>144</v>
      </c>
      <c r="M962" s="189" t="s">
        <v>447</v>
      </c>
      <c r="N962" s="189" t="s">
        <v>990</v>
      </c>
      <c r="O962" s="189" t="s">
        <v>157</v>
      </c>
      <c r="P962" s="189" t="s">
        <v>111</v>
      </c>
      <c r="Q962" s="189" t="s">
        <v>112</v>
      </c>
      <c r="R962" s="189" t="s">
        <v>24</v>
      </c>
      <c r="S962" s="189" t="s">
        <v>152</v>
      </c>
      <c r="T962" s="189" t="s">
        <v>121</v>
      </c>
      <c r="V962" s="189" t="s">
        <v>167</v>
      </c>
      <c r="W962" s="189" t="s">
        <v>124</v>
      </c>
      <c r="X962" s="189" t="s">
        <v>223</v>
      </c>
      <c r="Y962" s="189" t="s">
        <v>2110</v>
      </c>
      <c r="Z962" s="0" t="n">
        <v>1</v>
      </c>
      <c r="AA962" s="189" t="s">
        <v>2214</v>
      </c>
    </row>
    <row r="963" customFormat="false" ht="15" hidden="false" customHeight="false" outlineLevel="0" collapsed="false">
      <c r="A963" s="0" t="n">
        <v>196</v>
      </c>
      <c r="B963" s="191" t="n">
        <v>46036.3386968179</v>
      </c>
      <c r="C963" s="191" t="n">
        <v>46036.353557929</v>
      </c>
      <c r="D963" s="189" t="s">
        <v>1474</v>
      </c>
      <c r="E963" s="189" t="s">
        <v>1475</v>
      </c>
      <c r="F963" s="189" t="s">
        <v>1475</v>
      </c>
      <c r="G963" s="189" t="s">
        <v>1476</v>
      </c>
      <c r="H963" s="191" t="n">
        <v>46033</v>
      </c>
      <c r="I963" s="189" t="s">
        <v>113</v>
      </c>
      <c r="J963" s="189" t="s">
        <v>108</v>
      </c>
      <c r="K963" s="189" t="s">
        <v>1477</v>
      </c>
      <c r="L963" s="189" t="s">
        <v>144</v>
      </c>
      <c r="M963" s="189" t="s">
        <v>447</v>
      </c>
      <c r="N963" s="189" t="s">
        <v>990</v>
      </c>
      <c r="O963" s="189" t="s">
        <v>157</v>
      </c>
      <c r="P963" s="189" t="s">
        <v>111</v>
      </c>
      <c r="Q963" s="189" t="s">
        <v>112</v>
      </c>
      <c r="R963" s="189" t="s">
        <v>24</v>
      </c>
      <c r="S963" s="189" t="s">
        <v>152</v>
      </c>
      <c r="T963" s="189" t="s">
        <v>121</v>
      </c>
      <c r="V963" s="189" t="s">
        <v>167</v>
      </c>
      <c r="W963" s="189" t="s">
        <v>124</v>
      </c>
      <c r="X963" s="189" t="s">
        <v>223</v>
      </c>
      <c r="Y963" s="189" t="s">
        <v>2110</v>
      </c>
      <c r="Z963" s="0" t="n">
        <v>2</v>
      </c>
      <c r="AA963" s="189" t="s">
        <v>2257</v>
      </c>
    </row>
    <row r="964" customFormat="false" ht="15" hidden="false" customHeight="false" outlineLevel="0" collapsed="false">
      <c r="A964" s="0" t="n">
        <v>196</v>
      </c>
      <c r="B964" s="191" t="n">
        <v>46036.3386968179</v>
      </c>
      <c r="C964" s="191" t="n">
        <v>46036.353557929</v>
      </c>
      <c r="D964" s="189" t="s">
        <v>1474</v>
      </c>
      <c r="E964" s="189" t="s">
        <v>1475</v>
      </c>
      <c r="F964" s="189" t="s">
        <v>1475</v>
      </c>
      <c r="G964" s="189" t="s">
        <v>1476</v>
      </c>
      <c r="H964" s="191" t="n">
        <v>46033</v>
      </c>
      <c r="I964" s="189" t="s">
        <v>113</v>
      </c>
      <c r="J964" s="189" t="s">
        <v>108</v>
      </c>
      <c r="K964" s="189" t="s">
        <v>1477</v>
      </c>
      <c r="L964" s="189" t="s">
        <v>144</v>
      </c>
      <c r="M964" s="189" t="s">
        <v>447</v>
      </c>
      <c r="N964" s="189" t="s">
        <v>990</v>
      </c>
      <c r="O964" s="189" t="s">
        <v>157</v>
      </c>
      <c r="P964" s="189" t="s">
        <v>111</v>
      </c>
      <c r="Q964" s="189" t="s">
        <v>112</v>
      </c>
      <c r="R964" s="189" t="s">
        <v>24</v>
      </c>
      <c r="S964" s="189" t="s">
        <v>152</v>
      </c>
      <c r="T964" s="189" t="s">
        <v>121</v>
      </c>
      <c r="V964" s="189" t="s">
        <v>167</v>
      </c>
      <c r="W964" s="189" t="s">
        <v>124</v>
      </c>
      <c r="X964" s="189" t="s">
        <v>223</v>
      </c>
      <c r="Y964" s="189" t="s">
        <v>2113</v>
      </c>
      <c r="Z964" s="0" t="n">
        <v>1</v>
      </c>
      <c r="AA964" s="189" t="s">
        <v>2146</v>
      </c>
    </row>
    <row r="965" customFormat="false" ht="15" hidden="false" customHeight="false" outlineLevel="0" collapsed="false">
      <c r="A965" s="0" t="n">
        <v>196</v>
      </c>
      <c r="B965" s="191" t="n">
        <v>46036.3386968179</v>
      </c>
      <c r="C965" s="191" t="n">
        <v>46036.353557929</v>
      </c>
      <c r="D965" s="189" t="s">
        <v>1474</v>
      </c>
      <c r="E965" s="189" t="s">
        <v>1475</v>
      </c>
      <c r="F965" s="189" t="s">
        <v>1475</v>
      </c>
      <c r="G965" s="189" t="s">
        <v>1476</v>
      </c>
      <c r="H965" s="191" t="n">
        <v>46033</v>
      </c>
      <c r="I965" s="189" t="s">
        <v>113</v>
      </c>
      <c r="J965" s="189" t="s">
        <v>108</v>
      </c>
      <c r="K965" s="189" t="s">
        <v>1477</v>
      </c>
      <c r="L965" s="189" t="s">
        <v>144</v>
      </c>
      <c r="M965" s="189" t="s">
        <v>447</v>
      </c>
      <c r="N965" s="189" t="s">
        <v>990</v>
      </c>
      <c r="O965" s="189" t="s">
        <v>157</v>
      </c>
      <c r="P965" s="189" t="s">
        <v>111</v>
      </c>
      <c r="Q965" s="189" t="s">
        <v>112</v>
      </c>
      <c r="R965" s="189" t="s">
        <v>24</v>
      </c>
      <c r="S965" s="189" t="s">
        <v>152</v>
      </c>
      <c r="T965" s="189" t="s">
        <v>121</v>
      </c>
      <c r="V965" s="189" t="s">
        <v>167</v>
      </c>
      <c r="W965" s="189" t="s">
        <v>124</v>
      </c>
      <c r="X965" s="189" t="s">
        <v>223</v>
      </c>
      <c r="Y965" s="189" t="s">
        <v>2113</v>
      </c>
      <c r="Z965" s="0" t="n">
        <v>2</v>
      </c>
      <c r="AA965" s="189" t="s">
        <v>2150</v>
      </c>
    </row>
    <row r="966" customFormat="false" ht="15" hidden="false" customHeight="false" outlineLevel="0" collapsed="false">
      <c r="A966" s="0" t="n">
        <v>197</v>
      </c>
      <c r="B966" s="191" t="n">
        <v>46103.3430380161</v>
      </c>
      <c r="C966" s="191" t="n">
        <v>46103.3479569976</v>
      </c>
      <c r="D966" s="189" t="s">
        <v>1480</v>
      </c>
      <c r="E966" s="189" t="s">
        <v>1481</v>
      </c>
      <c r="F966" s="189" t="s">
        <v>1481</v>
      </c>
      <c r="G966" s="189" t="s">
        <v>1482</v>
      </c>
      <c r="H966" s="191" t="n">
        <v>46090</v>
      </c>
      <c r="I966" s="189" t="s">
        <v>325</v>
      </c>
      <c r="J966" s="189" t="s">
        <v>108</v>
      </c>
      <c r="K966" s="189" t="s">
        <v>173</v>
      </c>
      <c r="L966" s="189" t="s">
        <v>159</v>
      </c>
      <c r="M966" s="189" t="s">
        <v>484</v>
      </c>
      <c r="N966" s="189" t="s">
        <v>849</v>
      </c>
      <c r="O966" s="189" t="s">
        <v>405</v>
      </c>
      <c r="P966" s="189" t="s">
        <v>111</v>
      </c>
      <c r="Q966" s="189" t="s">
        <v>112</v>
      </c>
      <c r="R966" s="189" t="s">
        <v>22</v>
      </c>
      <c r="S966" s="189" t="s">
        <v>120</v>
      </c>
      <c r="T966" s="189" t="s">
        <v>121</v>
      </c>
      <c r="V966" s="189" t="s">
        <v>192</v>
      </c>
      <c r="W966" s="189" t="s">
        <v>168</v>
      </c>
      <c r="X966" s="189" t="s">
        <v>176</v>
      </c>
      <c r="Y966" s="189" t="s">
        <v>2108</v>
      </c>
      <c r="Z966" s="0" t="n">
        <v>1</v>
      </c>
      <c r="AA966" s="189" t="s">
        <v>2338</v>
      </c>
    </row>
    <row r="967" customFormat="false" ht="15" hidden="false" customHeight="false" outlineLevel="0" collapsed="false">
      <c r="A967" s="0" t="n">
        <v>197</v>
      </c>
      <c r="B967" s="191" t="n">
        <v>46103.3430380161</v>
      </c>
      <c r="C967" s="191" t="n">
        <v>46103.3479569976</v>
      </c>
      <c r="D967" s="189" t="s">
        <v>1480</v>
      </c>
      <c r="E967" s="189" t="s">
        <v>1481</v>
      </c>
      <c r="F967" s="189" t="s">
        <v>1481</v>
      </c>
      <c r="G967" s="189" t="s">
        <v>1482</v>
      </c>
      <c r="H967" s="191" t="n">
        <v>46090</v>
      </c>
      <c r="I967" s="189" t="s">
        <v>325</v>
      </c>
      <c r="J967" s="189" t="s">
        <v>108</v>
      </c>
      <c r="K967" s="189" t="s">
        <v>173</v>
      </c>
      <c r="L967" s="189" t="s">
        <v>159</v>
      </c>
      <c r="M967" s="189" t="s">
        <v>484</v>
      </c>
      <c r="N967" s="189" t="s">
        <v>849</v>
      </c>
      <c r="O967" s="189" t="s">
        <v>405</v>
      </c>
      <c r="P967" s="189" t="s">
        <v>111</v>
      </c>
      <c r="Q967" s="189" t="s">
        <v>112</v>
      </c>
      <c r="R967" s="189" t="s">
        <v>22</v>
      </c>
      <c r="S967" s="189" t="s">
        <v>120</v>
      </c>
      <c r="T967" s="189" t="s">
        <v>121</v>
      </c>
      <c r="V967" s="189" t="s">
        <v>192</v>
      </c>
      <c r="W967" s="189" t="s">
        <v>168</v>
      </c>
      <c r="X967" s="189" t="s">
        <v>176</v>
      </c>
      <c r="Y967" s="189" t="s">
        <v>2110</v>
      </c>
      <c r="Z967" s="0" t="n">
        <v>1</v>
      </c>
      <c r="AA967" s="189" t="s">
        <v>2339</v>
      </c>
    </row>
    <row r="968" customFormat="false" ht="15" hidden="false" customHeight="false" outlineLevel="0" collapsed="false">
      <c r="A968" s="0" t="n">
        <v>197</v>
      </c>
      <c r="B968" s="191" t="n">
        <v>46103.3430380161</v>
      </c>
      <c r="C968" s="191" t="n">
        <v>46103.3479569976</v>
      </c>
      <c r="D968" s="189" t="s">
        <v>1480</v>
      </c>
      <c r="E968" s="189" t="s">
        <v>1481</v>
      </c>
      <c r="F968" s="189" t="s">
        <v>1481</v>
      </c>
      <c r="G968" s="189" t="s">
        <v>1482</v>
      </c>
      <c r="H968" s="191" t="n">
        <v>46090</v>
      </c>
      <c r="I968" s="189" t="s">
        <v>325</v>
      </c>
      <c r="J968" s="189" t="s">
        <v>108</v>
      </c>
      <c r="K968" s="189" t="s">
        <v>173</v>
      </c>
      <c r="L968" s="189" t="s">
        <v>159</v>
      </c>
      <c r="M968" s="189" t="s">
        <v>484</v>
      </c>
      <c r="N968" s="189" t="s">
        <v>849</v>
      </c>
      <c r="O968" s="189" t="s">
        <v>405</v>
      </c>
      <c r="P968" s="189" t="s">
        <v>111</v>
      </c>
      <c r="Q968" s="189" t="s">
        <v>112</v>
      </c>
      <c r="R968" s="189" t="s">
        <v>22</v>
      </c>
      <c r="S968" s="189" t="s">
        <v>120</v>
      </c>
      <c r="T968" s="189" t="s">
        <v>121</v>
      </c>
      <c r="V968" s="189" t="s">
        <v>192</v>
      </c>
      <c r="W968" s="189" t="s">
        <v>168</v>
      </c>
      <c r="X968" s="189" t="s">
        <v>176</v>
      </c>
      <c r="Y968" s="189" t="s">
        <v>2110</v>
      </c>
      <c r="Z968" s="0" t="n">
        <v>2</v>
      </c>
      <c r="AA968" s="189" t="s">
        <v>122</v>
      </c>
    </row>
    <row r="969" customFormat="false" ht="15" hidden="false" customHeight="false" outlineLevel="0" collapsed="false">
      <c r="A969" s="0" t="n">
        <v>197</v>
      </c>
      <c r="B969" s="191" t="n">
        <v>46103.3430380161</v>
      </c>
      <c r="C969" s="191" t="n">
        <v>46103.3479569976</v>
      </c>
      <c r="D969" s="189" t="s">
        <v>1480</v>
      </c>
      <c r="E969" s="189" t="s">
        <v>1481</v>
      </c>
      <c r="F969" s="189" t="s">
        <v>1481</v>
      </c>
      <c r="G969" s="189" t="s">
        <v>1482</v>
      </c>
      <c r="H969" s="191" t="n">
        <v>46090</v>
      </c>
      <c r="I969" s="189" t="s">
        <v>325</v>
      </c>
      <c r="J969" s="189" t="s">
        <v>108</v>
      </c>
      <c r="K969" s="189" t="s">
        <v>173</v>
      </c>
      <c r="L969" s="189" t="s">
        <v>159</v>
      </c>
      <c r="M969" s="189" t="s">
        <v>484</v>
      </c>
      <c r="N969" s="189" t="s">
        <v>849</v>
      </c>
      <c r="O969" s="189" t="s">
        <v>405</v>
      </c>
      <c r="P969" s="189" t="s">
        <v>111</v>
      </c>
      <c r="Q969" s="189" t="s">
        <v>112</v>
      </c>
      <c r="R969" s="189" t="s">
        <v>22</v>
      </c>
      <c r="S969" s="189" t="s">
        <v>120</v>
      </c>
      <c r="T969" s="189" t="s">
        <v>121</v>
      </c>
      <c r="V969" s="189" t="s">
        <v>192</v>
      </c>
      <c r="W969" s="189" t="s">
        <v>168</v>
      </c>
      <c r="X969" s="189" t="s">
        <v>176</v>
      </c>
      <c r="Y969" s="189" t="s">
        <v>2113</v>
      </c>
      <c r="Z969" s="0" t="n">
        <v>1</v>
      </c>
      <c r="AA969" s="189" t="s">
        <v>2340</v>
      </c>
    </row>
    <row r="970" customFormat="false" ht="15" hidden="false" customHeight="false" outlineLevel="0" collapsed="false">
      <c r="A970" s="0" t="n">
        <v>197</v>
      </c>
      <c r="B970" s="191" t="n">
        <v>46103.3430380161</v>
      </c>
      <c r="C970" s="191" t="n">
        <v>46103.3479569976</v>
      </c>
      <c r="D970" s="189" t="s">
        <v>1480</v>
      </c>
      <c r="E970" s="189" t="s">
        <v>1481</v>
      </c>
      <c r="F970" s="189" t="s">
        <v>1481</v>
      </c>
      <c r="G970" s="189" t="s">
        <v>1482</v>
      </c>
      <c r="H970" s="191" t="n">
        <v>46090</v>
      </c>
      <c r="I970" s="189" t="s">
        <v>325</v>
      </c>
      <c r="J970" s="189" t="s">
        <v>108</v>
      </c>
      <c r="K970" s="189" t="s">
        <v>173</v>
      </c>
      <c r="L970" s="189" t="s">
        <v>159</v>
      </c>
      <c r="M970" s="189" t="s">
        <v>484</v>
      </c>
      <c r="N970" s="189" t="s">
        <v>849</v>
      </c>
      <c r="O970" s="189" t="s">
        <v>405</v>
      </c>
      <c r="P970" s="189" t="s">
        <v>111</v>
      </c>
      <c r="Q970" s="189" t="s">
        <v>112</v>
      </c>
      <c r="R970" s="189" t="s">
        <v>22</v>
      </c>
      <c r="S970" s="189" t="s">
        <v>120</v>
      </c>
      <c r="T970" s="189" t="s">
        <v>121</v>
      </c>
      <c r="V970" s="189" t="s">
        <v>192</v>
      </c>
      <c r="W970" s="189" t="s">
        <v>168</v>
      </c>
      <c r="X970" s="189" t="s">
        <v>176</v>
      </c>
      <c r="Y970" s="189" t="s">
        <v>2113</v>
      </c>
      <c r="Z970" s="0" t="n">
        <v>2</v>
      </c>
      <c r="AA970" s="189" t="s">
        <v>2286</v>
      </c>
    </row>
    <row r="971" customFormat="false" ht="15" hidden="false" customHeight="false" outlineLevel="0" collapsed="false">
      <c r="A971" s="0" t="n">
        <v>198</v>
      </c>
      <c r="B971" s="191" t="n">
        <v>46119.8522218329</v>
      </c>
      <c r="C971" s="191" t="n">
        <v>46119.8718977588</v>
      </c>
      <c r="D971" s="189" t="s">
        <v>1486</v>
      </c>
      <c r="E971" s="189" t="s">
        <v>1487</v>
      </c>
      <c r="F971" s="189" t="s">
        <v>1487</v>
      </c>
      <c r="G971" s="189" t="s">
        <v>1488</v>
      </c>
      <c r="H971" s="191" t="n">
        <v>46107</v>
      </c>
      <c r="I971" s="189" t="s">
        <v>113</v>
      </c>
      <c r="J971" s="189" t="s">
        <v>128</v>
      </c>
      <c r="K971" s="189" t="s">
        <v>173</v>
      </c>
      <c r="L971" s="189" t="s">
        <v>110</v>
      </c>
      <c r="M971" s="189" t="s">
        <v>652</v>
      </c>
      <c r="N971" s="189" t="s">
        <v>841</v>
      </c>
      <c r="O971" s="189" t="s">
        <v>107</v>
      </c>
      <c r="P971" s="189" t="s">
        <v>111</v>
      </c>
      <c r="Q971" s="189" t="s">
        <v>145</v>
      </c>
      <c r="R971" s="189" t="s">
        <v>23</v>
      </c>
      <c r="S971" s="189" t="s">
        <v>120</v>
      </c>
      <c r="T971" s="189" t="s">
        <v>121</v>
      </c>
      <c r="U971" s="189" t="s">
        <v>1489</v>
      </c>
      <c r="V971" s="189" t="s">
        <v>167</v>
      </c>
      <c r="W971" s="189" t="s">
        <v>124</v>
      </c>
      <c r="X971" s="189" t="s">
        <v>442</v>
      </c>
      <c r="Y971" s="189" t="s">
        <v>2216</v>
      </c>
      <c r="Z971" s="0" t="n">
        <v>1</v>
      </c>
      <c r="AA971" s="189" t="s">
        <v>441</v>
      </c>
    </row>
    <row r="972" customFormat="false" ht="15" hidden="false" customHeight="false" outlineLevel="0" collapsed="false">
      <c r="A972" s="0" t="n">
        <v>199</v>
      </c>
      <c r="B972" s="191" t="n">
        <v>46149.7721878013</v>
      </c>
      <c r="C972" s="191" t="n">
        <v>46149.7882410421</v>
      </c>
      <c r="D972" s="189" t="s">
        <v>1490</v>
      </c>
      <c r="E972" s="189" t="s">
        <v>1491</v>
      </c>
      <c r="F972" s="189" t="s">
        <v>1491</v>
      </c>
      <c r="G972" s="189" t="s">
        <v>1492</v>
      </c>
      <c r="H972" s="191" t="n">
        <v>46144</v>
      </c>
      <c r="I972" s="189" t="s">
        <v>113</v>
      </c>
      <c r="J972" s="189" t="s">
        <v>295</v>
      </c>
      <c r="K972" s="189" t="s">
        <v>143</v>
      </c>
      <c r="L972" s="189" t="s">
        <v>431</v>
      </c>
      <c r="M972" s="189" t="s">
        <v>492</v>
      </c>
      <c r="N972" s="189" t="s">
        <v>893</v>
      </c>
      <c r="O972" s="189" t="s">
        <v>244</v>
      </c>
      <c r="P972" s="189" t="s">
        <v>390</v>
      </c>
      <c r="Q972" s="189" t="s">
        <v>112</v>
      </c>
      <c r="R972" s="189" t="s">
        <v>24</v>
      </c>
      <c r="S972" s="189" t="s">
        <v>120</v>
      </c>
      <c r="T972" s="189" t="s">
        <v>352</v>
      </c>
      <c r="U972" s="189" t="s">
        <v>122</v>
      </c>
      <c r="V972" s="189" t="s">
        <v>192</v>
      </c>
      <c r="W972" s="189" t="s">
        <v>124</v>
      </c>
      <c r="X972" s="189" t="s">
        <v>19</v>
      </c>
      <c r="Y972" s="189" t="s">
        <v>2216</v>
      </c>
      <c r="Z972" s="0" t="n">
        <v>1</v>
      </c>
      <c r="AA972" s="189" t="s">
        <v>880</v>
      </c>
    </row>
    <row r="973" customFormat="false" ht="15" hidden="false" customHeight="false" outlineLevel="0" collapsed="false">
      <c r="A973" s="0" t="n">
        <v>200</v>
      </c>
      <c r="B973" s="191" t="n">
        <v>46055.0939558603</v>
      </c>
      <c r="C973" s="191" t="n">
        <v>46055.1072197492</v>
      </c>
      <c r="D973" s="189" t="s">
        <v>1493</v>
      </c>
      <c r="E973" s="189" t="s">
        <v>1494</v>
      </c>
      <c r="F973" s="189" t="s">
        <v>1494</v>
      </c>
      <c r="G973" s="189" t="s">
        <v>1495</v>
      </c>
      <c r="H973" s="191" t="n">
        <v>46040</v>
      </c>
      <c r="I973" s="189" t="s">
        <v>336</v>
      </c>
      <c r="J973" s="189" t="s">
        <v>295</v>
      </c>
      <c r="K973" s="189" t="s">
        <v>232</v>
      </c>
      <c r="L973" s="189" t="s">
        <v>296</v>
      </c>
      <c r="M973" s="189" t="s">
        <v>864</v>
      </c>
      <c r="N973" s="189" t="s">
        <v>407</v>
      </c>
      <c r="O973" s="189" t="s">
        <v>278</v>
      </c>
      <c r="P973" s="189" t="s">
        <v>111</v>
      </c>
      <c r="Q973" s="189" t="s">
        <v>145</v>
      </c>
      <c r="R973" s="189" t="s">
        <v>22</v>
      </c>
      <c r="S973" s="189" t="s">
        <v>152</v>
      </c>
      <c r="T973" s="189" t="s">
        <v>121</v>
      </c>
      <c r="V973" s="189" t="s">
        <v>123</v>
      </c>
      <c r="W973" s="189" t="s">
        <v>139</v>
      </c>
      <c r="X973" s="189" t="s">
        <v>381</v>
      </c>
      <c r="Y973" s="189" t="s">
        <v>2108</v>
      </c>
      <c r="Z973" s="0" t="n">
        <v>1</v>
      </c>
      <c r="AA973" s="189" t="s">
        <v>2203</v>
      </c>
    </row>
    <row r="974" customFormat="false" ht="15" hidden="false" customHeight="false" outlineLevel="0" collapsed="false">
      <c r="A974" s="0" t="n">
        <v>200</v>
      </c>
      <c r="B974" s="191" t="n">
        <v>46055.0939558603</v>
      </c>
      <c r="C974" s="191" t="n">
        <v>46055.1072197492</v>
      </c>
      <c r="D974" s="189" t="s">
        <v>1493</v>
      </c>
      <c r="E974" s="189" t="s">
        <v>1494</v>
      </c>
      <c r="F974" s="189" t="s">
        <v>1494</v>
      </c>
      <c r="G974" s="189" t="s">
        <v>1495</v>
      </c>
      <c r="H974" s="191" t="n">
        <v>46040</v>
      </c>
      <c r="I974" s="189" t="s">
        <v>336</v>
      </c>
      <c r="J974" s="189" t="s">
        <v>295</v>
      </c>
      <c r="K974" s="189" t="s">
        <v>232</v>
      </c>
      <c r="L974" s="189" t="s">
        <v>296</v>
      </c>
      <c r="M974" s="189" t="s">
        <v>864</v>
      </c>
      <c r="N974" s="189" t="s">
        <v>407</v>
      </c>
      <c r="O974" s="189" t="s">
        <v>278</v>
      </c>
      <c r="P974" s="189" t="s">
        <v>111</v>
      </c>
      <c r="Q974" s="189" t="s">
        <v>145</v>
      </c>
      <c r="R974" s="189" t="s">
        <v>22</v>
      </c>
      <c r="S974" s="189" t="s">
        <v>152</v>
      </c>
      <c r="T974" s="189" t="s">
        <v>121</v>
      </c>
      <c r="V974" s="189" t="s">
        <v>123</v>
      </c>
      <c r="W974" s="189" t="s">
        <v>139</v>
      </c>
      <c r="X974" s="189" t="s">
        <v>381</v>
      </c>
      <c r="Y974" s="189" t="s">
        <v>2110</v>
      </c>
      <c r="Z974" s="0" t="n">
        <v>1</v>
      </c>
      <c r="AA974" s="189" t="s">
        <v>2294</v>
      </c>
    </row>
    <row r="975" customFormat="false" ht="15" hidden="false" customHeight="false" outlineLevel="0" collapsed="false">
      <c r="A975" s="0" t="n">
        <v>200</v>
      </c>
      <c r="B975" s="191" t="n">
        <v>46055.0939558603</v>
      </c>
      <c r="C975" s="191" t="n">
        <v>46055.1072197492</v>
      </c>
      <c r="D975" s="189" t="s">
        <v>1493</v>
      </c>
      <c r="E975" s="189" t="s">
        <v>1494</v>
      </c>
      <c r="F975" s="189" t="s">
        <v>1494</v>
      </c>
      <c r="G975" s="189" t="s">
        <v>1495</v>
      </c>
      <c r="H975" s="191" t="n">
        <v>46040</v>
      </c>
      <c r="I975" s="189" t="s">
        <v>336</v>
      </c>
      <c r="J975" s="189" t="s">
        <v>295</v>
      </c>
      <c r="K975" s="189" t="s">
        <v>232</v>
      </c>
      <c r="L975" s="189" t="s">
        <v>296</v>
      </c>
      <c r="M975" s="189" t="s">
        <v>864</v>
      </c>
      <c r="N975" s="189" t="s">
        <v>407</v>
      </c>
      <c r="O975" s="189" t="s">
        <v>278</v>
      </c>
      <c r="P975" s="189" t="s">
        <v>111</v>
      </c>
      <c r="Q975" s="189" t="s">
        <v>145</v>
      </c>
      <c r="R975" s="189" t="s">
        <v>22</v>
      </c>
      <c r="S975" s="189" t="s">
        <v>152</v>
      </c>
      <c r="T975" s="189" t="s">
        <v>121</v>
      </c>
      <c r="V975" s="189" t="s">
        <v>123</v>
      </c>
      <c r="W975" s="189" t="s">
        <v>139</v>
      </c>
      <c r="X975" s="189" t="s">
        <v>381</v>
      </c>
      <c r="Y975" s="189" t="s">
        <v>2110</v>
      </c>
      <c r="Z975" s="0" t="n">
        <v>2</v>
      </c>
      <c r="AA975" s="189" t="s">
        <v>2205</v>
      </c>
    </row>
    <row r="976" customFormat="false" ht="15" hidden="false" customHeight="false" outlineLevel="0" collapsed="false">
      <c r="A976" s="0" t="n">
        <v>200</v>
      </c>
      <c r="B976" s="191" t="n">
        <v>46055.0939558603</v>
      </c>
      <c r="C976" s="191" t="n">
        <v>46055.1072197492</v>
      </c>
      <c r="D976" s="189" t="s">
        <v>1493</v>
      </c>
      <c r="E976" s="189" t="s">
        <v>1494</v>
      </c>
      <c r="F976" s="189" t="s">
        <v>1494</v>
      </c>
      <c r="G976" s="189" t="s">
        <v>1495</v>
      </c>
      <c r="H976" s="191" t="n">
        <v>46040</v>
      </c>
      <c r="I976" s="189" t="s">
        <v>336</v>
      </c>
      <c r="J976" s="189" t="s">
        <v>295</v>
      </c>
      <c r="K976" s="189" t="s">
        <v>232</v>
      </c>
      <c r="L976" s="189" t="s">
        <v>296</v>
      </c>
      <c r="M976" s="189" t="s">
        <v>864</v>
      </c>
      <c r="N976" s="189" t="s">
        <v>407</v>
      </c>
      <c r="O976" s="189" t="s">
        <v>278</v>
      </c>
      <c r="P976" s="189" t="s">
        <v>111</v>
      </c>
      <c r="Q976" s="189" t="s">
        <v>145</v>
      </c>
      <c r="R976" s="189" t="s">
        <v>22</v>
      </c>
      <c r="S976" s="189" t="s">
        <v>152</v>
      </c>
      <c r="T976" s="189" t="s">
        <v>121</v>
      </c>
      <c r="V976" s="189" t="s">
        <v>123</v>
      </c>
      <c r="W976" s="189" t="s">
        <v>139</v>
      </c>
      <c r="X976" s="189" t="s">
        <v>381</v>
      </c>
      <c r="Y976" s="189" t="s">
        <v>2113</v>
      </c>
      <c r="Z976" s="0" t="n">
        <v>1</v>
      </c>
      <c r="AA976" s="189" t="s">
        <v>2206</v>
      </c>
    </row>
    <row r="977" customFormat="false" ht="15" hidden="false" customHeight="false" outlineLevel="0" collapsed="false">
      <c r="A977" s="0" t="n">
        <v>201</v>
      </c>
      <c r="B977" s="191" t="n">
        <v>46215.5749283292</v>
      </c>
      <c r="C977" s="191" t="n">
        <v>46215.5794422181</v>
      </c>
      <c r="D977" s="189" t="s">
        <v>1497</v>
      </c>
      <c r="E977" s="189" t="s">
        <v>1498</v>
      </c>
      <c r="F977" s="189" t="s">
        <v>1498</v>
      </c>
      <c r="G977" s="189" t="s">
        <v>1499</v>
      </c>
      <c r="H977" s="191" t="n">
        <v>46201</v>
      </c>
      <c r="I977" s="189" t="s">
        <v>336</v>
      </c>
      <c r="J977" s="189" t="s">
        <v>108</v>
      </c>
      <c r="K977" s="189" t="s">
        <v>1500</v>
      </c>
      <c r="L977" s="189" t="s">
        <v>246</v>
      </c>
      <c r="M977" s="189" t="s">
        <v>789</v>
      </c>
      <c r="N977" s="189" t="s">
        <v>905</v>
      </c>
      <c r="O977" s="189" t="s">
        <v>278</v>
      </c>
      <c r="P977" s="189" t="s">
        <v>131</v>
      </c>
      <c r="Q977" s="189" t="s">
        <v>112</v>
      </c>
      <c r="R977" s="189" t="s">
        <v>22</v>
      </c>
      <c r="S977" s="189" t="s">
        <v>152</v>
      </c>
      <c r="T977" s="189" t="s">
        <v>121</v>
      </c>
      <c r="U977" s="189" t="s">
        <v>122</v>
      </c>
      <c r="V977" s="189" t="s">
        <v>192</v>
      </c>
      <c r="W977" s="189" t="s">
        <v>124</v>
      </c>
      <c r="X977" s="189" t="s">
        <v>271</v>
      </c>
      <c r="Y977" s="189" t="s">
        <v>2108</v>
      </c>
      <c r="Z977" s="0" t="n">
        <v>1</v>
      </c>
      <c r="AA977" s="189" t="s">
        <v>2180</v>
      </c>
    </row>
    <row r="978" customFormat="false" ht="15" hidden="false" customHeight="false" outlineLevel="0" collapsed="false">
      <c r="A978" s="0" t="n">
        <v>201</v>
      </c>
      <c r="B978" s="191" t="n">
        <v>46215.5749283292</v>
      </c>
      <c r="C978" s="191" t="n">
        <v>46215.5794422181</v>
      </c>
      <c r="D978" s="189" t="s">
        <v>1497</v>
      </c>
      <c r="E978" s="189" t="s">
        <v>1498</v>
      </c>
      <c r="F978" s="189" t="s">
        <v>1498</v>
      </c>
      <c r="G978" s="189" t="s">
        <v>1499</v>
      </c>
      <c r="H978" s="191" t="n">
        <v>46201</v>
      </c>
      <c r="I978" s="189" t="s">
        <v>336</v>
      </c>
      <c r="J978" s="189" t="s">
        <v>108</v>
      </c>
      <c r="K978" s="189" t="s">
        <v>1500</v>
      </c>
      <c r="L978" s="189" t="s">
        <v>246</v>
      </c>
      <c r="M978" s="189" t="s">
        <v>789</v>
      </c>
      <c r="N978" s="189" t="s">
        <v>905</v>
      </c>
      <c r="O978" s="189" t="s">
        <v>278</v>
      </c>
      <c r="P978" s="189" t="s">
        <v>131</v>
      </c>
      <c r="Q978" s="189" t="s">
        <v>112</v>
      </c>
      <c r="R978" s="189" t="s">
        <v>22</v>
      </c>
      <c r="S978" s="189" t="s">
        <v>152</v>
      </c>
      <c r="T978" s="189" t="s">
        <v>121</v>
      </c>
      <c r="U978" s="189" t="s">
        <v>122</v>
      </c>
      <c r="V978" s="189" t="s">
        <v>192</v>
      </c>
      <c r="W978" s="189" t="s">
        <v>124</v>
      </c>
      <c r="X978" s="189" t="s">
        <v>271</v>
      </c>
      <c r="Y978" s="189" t="s">
        <v>2108</v>
      </c>
      <c r="Z978" s="0" t="n">
        <v>2</v>
      </c>
      <c r="AA978" s="189" t="s">
        <v>2179</v>
      </c>
    </row>
    <row r="979" customFormat="false" ht="15" hidden="false" customHeight="false" outlineLevel="0" collapsed="false">
      <c r="A979" s="0" t="n">
        <v>201</v>
      </c>
      <c r="B979" s="191" t="n">
        <v>46215.5749283292</v>
      </c>
      <c r="C979" s="191" t="n">
        <v>46215.5794422181</v>
      </c>
      <c r="D979" s="189" t="s">
        <v>1497</v>
      </c>
      <c r="E979" s="189" t="s">
        <v>1498</v>
      </c>
      <c r="F979" s="189" t="s">
        <v>1498</v>
      </c>
      <c r="G979" s="189" t="s">
        <v>1499</v>
      </c>
      <c r="H979" s="191" t="n">
        <v>46201</v>
      </c>
      <c r="I979" s="189" t="s">
        <v>336</v>
      </c>
      <c r="J979" s="189" t="s">
        <v>108</v>
      </c>
      <c r="K979" s="189" t="s">
        <v>1500</v>
      </c>
      <c r="L979" s="189" t="s">
        <v>246</v>
      </c>
      <c r="M979" s="189" t="s">
        <v>789</v>
      </c>
      <c r="N979" s="189" t="s">
        <v>905</v>
      </c>
      <c r="O979" s="189" t="s">
        <v>278</v>
      </c>
      <c r="P979" s="189" t="s">
        <v>131</v>
      </c>
      <c r="Q979" s="189" t="s">
        <v>112</v>
      </c>
      <c r="R979" s="189" t="s">
        <v>22</v>
      </c>
      <c r="S979" s="189" t="s">
        <v>152</v>
      </c>
      <c r="T979" s="189" t="s">
        <v>121</v>
      </c>
      <c r="U979" s="189" t="s">
        <v>122</v>
      </c>
      <c r="V979" s="189" t="s">
        <v>192</v>
      </c>
      <c r="W979" s="189" t="s">
        <v>124</v>
      </c>
      <c r="X979" s="189" t="s">
        <v>271</v>
      </c>
      <c r="Y979" s="189" t="s">
        <v>2108</v>
      </c>
      <c r="Z979" s="0" t="n">
        <v>3</v>
      </c>
      <c r="AA979" s="189" t="s">
        <v>2158</v>
      </c>
    </row>
    <row r="980" customFormat="false" ht="15" hidden="false" customHeight="false" outlineLevel="0" collapsed="false">
      <c r="A980" s="0" t="n">
        <v>201</v>
      </c>
      <c r="B980" s="191" t="n">
        <v>46215.5749283292</v>
      </c>
      <c r="C980" s="191" t="n">
        <v>46215.5794422181</v>
      </c>
      <c r="D980" s="189" t="s">
        <v>1497</v>
      </c>
      <c r="E980" s="189" t="s">
        <v>1498</v>
      </c>
      <c r="F980" s="189" t="s">
        <v>1498</v>
      </c>
      <c r="G980" s="189" t="s">
        <v>1499</v>
      </c>
      <c r="H980" s="191" t="n">
        <v>46201</v>
      </c>
      <c r="I980" s="189" t="s">
        <v>336</v>
      </c>
      <c r="J980" s="189" t="s">
        <v>108</v>
      </c>
      <c r="K980" s="189" t="s">
        <v>1500</v>
      </c>
      <c r="L980" s="189" t="s">
        <v>246</v>
      </c>
      <c r="M980" s="189" t="s">
        <v>789</v>
      </c>
      <c r="N980" s="189" t="s">
        <v>905</v>
      </c>
      <c r="O980" s="189" t="s">
        <v>278</v>
      </c>
      <c r="P980" s="189" t="s">
        <v>131</v>
      </c>
      <c r="Q980" s="189" t="s">
        <v>112</v>
      </c>
      <c r="R980" s="189" t="s">
        <v>22</v>
      </c>
      <c r="S980" s="189" t="s">
        <v>152</v>
      </c>
      <c r="T980" s="189" t="s">
        <v>121</v>
      </c>
      <c r="U980" s="189" t="s">
        <v>122</v>
      </c>
      <c r="V980" s="189" t="s">
        <v>192</v>
      </c>
      <c r="W980" s="189" t="s">
        <v>124</v>
      </c>
      <c r="X980" s="189" t="s">
        <v>271</v>
      </c>
      <c r="Y980" s="189" t="s">
        <v>2110</v>
      </c>
      <c r="Z980" s="0" t="n">
        <v>1</v>
      </c>
      <c r="AA980" s="189" t="s">
        <v>2311</v>
      </c>
    </row>
    <row r="981" customFormat="false" ht="15" hidden="false" customHeight="false" outlineLevel="0" collapsed="false">
      <c r="A981" s="0" t="n">
        <v>201</v>
      </c>
      <c r="B981" s="191" t="n">
        <v>46215.5749283292</v>
      </c>
      <c r="C981" s="191" t="n">
        <v>46215.5794422181</v>
      </c>
      <c r="D981" s="189" t="s">
        <v>1497</v>
      </c>
      <c r="E981" s="189" t="s">
        <v>1498</v>
      </c>
      <c r="F981" s="189" t="s">
        <v>1498</v>
      </c>
      <c r="G981" s="189" t="s">
        <v>1499</v>
      </c>
      <c r="H981" s="191" t="n">
        <v>46201</v>
      </c>
      <c r="I981" s="189" t="s">
        <v>336</v>
      </c>
      <c r="J981" s="189" t="s">
        <v>108</v>
      </c>
      <c r="K981" s="189" t="s">
        <v>1500</v>
      </c>
      <c r="L981" s="189" t="s">
        <v>246</v>
      </c>
      <c r="M981" s="189" t="s">
        <v>789</v>
      </c>
      <c r="N981" s="189" t="s">
        <v>905</v>
      </c>
      <c r="O981" s="189" t="s">
        <v>278</v>
      </c>
      <c r="P981" s="189" t="s">
        <v>131</v>
      </c>
      <c r="Q981" s="189" t="s">
        <v>112</v>
      </c>
      <c r="R981" s="189" t="s">
        <v>22</v>
      </c>
      <c r="S981" s="189" t="s">
        <v>152</v>
      </c>
      <c r="T981" s="189" t="s">
        <v>121</v>
      </c>
      <c r="U981" s="189" t="s">
        <v>122</v>
      </c>
      <c r="V981" s="189" t="s">
        <v>192</v>
      </c>
      <c r="W981" s="189" t="s">
        <v>124</v>
      </c>
      <c r="X981" s="189" t="s">
        <v>271</v>
      </c>
      <c r="Y981" s="189" t="s">
        <v>2110</v>
      </c>
      <c r="Z981" s="0" t="n">
        <v>2</v>
      </c>
      <c r="AA981" s="189" t="s">
        <v>2181</v>
      </c>
    </row>
    <row r="982" customFormat="false" ht="15" hidden="false" customHeight="false" outlineLevel="0" collapsed="false">
      <c r="A982" s="0" t="n">
        <v>201</v>
      </c>
      <c r="B982" s="191" t="n">
        <v>46215.5749283292</v>
      </c>
      <c r="C982" s="191" t="n">
        <v>46215.5794422181</v>
      </c>
      <c r="D982" s="189" t="s">
        <v>1497</v>
      </c>
      <c r="E982" s="189" t="s">
        <v>1498</v>
      </c>
      <c r="F982" s="189" t="s">
        <v>1498</v>
      </c>
      <c r="G982" s="189" t="s">
        <v>1499</v>
      </c>
      <c r="H982" s="191" t="n">
        <v>46201</v>
      </c>
      <c r="I982" s="189" t="s">
        <v>336</v>
      </c>
      <c r="J982" s="189" t="s">
        <v>108</v>
      </c>
      <c r="K982" s="189" t="s">
        <v>1500</v>
      </c>
      <c r="L982" s="189" t="s">
        <v>246</v>
      </c>
      <c r="M982" s="189" t="s">
        <v>789</v>
      </c>
      <c r="N982" s="189" t="s">
        <v>905</v>
      </c>
      <c r="O982" s="189" t="s">
        <v>278</v>
      </c>
      <c r="P982" s="189" t="s">
        <v>131</v>
      </c>
      <c r="Q982" s="189" t="s">
        <v>112</v>
      </c>
      <c r="R982" s="189" t="s">
        <v>22</v>
      </c>
      <c r="S982" s="189" t="s">
        <v>152</v>
      </c>
      <c r="T982" s="189" t="s">
        <v>121</v>
      </c>
      <c r="U982" s="189" t="s">
        <v>122</v>
      </c>
      <c r="V982" s="189" t="s">
        <v>192</v>
      </c>
      <c r="W982" s="189" t="s">
        <v>124</v>
      </c>
      <c r="X982" s="189" t="s">
        <v>271</v>
      </c>
      <c r="Y982" s="189" t="s">
        <v>2113</v>
      </c>
      <c r="Z982" s="0" t="n">
        <v>1</v>
      </c>
      <c r="AA982" s="189" t="s">
        <v>2163</v>
      </c>
    </row>
    <row r="983" customFormat="false" ht="15" hidden="false" customHeight="false" outlineLevel="0" collapsed="false">
      <c r="A983" s="0" t="n">
        <v>202</v>
      </c>
      <c r="B983" s="191" t="n">
        <v>46116.5973223963</v>
      </c>
      <c r="C983" s="191" t="n">
        <v>46116.6025191555</v>
      </c>
      <c r="D983" s="189" t="s">
        <v>1503</v>
      </c>
      <c r="E983" s="189" t="s">
        <v>1504</v>
      </c>
      <c r="F983" s="189" t="s">
        <v>1504</v>
      </c>
      <c r="G983" s="189" t="s">
        <v>1505</v>
      </c>
      <c r="H983" s="191" t="n">
        <v>46111</v>
      </c>
      <c r="I983" s="189" t="s">
        <v>113</v>
      </c>
      <c r="J983" s="189" t="s">
        <v>295</v>
      </c>
      <c r="K983" s="189" t="s">
        <v>364</v>
      </c>
      <c r="L983" s="189" t="s">
        <v>268</v>
      </c>
      <c r="M983" s="189" t="s">
        <v>1313</v>
      </c>
      <c r="N983" s="189" t="s">
        <v>1224</v>
      </c>
      <c r="O983" s="189" t="s">
        <v>1506</v>
      </c>
      <c r="P983" s="189" t="s">
        <v>111</v>
      </c>
      <c r="Q983" s="189" t="s">
        <v>112</v>
      </c>
      <c r="R983" s="189" t="s">
        <v>22</v>
      </c>
      <c r="S983" s="189" t="s">
        <v>152</v>
      </c>
      <c r="T983" s="189" t="s">
        <v>121</v>
      </c>
      <c r="V983" s="189" t="s">
        <v>167</v>
      </c>
      <c r="W983" s="189" t="s">
        <v>124</v>
      </c>
      <c r="X983" s="189" t="s">
        <v>298</v>
      </c>
      <c r="Y983" s="189" t="s">
        <v>2108</v>
      </c>
      <c r="Z983" s="0" t="n">
        <v>1</v>
      </c>
      <c r="AA983" s="189" t="s">
        <v>2168</v>
      </c>
    </row>
    <row r="984" customFormat="false" ht="15" hidden="false" customHeight="false" outlineLevel="0" collapsed="false">
      <c r="A984" s="0" t="n">
        <v>202</v>
      </c>
      <c r="B984" s="191" t="n">
        <v>46116.5973223963</v>
      </c>
      <c r="C984" s="191" t="n">
        <v>46116.6025191555</v>
      </c>
      <c r="D984" s="189" t="s">
        <v>1503</v>
      </c>
      <c r="E984" s="189" t="s">
        <v>1504</v>
      </c>
      <c r="F984" s="189" t="s">
        <v>1504</v>
      </c>
      <c r="G984" s="189" t="s">
        <v>1505</v>
      </c>
      <c r="H984" s="191" t="n">
        <v>46111</v>
      </c>
      <c r="I984" s="189" t="s">
        <v>113</v>
      </c>
      <c r="J984" s="189" t="s">
        <v>295</v>
      </c>
      <c r="K984" s="189" t="s">
        <v>364</v>
      </c>
      <c r="L984" s="189" t="s">
        <v>268</v>
      </c>
      <c r="M984" s="189" t="s">
        <v>1313</v>
      </c>
      <c r="N984" s="189" t="s">
        <v>1224</v>
      </c>
      <c r="O984" s="189" t="s">
        <v>1506</v>
      </c>
      <c r="P984" s="189" t="s">
        <v>111</v>
      </c>
      <c r="Q984" s="189" t="s">
        <v>112</v>
      </c>
      <c r="R984" s="189" t="s">
        <v>22</v>
      </c>
      <c r="S984" s="189" t="s">
        <v>152</v>
      </c>
      <c r="T984" s="189" t="s">
        <v>121</v>
      </c>
      <c r="V984" s="189" t="s">
        <v>167</v>
      </c>
      <c r="W984" s="189" t="s">
        <v>124</v>
      </c>
      <c r="X984" s="189" t="s">
        <v>298</v>
      </c>
      <c r="Y984" s="189" t="s">
        <v>2110</v>
      </c>
      <c r="Z984" s="0" t="n">
        <v>1</v>
      </c>
      <c r="AA984" s="189" t="s">
        <v>2170</v>
      </c>
    </row>
    <row r="985" customFormat="false" ht="15" hidden="false" customHeight="false" outlineLevel="0" collapsed="false">
      <c r="A985" s="0" t="n">
        <v>202</v>
      </c>
      <c r="B985" s="191" t="n">
        <v>46116.5973223963</v>
      </c>
      <c r="C985" s="191" t="n">
        <v>46116.6025191555</v>
      </c>
      <c r="D985" s="189" t="s">
        <v>1503</v>
      </c>
      <c r="E985" s="189" t="s">
        <v>1504</v>
      </c>
      <c r="F985" s="189" t="s">
        <v>1504</v>
      </c>
      <c r="G985" s="189" t="s">
        <v>1505</v>
      </c>
      <c r="H985" s="191" t="n">
        <v>46111</v>
      </c>
      <c r="I985" s="189" t="s">
        <v>113</v>
      </c>
      <c r="J985" s="189" t="s">
        <v>295</v>
      </c>
      <c r="K985" s="189" t="s">
        <v>364</v>
      </c>
      <c r="L985" s="189" t="s">
        <v>268</v>
      </c>
      <c r="M985" s="189" t="s">
        <v>1313</v>
      </c>
      <c r="N985" s="189" t="s">
        <v>1224</v>
      </c>
      <c r="O985" s="189" t="s">
        <v>1506</v>
      </c>
      <c r="P985" s="189" t="s">
        <v>111</v>
      </c>
      <c r="Q985" s="189" t="s">
        <v>112</v>
      </c>
      <c r="R985" s="189" t="s">
        <v>22</v>
      </c>
      <c r="S985" s="189" t="s">
        <v>152</v>
      </c>
      <c r="T985" s="189" t="s">
        <v>121</v>
      </c>
      <c r="V985" s="189" t="s">
        <v>167</v>
      </c>
      <c r="W985" s="189" t="s">
        <v>124</v>
      </c>
      <c r="X985" s="189" t="s">
        <v>298</v>
      </c>
      <c r="Y985" s="189" t="s">
        <v>2113</v>
      </c>
      <c r="Z985" s="0" t="n">
        <v>1</v>
      </c>
      <c r="AA985" s="189" t="s">
        <v>2341</v>
      </c>
    </row>
    <row r="986" customFormat="false" ht="15" hidden="false" customHeight="false" outlineLevel="0" collapsed="false">
      <c r="A986" s="0" t="n">
        <v>202</v>
      </c>
      <c r="B986" s="191" t="n">
        <v>46116.5973223963</v>
      </c>
      <c r="C986" s="191" t="n">
        <v>46116.6025191555</v>
      </c>
      <c r="D986" s="189" t="s">
        <v>1503</v>
      </c>
      <c r="E986" s="189" t="s">
        <v>1504</v>
      </c>
      <c r="F986" s="189" t="s">
        <v>1504</v>
      </c>
      <c r="G986" s="189" t="s">
        <v>1505</v>
      </c>
      <c r="H986" s="191" t="n">
        <v>46111</v>
      </c>
      <c r="I986" s="189" t="s">
        <v>113</v>
      </c>
      <c r="J986" s="189" t="s">
        <v>295</v>
      </c>
      <c r="K986" s="189" t="s">
        <v>364</v>
      </c>
      <c r="L986" s="189" t="s">
        <v>268</v>
      </c>
      <c r="M986" s="189" t="s">
        <v>1313</v>
      </c>
      <c r="N986" s="189" t="s">
        <v>1224</v>
      </c>
      <c r="O986" s="189" t="s">
        <v>1506</v>
      </c>
      <c r="P986" s="189" t="s">
        <v>111</v>
      </c>
      <c r="Q986" s="189" t="s">
        <v>112</v>
      </c>
      <c r="R986" s="189" t="s">
        <v>22</v>
      </c>
      <c r="S986" s="189" t="s">
        <v>152</v>
      </c>
      <c r="T986" s="189" t="s">
        <v>121</v>
      </c>
      <c r="V986" s="189" t="s">
        <v>167</v>
      </c>
      <c r="W986" s="189" t="s">
        <v>124</v>
      </c>
      <c r="X986" s="189" t="s">
        <v>298</v>
      </c>
      <c r="Y986" s="189" t="s">
        <v>2113</v>
      </c>
      <c r="Z986" s="0" t="n">
        <v>2</v>
      </c>
      <c r="AA986" s="189" t="s">
        <v>2259</v>
      </c>
    </row>
    <row r="987" customFormat="false" ht="15" hidden="false" customHeight="false" outlineLevel="0" collapsed="false">
      <c r="A987" s="0" t="n">
        <v>203</v>
      </c>
      <c r="B987" s="191" t="n">
        <v>46153.3346086194</v>
      </c>
      <c r="C987" s="191" t="n">
        <v>46153.3435785268</v>
      </c>
      <c r="D987" s="189" t="s">
        <v>1509</v>
      </c>
      <c r="E987" s="189" t="s">
        <v>1510</v>
      </c>
      <c r="F987" s="189" t="s">
        <v>1511</v>
      </c>
      <c r="G987" s="189" t="s">
        <v>1512</v>
      </c>
      <c r="H987" s="191" t="n">
        <v>46136</v>
      </c>
      <c r="I987" s="189" t="s">
        <v>1268</v>
      </c>
      <c r="J987" s="189" t="s">
        <v>108</v>
      </c>
      <c r="K987" s="189" t="s">
        <v>196</v>
      </c>
      <c r="L987" s="189" t="s">
        <v>130</v>
      </c>
      <c r="M987" s="189" t="s">
        <v>234</v>
      </c>
      <c r="N987" s="189" t="s">
        <v>337</v>
      </c>
      <c r="O987" s="189" t="s">
        <v>405</v>
      </c>
      <c r="P987" s="189" t="s">
        <v>390</v>
      </c>
      <c r="Q987" s="189" t="s">
        <v>145</v>
      </c>
      <c r="R987" s="189" t="s">
        <v>24</v>
      </c>
      <c r="S987" s="189" t="s">
        <v>152</v>
      </c>
      <c r="T987" s="189" t="s">
        <v>180</v>
      </c>
      <c r="V987" s="189" t="s">
        <v>123</v>
      </c>
      <c r="W987" s="189" t="s">
        <v>124</v>
      </c>
      <c r="X987" s="189" t="s">
        <v>214</v>
      </c>
      <c r="Y987" s="189" t="s">
        <v>2108</v>
      </c>
      <c r="Z987" s="0" t="n">
        <v>1</v>
      </c>
      <c r="AA987" s="189" t="s">
        <v>2125</v>
      </c>
    </row>
    <row r="988" customFormat="false" ht="15" hidden="false" customHeight="false" outlineLevel="0" collapsed="false">
      <c r="A988" s="0" t="n">
        <v>203</v>
      </c>
      <c r="B988" s="191" t="n">
        <v>46153.3346086194</v>
      </c>
      <c r="C988" s="191" t="n">
        <v>46153.3435785268</v>
      </c>
      <c r="D988" s="189" t="s">
        <v>1509</v>
      </c>
      <c r="E988" s="189" t="s">
        <v>1510</v>
      </c>
      <c r="F988" s="189" t="s">
        <v>1511</v>
      </c>
      <c r="G988" s="189" t="s">
        <v>1512</v>
      </c>
      <c r="H988" s="191" t="n">
        <v>46136</v>
      </c>
      <c r="I988" s="189" t="s">
        <v>1268</v>
      </c>
      <c r="J988" s="189" t="s">
        <v>108</v>
      </c>
      <c r="K988" s="189" t="s">
        <v>196</v>
      </c>
      <c r="L988" s="189" t="s">
        <v>130</v>
      </c>
      <c r="M988" s="189" t="s">
        <v>234</v>
      </c>
      <c r="N988" s="189" t="s">
        <v>337</v>
      </c>
      <c r="O988" s="189" t="s">
        <v>405</v>
      </c>
      <c r="P988" s="189" t="s">
        <v>390</v>
      </c>
      <c r="Q988" s="189" t="s">
        <v>145</v>
      </c>
      <c r="R988" s="189" t="s">
        <v>24</v>
      </c>
      <c r="S988" s="189" t="s">
        <v>152</v>
      </c>
      <c r="T988" s="189" t="s">
        <v>180</v>
      </c>
      <c r="V988" s="189" t="s">
        <v>123</v>
      </c>
      <c r="W988" s="189" t="s">
        <v>124</v>
      </c>
      <c r="X988" s="189" t="s">
        <v>214</v>
      </c>
      <c r="Y988" s="189" t="s">
        <v>2108</v>
      </c>
      <c r="Z988" s="0" t="n">
        <v>2</v>
      </c>
      <c r="AA988" s="189" t="s">
        <v>2139</v>
      </c>
    </row>
    <row r="989" customFormat="false" ht="15" hidden="false" customHeight="false" outlineLevel="0" collapsed="false">
      <c r="A989" s="0" t="n">
        <v>203</v>
      </c>
      <c r="B989" s="191" t="n">
        <v>46153.3346086194</v>
      </c>
      <c r="C989" s="191" t="n">
        <v>46153.3435785268</v>
      </c>
      <c r="D989" s="189" t="s">
        <v>1509</v>
      </c>
      <c r="E989" s="189" t="s">
        <v>1510</v>
      </c>
      <c r="F989" s="189" t="s">
        <v>1511</v>
      </c>
      <c r="G989" s="189" t="s">
        <v>1512</v>
      </c>
      <c r="H989" s="191" t="n">
        <v>46136</v>
      </c>
      <c r="I989" s="189" t="s">
        <v>1268</v>
      </c>
      <c r="J989" s="189" t="s">
        <v>108</v>
      </c>
      <c r="K989" s="189" t="s">
        <v>196</v>
      </c>
      <c r="L989" s="189" t="s">
        <v>130</v>
      </c>
      <c r="M989" s="189" t="s">
        <v>234</v>
      </c>
      <c r="N989" s="189" t="s">
        <v>337</v>
      </c>
      <c r="O989" s="189" t="s">
        <v>405</v>
      </c>
      <c r="P989" s="189" t="s">
        <v>390</v>
      </c>
      <c r="Q989" s="189" t="s">
        <v>145</v>
      </c>
      <c r="R989" s="189" t="s">
        <v>24</v>
      </c>
      <c r="S989" s="189" t="s">
        <v>152</v>
      </c>
      <c r="T989" s="189" t="s">
        <v>180</v>
      </c>
      <c r="V989" s="189" t="s">
        <v>123</v>
      </c>
      <c r="W989" s="189" t="s">
        <v>124</v>
      </c>
      <c r="X989" s="189" t="s">
        <v>214</v>
      </c>
      <c r="Y989" s="189" t="s">
        <v>2110</v>
      </c>
      <c r="Z989" s="0" t="n">
        <v>1</v>
      </c>
      <c r="AA989" s="189" t="s">
        <v>2111</v>
      </c>
    </row>
    <row r="990" customFormat="false" ht="15" hidden="false" customHeight="false" outlineLevel="0" collapsed="false">
      <c r="A990" s="0" t="n">
        <v>203</v>
      </c>
      <c r="B990" s="191" t="n">
        <v>46153.3346086194</v>
      </c>
      <c r="C990" s="191" t="n">
        <v>46153.3435785268</v>
      </c>
      <c r="D990" s="189" t="s">
        <v>1509</v>
      </c>
      <c r="E990" s="189" t="s">
        <v>1510</v>
      </c>
      <c r="F990" s="189" t="s">
        <v>1511</v>
      </c>
      <c r="G990" s="189" t="s">
        <v>1512</v>
      </c>
      <c r="H990" s="191" t="n">
        <v>46136</v>
      </c>
      <c r="I990" s="189" t="s">
        <v>1268</v>
      </c>
      <c r="J990" s="189" t="s">
        <v>108</v>
      </c>
      <c r="K990" s="189" t="s">
        <v>196</v>
      </c>
      <c r="L990" s="189" t="s">
        <v>130</v>
      </c>
      <c r="M990" s="189" t="s">
        <v>234</v>
      </c>
      <c r="N990" s="189" t="s">
        <v>337</v>
      </c>
      <c r="O990" s="189" t="s">
        <v>405</v>
      </c>
      <c r="P990" s="189" t="s">
        <v>390</v>
      </c>
      <c r="Q990" s="189" t="s">
        <v>145</v>
      </c>
      <c r="R990" s="189" t="s">
        <v>24</v>
      </c>
      <c r="S990" s="189" t="s">
        <v>152</v>
      </c>
      <c r="T990" s="189" t="s">
        <v>180</v>
      </c>
      <c r="V990" s="189" t="s">
        <v>123</v>
      </c>
      <c r="W990" s="189" t="s">
        <v>124</v>
      </c>
      <c r="X990" s="189" t="s">
        <v>214</v>
      </c>
      <c r="Y990" s="189" t="s">
        <v>2113</v>
      </c>
      <c r="Z990" s="0" t="n">
        <v>1</v>
      </c>
      <c r="AA990" s="189" t="s">
        <v>2152</v>
      </c>
    </row>
    <row r="991" customFormat="false" ht="15" hidden="false" customHeight="false" outlineLevel="0" collapsed="false">
      <c r="A991" s="0" t="n">
        <v>204</v>
      </c>
      <c r="B991" s="191" t="n">
        <v>46114.7245447567</v>
      </c>
      <c r="C991" s="191" t="n">
        <v>46114.744116516</v>
      </c>
      <c r="D991" s="189" t="s">
        <v>1514</v>
      </c>
      <c r="E991" s="189" t="s">
        <v>1515</v>
      </c>
      <c r="F991" s="189" t="s">
        <v>1515</v>
      </c>
      <c r="G991" s="189" t="s">
        <v>1516</v>
      </c>
      <c r="H991" s="191" t="n">
        <v>46112</v>
      </c>
      <c r="I991" s="189" t="s">
        <v>113</v>
      </c>
      <c r="J991" s="189" t="s">
        <v>108</v>
      </c>
      <c r="K991" s="189" t="s">
        <v>462</v>
      </c>
      <c r="L991" s="189" t="s">
        <v>233</v>
      </c>
      <c r="M991" s="189" t="s">
        <v>809</v>
      </c>
      <c r="N991" s="189" t="s">
        <v>1306</v>
      </c>
      <c r="O991" s="189" t="s">
        <v>244</v>
      </c>
      <c r="P991" s="189" t="s">
        <v>111</v>
      </c>
      <c r="Q991" s="189" t="s">
        <v>112</v>
      </c>
      <c r="R991" s="189" t="s">
        <v>24</v>
      </c>
      <c r="S991" s="189" t="s">
        <v>152</v>
      </c>
      <c r="T991" s="189" t="s">
        <v>121</v>
      </c>
      <c r="U991" s="189" t="s">
        <v>122</v>
      </c>
      <c r="V991" s="189" t="s">
        <v>123</v>
      </c>
      <c r="W991" s="189" t="s">
        <v>168</v>
      </c>
      <c r="X991" s="189" t="s">
        <v>448</v>
      </c>
      <c r="Y991" s="189" t="s">
        <v>2108</v>
      </c>
      <c r="Z991" s="0" t="n">
        <v>1</v>
      </c>
      <c r="AA991" s="189" t="s">
        <v>2233</v>
      </c>
    </row>
    <row r="992" customFormat="false" ht="15" hidden="false" customHeight="false" outlineLevel="0" collapsed="false">
      <c r="A992" s="0" t="n">
        <v>204</v>
      </c>
      <c r="B992" s="191" t="n">
        <v>46114.7245447567</v>
      </c>
      <c r="C992" s="191" t="n">
        <v>46114.744116516</v>
      </c>
      <c r="D992" s="189" t="s">
        <v>1514</v>
      </c>
      <c r="E992" s="189" t="s">
        <v>1515</v>
      </c>
      <c r="F992" s="189" t="s">
        <v>1515</v>
      </c>
      <c r="G992" s="189" t="s">
        <v>1516</v>
      </c>
      <c r="H992" s="191" t="n">
        <v>46112</v>
      </c>
      <c r="I992" s="189" t="s">
        <v>113</v>
      </c>
      <c r="J992" s="189" t="s">
        <v>108</v>
      </c>
      <c r="K992" s="189" t="s">
        <v>462</v>
      </c>
      <c r="L992" s="189" t="s">
        <v>233</v>
      </c>
      <c r="M992" s="189" t="s">
        <v>809</v>
      </c>
      <c r="N992" s="189" t="s">
        <v>1306</v>
      </c>
      <c r="O992" s="189" t="s">
        <v>244</v>
      </c>
      <c r="P992" s="189" t="s">
        <v>111</v>
      </c>
      <c r="Q992" s="189" t="s">
        <v>112</v>
      </c>
      <c r="R992" s="189" t="s">
        <v>24</v>
      </c>
      <c r="S992" s="189" t="s">
        <v>152</v>
      </c>
      <c r="T992" s="189" t="s">
        <v>121</v>
      </c>
      <c r="U992" s="189" t="s">
        <v>122</v>
      </c>
      <c r="V992" s="189" t="s">
        <v>123</v>
      </c>
      <c r="W992" s="189" t="s">
        <v>168</v>
      </c>
      <c r="X992" s="189" t="s">
        <v>448</v>
      </c>
      <c r="Y992" s="189" t="s">
        <v>2108</v>
      </c>
      <c r="Z992" s="0" t="n">
        <v>2</v>
      </c>
      <c r="AA992" s="189" t="s">
        <v>2235</v>
      </c>
    </row>
    <row r="993" customFormat="false" ht="15" hidden="false" customHeight="false" outlineLevel="0" collapsed="false">
      <c r="A993" s="0" t="n">
        <v>204</v>
      </c>
      <c r="B993" s="191" t="n">
        <v>46114.7245447567</v>
      </c>
      <c r="C993" s="191" t="n">
        <v>46114.744116516</v>
      </c>
      <c r="D993" s="189" t="s">
        <v>1514</v>
      </c>
      <c r="E993" s="189" t="s">
        <v>1515</v>
      </c>
      <c r="F993" s="189" t="s">
        <v>1515</v>
      </c>
      <c r="G993" s="189" t="s">
        <v>1516</v>
      </c>
      <c r="H993" s="191" t="n">
        <v>46112</v>
      </c>
      <c r="I993" s="189" t="s">
        <v>113</v>
      </c>
      <c r="J993" s="189" t="s">
        <v>108</v>
      </c>
      <c r="K993" s="189" t="s">
        <v>462</v>
      </c>
      <c r="L993" s="189" t="s">
        <v>233</v>
      </c>
      <c r="M993" s="189" t="s">
        <v>809</v>
      </c>
      <c r="N993" s="189" t="s">
        <v>1306</v>
      </c>
      <c r="O993" s="189" t="s">
        <v>244</v>
      </c>
      <c r="P993" s="189" t="s">
        <v>111</v>
      </c>
      <c r="Q993" s="189" t="s">
        <v>112</v>
      </c>
      <c r="R993" s="189" t="s">
        <v>24</v>
      </c>
      <c r="S993" s="189" t="s">
        <v>152</v>
      </c>
      <c r="T993" s="189" t="s">
        <v>121</v>
      </c>
      <c r="U993" s="189" t="s">
        <v>122</v>
      </c>
      <c r="V993" s="189" t="s">
        <v>123</v>
      </c>
      <c r="W993" s="189" t="s">
        <v>168</v>
      </c>
      <c r="X993" s="189" t="s">
        <v>448</v>
      </c>
      <c r="Y993" s="189" t="s">
        <v>2110</v>
      </c>
      <c r="Z993" s="0" t="n">
        <v>1</v>
      </c>
      <c r="AA993" s="189" t="s">
        <v>2220</v>
      </c>
    </row>
    <row r="994" customFormat="false" ht="15" hidden="false" customHeight="false" outlineLevel="0" collapsed="false">
      <c r="A994" s="0" t="n">
        <v>204</v>
      </c>
      <c r="B994" s="191" t="n">
        <v>46114.7245447567</v>
      </c>
      <c r="C994" s="191" t="n">
        <v>46114.744116516</v>
      </c>
      <c r="D994" s="189" t="s">
        <v>1514</v>
      </c>
      <c r="E994" s="189" t="s">
        <v>1515</v>
      </c>
      <c r="F994" s="189" t="s">
        <v>1515</v>
      </c>
      <c r="G994" s="189" t="s">
        <v>1516</v>
      </c>
      <c r="H994" s="191" t="n">
        <v>46112</v>
      </c>
      <c r="I994" s="189" t="s">
        <v>113</v>
      </c>
      <c r="J994" s="189" t="s">
        <v>108</v>
      </c>
      <c r="K994" s="189" t="s">
        <v>462</v>
      </c>
      <c r="L994" s="189" t="s">
        <v>233</v>
      </c>
      <c r="M994" s="189" t="s">
        <v>809</v>
      </c>
      <c r="N994" s="189" t="s">
        <v>1306</v>
      </c>
      <c r="O994" s="189" t="s">
        <v>244</v>
      </c>
      <c r="P994" s="189" t="s">
        <v>111</v>
      </c>
      <c r="Q994" s="189" t="s">
        <v>112</v>
      </c>
      <c r="R994" s="189" t="s">
        <v>24</v>
      </c>
      <c r="S994" s="189" t="s">
        <v>152</v>
      </c>
      <c r="T994" s="189" t="s">
        <v>121</v>
      </c>
      <c r="U994" s="189" t="s">
        <v>122</v>
      </c>
      <c r="V994" s="189" t="s">
        <v>123</v>
      </c>
      <c r="W994" s="189" t="s">
        <v>168</v>
      </c>
      <c r="X994" s="189" t="s">
        <v>448</v>
      </c>
      <c r="Y994" s="189" t="s">
        <v>2110</v>
      </c>
      <c r="Z994" s="0" t="n">
        <v>2</v>
      </c>
      <c r="AA994" s="189" t="s">
        <v>2221</v>
      </c>
    </row>
    <row r="995" customFormat="false" ht="15" hidden="false" customHeight="false" outlineLevel="0" collapsed="false">
      <c r="A995" s="0" t="n">
        <v>204</v>
      </c>
      <c r="B995" s="191" t="n">
        <v>46114.7245447567</v>
      </c>
      <c r="C995" s="191" t="n">
        <v>46114.744116516</v>
      </c>
      <c r="D995" s="189" t="s">
        <v>1514</v>
      </c>
      <c r="E995" s="189" t="s">
        <v>1515</v>
      </c>
      <c r="F995" s="189" t="s">
        <v>1515</v>
      </c>
      <c r="G995" s="189" t="s">
        <v>1516</v>
      </c>
      <c r="H995" s="191" t="n">
        <v>46112</v>
      </c>
      <c r="I995" s="189" t="s">
        <v>113</v>
      </c>
      <c r="J995" s="189" t="s">
        <v>108</v>
      </c>
      <c r="K995" s="189" t="s">
        <v>462</v>
      </c>
      <c r="L995" s="189" t="s">
        <v>233</v>
      </c>
      <c r="M995" s="189" t="s">
        <v>809</v>
      </c>
      <c r="N995" s="189" t="s">
        <v>1306</v>
      </c>
      <c r="O995" s="189" t="s">
        <v>244</v>
      </c>
      <c r="P995" s="189" t="s">
        <v>111</v>
      </c>
      <c r="Q995" s="189" t="s">
        <v>112</v>
      </c>
      <c r="R995" s="189" t="s">
        <v>24</v>
      </c>
      <c r="S995" s="189" t="s">
        <v>152</v>
      </c>
      <c r="T995" s="189" t="s">
        <v>121</v>
      </c>
      <c r="U995" s="189" t="s">
        <v>122</v>
      </c>
      <c r="V995" s="189" t="s">
        <v>123</v>
      </c>
      <c r="W995" s="189" t="s">
        <v>168</v>
      </c>
      <c r="X995" s="189" t="s">
        <v>448</v>
      </c>
      <c r="Y995" s="189" t="s">
        <v>2113</v>
      </c>
      <c r="Z995" s="0" t="n">
        <v>1</v>
      </c>
      <c r="AA995" s="189" t="s">
        <v>2223</v>
      </c>
    </row>
    <row r="996" customFormat="false" ht="15" hidden="false" customHeight="false" outlineLevel="0" collapsed="false">
      <c r="A996" s="0" t="n">
        <v>205</v>
      </c>
      <c r="B996" s="191" t="n">
        <v>46212.8371910374</v>
      </c>
      <c r="C996" s="191" t="n">
        <v>46212.8424572411</v>
      </c>
      <c r="D996" s="189" t="s">
        <v>1518</v>
      </c>
      <c r="E996" s="189" t="s">
        <v>1519</v>
      </c>
      <c r="F996" s="189" t="s">
        <v>1519</v>
      </c>
      <c r="G996" s="189" t="s">
        <v>1520</v>
      </c>
      <c r="H996" s="191" t="n">
        <v>46199</v>
      </c>
      <c r="I996" s="189" t="s">
        <v>305</v>
      </c>
      <c r="J996" s="189" t="s">
        <v>108</v>
      </c>
      <c r="K996" s="189" t="s">
        <v>462</v>
      </c>
      <c r="L996" s="189" t="s">
        <v>431</v>
      </c>
      <c r="M996" s="189" t="s">
        <v>612</v>
      </c>
      <c r="N996" s="189" t="s">
        <v>407</v>
      </c>
      <c r="O996" s="189" t="s">
        <v>278</v>
      </c>
      <c r="P996" s="189" t="s">
        <v>111</v>
      </c>
      <c r="Q996" s="189" t="s">
        <v>112</v>
      </c>
      <c r="R996" s="189" t="s">
        <v>24</v>
      </c>
      <c r="S996" s="189" t="s">
        <v>152</v>
      </c>
      <c r="T996" s="189" t="s">
        <v>121</v>
      </c>
      <c r="U996" s="189" t="s">
        <v>1032</v>
      </c>
      <c r="V996" s="189" t="s">
        <v>123</v>
      </c>
      <c r="W996" s="189" t="s">
        <v>124</v>
      </c>
      <c r="X996" s="189" t="s">
        <v>19</v>
      </c>
      <c r="Y996" s="189" t="s">
        <v>2216</v>
      </c>
      <c r="Z996" s="0" t="n">
        <v>1</v>
      </c>
      <c r="AA996" s="189" t="s">
        <v>880</v>
      </c>
    </row>
    <row r="997" customFormat="false" ht="15" hidden="false" customHeight="false" outlineLevel="0" collapsed="false">
      <c r="A997" s="0" t="n">
        <v>206</v>
      </c>
      <c r="B997" s="191" t="n">
        <v>46106.4667114826</v>
      </c>
      <c r="C997" s="191" t="n">
        <v>46106.4771397233</v>
      </c>
      <c r="D997" s="189" t="s">
        <v>1521</v>
      </c>
      <c r="E997" s="189" t="s">
        <v>1522</v>
      </c>
      <c r="F997" s="189" t="s">
        <v>1522</v>
      </c>
      <c r="G997" s="189" t="s">
        <v>1523</v>
      </c>
      <c r="H997" s="191" t="n">
        <v>46105</v>
      </c>
      <c r="I997" s="189" t="s">
        <v>113</v>
      </c>
      <c r="J997" s="189" t="s">
        <v>108</v>
      </c>
      <c r="K997" s="189" t="s">
        <v>196</v>
      </c>
      <c r="L997" s="189" t="s">
        <v>296</v>
      </c>
      <c r="M997" s="189" t="s">
        <v>477</v>
      </c>
      <c r="N997" s="189" t="s">
        <v>990</v>
      </c>
      <c r="O997" s="189" t="s">
        <v>278</v>
      </c>
      <c r="P997" s="189" t="s">
        <v>111</v>
      </c>
      <c r="Q997" s="189" t="s">
        <v>145</v>
      </c>
      <c r="R997" s="189" t="s">
        <v>24</v>
      </c>
      <c r="S997" s="189" t="s">
        <v>152</v>
      </c>
      <c r="T997" s="189" t="s">
        <v>121</v>
      </c>
      <c r="U997" s="189" t="s">
        <v>831</v>
      </c>
      <c r="V997" s="189" t="s">
        <v>192</v>
      </c>
      <c r="W997" s="189" t="s">
        <v>124</v>
      </c>
      <c r="X997" s="189" t="s">
        <v>214</v>
      </c>
      <c r="Y997" s="189" t="s">
        <v>2108</v>
      </c>
      <c r="Z997" s="0" t="n">
        <v>1</v>
      </c>
      <c r="AA997" s="189" t="s">
        <v>2183</v>
      </c>
    </row>
    <row r="998" customFormat="false" ht="15" hidden="false" customHeight="false" outlineLevel="0" collapsed="false">
      <c r="A998" s="0" t="n">
        <v>206</v>
      </c>
      <c r="B998" s="191" t="n">
        <v>46106.4667114826</v>
      </c>
      <c r="C998" s="191" t="n">
        <v>46106.4771397233</v>
      </c>
      <c r="D998" s="189" t="s">
        <v>1521</v>
      </c>
      <c r="E998" s="189" t="s">
        <v>1522</v>
      </c>
      <c r="F998" s="189" t="s">
        <v>1522</v>
      </c>
      <c r="G998" s="189" t="s">
        <v>1523</v>
      </c>
      <c r="H998" s="191" t="n">
        <v>46105</v>
      </c>
      <c r="I998" s="189" t="s">
        <v>113</v>
      </c>
      <c r="J998" s="189" t="s">
        <v>108</v>
      </c>
      <c r="K998" s="189" t="s">
        <v>196</v>
      </c>
      <c r="L998" s="189" t="s">
        <v>296</v>
      </c>
      <c r="M998" s="189" t="s">
        <v>477</v>
      </c>
      <c r="N998" s="189" t="s">
        <v>990</v>
      </c>
      <c r="O998" s="189" t="s">
        <v>278</v>
      </c>
      <c r="P998" s="189" t="s">
        <v>111</v>
      </c>
      <c r="Q998" s="189" t="s">
        <v>145</v>
      </c>
      <c r="R998" s="189" t="s">
        <v>24</v>
      </c>
      <c r="S998" s="189" t="s">
        <v>152</v>
      </c>
      <c r="T998" s="189" t="s">
        <v>121</v>
      </c>
      <c r="U998" s="189" t="s">
        <v>831</v>
      </c>
      <c r="V998" s="189" t="s">
        <v>192</v>
      </c>
      <c r="W998" s="189" t="s">
        <v>124</v>
      </c>
      <c r="X998" s="189" t="s">
        <v>214</v>
      </c>
      <c r="Y998" s="189" t="s">
        <v>2110</v>
      </c>
      <c r="Z998" s="0" t="n">
        <v>1</v>
      </c>
      <c r="AA998" s="189" t="s">
        <v>2111</v>
      </c>
    </row>
    <row r="999" customFormat="false" ht="15" hidden="false" customHeight="false" outlineLevel="0" collapsed="false">
      <c r="A999" s="0" t="n">
        <v>206</v>
      </c>
      <c r="B999" s="191" t="n">
        <v>46106.4667114826</v>
      </c>
      <c r="C999" s="191" t="n">
        <v>46106.4771397233</v>
      </c>
      <c r="D999" s="189" t="s">
        <v>1521</v>
      </c>
      <c r="E999" s="189" t="s">
        <v>1522</v>
      </c>
      <c r="F999" s="189" t="s">
        <v>1522</v>
      </c>
      <c r="G999" s="189" t="s">
        <v>1523</v>
      </c>
      <c r="H999" s="191" t="n">
        <v>46105</v>
      </c>
      <c r="I999" s="189" t="s">
        <v>113</v>
      </c>
      <c r="J999" s="189" t="s">
        <v>108</v>
      </c>
      <c r="K999" s="189" t="s">
        <v>196</v>
      </c>
      <c r="L999" s="189" t="s">
        <v>296</v>
      </c>
      <c r="M999" s="189" t="s">
        <v>477</v>
      </c>
      <c r="N999" s="189" t="s">
        <v>990</v>
      </c>
      <c r="O999" s="189" t="s">
        <v>278</v>
      </c>
      <c r="P999" s="189" t="s">
        <v>111</v>
      </c>
      <c r="Q999" s="189" t="s">
        <v>145</v>
      </c>
      <c r="R999" s="189" t="s">
        <v>24</v>
      </c>
      <c r="S999" s="189" t="s">
        <v>152</v>
      </c>
      <c r="T999" s="189" t="s">
        <v>121</v>
      </c>
      <c r="U999" s="189" t="s">
        <v>831</v>
      </c>
      <c r="V999" s="189" t="s">
        <v>192</v>
      </c>
      <c r="W999" s="189" t="s">
        <v>124</v>
      </c>
      <c r="X999" s="189" t="s">
        <v>214</v>
      </c>
      <c r="Y999" s="189" t="s">
        <v>2110</v>
      </c>
      <c r="Z999" s="0" t="n">
        <v>2</v>
      </c>
      <c r="AA999" s="189" t="s">
        <v>2112</v>
      </c>
    </row>
    <row r="1000" customFormat="false" ht="15" hidden="false" customHeight="false" outlineLevel="0" collapsed="false">
      <c r="A1000" s="0" t="n">
        <v>206</v>
      </c>
      <c r="B1000" s="191" t="n">
        <v>46106.4667114826</v>
      </c>
      <c r="C1000" s="191" t="n">
        <v>46106.4771397233</v>
      </c>
      <c r="D1000" s="189" t="s">
        <v>1521</v>
      </c>
      <c r="E1000" s="189" t="s">
        <v>1522</v>
      </c>
      <c r="F1000" s="189" t="s">
        <v>1522</v>
      </c>
      <c r="G1000" s="189" t="s">
        <v>1523</v>
      </c>
      <c r="H1000" s="191" t="n">
        <v>46105</v>
      </c>
      <c r="I1000" s="189" t="s">
        <v>113</v>
      </c>
      <c r="J1000" s="189" t="s">
        <v>108</v>
      </c>
      <c r="K1000" s="189" t="s">
        <v>196</v>
      </c>
      <c r="L1000" s="189" t="s">
        <v>296</v>
      </c>
      <c r="M1000" s="189" t="s">
        <v>477</v>
      </c>
      <c r="N1000" s="189" t="s">
        <v>990</v>
      </c>
      <c r="O1000" s="189" t="s">
        <v>278</v>
      </c>
      <c r="P1000" s="189" t="s">
        <v>111</v>
      </c>
      <c r="Q1000" s="189" t="s">
        <v>145</v>
      </c>
      <c r="R1000" s="189" t="s">
        <v>24</v>
      </c>
      <c r="S1000" s="189" t="s">
        <v>152</v>
      </c>
      <c r="T1000" s="189" t="s">
        <v>121</v>
      </c>
      <c r="U1000" s="189" t="s">
        <v>831</v>
      </c>
      <c r="V1000" s="189" t="s">
        <v>192</v>
      </c>
      <c r="W1000" s="189" t="s">
        <v>124</v>
      </c>
      <c r="X1000" s="189" t="s">
        <v>214</v>
      </c>
      <c r="Y1000" s="189" t="s">
        <v>2113</v>
      </c>
      <c r="Z1000" s="0" t="n">
        <v>1</v>
      </c>
      <c r="AA1000" s="189" t="s">
        <v>122</v>
      </c>
    </row>
    <row r="1001" customFormat="false" ht="15" hidden="false" customHeight="false" outlineLevel="0" collapsed="false">
      <c r="A1001" s="0" t="n">
        <v>207</v>
      </c>
      <c r="B1001" s="191" t="n">
        <v>46050.5304972041</v>
      </c>
      <c r="C1001" s="191" t="n">
        <v>46050.548136093</v>
      </c>
      <c r="D1001" s="189" t="s">
        <v>1524</v>
      </c>
      <c r="E1001" s="189" t="s">
        <v>1525</v>
      </c>
      <c r="F1001" s="189" t="s">
        <v>1525</v>
      </c>
      <c r="G1001" s="189" t="s">
        <v>1526</v>
      </c>
      <c r="H1001" s="191" t="n">
        <v>46047</v>
      </c>
      <c r="I1001" s="189" t="s">
        <v>113</v>
      </c>
      <c r="J1001" s="189" t="s">
        <v>295</v>
      </c>
      <c r="K1001" s="189" t="s">
        <v>1527</v>
      </c>
      <c r="L1001" s="189" t="s">
        <v>346</v>
      </c>
      <c r="M1001" s="189" t="s">
        <v>870</v>
      </c>
      <c r="N1001" s="189" t="s">
        <v>1036</v>
      </c>
      <c r="O1001" s="189" t="s">
        <v>172</v>
      </c>
      <c r="P1001" s="189" t="s">
        <v>111</v>
      </c>
      <c r="Q1001" s="189" t="s">
        <v>112</v>
      </c>
      <c r="R1001" s="189" t="s">
        <v>22</v>
      </c>
      <c r="S1001" s="189" t="s">
        <v>152</v>
      </c>
      <c r="T1001" s="189" t="s">
        <v>180</v>
      </c>
      <c r="V1001" s="189" t="s">
        <v>192</v>
      </c>
      <c r="W1001" s="189" t="s">
        <v>168</v>
      </c>
      <c r="X1001" s="189" t="s">
        <v>298</v>
      </c>
      <c r="Y1001" s="189" t="s">
        <v>2108</v>
      </c>
      <c r="Z1001" s="0" t="n">
        <v>1</v>
      </c>
      <c r="AA1001" s="189" t="s">
        <v>2238</v>
      </c>
    </row>
    <row r="1002" customFormat="false" ht="15" hidden="false" customHeight="false" outlineLevel="0" collapsed="false">
      <c r="A1002" s="0" t="n">
        <v>207</v>
      </c>
      <c r="B1002" s="191" t="n">
        <v>46050.5304972041</v>
      </c>
      <c r="C1002" s="191" t="n">
        <v>46050.548136093</v>
      </c>
      <c r="D1002" s="189" t="s">
        <v>1524</v>
      </c>
      <c r="E1002" s="189" t="s">
        <v>1525</v>
      </c>
      <c r="F1002" s="189" t="s">
        <v>1525</v>
      </c>
      <c r="G1002" s="189" t="s">
        <v>1526</v>
      </c>
      <c r="H1002" s="191" t="n">
        <v>46047</v>
      </c>
      <c r="I1002" s="189" t="s">
        <v>113</v>
      </c>
      <c r="J1002" s="189" t="s">
        <v>295</v>
      </c>
      <c r="K1002" s="189" t="s">
        <v>1527</v>
      </c>
      <c r="L1002" s="189" t="s">
        <v>346</v>
      </c>
      <c r="M1002" s="189" t="s">
        <v>870</v>
      </c>
      <c r="N1002" s="189" t="s">
        <v>1036</v>
      </c>
      <c r="O1002" s="189" t="s">
        <v>172</v>
      </c>
      <c r="P1002" s="189" t="s">
        <v>111</v>
      </c>
      <c r="Q1002" s="189" t="s">
        <v>112</v>
      </c>
      <c r="R1002" s="189" t="s">
        <v>22</v>
      </c>
      <c r="S1002" s="189" t="s">
        <v>152</v>
      </c>
      <c r="T1002" s="189" t="s">
        <v>180</v>
      </c>
      <c r="V1002" s="189" t="s">
        <v>192</v>
      </c>
      <c r="W1002" s="189" t="s">
        <v>168</v>
      </c>
      <c r="X1002" s="189" t="s">
        <v>298</v>
      </c>
      <c r="Y1002" s="189" t="s">
        <v>2110</v>
      </c>
      <c r="Z1002" s="0" t="n">
        <v>1</v>
      </c>
      <c r="AA1002" s="189" t="s">
        <v>2319</v>
      </c>
    </row>
    <row r="1003" customFormat="false" ht="15" hidden="false" customHeight="false" outlineLevel="0" collapsed="false">
      <c r="A1003" s="0" t="n">
        <v>207</v>
      </c>
      <c r="B1003" s="191" t="n">
        <v>46050.5304972041</v>
      </c>
      <c r="C1003" s="191" t="n">
        <v>46050.548136093</v>
      </c>
      <c r="D1003" s="189" t="s">
        <v>1524</v>
      </c>
      <c r="E1003" s="189" t="s">
        <v>1525</v>
      </c>
      <c r="F1003" s="189" t="s">
        <v>1525</v>
      </c>
      <c r="G1003" s="189" t="s">
        <v>1526</v>
      </c>
      <c r="H1003" s="191" t="n">
        <v>46047</v>
      </c>
      <c r="I1003" s="189" t="s">
        <v>113</v>
      </c>
      <c r="J1003" s="189" t="s">
        <v>295</v>
      </c>
      <c r="K1003" s="189" t="s">
        <v>1527</v>
      </c>
      <c r="L1003" s="189" t="s">
        <v>346</v>
      </c>
      <c r="M1003" s="189" t="s">
        <v>870</v>
      </c>
      <c r="N1003" s="189" t="s">
        <v>1036</v>
      </c>
      <c r="O1003" s="189" t="s">
        <v>172</v>
      </c>
      <c r="P1003" s="189" t="s">
        <v>111</v>
      </c>
      <c r="Q1003" s="189" t="s">
        <v>112</v>
      </c>
      <c r="R1003" s="189" t="s">
        <v>22</v>
      </c>
      <c r="S1003" s="189" t="s">
        <v>152</v>
      </c>
      <c r="T1003" s="189" t="s">
        <v>180</v>
      </c>
      <c r="V1003" s="189" t="s">
        <v>192</v>
      </c>
      <c r="W1003" s="189" t="s">
        <v>168</v>
      </c>
      <c r="X1003" s="189" t="s">
        <v>298</v>
      </c>
      <c r="Y1003" s="189" t="s">
        <v>2110</v>
      </c>
      <c r="Z1003" s="0" t="n">
        <v>2</v>
      </c>
      <c r="AA1003" s="189" t="s">
        <v>2170</v>
      </c>
    </row>
    <row r="1004" customFormat="false" ht="15" hidden="false" customHeight="false" outlineLevel="0" collapsed="false">
      <c r="A1004" s="0" t="n">
        <v>207</v>
      </c>
      <c r="B1004" s="191" t="n">
        <v>46050.5304972041</v>
      </c>
      <c r="C1004" s="191" t="n">
        <v>46050.548136093</v>
      </c>
      <c r="D1004" s="189" t="s">
        <v>1524</v>
      </c>
      <c r="E1004" s="189" t="s">
        <v>1525</v>
      </c>
      <c r="F1004" s="189" t="s">
        <v>1525</v>
      </c>
      <c r="G1004" s="189" t="s">
        <v>1526</v>
      </c>
      <c r="H1004" s="191" t="n">
        <v>46047</v>
      </c>
      <c r="I1004" s="189" t="s">
        <v>113</v>
      </c>
      <c r="J1004" s="189" t="s">
        <v>295</v>
      </c>
      <c r="K1004" s="189" t="s">
        <v>1527</v>
      </c>
      <c r="L1004" s="189" t="s">
        <v>346</v>
      </c>
      <c r="M1004" s="189" t="s">
        <v>870</v>
      </c>
      <c r="N1004" s="189" t="s">
        <v>1036</v>
      </c>
      <c r="O1004" s="189" t="s">
        <v>172</v>
      </c>
      <c r="P1004" s="189" t="s">
        <v>111</v>
      </c>
      <c r="Q1004" s="189" t="s">
        <v>112</v>
      </c>
      <c r="R1004" s="189" t="s">
        <v>22</v>
      </c>
      <c r="S1004" s="189" t="s">
        <v>152</v>
      </c>
      <c r="T1004" s="189" t="s">
        <v>180</v>
      </c>
      <c r="V1004" s="189" t="s">
        <v>192</v>
      </c>
      <c r="W1004" s="189" t="s">
        <v>168</v>
      </c>
      <c r="X1004" s="189" t="s">
        <v>298</v>
      </c>
      <c r="Y1004" s="189" t="s">
        <v>2113</v>
      </c>
      <c r="Z1004" s="0" t="n">
        <v>1</v>
      </c>
      <c r="AA1004" s="189" t="s">
        <v>2317</v>
      </c>
    </row>
    <row r="1005" customFormat="false" ht="15" hidden="false" customHeight="false" outlineLevel="0" collapsed="false">
      <c r="A1005" s="0" t="n">
        <v>207</v>
      </c>
      <c r="B1005" s="191" t="n">
        <v>46050.5304972041</v>
      </c>
      <c r="C1005" s="191" t="n">
        <v>46050.548136093</v>
      </c>
      <c r="D1005" s="189" t="s">
        <v>1524</v>
      </c>
      <c r="E1005" s="189" t="s">
        <v>1525</v>
      </c>
      <c r="F1005" s="189" t="s">
        <v>1525</v>
      </c>
      <c r="G1005" s="189" t="s">
        <v>1526</v>
      </c>
      <c r="H1005" s="191" t="n">
        <v>46047</v>
      </c>
      <c r="I1005" s="189" t="s">
        <v>113</v>
      </c>
      <c r="J1005" s="189" t="s">
        <v>295</v>
      </c>
      <c r="K1005" s="189" t="s">
        <v>1527</v>
      </c>
      <c r="L1005" s="189" t="s">
        <v>346</v>
      </c>
      <c r="M1005" s="189" t="s">
        <v>870</v>
      </c>
      <c r="N1005" s="189" t="s">
        <v>1036</v>
      </c>
      <c r="O1005" s="189" t="s">
        <v>172</v>
      </c>
      <c r="P1005" s="189" t="s">
        <v>111</v>
      </c>
      <c r="Q1005" s="189" t="s">
        <v>112</v>
      </c>
      <c r="R1005" s="189" t="s">
        <v>22</v>
      </c>
      <c r="S1005" s="189" t="s">
        <v>152</v>
      </c>
      <c r="T1005" s="189" t="s">
        <v>180</v>
      </c>
      <c r="V1005" s="189" t="s">
        <v>192</v>
      </c>
      <c r="W1005" s="189" t="s">
        <v>168</v>
      </c>
      <c r="X1005" s="189" t="s">
        <v>298</v>
      </c>
      <c r="Y1005" s="189" t="s">
        <v>2113</v>
      </c>
      <c r="Z1005" s="0" t="n">
        <v>2</v>
      </c>
      <c r="AA1005" s="189" t="s">
        <v>2241</v>
      </c>
    </row>
    <row r="1006" customFormat="false" ht="15" hidden="false" customHeight="false" outlineLevel="0" collapsed="false">
      <c r="A1006" s="0" t="n">
        <v>208</v>
      </c>
      <c r="B1006" s="191" t="n">
        <v>46214.2778552763</v>
      </c>
      <c r="C1006" s="191" t="n">
        <v>46214.2867325911</v>
      </c>
      <c r="D1006" s="189" t="s">
        <v>1530</v>
      </c>
      <c r="E1006" s="189" t="s">
        <v>1531</v>
      </c>
      <c r="F1006" s="189" t="s">
        <v>1531</v>
      </c>
      <c r="G1006" s="189" t="s">
        <v>1532</v>
      </c>
      <c r="H1006" s="191" t="n">
        <v>46205</v>
      </c>
      <c r="I1006" s="189" t="s">
        <v>113</v>
      </c>
      <c r="J1006" s="189" t="s">
        <v>295</v>
      </c>
      <c r="K1006" s="189" t="s">
        <v>257</v>
      </c>
      <c r="L1006" s="189" t="s">
        <v>431</v>
      </c>
      <c r="M1006" s="189" t="s">
        <v>973</v>
      </c>
      <c r="N1006" s="189" t="s">
        <v>701</v>
      </c>
      <c r="O1006" s="189" t="s">
        <v>107</v>
      </c>
      <c r="P1006" s="189" t="s">
        <v>111</v>
      </c>
      <c r="Q1006" s="189" t="s">
        <v>112</v>
      </c>
      <c r="R1006" s="189" t="s">
        <v>22</v>
      </c>
      <c r="S1006" s="189" t="s">
        <v>120</v>
      </c>
      <c r="T1006" s="189" t="s">
        <v>180</v>
      </c>
      <c r="U1006" s="189" t="s">
        <v>1015</v>
      </c>
      <c r="V1006" s="189" t="s">
        <v>167</v>
      </c>
      <c r="W1006" s="189" t="s">
        <v>124</v>
      </c>
      <c r="X1006" s="189" t="s">
        <v>298</v>
      </c>
      <c r="Y1006" s="189" t="s">
        <v>2108</v>
      </c>
      <c r="Z1006" s="0" t="n">
        <v>1</v>
      </c>
      <c r="AA1006" s="189" t="s">
        <v>2252</v>
      </c>
    </row>
    <row r="1007" customFormat="false" ht="15" hidden="false" customHeight="false" outlineLevel="0" collapsed="false">
      <c r="A1007" s="0" t="n">
        <v>208</v>
      </c>
      <c r="B1007" s="191" t="n">
        <v>46214.2778552763</v>
      </c>
      <c r="C1007" s="191" t="n">
        <v>46214.2867325911</v>
      </c>
      <c r="D1007" s="189" t="s">
        <v>1530</v>
      </c>
      <c r="E1007" s="189" t="s">
        <v>1531</v>
      </c>
      <c r="F1007" s="189" t="s">
        <v>1531</v>
      </c>
      <c r="G1007" s="189" t="s">
        <v>1532</v>
      </c>
      <c r="H1007" s="191" t="n">
        <v>46205</v>
      </c>
      <c r="I1007" s="189" t="s">
        <v>113</v>
      </c>
      <c r="J1007" s="189" t="s">
        <v>295</v>
      </c>
      <c r="K1007" s="189" t="s">
        <v>257</v>
      </c>
      <c r="L1007" s="189" t="s">
        <v>431</v>
      </c>
      <c r="M1007" s="189" t="s">
        <v>973</v>
      </c>
      <c r="N1007" s="189" t="s">
        <v>701</v>
      </c>
      <c r="O1007" s="189" t="s">
        <v>107</v>
      </c>
      <c r="P1007" s="189" t="s">
        <v>111</v>
      </c>
      <c r="Q1007" s="189" t="s">
        <v>112</v>
      </c>
      <c r="R1007" s="189" t="s">
        <v>22</v>
      </c>
      <c r="S1007" s="189" t="s">
        <v>120</v>
      </c>
      <c r="T1007" s="189" t="s">
        <v>180</v>
      </c>
      <c r="U1007" s="189" t="s">
        <v>1015</v>
      </c>
      <c r="V1007" s="189" t="s">
        <v>167</v>
      </c>
      <c r="W1007" s="189" t="s">
        <v>124</v>
      </c>
      <c r="X1007" s="189" t="s">
        <v>298</v>
      </c>
      <c r="Y1007" s="189" t="s">
        <v>2110</v>
      </c>
      <c r="Z1007" s="0" t="n">
        <v>1</v>
      </c>
      <c r="AA1007" s="189" t="s">
        <v>2299</v>
      </c>
    </row>
    <row r="1008" customFormat="false" ht="15" hidden="false" customHeight="false" outlineLevel="0" collapsed="false">
      <c r="A1008" s="0" t="n">
        <v>208</v>
      </c>
      <c r="B1008" s="191" t="n">
        <v>46214.2778552763</v>
      </c>
      <c r="C1008" s="191" t="n">
        <v>46214.2867325911</v>
      </c>
      <c r="D1008" s="189" t="s">
        <v>1530</v>
      </c>
      <c r="E1008" s="189" t="s">
        <v>1531</v>
      </c>
      <c r="F1008" s="189" t="s">
        <v>1531</v>
      </c>
      <c r="G1008" s="189" t="s">
        <v>1532</v>
      </c>
      <c r="H1008" s="191" t="n">
        <v>46205</v>
      </c>
      <c r="I1008" s="189" t="s">
        <v>113</v>
      </c>
      <c r="J1008" s="189" t="s">
        <v>295</v>
      </c>
      <c r="K1008" s="189" t="s">
        <v>257</v>
      </c>
      <c r="L1008" s="189" t="s">
        <v>431</v>
      </c>
      <c r="M1008" s="189" t="s">
        <v>973</v>
      </c>
      <c r="N1008" s="189" t="s">
        <v>701</v>
      </c>
      <c r="O1008" s="189" t="s">
        <v>107</v>
      </c>
      <c r="P1008" s="189" t="s">
        <v>111</v>
      </c>
      <c r="Q1008" s="189" t="s">
        <v>112</v>
      </c>
      <c r="R1008" s="189" t="s">
        <v>22</v>
      </c>
      <c r="S1008" s="189" t="s">
        <v>120</v>
      </c>
      <c r="T1008" s="189" t="s">
        <v>180</v>
      </c>
      <c r="U1008" s="189" t="s">
        <v>1015</v>
      </c>
      <c r="V1008" s="189" t="s">
        <v>167</v>
      </c>
      <c r="W1008" s="189" t="s">
        <v>124</v>
      </c>
      <c r="X1008" s="189" t="s">
        <v>298</v>
      </c>
      <c r="Y1008" s="189" t="s">
        <v>2113</v>
      </c>
      <c r="Z1008" s="0" t="n">
        <v>1</v>
      </c>
      <c r="AA1008" s="189" t="s">
        <v>2292</v>
      </c>
    </row>
    <row r="1009" customFormat="false" ht="15" hidden="false" customHeight="false" outlineLevel="0" collapsed="false">
      <c r="A1009" s="0" t="n">
        <v>209</v>
      </c>
      <c r="B1009" s="191" t="n">
        <v>46140.8249043042</v>
      </c>
      <c r="C1009" s="191" t="n">
        <v>46140.8280987486</v>
      </c>
      <c r="D1009" s="189" t="s">
        <v>1536</v>
      </c>
      <c r="E1009" s="189" t="s">
        <v>1537</v>
      </c>
      <c r="F1009" s="189" t="s">
        <v>1537</v>
      </c>
      <c r="G1009" s="189" t="s">
        <v>1538</v>
      </c>
      <c r="H1009" s="191" t="n">
        <v>46140</v>
      </c>
      <c r="I1009" s="189" t="s">
        <v>325</v>
      </c>
      <c r="J1009" s="189" t="s">
        <v>108</v>
      </c>
      <c r="K1009" s="189" t="s">
        <v>196</v>
      </c>
      <c r="L1009" s="189" t="s">
        <v>233</v>
      </c>
      <c r="M1009" s="189" t="s">
        <v>1151</v>
      </c>
      <c r="N1009" s="189" t="s">
        <v>1539</v>
      </c>
      <c r="O1009" s="189" t="s">
        <v>172</v>
      </c>
      <c r="P1009" s="189" t="s">
        <v>111</v>
      </c>
      <c r="Q1009" s="189" t="s">
        <v>112</v>
      </c>
      <c r="R1009" s="189" t="s">
        <v>24</v>
      </c>
      <c r="S1009" s="189" t="s">
        <v>152</v>
      </c>
      <c r="T1009" s="189" t="s">
        <v>121</v>
      </c>
      <c r="U1009" s="189" t="s">
        <v>122</v>
      </c>
      <c r="V1009" s="189" t="s">
        <v>192</v>
      </c>
      <c r="W1009" s="189" t="s">
        <v>124</v>
      </c>
      <c r="X1009" s="189" t="s">
        <v>223</v>
      </c>
      <c r="Y1009" s="189" t="s">
        <v>2108</v>
      </c>
      <c r="Z1009" s="0" t="n">
        <v>1</v>
      </c>
      <c r="AA1009" s="189" t="s">
        <v>2148</v>
      </c>
    </row>
    <row r="1010" customFormat="false" ht="15" hidden="false" customHeight="false" outlineLevel="0" collapsed="false">
      <c r="A1010" s="0" t="n">
        <v>209</v>
      </c>
      <c r="B1010" s="191" t="n">
        <v>46140.8249043042</v>
      </c>
      <c r="C1010" s="191" t="n">
        <v>46140.8280987486</v>
      </c>
      <c r="D1010" s="189" t="s">
        <v>1536</v>
      </c>
      <c r="E1010" s="189" t="s">
        <v>1537</v>
      </c>
      <c r="F1010" s="189" t="s">
        <v>1537</v>
      </c>
      <c r="G1010" s="189" t="s">
        <v>1538</v>
      </c>
      <c r="H1010" s="191" t="n">
        <v>46140</v>
      </c>
      <c r="I1010" s="189" t="s">
        <v>325</v>
      </c>
      <c r="J1010" s="189" t="s">
        <v>108</v>
      </c>
      <c r="K1010" s="189" t="s">
        <v>196</v>
      </c>
      <c r="L1010" s="189" t="s">
        <v>233</v>
      </c>
      <c r="M1010" s="189" t="s">
        <v>1151</v>
      </c>
      <c r="N1010" s="189" t="s">
        <v>1539</v>
      </c>
      <c r="O1010" s="189" t="s">
        <v>172</v>
      </c>
      <c r="P1010" s="189" t="s">
        <v>111</v>
      </c>
      <c r="Q1010" s="189" t="s">
        <v>112</v>
      </c>
      <c r="R1010" s="189" t="s">
        <v>24</v>
      </c>
      <c r="S1010" s="189" t="s">
        <v>152</v>
      </c>
      <c r="T1010" s="189" t="s">
        <v>121</v>
      </c>
      <c r="U1010" s="189" t="s">
        <v>122</v>
      </c>
      <c r="V1010" s="189" t="s">
        <v>192</v>
      </c>
      <c r="W1010" s="189" t="s">
        <v>124</v>
      </c>
      <c r="X1010" s="189" t="s">
        <v>223</v>
      </c>
      <c r="Y1010" s="189" t="s">
        <v>2110</v>
      </c>
      <c r="Z1010" s="0" t="n">
        <v>1</v>
      </c>
      <c r="AA1010" s="189" t="s">
        <v>2193</v>
      </c>
    </row>
    <row r="1011" customFormat="false" ht="15" hidden="false" customHeight="false" outlineLevel="0" collapsed="false">
      <c r="A1011" s="0" t="n">
        <v>209</v>
      </c>
      <c r="B1011" s="191" t="n">
        <v>46140.8249043042</v>
      </c>
      <c r="C1011" s="191" t="n">
        <v>46140.8280987486</v>
      </c>
      <c r="D1011" s="189" t="s">
        <v>1536</v>
      </c>
      <c r="E1011" s="189" t="s">
        <v>1537</v>
      </c>
      <c r="F1011" s="189" t="s">
        <v>1537</v>
      </c>
      <c r="G1011" s="189" t="s">
        <v>1538</v>
      </c>
      <c r="H1011" s="191" t="n">
        <v>46140</v>
      </c>
      <c r="I1011" s="189" t="s">
        <v>325</v>
      </c>
      <c r="J1011" s="189" t="s">
        <v>108</v>
      </c>
      <c r="K1011" s="189" t="s">
        <v>196</v>
      </c>
      <c r="L1011" s="189" t="s">
        <v>233</v>
      </c>
      <c r="M1011" s="189" t="s">
        <v>1151</v>
      </c>
      <c r="N1011" s="189" t="s">
        <v>1539</v>
      </c>
      <c r="O1011" s="189" t="s">
        <v>172</v>
      </c>
      <c r="P1011" s="189" t="s">
        <v>111</v>
      </c>
      <c r="Q1011" s="189" t="s">
        <v>112</v>
      </c>
      <c r="R1011" s="189" t="s">
        <v>24</v>
      </c>
      <c r="S1011" s="189" t="s">
        <v>152</v>
      </c>
      <c r="T1011" s="189" t="s">
        <v>121</v>
      </c>
      <c r="U1011" s="189" t="s">
        <v>122</v>
      </c>
      <c r="V1011" s="189" t="s">
        <v>192</v>
      </c>
      <c r="W1011" s="189" t="s">
        <v>124</v>
      </c>
      <c r="X1011" s="189" t="s">
        <v>223</v>
      </c>
      <c r="Y1011" s="189" t="s">
        <v>2113</v>
      </c>
      <c r="Z1011" s="0" t="n">
        <v>1</v>
      </c>
      <c r="AA1011" s="189" t="s">
        <v>2150</v>
      </c>
    </row>
    <row r="1012" customFormat="false" ht="15" hidden="false" customHeight="false" outlineLevel="0" collapsed="false">
      <c r="A1012" s="0" t="n">
        <v>210</v>
      </c>
      <c r="B1012" s="191" t="n">
        <v>46177.7415219196</v>
      </c>
      <c r="C1012" s="191" t="n">
        <v>46177.7454571048</v>
      </c>
      <c r="D1012" s="189" t="s">
        <v>1542</v>
      </c>
      <c r="E1012" s="189" t="s">
        <v>1543</v>
      </c>
      <c r="F1012" s="189" t="s">
        <v>1543</v>
      </c>
      <c r="G1012" s="189" t="s">
        <v>1544</v>
      </c>
      <c r="H1012" s="191" t="n">
        <v>46161</v>
      </c>
      <c r="I1012" s="189" t="s">
        <v>113</v>
      </c>
      <c r="J1012" s="189" t="s">
        <v>108</v>
      </c>
      <c r="K1012" s="189" t="s">
        <v>173</v>
      </c>
      <c r="L1012" s="189" t="s">
        <v>110</v>
      </c>
      <c r="M1012" s="189" t="s">
        <v>566</v>
      </c>
      <c r="N1012" s="189" t="s">
        <v>586</v>
      </c>
      <c r="O1012" s="189" t="s">
        <v>244</v>
      </c>
      <c r="P1012" s="189" t="s">
        <v>111</v>
      </c>
      <c r="Q1012" s="189" t="s">
        <v>112</v>
      </c>
      <c r="R1012" s="189" t="s">
        <v>22</v>
      </c>
      <c r="S1012" s="189" t="s">
        <v>227</v>
      </c>
      <c r="T1012" s="189" t="s">
        <v>165</v>
      </c>
      <c r="V1012" s="189" t="s">
        <v>192</v>
      </c>
      <c r="W1012" s="189" t="s">
        <v>124</v>
      </c>
      <c r="X1012" s="189" t="s">
        <v>176</v>
      </c>
      <c r="Y1012" s="189" t="s">
        <v>2108</v>
      </c>
      <c r="Z1012" s="0" t="n">
        <v>1</v>
      </c>
      <c r="AA1012" s="189" t="s">
        <v>2130</v>
      </c>
    </row>
    <row r="1013" customFormat="false" ht="15" hidden="false" customHeight="false" outlineLevel="0" collapsed="false">
      <c r="A1013" s="0" t="n">
        <v>210</v>
      </c>
      <c r="B1013" s="191" t="n">
        <v>46177.7415219196</v>
      </c>
      <c r="C1013" s="191" t="n">
        <v>46177.7454571048</v>
      </c>
      <c r="D1013" s="189" t="s">
        <v>1542</v>
      </c>
      <c r="E1013" s="189" t="s">
        <v>1543</v>
      </c>
      <c r="F1013" s="189" t="s">
        <v>1543</v>
      </c>
      <c r="G1013" s="189" t="s">
        <v>1544</v>
      </c>
      <c r="H1013" s="191" t="n">
        <v>46161</v>
      </c>
      <c r="I1013" s="189" t="s">
        <v>113</v>
      </c>
      <c r="J1013" s="189" t="s">
        <v>108</v>
      </c>
      <c r="K1013" s="189" t="s">
        <v>173</v>
      </c>
      <c r="L1013" s="189" t="s">
        <v>110</v>
      </c>
      <c r="M1013" s="189" t="s">
        <v>566</v>
      </c>
      <c r="N1013" s="189" t="s">
        <v>586</v>
      </c>
      <c r="O1013" s="189" t="s">
        <v>244</v>
      </c>
      <c r="P1013" s="189" t="s">
        <v>111</v>
      </c>
      <c r="Q1013" s="189" t="s">
        <v>112</v>
      </c>
      <c r="R1013" s="189" t="s">
        <v>22</v>
      </c>
      <c r="S1013" s="189" t="s">
        <v>227</v>
      </c>
      <c r="T1013" s="189" t="s">
        <v>165</v>
      </c>
      <c r="V1013" s="189" t="s">
        <v>192</v>
      </c>
      <c r="W1013" s="189" t="s">
        <v>124</v>
      </c>
      <c r="X1013" s="189" t="s">
        <v>176</v>
      </c>
      <c r="Y1013" s="189" t="s">
        <v>2110</v>
      </c>
      <c r="Z1013" s="0" t="n">
        <v>1</v>
      </c>
      <c r="AA1013" s="189" t="s">
        <v>2131</v>
      </c>
    </row>
    <row r="1014" customFormat="false" ht="15" hidden="false" customHeight="false" outlineLevel="0" collapsed="false">
      <c r="A1014" s="0" t="n">
        <v>210</v>
      </c>
      <c r="B1014" s="191" t="n">
        <v>46177.7415219196</v>
      </c>
      <c r="C1014" s="191" t="n">
        <v>46177.7454571048</v>
      </c>
      <c r="D1014" s="189" t="s">
        <v>1542</v>
      </c>
      <c r="E1014" s="189" t="s">
        <v>1543</v>
      </c>
      <c r="F1014" s="189" t="s">
        <v>1543</v>
      </c>
      <c r="G1014" s="189" t="s">
        <v>1544</v>
      </c>
      <c r="H1014" s="191" t="n">
        <v>46161</v>
      </c>
      <c r="I1014" s="189" t="s">
        <v>113</v>
      </c>
      <c r="J1014" s="189" t="s">
        <v>108</v>
      </c>
      <c r="K1014" s="189" t="s">
        <v>173</v>
      </c>
      <c r="L1014" s="189" t="s">
        <v>110</v>
      </c>
      <c r="M1014" s="189" t="s">
        <v>566</v>
      </c>
      <c r="N1014" s="189" t="s">
        <v>586</v>
      </c>
      <c r="O1014" s="189" t="s">
        <v>244</v>
      </c>
      <c r="P1014" s="189" t="s">
        <v>111</v>
      </c>
      <c r="Q1014" s="189" t="s">
        <v>112</v>
      </c>
      <c r="R1014" s="189" t="s">
        <v>22</v>
      </c>
      <c r="S1014" s="189" t="s">
        <v>227</v>
      </c>
      <c r="T1014" s="189" t="s">
        <v>165</v>
      </c>
      <c r="V1014" s="189" t="s">
        <v>192</v>
      </c>
      <c r="W1014" s="189" t="s">
        <v>124</v>
      </c>
      <c r="X1014" s="189" t="s">
        <v>176</v>
      </c>
      <c r="Y1014" s="189" t="s">
        <v>2113</v>
      </c>
      <c r="Z1014" s="0" t="n">
        <v>1</v>
      </c>
      <c r="AA1014" s="189" t="s">
        <v>2342</v>
      </c>
    </row>
    <row r="1015" customFormat="false" ht="15" hidden="false" customHeight="false" outlineLevel="0" collapsed="false">
      <c r="A1015" s="0" t="n">
        <v>211</v>
      </c>
      <c r="B1015" s="191" t="n">
        <v>46214.0417474818</v>
      </c>
      <c r="C1015" s="191" t="n">
        <v>46214.0568400744</v>
      </c>
      <c r="D1015" s="189" t="s">
        <v>1548</v>
      </c>
      <c r="E1015" s="189" t="s">
        <v>1549</v>
      </c>
      <c r="F1015" s="189" t="s">
        <v>1550</v>
      </c>
      <c r="G1015" s="189" t="s">
        <v>1551</v>
      </c>
      <c r="H1015" s="191" t="n">
        <v>46208</v>
      </c>
      <c r="I1015" s="189" t="s">
        <v>113</v>
      </c>
      <c r="J1015" s="189" t="s">
        <v>128</v>
      </c>
      <c r="K1015" s="189" t="s">
        <v>1552</v>
      </c>
      <c r="L1015" s="189" t="s">
        <v>246</v>
      </c>
      <c r="M1015" s="189" t="s">
        <v>809</v>
      </c>
      <c r="N1015" s="189" t="s">
        <v>1553</v>
      </c>
      <c r="O1015" s="189" t="s">
        <v>278</v>
      </c>
      <c r="P1015" s="189" t="s">
        <v>390</v>
      </c>
      <c r="Q1015" s="189" t="s">
        <v>112</v>
      </c>
      <c r="R1015" s="189" t="s">
        <v>22</v>
      </c>
      <c r="S1015" s="189" t="s">
        <v>152</v>
      </c>
      <c r="T1015" s="189" t="s">
        <v>121</v>
      </c>
      <c r="U1015" s="189" t="s">
        <v>1557</v>
      </c>
      <c r="V1015" s="189" t="s">
        <v>192</v>
      </c>
      <c r="W1015" s="189" t="s">
        <v>124</v>
      </c>
      <c r="X1015" s="189" t="s">
        <v>298</v>
      </c>
      <c r="Y1015" s="189" t="s">
        <v>2108</v>
      </c>
      <c r="Z1015" s="0" t="n">
        <v>1</v>
      </c>
      <c r="AA1015" s="189" t="s">
        <v>2280</v>
      </c>
    </row>
    <row r="1016" customFormat="false" ht="15" hidden="false" customHeight="false" outlineLevel="0" collapsed="false">
      <c r="A1016" s="0" t="n">
        <v>211</v>
      </c>
      <c r="B1016" s="191" t="n">
        <v>46214.0417474818</v>
      </c>
      <c r="C1016" s="191" t="n">
        <v>46214.0568400744</v>
      </c>
      <c r="D1016" s="189" t="s">
        <v>1548</v>
      </c>
      <c r="E1016" s="189" t="s">
        <v>1549</v>
      </c>
      <c r="F1016" s="189" t="s">
        <v>1550</v>
      </c>
      <c r="G1016" s="189" t="s">
        <v>1551</v>
      </c>
      <c r="H1016" s="191" t="n">
        <v>46208</v>
      </c>
      <c r="I1016" s="189" t="s">
        <v>113</v>
      </c>
      <c r="J1016" s="189" t="s">
        <v>128</v>
      </c>
      <c r="K1016" s="189" t="s">
        <v>1552</v>
      </c>
      <c r="L1016" s="189" t="s">
        <v>246</v>
      </c>
      <c r="M1016" s="189" t="s">
        <v>809</v>
      </c>
      <c r="N1016" s="189" t="s">
        <v>1553</v>
      </c>
      <c r="O1016" s="189" t="s">
        <v>278</v>
      </c>
      <c r="P1016" s="189" t="s">
        <v>390</v>
      </c>
      <c r="Q1016" s="189" t="s">
        <v>112</v>
      </c>
      <c r="R1016" s="189" t="s">
        <v>22</v>
      </c>
      <c r="S1016" s="189" t="s">
        <v>152</v>
      </c>
      <c r="T1016" s="189" t="s">
        <v>121</v>
      </c>
      <c r="U1016" s="189" t="s">
        <v>1557</v>
      </c>
      <c r="V1016" s="189" t="s">
        <v>192</v>
      </c>
      <c r="W1016" s="189" t="s">
        <v>124</v>
      </c>
      <c r="X1016" s="189" t="s">
        <v>298</v>
      </c>
      <c r="Y1016" s="189" t="s">
        <v>2108</v>
      </c>
      <c r="Z1016" s="0" t="n">
        <v>2</v>
      </c>
      <c r="AA1016" s="189" t="s">
        <v>2169</v>
      </c>
    </row>
    <row r="1017" customFormat="false" ht="15" hidden="false" customHeight="false" outlineLevel="0" collapsed="false">
      <c r="A1017" s="0" t="n">
        <v>211</v>
      </c>
      <c r="B1017" s="191" t="n">
        <v>46214.0417474818</v>
      </c>
      <c r="C1017" s="191" t="n">
        <v>46214.0568400744</v>
      </c>
      <c r="D1017" s="189" t="s">
        <v>1548</v>
      </c>
      <c r="E1017" s="189" t="s">
        <v>1549</v>
      </c>
      <c r="F1017" s="189" t="s">
        <v>1550</v>
      </c>
      <c r="G1017" s="189" t="s">
        <v>1551</v>
      </c>
      <c r="H1017" s="191" t="n">
        <v>46208</v>
      </c>
      <c r="I1017" s="189" t="s">
        <v>113</v>
      </c>
      <c r="J1017" s="189" t="s">
        <v>128</v>
      </c>
      <c r="K1017" s="189" t="s">
        <v>1552</v>
      </c>
      <c r="L1017" s="189" t="s">
        <v>246</v>
      </c>
      <c r="M1017" s="189" t="s">
        <v>809</v>
      </c>
      <c r="N1017" s="189" t="s">
        <v>1553</v>
      </c>
      <c r="O1017" s="189" t="s">
        <v>278</v>
      </c>
      <c r="P1017" s="189" t="s">
        <v>390</v>
      </c>
      <c r="Q1017" s="189" t="s">
        <v>112</v>
      </c>
      <c r="R1017" s="189" t="s">
        <v>22</v>
      </c>
      <c r="S1017" s="189" t="s">
        <v>152</v>
      </c>
      <c r="T1017" s="189" t="s">
        <v>121</v>
      </c>
      <c r="U1017" s="189" t="s">
        <v>1557</v>
      </c>
      <c r="V1017" s="189" t="s">
        <v>192</v>
      </c>
      <c r="W1017" s="189" t="s">
        <v>124</v>
      </c>
      <c r="X1017" s="189" t="s">
        <v>298</v>
      </c>
      <c r="Y1017" s="189" t="s">
        <v>2110</v>
      </c>
      <c r="Z1017" s="0" t="n">
        <v>1</v>
      </c>
      <c r="AA1017" s="189" t="s">
        <v>2319</v>
      </c>
    </row>
    <row r="1018" customFormat="false" ht="15" hidden="false" customHeight="false" outlineLevel="0" collapsed="false">
      <c r="A1018" s="0" t="n">
        <v>211</v>
      </c>
      <c r="B1018" s="191" t="n">
        <v>46214.0417474818</v>
      </c>
      <c r="C1018" s="191" t="n">
        <v>46214.0568400744</v>
      </c>
      <c r="D1018" s="189" t="s">
        <v>1548</v>
      </c>
      <c r="E1018" s="189" t="s">
        <v>1549</v>
      </c>
      <c r="F1018" s="189" t="s">
        <v>1550</v>
      </c>
      <c r="G1018" s="189" t="s">
        <v>1551</v>
      </c>
      <c r="H1018" s="191" t="n">
        <v>46208</v>
      </c>
      <c r="I1018" s="189" t="s">
        <v>113</v>
      </c>
      <c r="J1018" s="189" t="s">
        <v>128</v>
      </c>
      <c r="K1018" s="189" t="s">
        <v>1552</v>
      </c>
      <c r="L1018" s="189" t="s">
        <v>246</v>
      </c>
      <c r="M1018" s="189" t="s">
        <v>809</v>
      </c>
      <c r="N1018" s="189" t="s">
        <v>1553</v>
      </c>
      <c r="O1018" s="189" t="s">
        <v>278</v>
      </c>
      <c r="P1018" s="189" t="s">
        <v>390</v>
      </c>
      <c r="Q1018" s="189" t="s">
        <v>112</v>
      </c>
      <c r="R1018" s="189" t="s">
        <v>22</v>
      </c>
      <c r="S1018" s="189" t="s">
        <v>152</v>
      </c>
      <c r="T1018" s="189" t="s">
        <v>121</v>
      </c>
      <c r="U1018" s="189" t="s">
        <v>1557</v>
      </c>
      <c r="V1018" s="189" t="s">
        <v>192</v>
      </c>
      <c r="W1018" s="189" t="s">
        <v>124</v>
      </c>
      <c r="X1018" s="189" t="s">
        <v>298</v>
      </c>
      <c r="Y1018" s="189" t="s">
        <v>2110</v>
      </c>
      <c r="Z1018" s="0" t="n">
        <v>2</v>
      </c>
      <c r="AA1018" s="189" t="s">
        <v>2253</v>
      </c>
    </row>
    <row r="1019" customFormat="false" ht="15" hidden="false" customHeight="false" outlineLevel="0" collapsed="false">
      <c r="A1019" s="0" t="n">
        <v>211</v>
      </c>
      <c r="B1019" s="191" t="n">
        <v>46214.0417474818</v>
      </c>
      <c r="C1019" s="191" t="n">
        <v>46214.0568400744</v>
      </c>
      <c r="D1019" s="189" t="s">
        <v>1548</v>
      </c>
      <c r="E1019" s="189" t="s">
        <v>1549</v>
      </c>
      <c r="F1019" s="189" t="s">
        <v>1550</v>
      </c>
      <c r="G1019" s="189" t="s">
        <v>1551</v>
      </c>
      <c r="H1019" s="191" t="n">
        <v>46208</v>
      </c>
      <c r="I1019" s="189" t="s">
        <v>113</v>
      </c>
      <c r="J1019" s="189" t="s">
        <v>128</v>
      </c>
      <c r="K1019" s="189" t="s">
        <v>1552</v>
      </c>
      <c r="L1019" s="189" t="s">
        <v>246</v>
      </c>
      <c r="M1019" s="189" t="s">
        <v>809</v>
      </c>
      <c r="N1019" s="189" t="s">
        <v>1553</v>
      </c>
      <c r="O1019" s="189" t="s">
        <v>278</v>
      </c>
      <c r="P1019" s="189" t="s">
        <v>390</v>
      </c>
      <c r="Q1019" s="189" t="s">
        <v>112</v>
      </c>
      <c r="R1019" s="189" t="s">
        <v>22</v>
      </c>
      <c r="S1019" s="189" t="s">
        <v>152</v>
      </c>
      <c r="T1019" s="189" t="s">
        <v>121</v>
      </c>
      <c r="U1019" s="189" t="s">
        <v>1557</v>
      </c>
      <c r="V1019" s="189" t="s">
        <v>192</v>
      </c>
      <c r="W1019" s="189" t="s">
        <v>124</v>
      </c>
      <c r="X1019" s="189" t="s">
        <v>298</v>
      </c>
      <c r="Y1019" s="189" t="s">
        <v>2113</v>
      </c>
      <c r="Z1019" s="0" t="n">
        <v>1</v>
      </c>
      <c r="AA1019" s="189" t="s">
        <v>2172</v>
      </c>
    </row>
    <row r="1020" customFormat="false" ht="15" hidden="false" customHeight="false" outlineLevel="0" collapsed="false">
      <c r="A1020" s="0" t="n">
        <v>212</v>
      </c>
      <c r="B1020" s="191" t="n">
        <v>46141.2756992215</v>
      </c>
      <c r="C1020" s="191" t="n">
        <v>46141.2941945919</v>
      </c>
      <c r="D1020" s="189" t="s">
        <v>1558</v>
      </c>
      <c r="E1020" s="189" t="s">
        <v>1559</v>
      </c>
      <c r="F1020" s="189" t="s">
        <v>1560</v>
      </c>
      <c r="G1020" s="189" t="s">
        <v>1561</v>
      </c>
      <c r="H1020" s="191" t="n">
        <v>46126</v>
      </c>
      <c r="I1020" s="189" t="s">
        <v>551</v>
      </c>
      <c r="J1020" s="189" t="s">
        <v>108</v>
      </c>
      <c r="K1020" s="189" t="s">
        <v>232</v>
      </c>
      <c r="L1020" s="189" t="s">
        <v>296</v>
      </c>
      <c r="M1020" s="189" t="s">
        <v>1074</v>
      </c>
      <c r="N1020" s="189" t="s">
        <v>134</v>
      </c>
      <c r="O1020" s="189" t="s">
        <v>107</v>
      </c>
      <c r="P1020" s="189" t="s">
        <v>111</v>
      </c>
      <c r="Q1020" s="189" t="s">
        <v>112</v>
      </c>
      <c r="R1020" s="189" t="s">
        <v>24</v>
      </c>
      <c r="S1020" s="189" t="s">
        <v>152</v>
      </c>
      <c r="T1020" s="189" t="s">
        <v>121</v>
      </c>
      <c r="U1020" s="189" t="s">
        <v>291</v>
      </c>
      <c r="V1020" s="189" t="s">
        <v>192</v>
      </c>
      <c r="W1020" s="189" t="s">
        <v>168</v>
      </c>
      <c r="X1020" s="189" t="s">
        <v>214</v>
      </c>
      <c r="Y1020" s="189" t="s">
        <v>2108</v>
      </c>
      <c r="Z1020" s="0" t="n">
        <v>1</v>
      </c>
      <c r="AA1020" s="189" t="s">
        <v>2183</v>
      </c>
    </row>
    <row r="1021" customFormat="false" ht="15" hidden="false" customHeight="false" outlineLevel="0" collapsed="false">
      <c r="A1021" s="0" t="n">
        <v>212</v>
      </c>
      <c r="B1021" s="191" t="n">
        <v>46141.2756992215</v>
      </c>
      <c r="C1021" s="191" t="n">
        <v>46141.2941945919</v>
      </c>
      <c r="D1021" s="189" t="s">
        <v>1558</v>
      </c>
      <c r="E1021" s="189" t="s">
        <v>1559</v>
      </c>
      <c r="F1021" s="189" t="s">
        <v>1560</v>
      </c>
      <c r="G1021" s="189" t="s">
        <v>1561</v>
      </c>
      <c r="H1021" s="191" t="n">
        <v>46126</v>
      </c>
      <c r="I1021" s="189" t="s">
        <v>551</v>
      </c>
      <c r="J1021" s="189" t="s">
        <v>108</v>
      </c>
      <c r="K1021" s="189" t="s">
        <v>232</v>
      </c>
      <c r="L1021" s="189" t="s">
        <v>296</v>
      </c>
      <c r="M1021" s="189" t="s">
        <v>1074</v>
      </c>
      <c r="N1021" s="189" t="s">
        <v>134</v>
      </c>
      <c r="O1021" s="189" t="s">
        <v>107</v>
      </c>
      <c r="P1021" s="189" t="s">
        <v>111</v>
      </c>
      <c r="Q1021" s="189" t="s">
        <v>112</v>
      </c>
      <c r="R1021" s="189" t="s">
        <v>24</v>
      </c>
      <c r="S1021" s="189" t="s">
        <v>152</v>
      </c>
      <c r="T1021" s="189" t="s">
        <v>121</v>
      </c>
      <c r="U1021" s="189" t="s">
        <v>291</v>
      </c>
      <c r="V1021" s="189" t="s">
        <v>192</v>
      </c>
      <c r="W1021" s="189" t="s">
        <v>168</v>
      </c>
      <c r="X1021" s="189" t="s">
        <v>214</v>
      </c>
      <c r="Y1021" s="189" t="s">
        <v>2108</v>
      </c>
      <c r="Z1021" s="0" t="n">
        <v>2</v>
      </c>
      <c r="AA1021" s="189" t="s">
        <v>2151</v>
      </c>
    </row>
    <row r="1022" customFormat="false" ht="15" hidden="false" customHeight="false" outlineLevel="0" collapsed="false">
      <c r="A1022" s="0" t="n">
        <v>212</v>
      </c>
      <c r="B1022" s="191" t="n">
        <v>46141.2756992215</v>
      </c>
      <c r="C1022" s="191" t="n">
        <v>46141.2941945919</v>
      </c>
      <c r="D1022" s="189" t="s">
        <v>1558</v>
      </c>
      <c r="E1022" s="189" t="s">
        <v>1559</v>
      </c>
      <c r="F1022" s="189" t="s">
        <v>1560</v>
      </c>
      <c r="G1022" s="189" t="s">
        <v>1561</v>
      </c>
      <c r="H1022" s="191" t="n">
        <v>46126</v>
      </c>
      <c r="I1022" s="189" t="s">
        <v>551</v>
      </c>
      <c r="J1022" s="189" t="s">
        <v>108</v>
      </c>
      <c r="K1022" s="189" t="s">
        <v>232</v>
      </c>
      <c r="L1022" s="189" t="s">
        <v>296</v>
      </c>
      <c r="M1022" s="189" t="s">
        <v>1074</v>
      </c>
      <c r="N1022" s="189" t="s">
        <v>134</v>
      </c>
      <c r="O1022" s="189" t="s">
        <v>107</v>
      </c>
      <c r="P1022" s="189" t="s">
        <v>111</v>
      </c>
      <c r="Q1022" s="189" t="s">
        <v>112</v>
      </c>
      <c r="R1022" s="189" t="s">
        <v>24</v>
      </c>
      <c r="S1022" s="189" t="s">
        <v>152</v>
      </c>
      <c r="T1022" s="189" t="s">
        <v>121</v>
      </c>
      <c r="U1022" s="189" t="s">
        <v>291</v>
      </c>
      <c r="V1022" s="189" t="s">
        <v>192</v>
      </c>
      <c r="W1022" s="189" t="s">
        <v>168</v>
      </c>
      <c r="X1022" s="189" t="s">
        <v>214</v>
      </c>
      <c r="Y1022" s="189" t="s">
        <v>2108</v>
      </c>
      <c r="Z1022" s="0" t="n">
        <v>3</v>
      </c>
      <c r="AA1022" s="189" t="s">
        <v>2125</v>
      </c>
    </row>
    <row r="1023" customFormat="false" ht="15" hidden="false" customHeight="false" outlineLevel="0" collapsed="false">
      <c r="A1023" s="0" t="n">
        <v>212</v>
      </c>
      <c r="B1023" s="191" t="n">
        <v>46141.2756992215</v>
      </c>
      <c r="C1023" s="191" t="n">
        <v>46141.2941945919</v>
      </c>
      <c r="D1023" s="189" t="s">
        <v>1558</v>
      </c>
      <c r="E1023" s="189" t="s">
        <v>1559</v>
      </c>
      <c r="F1023" s="189" t="s">
        <v>1560</v>
      </c>
      <c r="G1023" s="189" t="s">
        <v>1561</v>
      </c>
      <c r="H1023" s="191" t="n">
        <v>46126</v>
      </c>
      <c r="I1023" s="189" t="s">
        <v>551</v>
      </c>
      <c r="J1023" s="189" t="s">
        <v>108</v>
      </c>
      <c r="K1023" s="189" t="s">
        <v>232</v>
      </c>
      <c r="L1023" s="189" t="s">
        <v>296</v>
      </c>
      <c r="M1023" s="189" t="s">
        <v>1074</v>
      </c>
      <c r="N1023" s="189" t="s">
        <v>134</v>
      </c>
      <c r="O1023" s="189" t="s">
        <v>107</v>
      </c>
      <c r="P1023" s="189" t="s">
        <v>111</v>
      </c>
      <c r="Q1023" s="189" t="s">
        <v>112</v>
      </c>
      <c r="R1023" s="189" t="s">
        <v>24</v>
      </c>
      <c r="S1023" s="189" t="s">
        <v>152</v>
      </c>
      <c r="T1023" s="189" t="s">
        <v>121</v>
      </c>
      <c r="U1023" s="189" t="s">
        <v>291</v>
      </c>
      <c r="V1023" s="189" t="s">
        <v>192</v>
      </c>
      <c r="W1023" s="189" t="s">
        <v>168</v>
      </c>
      <c r="X1023" s="189" t="s">
        <v>214</v>
      </c>
      <c r="Y1023" s="189" t="s">
        <v>2110</v>
      </c>
      <c r="Z1023" s="0" t="n">
        <v>1</v>
      </c>
      <c r="AA1023" s="189" t="s">
        <v>122</v>
      </c>
    </row>
    <row r="1024" customFormat="false" ht="15" hidden="false" customHeight="false" outlineLevel="0" collapsed="false">
      <c r="A1024" s="0" t="n">
        <v>212</v>
      </c>
      <c r="B1024" s="191" t="n">
        <v>46141.2756992215</v>
      </c>
      <c r="C1024" s="191" t="n">
        <v>46141.2941945919</v>
      </c>
      <c r="D1024" s="189" t="s">
        <v>1558</v>
      </c>
      <c r="E1024" s="189" t="s">
        <v>1559</v>
      </c>
      <c r="F1024" s="189" t="s">
        <v>1560</v>
      </c>
      <c r="G1024" s="189" t="s">
        <v>1561</v>
      </c>
      <c r="H1024" s="191" t="n">
        <v>46126</v>
      </c>
      <c r="I1024" s="189" t="s">
        <v>551</v>
      </c>
      <c r="J1024" s="189" t="s">
        <v>108</v>
      </c>
      <c r="K1024" s="189" t="s">
        <v>232</v>
      </c>
      <c r="L1024" s="189" t="s">
        <v>296</v>
      </c>
      <c r="M1024" s="189" t="s">
        <v>1074</v>
      </c>
      <c r="N1024" s="189" t="s">
        <v>134</v>
      </c>
      <c r="O1024" s="189" t="s">
        <v>107</v>
      </c>
      <c r="P1024" s="189" t="s">
        <v>111</v>
      </c>
      <c r="Q1024" s="189" t="s">
        <v>112</v>
      </c>
      <c r="R1024" s="189" t="s">
        <v>24</v>
      </c>
      <c r="S1024" s="189" t="s">
        <v>152</v>
      </c>
      <c r="T1024" s="189" t="s">
        <v>121</v>
      </c>
      <c r="U1024" s="189" t="s">
        <v>291</v>
      </c>
      <c r="V1024" s="189" t="s">
        <v>192</v>
      </c>
      <c r="W1024" s="189" t="s">
        <v>168</v>
      </c>
      <c r="X1024" s="189" t="s">
        <v>214</v>
      </c>
      <c r="Y1024" s="189" t="s">
        <v>2110</v>
      </c>
      <c r="Z1024" s="0" t="n">
        <v>2</v>
      </c>
      <c r="AA1024" s="189" t="s">
        <v>2112</v>
      </c>
    </row>
    <row r="1025" customFormat="false" ht="15" hidden="false" customHeight="false" outlineLevel="0" collapsed="false">
      <c r="A1025" s="0" t="n">
        <v>212</v>
      </c>
      <c r="B1025" s="191" t="n">
        <v>46141.2756992215</v>
      </c>
      <c r="C1025" s="191" t="n">
        <v>46141.2941945919</v>
      </c>
      <c r="D1025" s="189" t="s">
        <v>1558</v>
      </c>
      <c r="E1025" s="189" t="s">
        <v>1559</v>
      </c>
      <c r="F1025" s="189" t="s">
        <v>1560</v>
      </c>
      <c r="G1025" s="189" t="s">
        <v>1561</v>
      </c>
      <c r="H1025" s="191" t="n">
        <v>46126</v>
      </c>
      <c r="I1025" s="189" t="s">
        <v>551</v>
      </c>
      <c r="J1025" s="189" t="s">
        <v>108</v>
      </c>
      <c r="K1025" s="189" t="s">
        <v>232</v>
      </c>
      <c r="L1025" s="189" t="s">
        <v>296</v>
      </c>
      <c r="M1025" s="189" t="s">
        <v>1074</v>
      </c>
      <c r="N1025" s="189" t="s">
        <v>134</v>
      </c>
      <c r="O1025" s="189" t="s">
        <v>107</v>
      </c>
      <c r="P1025" s="189" t="s">
        <v>111</v>
      </c>
      <c r="Q1025" s="189" t="s">
        <v>112</v>
      </c>
      <c r="R1025" s="189" t="s">
        <v>24</v>
      </c>
      <c r="S1025" s="189" t="s">
        <v>152</v>
      </c>
      <c r="T1025" s="189" t="s">
        <v>121</v>
      </c>
      <c r="U1025" s="189" t="s">
        <v>291</v>
      </c>
      <c r="V1025" s="189" t="s">
        <v>192</v>
      </c>
      <c r="W1025" s="189" t="s">
        <v>168</v>
      </c>
      <c r="X1025" s="189" t="s">
        <v>214</v>
      </c>
      <c r="Y1025" s="189" t="s">
        <v>2113</v>
      </c>
      <c r="Z1025" s="0" t="n">
        <v>1</v>
      </c>
      <c r="AA1025" s="189" t="s">
        <v>2184</v>
      </c>
    </row>
    <row r="1026" customFormat="false" ht="15" hidden="false" customHeight="false" outlineLevel="0" collapsed="false">
      <c r="A1026" s="0" t="n">
        <v>212</v>
      </c>
      <c r="B1026" s="191" t="n">
        <v>46141.2756992215</v>
      </c>
      <c r="C1026" s="191" t="n">
        <v>46141.2941945919</v>
      </c>
      <c r="D1026" s="189" t="s">
        <v>1558</v>
      </c>
      <c r="E1026" s="189" t="s">
        <v>1559</v>
      </c>
      <c r="F1026" s="189" t="s">
        <v>1560</v>
      </c>
      <c r="G1026" s="189" t="s">
        <v>1561</v>
      </c>
      <c r="H1026" s="191" t="n">
        <v>46126</v>
      </c>
      <c r="I1026" s="189" t="s">
        <v>551</v>
      </c>
      <c r="J1026" s="189" t="s">
        <v>108</v>
      </c>
      <c r="K1026" s="189" t="s">
        <v>232</v>
      </c>
      <c r="L1026" s="189" t="s">
        <v>296</v>
      </c>
      <c r="M1026" s="189" t="s">
        <v>1074</v>
      </c>
      <c r="N1026" s="189" t="s">
        <v>134</v>
      </c>
      <c r="O1026" s="189" t="s">
        <v>107</v>
      </c>
      <c r="P1026" s="189" t="s">
        <v>111</v>
      </c>
      <c r="Q1026" s="189" t="s">
        <v>112</v>
      </c>
      <c r="R1026" s="189" t="s">
        <v>24</v>
      </c>
      <c r="S1026" s="189" t="s">
        <v>152</v>
      </c>
      <c r="T1026" s="189" t="s">
        <v>121</v>
      </c>
      <c r="U1026" s="189" t="s">
        <v>291</v>
      </c>
      <c r="V1026" s="189" t="s">
        <v>192</v>
      </c>
      <c r="W1026" s="189" t="s">
        <v>168</v>
      </c>
      <c r="X1026" s="189" t="s">
        <v>214</v>
      </c>
      <c r="Y1026" s="189" t="s">
        <v>2113</v>
      </c>
      <c r="Z1026" s="0" t="n">
        <v>2</v>
      </c>
      <c r="AA1026" s="189" t="s">
        <v>122</v>
      </c>
    </row>
    <row r="1027" customFormat="false" ht="15" hidden="false" customHeight="false" outlineLevel="0" collapsed="false">
      <c r="A1027" s="0" t="n">
        <v>213</v>
      </c>
      <c r="B1027" s="191" t="n">
        <v>46129.8193942035</v>
      </c>
      <c r="C1027" s="191" t="n">
        <v>46129.8255284628</v>
      </c>
      <c r="D1027" s="189" t="s">
        <v>1565</v>
      </c>
      <c r="E1027" s="189" t="s">
        <v>1566</v>
      </c>
      <c r="F1027" s="189" t="s">
        <v>1566</v>
      </c>
      <c r="G1027" s="189" t="s">
        <v>1567</v>
      </c>
      <c r="H1027" s="191" t="n">
        <v>46117</v>
      </c>
      <c r="I1027" s="189" t="s">
        <v>863</v>
      </c>
      <c r="J1027" s="189" t="s">
        <v>295</v>
      </c>
      <c r="K1027" s="189" t="s">
        <v>232</v>
      </c>
      <c r="L1027" s="189" t="s">
        <v>346</v>
      </c>
      <c r="M1027" s="189" t="s">
        <v>694</v>
      </c>
      <c r="N1027" s="189" t="s">
        <v>287</v>
      </c>
      <c r="O1027" s="189" t="s">
        <v>107</v>
      </c>
      <c r="P1027" s="189" t="s">
        <v>111</v>
      </c>
      <c r="Q1027" s="189" t="s">
        <v>145</v>
      </c>
      <c r="R1027" s="189" t="s">
        <v>22</v>
      </c>
      <c r="S1027" s="189" t="s">
        <v>152</v>
      </c>
      <c r="T1027" s="189" t="s">
        <v>121</v>
      </c>
      <c r="U1027" s="189" t="s">
        <v>1568</v>
      </c>
      <c r="V1027" s="189" t="s">
        <v>123</v>
      </c>
      <c r="W1027" s="189" t="s">
        <v>124</v>
      </c>
      <c r="X1027" s="189" t="s">
        <v>339</v>
      </c>
      <c r="Y1027" s="189" t="s">
        <v>2108</v>
      </c>
      <c r="Z1027" s="0" t="n">
        <v>1</v>
      </c>
      <c r="AA1027" s="189" t="s">
        <v>2212</v>
      </c>
    </row>
    <row r="1028" customFormat="false" ht="15" hidden="false" customHeight="false" outlineLevel="0" collapsed="false">
      <c r="A1028" s="0" t="n">
        <v>213</v>
      </c>
      <c r="B1028" s="191" t="n">
        <v>46129.8193942035</v>
      </c>
      <c r="C1028" s="191" t="n">
        <v>46129.8255284628</v>
      </c>
      <c r="D1028" s="189" t="s">
        <v>1565</v>
      </c>
      <c r="E1028" s="189" t="s">
        <v>1566</v>
      </c>
      <c r="F1028" s="189" t="s">
        <v>1566</v>
      </c>
      <c r="G1028" s="189" t="s">
        <v>1567</v>
      </c>
      <c r="H1028" s="191" t="n">
        <v>46117</v>
      </c>
      <c r="I1028" s="189" t="s">
        <v>863</v>
      </c>
      <c r="J1028" s="189" t="s">
        <v>295</v>
      </c>
      <c r="K1028" s="189" t="s">
        <v>232</v>
      </c>
      <c r="L1028" s="189" t="s">
        <v>346</v>
      </c>
      <c r="M1028" s="189" t="s">
        <v>694</v>
      </c>
      <c r="N1028" s="189" t="s">
        <v>287</v>
      </c>
      <c r="O1028" s="189" t="s">
        <v>107</v>
      </c>
      <c r="P1028" s="189" t="s">
        <v>111</v>
      </c>
      <c r="Q1028" s="189" t="s">
        <v>145</v>
      </c>
      <c r="R1028" s="189" t="s">
        <v>22</v>
      </c>
      <c r="S1028" s="189" t="s">
        <v>152</v>
      </c>
      <c r="T1028" s="189" t="s">
        <v>121</v>
      </c>
      <c r="U1028" s="189" t="s">
        <v>1568</v>
      </c>
      <c r="V1028" s="189" t="s">
        <v>123</v>
      </c>
      <c r="W1028" s="189" t="s">
        <v>124</v>
      </c>
      <c r="X1028" s="189" t="s">
        <v>339</v>
      </c>
      <c r="Y1028" s="189" t="s">
        <v>2108</v>
      </c>
      <c r="Z1028" s="0" t="n">
        <v>2</v>
      </c>
      <c r="AA1028" s="189" t="s">
        <v>2213</v>
      </c>
    </row>
    <row r="1029" customFormat="false" ht="15" hidden="false" customHeight="false" outlineLevel="0" collapsed="false">
      <c r="A1029" s="0" t="n">
        <v>213</v>
      </c>
      <c r="B1029" s="191" t="n">
        <v>46129.8193942035</v>
      </c>
      <c r="C1029" s="191" t="n">
        <v>46129.8255284628</v>
      </c>
      <c r="D1029" s="189" t="s">
        <v>1565</v>
      </c>
      <c r="E1029" s="189" t="s">
        <v>1566</v>
      </c>
      <c r="F1029" s="189" t="s">
        <v>1566</v>
      </c>
      <c r="G1029" s="189" t="s">
        <v>1567</v>
      </c>
      <c r="H1029" s="191" t="n">
        <v>46117</v>
      </c>
      <c r="I1029" s="189" t="s">
        <v>863</v>
      </c>
      <c r="J1029" s="189" t="s">
        <v>295</v>
      </c>
      <c r="K1029" s="189" t="s">
        <v>232</v>
      </c>
      <c r="L1029" s="189" t="s">
        <v>346</v>
      </c>
      <c r="M1029" s="189" t="s">
        <v>694</v>
      </c>
      <c r="N1029" s="189" t="s">
        <v>287</v>
      </c>
      <c r="O1029" s="189" t="s">
        <v>107</v>
      </c>
      <c r="P1029" s="189" t="s">
        <v>111</v>
      </c>
      <c r="Q1029" s="189" t="s">
        <v>145</v>
      </c>
      <c r="R1029" s="189" t="s">
        <v>22</v>
      </c>
      <c r="S1029" s="189" t="s">
        <v>152</v>
      </c>
      <c r="T1029" s="189" t="s">
        <v>121</v>
      </c>
      <c r="U1029" s="189" t="s">
        <v>1568</v>
      </c>
      <c r="V1029" s="189" t="s">
        <v>123</v>
      </c>
      <c r="W1029" s="189" t="s">
        <v>124</v>
      </c>
      <c r="X1029" s="189" t="s">
        <v>339</v>
      </c>
      <c r="Y1029" s="189" t="s">
        <v>2110</v>
      </c>
      <c r="Z1029" s="0" t="n">
        <v>1</v>
      </c>
      <c r="AA1029" s="189" t="s">
        <v>2287</v>
      </c>
    </row>
    <row r="1030" customFormat="false" ht="15" hidden="false" customHeight="false" outlineLevel="0" collapsed="false">
      <c r="A1030" s="0" t="n">
        <v>213</v>
      </c>
      <c r="B1030" s="191" t="n">
        <v>46129.8193942035</v>
      </c>
      <c r="C1030" s="191" t="n">
        <v>46129.8255284628</v>
      </c>
      <c r="D1030" s="189" t="s">
        <v>1565</v>
      </c>
      <c r="E1030" s="189" t="s">
        <v>1566</v>
      </c>
      <c r="F1030" s="189" t="s">
        <v>1566</v>
      </c>
      <c r="G1030" s="189" t="s">
        <v>1567</v>
      </c>
      <c r="H1030" s="191" t="n">
        <v>46117</v>
      </c>
      <c r="I1030" s="189" t="s">
        <v>863</v>
      </c>
      <c r="J1030" s="189" t="s">
        <v>295</v>
      </c>
      <c r="K1030" s="189" t="s">
        <v>232</v>
      </c>
      <c r="L1030" s="189" t="s">
        <v>346</v>
      </c>
      <c r="M1030" s="189" t="s">
        <v>694</v>
      </c>
      <c r="N1030" s="189" t="s">
        <v>287</v>
      </c>
      <c r="O1030" s="189" t="s">
        <v>107</v>
      </c>
      <c r="P1030" s="189" t="s">
        <v>111</v>
      </c>
      <c r="Q1030" s="189" t="s">
        <v>145</v>
      </c>
      <c r="R1030" s="189" t="s">
        <v>22</v>
      </c>
      <c r="S1030" s="189" t="s">
        <v>152</v>
      </c>
      <c r="T1030" s="189" t="s">
        <v>121</v>
      </c>
      <c r="U1030" s="189" t="s">
        <v>1568</v>
      </c>
      <c r="V1030" s="189" t="s">
        <v>123</v>
      </c>
      <c r="W1030" s="189" t="s">
        <v>124</v>
      </c>
      <c r="X1030" s="189" t="s">
        <v>339</v>
      </c>
      <c r="Y1030" s="189" t="s">
        <v>2113</v>
      </c>
      <c r="Z1030" s="0" t="n">
        <v>1</v>
      </c>
      <c r="AA1030" s="189" t="s">
        <v>2279</v>
      </c>
    </row>
    <row r="1031" customFormat="false" ht="15" hidden="false" customHeight="false" outlineLevel="0" collapsed="false">
      <c r="A1031" s="0" t="n">
        <v>214</v>
      </c>
      <c r="B1031" s="191" t="n">
        <v>46175.8019339045</v>
      </c>
      <c r="C1031" s="191" t="n">
        <v>46175.8075589045</v>
      </c>
      <c r="D1031" s="189" t="s">
        <v>1569</v>
      </c>
      <c r="E1031" s="189" t="s">
        <v>1570</v>
      </c>
      <c r="F1031" s="189" t="s">
        <v>1570</v>
      </c>
      <c r="G1031" s="189" t="s">
        <v>1571</v>
      </c>
      <c r="H1031" s="191" t="n">
        <v>46165</v>
      </c>
      <c r="I1031" s="189" t="s">
        <v>113</v>
      </c>
      <c r="J1031" s="189" t="s">
        <v>108</v>
      </c>
      <c r="K1031" s="189" t="s">
        <v>1572</v>
      </c>
      <c r="L1031" s="189" t="s">
        <v>110</v>
      </c>
      <c r="M1031" s="189" t="s">
        <v>160</v>
      </c>
      <c r="N1031" s="189" t="s">
        <v>1573</v>
      </c>
      <c r="O1031" s="189" t="s">
        <v>107</v>
      </c>
      <c r="P1031" s="189" t="s">
        <v>111</v>
      </c>
      <c r="Q1031" s="189" t="s">
        <v>112</v>
      </c>
      <c r="R1031" s="189" t="s">
        <v>22</v>
      </c>
      <c r="S1031" s="189" t="s">
        <v>120</v>
      </c>
      <c r="T1031" s="189" t="s">
        <v>121</v>
      </c>
      <c r="U1031" s="189" t="s">
        <v>122</v>
      </c>
      <c r="V1031" s="189" t="s">
        <v>123</v>
      </c>
      <c r="W1031" s="189" t="s">
        <v>124</v>
      </c>
      <c r="X1031" s="189" t="s">
        <v>381</v>
      </c>
      <c r="Y1031" s="189" t="s">
        <v>2108</v>
      </c>
      <c r="Z1031" s="0" t="n">
        <v>1</v>
      </c>
      <c r="AA1031" s="189" t="s">
        <v>2224</v>
      </c>
    </row>
    <row r="1032" customFormat="false" ht="15" hidden="false" customHeight="false" outlineLevel="0" collapsed="false">
      <c r="A1032" s="0" t="n">
        <v>214</v>
      </c>
      <c r="B1032" s="191" t="n">
        <v>46175.8019339045</v>
      </c>
      <c r="C1032" s="191" t="n">
        <v>46175.8075589045</v>
      </c>
      <c r="D1032" s="189" t="s">
        <v>1569</v>
      </c>
      <c r="E1032" s="189" t="s">
        <v>1570</v>
      </c>
      <c r="F1032" s="189" t="s">
        <v>1570</v>
      </c>
      <c r="G1032" s="189" t="s">
        <v>1571</v>
      </c>
      <c r="H1032" s="191" t="n">
        <v>46165</v>
      </c>
      <c r="I1032" s="189" t="s">
        <v>113</v>
      </c>
      <c r="J1032" s="189" t="s">
        <v>108</v>
      </c>
      <c r="K1032" s="189" t="s">
        <v>1572</v>
      </c>
      <c r="L1032" s="189" t="s">
        <v>110</v>
      </c>
      <c r="M1032" s="189" t="s">
        <v>160</v>
      </c>
      <c r="N1032" s="189" t="s">
        <v>1573</v>
      </c>
      <c r="O1032" s="189" t="s">
        <v>107</v>
      </c>
      <c r="P1032" s="189" t="s">
        <v>111</v>
      </c>
      <c r="Q1032" s="189" t="s">
        <v>112</v>
      </c>
      <c r="R1032" s="189" t="s">
        <v>22</v>
      </c>
      <c r="S1032" s="189" t="s">
        <v>120</v>
      </c>
      <c r="T1032" s="189" t="s">
        <v>121</v>
      </c>
      <c r="U1032" s="189" t="s">
        <v>122</v>
      </c>
      <c r="V1032" s="189" t="s">
        <v>123</v>
      </c>
      <c r="W1032" s="189" t="s">
        <v>124</v>
      </c>
      <c r="X1032" s="189" t="s">
        <v>381</v>
      </c>
      <c r="Y1032" s="189" t="s">
        <v>2108</v>
      </c>
      <c r="Z1032" s="0" t="n">
        <v>2</v>
      </c>
      <c r="AA1032" s="189" t="s">
        <v>2277</v>
      </c>
    </row>
    <row r="1033" customFormat="false" ht="15" hidden="false" customHeight="false" outlineLevel="0" collapsed="false">
      <c r="A1033" s="0" t="n">
        <v>214</v>
      </c>
      <c r="B1033" s="191" t="n">
        <v>46175.8019339045</v>
      </c>
      <c r="C1033" s="191" t="n">
        <v>46175.8075589045</v>
      </c>
      <c r="D1033" s="189" t="s">
        <v>1569</v>
      </c>
      <c r="E1033" s="189" t="s">
        <v>1570</v>
      </c>
      <c r="F1033" s="189" t="s">
        <v>1570</v>
      </c>
      <c r="G1033" s="189" t="s">
        <v>1571</v>
      </c>
      <c r="H1033" s="191" t="n">
        <v>46165</v>
      </c>
      <c r="I1033" s="189" t="s">
        <v>113</v>
      </c>
      <c r="J1033" s="189" t="s">
        <v>108</v>
      </c>
      <c r="K1033" s="189" t="s">
        <v>1572</v>
      </c>
      <c r="L1033" s="189" t="s">
        <v>110</v>
      </c>
      <c r="M1033" s="189" t="s">
        <v>160</v>
      </c>
      <c r="N1033" s="189" t="s">
        <v>1573</v>
      </c>
      <c r="O1033" s="189" t="s">
        <v>107</v>
      </c>
      <c r="P1033" s="189" t="s">
        <v>111</v>
      </c>
      <c r="Q1033" s="189" t="s">
        <v>112</v>
      </c>
      <c r="R1033" s="189" t="s">
        <v>22</v>
      </c>
      <c r="S1033" s="189" t="s">
        <v>120</v>
      </c>
      <c r="T1033" s="189" t="s">
        <v>121</v>
      </c>
      <c r="U1033" s="189" t="s">
        <v>122</v>
      </c>
      <c r="V1033" s="189" t="s">
        <v>123</v>
      </c>
      <c r="W1033" s="189" t="s">
        <v>124</v>
      </c>
      <c r="X1033" s="189" t="s">
        <v>381</v>
      </c>
      <c r="Y1033" s="189" t="s">
        <v>2110</v>
      </c>
      <c r="Z1033" s="0" t="n">
        <v>1</v>
      </c>
      <c r="AA1033" s="189" t="s">
        <v>2204</v>
      </c>
    </row>
    <row r="1034" customFormat="false" ht="15" hidden="false" customHeight="false" outlineLevel="0" collapsed="false">
      <c r="A1034" s="0" t="n">
        <v>214</v>
      </c>
      <c r="B1034" s="191" t="n">
        <v>46175.8019339045</v>
      </c>
      <c r="C1034" s="191" t="n">
        <v>46175.8075589045</v>
      </c>
      <c r="D1034" s="189" t="s">
        <v>1569</v>
      </c>
      <c r="E1034" s="189" t="s">
        <v>1570</v>
      </c>
      <c r="F1034" s="189" t="s">
        <v>1570</v>
      </c>
      <c r="G1034" s="189" t="s">
        <v>1571</v>
      </c>
      <c r="H1034" s="191" t="n">
        <v>46165</v>
      </c>
      <c r="I1034" s="189" t="s">
        <v>113</v>
      </c>
      <c r="J1034" s="189" t="s">
        <v>108</v>
      </c>
      <c r="K1034" s="189" t="s">
        <v>1572</v>
      </c>
      <c r="L1034" s="189" t="s">
        <v>110</v>
      </c>
      <c r="M1034" s="189" t="s">
        <v>160</v>
      </c>
      <c r="N1034" s="189" t="s">
        <v>1573</v>
      </c>
      <c r="O1034" s="189" t="s">
        <v>107</v>
      </c>
      <c r="P1034" s="189" t="s">
        <v>111</v>
      </c>
      <c r="Q1034" s="189" t="s">
        <v>112</v>
      </c>
      <c r="R1034" s="189" t="s">
        <v>22</v>
      </c>
      <c r="S1034" s="189" t="s">
        <v>120</v>
      </c>
      <c r="T1034" s="189" t="s">
        <v>121</v>
      </c>
      <c r="U1034" s="189" t="s">
        <v>122</v>
      </c>
      <c r="V1034" s="189" t="s">
        <v>123</v>
      </c>
      <c r="W1034" s="189" t="s">
        <v>124</v>
      </c>
      <c r="X1034" s="189" t="s">
        <v>381</v>
      </c>
      <c r="Y1034" s="189" t="s">
        <v>2110</v>
      </c>
      <c r="Z1034" s="0" t="n">
        <v>2</v>
      </c>
      <c r="AA1034" s="189" t="s">
        <v>2294</v>
      </c>
    </row>
    <row r="1035" customFormat="false" ht="15" hidden="false" customHeight="false" outlineLevel="0" collapsed="false">
      <c r="A1035" s="0" t="n">
        <v>214</v>
      </c>
      <c r="B1035" s="191" t="n">
        <v>46175.8019339045</v>
      </c>
      <c r="C1035" s="191" t="n">
        <v>46175.8075589045</v>
      </c>
      <c r="D1035" s="189" t="s">
        <v>1569</v>
      </c>
      <c r="E1035" s="189" t="s">
        <v>1570</v>
      </c>
      <c r="F1035" s="189" t="s">
        <v>1570</v>
      </c>
      <c r="G1035" s="189" t="s">
        <v>1571</v>
      </c>
      <c r="H1035" s="191" t="n">
        <v>46165</v>
      </c>
      <c r="I1035" s="189" t="s">
        <v>113</v>
      </c>
      <c r="J1035" s="189" t="s">
        <v>108</v>
      </c>
      <c r="K1035" s="189" t="s">
        <v>1572</v>
      </c>
      <c r="L1035" s="189" t="s">
        <v>110</v>
      </c>
      <c r="M1035" s="189" t="s">
        <v>160</v>
      </c>
      <c r="N1035" s="189" t="s">
        <v>1573</v>
      </c>
      <c r="O1035" s="189" t="s">
        <v>107</v>
      </c>
      <c r="P1035" s="189" t="s">
        <v>111</v>
      </c>
      <c r="Q1035" s="189" t="s">
        <v>112</v>
      </c>
      <c r="R1035" s="189" t="s">
        <v>22</v>
      </c>
      <c r="S1035" s="189" t="s">
        <v>120</v>
      </c>
      <c r="T1035" s="189" t="s">
        <v>121</v>
      </c>
      <c r="U1035" s="189" t="s">
        <v>122</v>
      </c>
      <c r="V1035" s="189" t="s">
        <v>123</v>
      </c>
      <c r="W1035" s="189" t="s">
        <v>124</v>
      </c>
      <c r="X1035" s="189" t="s">
        <v>381</v>
      </c>
      <c r="Y1035" s="189" t="s">
        <v>2113</v>
      </c>
      <c r="Z1035" s="0" t="n">
        <v>1</v>
      </c>
      <c r="AA1035" s="189" t="s">
        <v>2207</v>
      </c>
    </row>
    <row r="1036" customFormat="false" ht="15" hidden="false" customHeight="false" outlineLevel="0" collapsed="false">
      <c r="A1036" s="0" t="n">
        <v>215</v>
      </c>
      <c r="B1036" s="191" t="n">
        <v>46041.7132504237</v>
      </c>
      <c r="C1036" s="191" t="n">
        <v>46041.7313754237</v>
      </c>
      <c r="D1036" s="189" t="s">
        <v>1575</v>
      </c>
      <c r="E1036" s="189" t="s">
        <v>1576</v>
      </c>
      <c r="F1036" s="189" t="s">
        <v>1576</v>
      </c>
      <c r="G1036" s="189" t="s">
        <v>1577</v>
      </c>
      <c r="H1036" s="191" t="n">
        <v>46037</v>
      </c>
      <c r="I1036" s="189" t="s">
        <v>113</v>
      </c>
      <c r="J1036" s="189" t="s">
        <v>108</v>
      </c>
      <c r="K1036" s="189" t="s">
        <v>196</v>
      </c>
      <c r="L1036" s="189" t="s">
        <v>389</v>
      </c>
      <c r="M1036" s="189" t="s">
        <v>199</v>
      </c>
      <c r="N1036" s="189" t="s">
        <v>213</v>
      </c>
      <c r="O1036" s="189" t="s">
        <v>172</v>
      </c>
      <c r="P1036" s="189" t="s">
        <v>111</v>
      </c>
      <c r="Q1036" s="189" t="s">
        <v>145</v>
      </c>
      <c r="R1036" s="189" t="s">
        <v>22</v>
      </c>
      <c r="S1036" s="189" t="s">
        <v>120</v>
      </c>
      <c r="T1036" s="189" t="s">
        <v>121</v>
      </c>
      <c r="U1036" s="189" t="s">
        <v>1229</v>
      </c>
      <c r="V1036" s="189" t="s">
        <v>192</v>
      </c>
      <c r="W1036" s="189" t="s">
        <v>124</v>
      </c>
      <c r="X1036" s="189" t="s">
        <v>339</v>
      </c>
      <c r="Y1036" s="189" t="s">
        <v>2108</v>
      </c>
      <c r="Z1036" s="0" t="n">
        <v>1</v>
      </c>
      <c r="AA1036" s="189" t="s">
        <v>2185</v>
      </c>
    </row>
    <row r="1037" customFormat="false" ht="15" hidden="false" customHeight="false" outlineLevel="0" collapsed="false">
      <c r="A1037" s="0" t="n">
        <v>215</v>
      </c>
      <c r="B1037" s="191" t="n">
        <v>46041.7132504237</v>
      </c>
      <c r="C1037" s="191" t="n">
        <v>46041.7313754237</v>
      </c>
      <c r="D1037" s="189" t="s">
        <v>1575</v>
      </c>
      <c r="E1037" s="189" t="s">
        <v>1576</v>
      </c>
      <c r="F1037" s="189" t="s">
        <v>1576</v>
      </c>
      <c r="G1037" s="189" t="s">
        <v>1577</v>
      </c>
      <c r="H1037" s="191" t="n">
        <v>46037</v>
      </c>
      <c r="I1037" s="189" t="s">
        <v>113</v>
      </c>
      <c r="J1037" s="189" t="s">
        <v>108</v>
      </c>
      <c r="K1037" s="189" t="s">
        <v>196</v>
      </c>
      <c r="L1037" s="189" t="s">
        <v>389</v>
      </c>
      <c r="M1037" s="189" t="s">
        <v>199</v>
      </c>
      <c r="N1037" s="189" t="s">
        <v>213</v>
      </c>
      <c r="O1037" s="189" t="s">
        <v>172</v>
      </c>
      <c r="P1037" s="189" t="s">
        <v>111</v>
      </c>
      <c r="Q1037" s="189" t="s">
        <v>145</v>
      </c>
      <c r="R1037" s="189" t="s">
        <v>22</v>
      </c>
      <c r="S1037" s="189" t="s">
        <v>120</v>
      </c>
      <c r="T1037" s="189" t="s">
        <v>121</v>
      </c>
      <c r="U1037" s="189" t="s">
        <v>1229</v>
      </c>
      <c r="V1037" s="189" t="s">
        <v>192</v>
      </c>
      <c r="W1037" s="189" t="s">
        <v>124</v>
      </c>
      <c r="X1037" s="189" t="s">
        <v>339</v>
      </c>
      <c r="Y1037" s="189" t="s">
        <v>2108</v>
      </c>
      <c r="Z1037" s="0" t="n">
        <v>2</v>
      </c>
      <c r="AA1037" s="189" t="s">
        <v>2213</v>
      </c>
    </row>
    <row r="1038" customFormat="false" ht="15" hidden="false" customHeight="false" outlineLevel="0" collapsed="false">
      <c r="A1038" s="0" t="n">
        <v>215</v>
      </c>
      <c r="B1038" s="191" t="n">
        <v>46041.7132504237</v>
      </c>
      <c r="C1038" s="191" t="n">
        <v>46041.7313754237</v>
      </c>
      <c r="D1038" s="189" t="s">
        <v>1575</v>
      </c>
      <c r="E1038" s="189" t="s">
        <v>1576</v>
      </c>
      <c r="F1038" s="189" t="s">
        <v>1576</v>
      </c>
      <c r="G1038" s="189" t="s">
        <v>1577</v>
      </c>
      <c r="H1038" s="191" t="n">
        <v>46037</v>
      </c>
      <c r="I1038" s="189" t="s">
        <v>113</v>
      </c>
      <c r="J1038" s="189" t="s">
        <v>108</v>
      </c>
      <c r="K1038" s="189" t="s">
        <v>196</v>
      </c>
      <c r="L1038" s="189" t="s">
        <v>389</v>
      </c>
      <c r="M1038" s="189" t="s">
        <v>199</v>
      </c>
      <c r="N1038" s="189" t="s">
        <v>213</v>
      </c>
      <c r="O1038" s="189" t="s">
        <v>172</v>
      </c>
      <c r="P1038" s="189" t="s">
        <v>111</v>
      </c>
      <c r="Q1038" s="189" t="s">
        <v>145</v>
      </c>
      <c r="R1038" s="189" t="s">
        <v>22</v>
      </c>
      <c r="S1038" s="189" t="s">
        <v>120</v>
      </c>
      <c r="T1038" s="189" t="s">
        <v>121</v>
      </c>
      <c r="U1038" s="189" t="s">
        <v>1229</v>
      </c>
      <c r="V1038" s="189" t="s">
        <v>192</v>
      </c>
      <c r="W1038" s="189" t="s">
        <v>124</v>
      </c>
      <c r="X1038" s="189" t="s">
        <v>339</v>
      </c>
      <c r="Y1038" s="189" t="s">
        <v>2108</v>
      </c>
      <c r="Z1038" s="0" t="n">
        <v>3</v>
      </c>
      <c r="AA1038" s="189" t="s">
        <v>2212</v>
      </c>
    </row>
    <row r="1039" customFormat="false" ht="15" hidden="false" customHeight="false" outlineLevel="0" collapsed="false">
      <c r="A1039" s="0" t="n">
        <v>215</v>
      </c>
      <c r="B1039" s="191" t="n">
        <v>46041.7132504237</v>
      </c>
      <c r="C1039" s="191" t="n">
        <v>46041.7313754237</v>
      </c>
      <c r="D1039" s="189" t="s">
        <v>1575</v>
      </c>
      <c r="E1039" s="189" t="s">
        <v>1576</v>
      </c>
      <c r="F1039" s="189" t="s">
        <v>1576</v>
      </c>
      <c r="G1039" s="189" t="s">
        <v>1577</v>
      </c>
      <c r="H1039" s="191" t="n">
        <v>46037</v>
      </c>
      <c r="I1039" s="189" t="s">
        <v>113</v>
      </c>
      <c r="J1039" s="189" t="s">
        <v>108</v>
      </c>
      <c r="K1039" s="189" t="s">
        <v>196</v>
      </c>
      <c r="L1039" s="189" t="s">
        <v>389</v>
      </c>
      <c r="M1039" s="189" t="s">
        <v>199</v>
      </c>
      <c r="N1039" s="189" t="s">
        <v>213</v>
      </c>
      <c r="O1039" s="189" t="s">
        <v>172</v>
      </c>
      <c r="P1039" s="189" t="s">
        <v>111</v>
      </c>
      <c r="Q1039" s="189" t="s">
        <v>145</v>
      </c>
      <c r="R1039" s="189" t="s">
        <v>22</v>
      </c>
      <c r="S1039" s="189" t="s">
        <v>120</v>
      </c>
      <c r="T1039" s="189" t="s">
        <v>121</v>
      </c>
      <c r="U1039" s="189" t="s">
        <v>1229</v>
      </c>
      <c r="V1039" s="189" t="s">
        <v>192</v>
      </c>
      <c r="W1039" s="189" t="s">
        <v>124</v>
      </c>
      <c r="X1039" s="189" t="s">
        <v>339</v>
      </c>
      <c r="Y1039" s="189" t="s">
        <v>2110</v>
      </c>
      <c r="Z1039" s="0" t="n">
        <v>1</v>
      </c>
      <c r="AA1039" s="189" t="s">
        <v>2279</v>
      </c>
    </row>
    <row r="1040" customFormat="false" ht="15" hidden="false" customHeight="false" outlineLevel="0" collapsed="false">
      <c r="A1040" s="0" t="n">
        <v>215</v>
      </c>
      <c r="B1040" s="191" t="n">
        <v>46041.7132504237</v>
      </c>
      <c r="C1040" s="191" t="n">
        <v>46041.7313754237</v>
      </c>
      <c r="D1040" s="189" t="s">
        <v>1575</v>
      </c>
      <c r="E1040" s="189" t="s">
        <v>1576</v>
      </c>
      <c r="F1040" s="189" t="s">
        <v>1576</v>
      </c>
      <c r="G1040" s="189" t="s">
        <v>1577</v>
      </c>
      <c r="H1040" s="191" t="n">
        <v>46037</v>
      </c>
      <c r="I1040" s="189" t="s">
        <v>113</v>
      </c>
      <c r="J1040" s="189" t="s">
        <v>108</v>
      </c>
      <c r="K1040" s="189" t="s">
        <v>196</v>
      </c>
      <c r="L1040" s="189" t="s">
        <v>389</v>
      </c>
      <c r="M1040" s="189" t="s">
        <v>199</v>
      </c>
      <c r="N1040" s="189" t="s">
        <v>213</v>
      </c>
      <c r="O1040" s="189" t="s">
        <v>172</v>
      </c>
      <c r="P1040" s="189" t="s">
        <v>111</v>
      </c>
      <c r="Q1040" s="189" t="s">
        <v>145</v>
      </c>
      <c r="R1040" s="189" t="s">
        <v>22</v>
      </c>
      <c r="S1040" s="189" t="s">
        <v>120</v>
      </c>
      <c r="T1040" s="189" t="s">
        <v>121</v>
      </c>
      <c r="U1040" s="189" t="s">
        <v>1229</v>
      </c>
      <c r="V1040" s="189" t="s">
        <v>192</v>
      </c>
      <c r="W1040" s="189" t="s">
        <v>124</v>
      </c>
      <c r="X1040" s="189" t="s">
        <v>339</v>
      </c>
      <c r="Y1040" s="189" t="s">
        <v>2110</v>
      </c>
      <c r="Z1040" s="0" t="n">
        <v>2</v>
      </c>
      <c r="AA1040" s="189" t="s">
        <v>2187</v>
      </c>
    </row>
    <row r="1041" customFormat="false" ht="15" hidden="false" customHeight="false" outlineLevel="0" collapsed="false">
      <c r="A1041" s="0" t="n">
        <v>215</v>
      </c>
      <c r="B1041" s="191" t="n">
        <v>46041.7132504237</v>
      </c>
      <c r="C1041" s="191" t="n">
        <v>46041.7313754237</v>
      </c>
      <c r="D1041" s="189" t="s">
        <v>1575</v>
      </c>
      <c r="E1041" s="189" t="s">
        <v>1576</v>
      </c>
      <c r="F1041" s="189" t="s">
        <v>1576</v>
      </c>
      <c r="G1041" s="189" t="s">
        <v>1577</v>
      </c>
      <c r="H1041" s="191" t="n">
        <v>46037</v>
      </c>
      <c r="I1041" s="189" t="s">
        <v>113</v>
      </c>
      <c r="J1041" s="189" t="s">
        <v>108</v>
      </c>
      <c r="K1041" s="189" t="s">
        <v>196</v>
      </c>
      <c r="L1041" s="189" t="s">
        <v>389</v>
      </c>
      <c r="M1041" s="189" t="s">
        <v>199</v>
      </c>
      <c r="N1041" s="189" t="s">
        <v>213</v>
      </c>
      <c r="O1041" s="189" t="s">
        <v>172</v>
      </c>
      <c r="P1041" s="189" t="s">
        <v>111</v>
      </c>
      <c r="Q1041" s="189" t="s">
        <v>145</v>
      </c>
      <c r="R1041" s="189" t="s">
        <v>22</v>
      </c>
      <c r="S1041" s="189" t="s">
        <v>120</v>
      </c>
      <c r="T1041" s="189" t="s">
        <v>121</v>
      </c>
      <c r="U1041" s="189" t="s">
        <v>1229</v>
      </c>
      <c r="V1041" s="189" t="s">
        <v>192</v>
      </c>
      <c r="W1041" s="189" t="s">
        <v>124</v>
      </c>
      <c r="X1041" s="189" t="s">
        <v>339</v>
      </c>
      <c r="Y1041" s="189" t="s">
        <v>2113</v>
      </c>
      <c r="Z1041" s="0" t="n">
        <v>1</v>
      </c>
      <c r="AA1041" s="189" t="s">
        <v>2261</v>
      </c>
    </row>
    <row r="1042" customFormat="false" ht="15" hidden="false" customHeight="false" outlineLevel="0" collapsed="false">
      <c r="A1042" s="0" t="n">
        <v>216</v>
      </c>
      <c r="B1042" s="191" t="n">
        <v>46044.9001172648</v>
      </c>
      <c r="C1042" s="191" t="n">
        <v>46044.9112630981</v>
      </c>
      <c r="D1042" s="189" t="s">
        <v>1580</v>
      </c>
      <c r="E1042" s="189" t="s">
        <v>1581</v>
      </c>
      <c r="F1042" s="189" t="s">
        <v>1582</v>
      </c>
      <c r="G1042" s="189" t="s">
        <v>1583</v>
      </c>
      <c r="H1042" s="191" t="n">
        <v>46037</v>
      </c>
      <c r="I1042" s="189" t="s">
        <v>113</v>
      </c>
      <c r="J1042" s="189" t="s">
        <v>295</v>
      </c>
      <c r="K1042" s="189" t="s">
        <v>462</v>
      </c>
      <c r="L1042" s="189" t="s">
        <v>130</v>
      </c>
      <c r="M1042" s="189" t="s">
        <v>146</v>
      </c>
      <c r="N1042" s="189" t="s">
        <v>338</v>
      </c>
      <c r="O1042" s="189" t="s">
        <v>107</v>
      </c>
      <c r="P1042" s="189" t="s">
        <v>111</v>
      </c>
      <c r="Q1042" s="189" t="s">
        <v>112</v>
      </c>
      <c r="R1042" s="189" t="s">
        <v>22</v>
      </c>
      <c r="S1042" s="189" t="s">
        <v>227</v>
      </c>
      <c r="T1042" s="189" t="s">
        <v>121</v>
      </c>
      <c r="U1042" s="189" t="s">
        <v>122</v>
      </c>
      <c r="V1042" s="189" t="s">
        <v>167</v>
      </c>
      <c r="W1042" s="189" t="s">
        <v>124</v>
      </c>
      <c r="X1042" s="189" t="s">
        <v>339</v>
      </c>
      <c r="Y1042" s="189" t="s">
        <v>2108</v>
      </c>
      <c r="Z1042" s="0" t="n">
        <v>1</v>
      </c>
      <c r="AA1042" s="189" t="s">
        <v>2212</v>
      </c>
    </row>
    <row r="1043" customFormat="false" ht="15" hidden="false" customHeight="false" outlineLevel="0" collapsed="false">
      <c r="A1043" s="0" t="n">
        <v>216</v>
      </c>
      <c r="B1043" s="191" t="n">
        <v>46044.9001172648</v>
      </c>
      <c r="C1043" s="191" t="n">
        <v>46044.9112630981</v>
      </c>
      <c r="D1043" s="189" t="s">
        <v>1580</v>
      </c>
      <c r="E1043" s="189" t="s">
        <v>1581</v>
      </c>
      <c r="F1043" s="189" t="s">
        <v>1582</v>
      </c>
      <c r="G1043" s="189" t="s">
        <v>1583</v>
      </c>
      <c r="H1043" s="191" t="n">
        <v>46037</v>
      </c>
      <c r="I1043" s="189" t="s">
        <v>113</v>
      </c>
      <c r="J1043" s="189" t="s">
        <v>295</v>
      </c>
      <c r="K1043" s="189" t="s">
        <v>462</v>
      </c>
      <c r="L1043" s="189" t="s">
        <v>130</v>
      </c>
      <c r="M1043" s="189" t="s">
        <v>146</v>
      </c>
      <c r="N1043" s="189" t="s">
        <v>338</v>
      </c>
      <c r="O1043" s="189" t="s">
        <v>107</v>
      </c>
      <c r="P1043" s="189" t="s">
        <v>111</v>
      </c>
      <c r="Q1043" s="189" t="s">
        <v>112</v>
      </c>
      <c r="R1043" s="189" t="s">
        <v>22</v>
      </c>
      <c r="S1043" s="189" t="s">
        <v>227</v>
      </c>
      <c r="T1043" s="189" t="s">
        <v>121</v>
      </c>
      <c r="U1043" s="189" t="s">
        <v>122</v>
      </c>
      <c r="V1043" s="189" t="s">
        <v>167</v>
      </c>
      <c r="W1043" s="189" t="s">
        <v>124</v>
      </c>
      <c r="X1043" s="189" t="s">
        <v>339</v>
      </c>
      <c r="Y1043" s="189" t="s">
        <v>2108</v>
      </c>
      <c r="Z1043" s="0" t="n">
        <v>2</v>
      </c>
      <c r="AA1043" s="189" t="s">
        <v>2242</v>
      </c>
    </row>
    <row r="1044" customFormat="false" ht="15" hidden="false" customHeight="false" outlineLevel="0" collapsed="false">
      <c r="A1044" s="0" t="n">
        <v>216</v>
      </c>
      <c r="B1044" s="191" t="n">
        <v>46044.9001172648</v>
      </c>
      <c r="C1044" s="191" t="n">
        <v>46044.9112630981</v>
      </c>
      <c r="D1044" s="189" t="s">
        <v>1580</v>
      </c>
      <c r="E1044" s="189" t="s">
        <v>1581</v>
      </c>
      <c r="F1044" s="189" t="s">
        <v>1582</v>
      </c>
      <c r="G1044" s="189" t="s">
        <v>1583</v>
      </c>
      <c r="H1044" s="191" t="n">
        <v>46037</v>
      </c>
      <c r="I1044" s="189" t="s">
        <v>113</v>
      </c>
      <c r="J1044" s="189" t="s">
        <v>295</v>
      </c>
      <c r="K1044" s="189" t="s">
        <v>462</v>
      </c>
      <c r="L1044" s="189" t="s">
        <v>130</v>
      </c>
      <c r="M1044" s="189" t="s">
        <v>146</v>
      </c>
      <c r="N1044" s="189" t="s">
        <v>338</v>
      </c>
      <c r="O1044" s="189" t="s">
        <v>107</v>
      </c>
      <c r="P1044" s="189" t="s">
        <v>111</v>
      </c>
      <c r="Q1044" s="189" t="s">
        <v>112</v>
      </c>
      <c r="R1044" s="189" t="s">
        <v>22</v>
      </c>
      <c r="S1044" s="189" t="s">
        <v>227</v>
      </c>
      <c r="T1044" s="189" t="s">
        <v>121</v>
      </c>
      <c r="U1044" s="189" t="s">
        <v>122</v>
      </c>
      <c r="V1044" s="189" t="s">
        <v>167</v>
      </c>
      <c r="W1044" s="189" t="s">
        <v>124</v>
      </c>
      <c r="X1044" s="189" t="s">
        <v>339</v>
      </c>
      <c r="Y1044" s="189" t="s">
        <v>2108</v>
      </c>
      <c r="Z1044" s="0" t="n">
        <v>3</v>
      </c>
      <c r="AA1044" s="189" t="s">
        <v>2213</v>
      </c>
    </row>
    <row r="1045" customFormat="false" ht="15" hidden="false" customHeight="false" outlineLevel="0" collapsed="false">
      <c r="A1045" s="0" t="n">
        <v>216</v>
      </c>
      <c r="B1045" s="191" t="n">
        <v>46044.9001172648</v>
      </c>
      <c r="C1045" s="191" t="n">
        <v>46044.9112630981</v>
      </c>
      <c r="D1045" s="189" t="s">
        <v>1580</v>
      </c>
      <c r="E1045" s="189" t="s">
        <v>1581</v>
      </c>
      <c r="F1045" s="189" t="s">
        <v>1582</v>
      </c>
      <c r="G1045" s="189" t="s">
        <v>1583</v>
      </c>
      <c r="H1045" s="191" t="n">
        <v>46037</v>
      </c>
      <c r="I1045" s="189" t="s">
        <v>113</v>
      </c>
      <c r="J1045" s="189" t="s">
        <v>295</v>
      </c>
      <c r="K1045" s="189" t="s">
        <v>462</v>
      </c>
      <c r="L1045" s="189" t="s">
        <v>130</v>
      </c>
      <c r="M1045" s="189" t="s">
        <v>146</v>
      </c>
      <c r="N1045" s="189" t="s">
        <v>338</v>
      </c>
      <c r="O1045" s="189" t="s">
        <v>107</v>
      </c>
      <c r="P1045" s="189" t="s">
        <v>111</v>
      </c>
      <c r="Q1045" s="189" t="s">
        <v>112</v>
      </c>
      <c r="R1045" s="189" t="s">
        <v>22</v>
      </c>
      <c r="S1045" s="189" t="s">
        <v>227</v>
      </c>
      <c r="T1045" s="189" t="s">
        <v>121</v>
      </c>
      <c r="U1045" s="189" t="s">
        <v>122</v>
      </c>
      <c r="V1045" s="189" t="s">
        <v>167</v>
      </c>
      <c r="W1045" s="189" t="s">
        <v>124</v>
      </c>
      <c r="X1045" s="189" t="s">
        <v>339</v>
      </c>
      <c r="Y1045" s="189" t="s">
        <v>2110</v>
      </c>
      <c r="Z1045" s="0" t="n">
        <v>1</v>
      </c>
      <c r="AA1045" s="189" t="s">
        <v>2187</v>
      </c>
    </row>
    <row r="1046" customFormat="false" ht="15" hidden="false" customHeight="false" outlineLevel="0" collapsed="false">
      <c r="A1046" s="0" t="n">
        <v>216</v>
      </c>
      <c r="B1046" s="191" t="n">
        <v>46044.9001172648</v>
      </c>
      <c r="C1046" s="191" t="n">
        <v>46044.9112630981</v>
      </c>
      <c r="D1046" s="189" t="s">
        <v>1580</v>
      </c>
      <c r="E1046" s="189" t="s">
        <v>1581</v>
      </c>
      <c r="F1046" s="189" t="s">
        <v>1582</v>
      </c>
      <c r="G1046" s="189" t="s">
        <v>1583</v>
      </c>
      <c r="H1046" s="191" t="n">
        <v>46037</v>
      </c>
      <c r="I1046" s="189" t="s">
        <v>113</v>
      </c>
      <c r="J1046" s="189" t="s">
        <v>295</v>
      </c>
      <c r="K1046" s="189" t="s">
        <v>462</v>
      </c>
      <c r="L1046" s="189" t="s">
        <v>130</v>
      </c>
      <c r="M1046" s="189" t="s">
        <v>146</v>
      </c>
      <c r="N1046" s="189" t="s">
        <v>338</v>
      </c>
      <c r="O1046" s="189" t="s">
        <v>107</v>
      </c>
      <c r="P1046" s="189" t="s">
        <v>111</v>
      </c>
      <c r="Q1046" s="189" t="s">
        <v>112</v>
      </c>
      <c r="R1046" s="189" t="s">
        <v>22</v>
      </c>
      <c r="S1046" s="189" t="s">
        <v>227</v>
      </c>
      <c r="T1046" s="189" t="s">
        <v>121</v>
      </c>
      <c r="U1046" s="189" t="s">
        <v>122</v>
      </c>
      <c r="V1046" s="189" t="s">
        <v>167</v>
      </c>
      <c r="W1046" s="189" t="s">
        <v>124</v>
      </c>
      <c r="X1046" s="189" t="s">
        <v>339</v>
      </c>
      <c r="Y1046" s="189" t="s">
        <v>2113</v>
      </c>
      <c r="Z1046" s="0" t="n">
        <v>1</v>
      </c>
      <c r="AA1046" s="189" t="s">
        <v>122</v>
      </c>
    </row>
    <row r="1047" customFormat="false" ht="15" hidden="false" customHeight="false" outlineLevel="0" collapsed="false">
      <c r="A1047" s="0" t="n">
        <v>216</v>
      </c>
      <c r="B1047" s="191" t="n">
        <v>46044.9001172648</v>
      </c>
      <c r="C1047" s="191" t="n">
        <v>46044.9112630981</v>
      </c>
      <c r="D1047" s="189" t="s">
        <v>1580</v>
      </c>
      <c r="E1047" s="189" t="s">
        <v>1581</v>
      </c>
      <c r="F1047" s="189" t="s">
        <v>1582</v>
      </c>
      <c r="G1047" s="189" t="s">
        <v>1583</v>
      </c>
      <c r="H1047" s="191" t="n">
        <v>46037</v>
      </c>
      <c r="I1047" s="189" t="s">
        <v>113</v>
      </c>
      <c r="J1047" s="189" t="s">
        <v>295</v>
      </c>
      <c r="K1047" s="189" t="s">
        <v>462</v>
      </c>
      <c r="L1047" s="189" t="s">
        <v>130</v>
      </c>
      <c r="M1047" s="189" t="s">
        <v>146</v>
      </c>
      <c r="N1047" s="189" t="s">
        <v>338</v>
      </c>
      <c r="O1047" s="189" t="s">
        <v>107</v>
      </c>
      <c r="P1047" s="189" t="s">
        <v>111</v>
      </c>
      <c r="Q1047" s="189" t="s">
        <v>112</v>
      </c>
      <c r="R1047" s="189" t="s">
        <v>22</v>
      </c>
      <c r="S1047" s="189" t="s">
        <v>227</v>
      </c>
      <c r="T1047" s="189" t="s">
        <v>121</v>
      </c>
      <c r="U1047" s="189" t="s">
        <v>122</v>
      </c>
      <c r="V1047" s="189" t="s">
        <v>167</v>
      </c>
      <c r="W1047" s="189" t="s">
        <v>124</v>
      </c>
      <c r="X1047" s="189" t="s">
        <v>339</v>
      </c>
      <c r="Y1047" s="189" t="s">
        <v>2113</v>
      </c>
      <c r="Z1047" s="0" t="n">
        <v>2</v>
      </c>
      <c r="AA1047" s="189" t="s">
        <v>2279</v>
      </c>
    </row>
    <row r="1048" customFormat="false" ht="15" hidden="false" customHeight="false" outlineLevel="0" collapsed="false">
      <c r="A1048" s="0" t="n">
        <v>217</v>
      </c>
      <c r="B1048" s="191" t="n">
        <v>46047.2117893306</v>
      </c>
      <c r="C1048" s="191" t="n">
        <v>46047.2313032195</v>
      </c>
      <c r="D1048" s="189" t="s">
        <v>1586</v>
      </c>
      <c r="E1048" s="189" t="s">
        <v>1587</v>
      </c>
      <c r="F1048" s="189" t="s">
        <v>1587</v>
      </c>
      <c r="G1048" s="189" t="s">
        <v>1588</v>
      </c>
      <c r="H1048" s="191" t="n">
        <v>46028</v>
      </c>
      <c r="I1048" s="189" t="s">
        <v>113</v>
      </c>
      <c r="J1048" s="189" t="s">
        <v>128</v>
      </c>
      <c r="K1048" s="189" t="s">
        <v>1589</v>
      </c>
      <c r="L1048" s="189" t="s">
        <v>110</v>
      </c>
      <c r="M1048" s="189" t="s">
        <v>686</v>
      </c>
      <c r="N1048" s="189" t="s">
        <v>508</v>
      </c>
      <c r="O1048" s="189" t="s">
        <v>172</v>
      </c>
      <c r="P1048" s="189" t="s">
        <v>131</v>
      </c>
      <c r="Q1048" s="189" t="s">
        <v>112</v>
      </c>
      <c r="R1048" s="189" t="s">
        <v>25</v>
      </c>
      <c r="S1048" s="189" t="s">
        <v>152</v>
      </c>
      <c r="T1048" s="189" t="s">
        <v>121</v>
      </c>
      <c r="U1048" s="189" t="s">
        <v>122</v>
      </c>
      <c r="V1048" s="189" t="s">
        <v>192</v>
      </c>
      <c r="W1048" s="189" t="s">
        <v>124</v>
      </c>
      <c r="X1048" s="189" t="s">
        <v>687</v>
      </c>
      <c r="Y1048" s="189" t="s">
        <v>2108</v>
      </c>
      <c r="Z1048" s="0" t="n">
        <v>1</v>
      </c>
      <c r="AA1048" s="189" t="s">
        <v>2343</v>
      </c>
    </row>
    <row r="1049" customFormat="false" ht="15" hidden="false" customHeight="false" outlineLevel="0" collapsed="false">
      <c r="A1049" s="0" t="n">
        <v>217</v>
      </c>
      <c r="B1049" s="191" t="n">
        <v>46047.2117893306</v>
      </c>
      <c r="C1049" s="191" t="n">
        <v>46047.2313032195</v>
      </c>
      <c r="D1049" s="189" t="s">
        <v>1586</v>
      </c>
      <c r="E1049" s="189" t="s">
        <v>1587</v>
      </c>
      <c r="F1049" s="189" t="s">
        <v>1587</v>
      </c>
      <c r="G1049" s="189" t="s">
        <v>1588</v>
      </c>
      <c r="H1049" s="191" t="n">
        <v>46028</v>
      </c>
      <c r="I1049" s="189" t="s">
        <v>113</v>
      </c>
      <c r="J1049" s="189" t="s">
        <v>128</v>
      </c>
      <c r="K1049" s="189" t="s">
        <v>1589</v>
      </c>
      <c r="L1049" s="189" t="s">
        <v>110</v>
      </c>
      <c r="M1049" s="189" t="s">
        <v>686</v>
      </c>
      <c r="N1049" s="189" t="s">
        <v>508</v>
      </c>
      <c r="O1049" s="189" t="s">
        <v>172</v>
      </c>
      <c r="P1049" s="189" t="s">
        <v>131</v>
      </c>
      <c r="Q1049" s="189" t="s">
        <v>112</v>
      </c>
      <c r="R1049" s="189" t="s">
        <v>25</v>
      </c>
      <c r="S1049" s="189" t="s">
        <v>152</v>
      </c>
      <c r="T1049" s="189" t="s">
        <v>121</v>
      </c>
      <c r="U1049" s="189" t="s">
        <v>122</v>
      </c>
      <c r="V1049" s="189" t="s">
        <v>192</v>
      </c>
      <c r="W1049" s="189" t="s">
        <v>124</v>
      </c>
      <c r="X1049" s="189" t="s">
        <v>687</v>
      </c>
      <c r="Y1049" s="189" t="s">
        <v>2110</v>
      </c>
      <c r="Z1049" s="0" t="n">
        <v>1</v>
      </c>
      <c r="AA1049" s="189" t="s">
        <v>2344</v>
      </c>
    </row>
    <row r="1050" customFormat="false" ht="15" hidden="false" customHeight="false" outlineLevel="0" collapsed="false">
      <c r="A1050" s="0" t="n">
        <v>217</v>
      </c>
      <c r="B1050" s="191" t="n">
        <v>46047.2117893306</v>
      </c>
      <c r="C1050" s="191" t="n">
        <v>46047.2313032195</v>
      </c>
      <c r="D1050" s="189" t="s">
        <v>1586</v>
      </c>
      <c r="E1050" s="189" t="s">
        <v>1587</v>
      </c>
      <c r="F1050" s="189" t="s">
        <v>1587</v>
      </c>
      <c r="G1050" s="189" t="s">
        <v>1588</v>
      </c>
      <c r="H1050" s="191" t="n">
        <v>46028</v>
      </c>
      <c r="I1050" s="189" t="s">
        <v>113</v>
      </c>
      <c r="J1050" s="189" t="s">
        <v>128</v>
      </c>
      <c r="K1050" s="189" t="s">
        <v>1589</v>
      </c>
      <c r="L1050" s="189" t="s">
        <v>110</v>
      </c>
      <c r="M1050" s="189" t="s">
        <v>686</v>
      </c>
      <c r="N1050" s="189" t="s">
        <v>508</v>
      </c>
      <c r="O1050" s="189" t="s">
        <v>172</v>
      </c>
      <c r="P1050" s="189" t="s">
        <v>131</v>
      </c>
      <c r="Q1050" s="189" t="s">
        <v>112</v>
      </c>
      <c r="R1050" s="189" t="s">
        <v>25</v>
      </c>
      <c r="S1050" s="189" t="s">
        <v>152</v>
      </c>
      <c r="T1050" s="189" t="s">
        <v>121</v>
      </c>
      <c r="U1050" s="189" t="s">
        <v>122</v>
      </c>
      <c r="V1050" s="189" t="s">
        <v>192</v>
      </c>
      <c r="W1050" s="189" t="s">
        <v>124</v>
      </c>
      <c r="X1050" s="189" t="s">
        <v>687</v>
      </c>
      <c r="Y1050" s="189" t="s">
        <v>2113</v>
      </c>
      <c r="Z1050" s="0" t="n">
        <v>1</v>
      </c>
      <c r="AA1050" s="189" t="s">
        <v>2266</v>
      </c>
    </row>
    <row r="1051" customFormat="false" ht="15" hidden="false" customHeight="false" outlineLevel="0" collapsed="false">
      <c r="A1051" s="0" t="n">
        <v>217</v>
      </c>
      <c r="B1051" s="191" t="n">
        <v>46047.2117893306</v>
      </c>
      <c r="C1051" s="191" t="n">
        <v>46047.2313032195</v>
      </c>
      <c r="D1051" s="189" t="s">
        <v>1586</v>
      </c>
      <c r="E1051" s="189" t="s">
        <v>1587</v>
      </c>
      <c r="F1051" s="189" t="s">
        <v>1587</v>
      </c>
      <c r="G1051" s="189" t="s">
        <v>1588</v>
      </c>
      <c r="H1051" s="191" t="n">
        <v>46028</v>
      </c>
      <c r="I1051" s="189" t="s">
        <v>113</v>
      </c>
      <c r="J1051" s="189" t="s">
        <v>128</v>
      </c>
      <c r="K1051" s="189" t="s">
        <v>1589</v>
      </c>
      <c r="L1051" s="189" t="s">
        <v>110</v>
      </c>
      <c r="M1051" s="189" t="s">
        <v>686</v>
      </c>
      <c r="N1051" s="189" t="s">
        <v>508</v>
      </c>
      <c r="O1051" s="189" t="s">
        <v>172</v>
      </c>
      <c r="P1051" s="189" t="s">
        <v>131</v>
      </c>
      <c r="Q1051" s="189" t="s">
        <v>112</v>
      </c>
      <c r="R1051" s="189" t="s">
        <v>25</v>
      </c>
      <c r="S1051" s="189" t="s">
        <v>152</v>
      </c>
      <c r="T1051" s="189" t="s">
        <v>121</v>
      </c>
      <c r="U1051" s="189" t="s">
        <v>122</v>
      </c>
      <c r="V1051" s="189" t="s">
        <v>192</v>
      </c>
      <c r="W1051" s="189" t="s">
        <v>124</v>
      </c>
      <c r="X1051" s="189" t="s">
        <v>687</v>
      </c>
      <c r="Y1051" s="189" t="s">
        <v>2113</v>
      </c>
      <c r="Z1051" s="0" t="n">
        <v>2</v>
      </c>
      <c r="AA1051" s="189" t="s">
        <v>2265</v>
      </c>
    </row>
    <row r="1052" customFormat="false" ht="15" hidden="false" customHeight="false" outlineLevel="0" collapsed="false">
      <c r="A1052" s="0" t="n">
        <v>218</v>
      </c>
      <c r="B1052" s="191" t="n">
        <v>46083.9941841282</v>
      </c>
      <c r="C1052" s="191" t="n">
        <v>46084.0015220912</v>
      </c>
      <c r="D1052" s="189" t="s">
        <v>1593</v>
      </c>
      <c r="E1052" s="189" t="s">
        <v>1594</v>
      </c>
      <c r="F1052" s="189" t="s">
        <v>1594</v>
      </c>
      <c r="G1052" s="189" t="s">
        <v>1595</v>
      </c>
      <c r="H1052" s="191" t="n">
        <v>46066</v>
      </c>
      <c r="I1052" s="189" t="s">
        <v>325</v>
      </c>
      <c r="J1052" s="189" t="s">
        <v>108</v>
      </c>
      <c r="K1052" s="189" t="s">
        <v>364</v>
      </c>
      <c r="L1052" s="189" t="s">
        <v>389</v>
      </c>
      <c r="M1052" s="189" t="s">
        <v>160</v>
      </c>
      <c r="N1052" s="189" t="s">
        <v>357</v>
      </c>
      <c r="O1052" s="189" t="s">
        <v>107</v>
      </c>
      <c r="P1052" s="189" t="s">
        <v>111</v>
      </c>
      <c r="Q1052" s="189" t="s">
        <v>247</v>
      </c>
      <c r="R1052" s="189" t="s">
        <v>24</v>
      </c>
      <c r="S1052" s="189" t="s">
        <v>227</v>
      </c>
      <c r="T1052" s="189" t="s">
        <v>352</v>
      </c>
      <c r="V1052" s="189" t="s">
        <v>192</v>
      </c>
      <c r="W1052" s="189" t="s">
        <v>124</v>
      </c>
      <c r="X1052" s="189" t="s">
        <v>19</v>
      </c>
      <c r="Y1052" s="189" t="s">
        <v>2216</v>
      </c>
      <c r="Z1052" s="0" t="n">
        <v>1</v>
      </c>
      <c r="AA1052" s="189" t="s">
        <v>880</v>
      </c>
    </row>
    <row r="1053" customFormat="false" ht="15" hidden="false" customHeight="false" outlineLevel="0" collapsed="false">
      <c r="A1053" s="0" t="n">
        <v>219</v>
      </c>
      <c r="B1053" s="191" t="n">
        <v>46087.6230004797</v>
      </c>
      <c r="C1053" s="191" t="n">
        <v>46087.6341115908</v>
      </c>
      <c r="D1053" s="189" t="s">
        <v>1596</v>
      </c>
      <c r="E1053" s="189" t="s">
        <v>1597</v>
      </c>
      <c r="F1053" s="189" t="s">
        <v>1597</v>
      </c>
      <c r="G1053" s="189" t="s">
        <v>1598</v>
      </c>
      <c r="H1053" s="191" t="n">
        <v>46085</v>
      </c>
      <c r="I1053" s="189" t="s">
        <v>113</v>
      </c>
      <c r="J1053" s="189" t="s">
        <v>295</v>
      </c>
      <c r="K1053" s="189" t="s">
        <v>818</v>
      </c>
      <c r="L1053" s="189" t="s">
        <v>130</v>
      </c>
      <c r="M1053" s="189" t="s">
        <v>199</v>
      </c>
      <c r="N1053" s="189" t="s">
        <v>1243</v>
      </c>
      <c r="O1053" s="189" t="s">
        <v>244</v>
      </c>
      <c r="P1053" s="189" t="s">
        <v>111</v>
      </c>
      <c r="Q1053" s="189" t="s">
        <v>112</v>
      </c>
      <c r="R1053" s="189" t="s">
        <v>21</v>
      </c>
      <c r="S1053" s="189" t="s">
        <v>152</v>
      </c>
      <c r="T1053" s="189" t="s">
        <v>264</v>
      </c>
      <c r="V1053" s="189" t="s">
        <v>123</v>
      </c>
      <c r="W1053" s="189" t="s">
        <v>168</v>
      </c>
      <c r="X1053" s="189" t="s">
        <v>348</v>
      </c>
      <c r="Y1053" s="189" t="s">
        <v>2108</v>
      </c>
      <c r="Z1053" s="0" t="n">
        <v>1</v>
      </c>
      <c r="AA1053" s="189" t="s">
        <v>2190</v>
      </c>
    </row>
    <row r="1054" customFormat="false" ht="15" hidden="false" customHeight="false" outlineLevel="0" collapsed="false">
      <c r="A1054" s="0" t="n">
        <v>219</v>
      </c>
      <c r="B1054" s="191" t="n">
        <v>46087.6230004797</v>
      </c>
      <c r="C1054" s="191" t="n">
        <v>46087.6341115908</v>
      </c>
      <c r="D1054" s="189" t="s">
        <v>1596</v>
      </c>
      <c r="E1054" s="189" t="s">
        <v>1597</v>
      </c>
      <c r="F1054" s="189" t="s">
        <v>1597</v>
      </c>
      <c r="G1054" s="189" t="s">
        <v>1598</v>
      </c>
      <c r="H1054" s="191" t="n">
        <v>46085</v>
      </c>
      <c r="I1054" s="189" t="s">
        <v>113</v>
      </c>
      <c r="J1054" s="189" t="s">
        <v>295</v>
      </c>
      <c r="K1054" s="189" t="s">
        <v>818</v>
      </c>
      <c r="L1054" s="189" t="s">
        <v>130</v>
      </c>
      <c r="M1054" s="189" t="s">
        <v>199</v>
      </c>
      <c r="N1054" s="189" t="s">
        <v>1243</v>
      </c>
      <c r="O1054" s="189" t="s">
        <v>244</v>
      </c>
      <c r="P1054" s="189" t="s">
        <v>111</v>
      </c>
      <c r="Q1054" s="189" t="s">
        <v>112</v>
      </c>
      <c r="R1054" s="189" t="s">
        <v>21</v>
      </c>
      <c r="S1054" s="189" t="s">
        <v>152</v>
      </c>
      <c r="T1054" s="189" t="s">
        <v>264</v>
      </c>
      <c r="V1054" s="189" t="s">
        <v>123</v>
      </c>
      <c r="W1054" s="189" t="s">
        <v>168</v>
      </c>
      <c r="X1054" s="189" t="s">
        <v>348</v>
      </c>
      <c r="Y1054" s="189" t="s">
        <v>2110</v>
      </c>
      <c r="Z1054" s="0" t="n">
        <v>1</v>
      </c>
      <c r="AA1054" s="189" t="s">
        <v>2191</v>
      </c>
    </row>
    <row r="1055" customFormat="false" ht="15" hidden="false" customHeight="false" outlineLevel="0" collapsed="false">
      <c r="A1055" s="0" t="n">
        <v>219</v>
      </c>
      <c r="B1055" s="191" t="n">
        <v>46087.6230004797</v>
      </c>
      <c r="C1055" s="191" t="n">
        <v>46087.6341115908</v>
      </c>
      <c r="D1055" s="189" t="s">
        <v>1596</v>
      </c>
      <c r="E1055" s="189" t="s">
        <v>1597</v>
      </c>
      <c r="F1055" s="189" t="s">
        <v>1597</v>
      </c>
      <c r="G1055" s="189" t="s">
        <v>1598</v>
      </c>
      <c r="H1055" s="191" t="n">
        <v>46085</v>
      </c>
      <c r="I1055" s="189" t="s">
        <v>113</v>
      </c>
      <c r="J1055" s="189" t="s">
        <v>295</v>
      </c>
      <c r="K1055" s="189" t="s">
        <v>818</v>
      </c>
      <c r="L1055" s="189" t="s">
        <v>130</v>
      </c>
      <c r="M1055" s="189" t="s">
        <v>199</v>
      </c>
      <c r="N1055" s="189" t="s">
        <v>1243</v>
      </c>
      <c r="O1055" s="189" t="s">
        <v>244</v>
      </c>
      <c r="P1055" s="189" t="s">
        <v>111</v>
      </c>
      <c r="Q1055" s="189" t="s">
        <v>112</v>
      </c>
      <c r="R1055" s="189" t="s">
        <v>21</v>
      </c>
      <c r="S1055" s="189" t="s">
        <v>152</v>
      </c>
      <c r="T1055" s="189" t="s">
        <v>264</v>
      </c>
      <c r="V1055" s="189" t="s">
        <v>123</v>
      </c>
      <c r="W1055" s="189" t="s">
        <v>168</v>
      </c>
      <c r="X1055" s="189" t="s">
        <v>348</v>
      </c>
      <c r="Y1055" s="189" t="s">
        <v>2113</v>
      </c>
      <c r="Z1055" s="0" t="n">
        <v>1</v>
      </c>
      <c r="AA1055" s="189" t="s">
        <v>2192</v>
      </c>
    </row>
    <row r="1056" customFormat="false" ht="15" hidden="false" customHeight="false" outlineLevel="0" collapsed="false">
      <c r="A1056" s="0" t="n">
        <v>219</v>
      </c>
      <c r="B1056" s="191" t="n">
        <v>46087.6230004797</v>
      </c>
      <c r="C1056" s="191" t="n">
        <v>46087.6341115908</v>
      </c>
      <c r="D1056" s="189" t="s">
        <v>1596</v>
      </c>
      <c r="E1056" s="189" t="s">
        <v>1597</v>
      </c>
      <c r="F1056" s="189" t="s">
        <v>1597</v>
      </c>
      <c r="G1056" s="189" t="s">
        <v>1598</v>
      </c>
      <c r="H1056" s="191" t="n">
        <v>46085</v>
      </c>
      <c r="I1056" s="189" t="s">
        <v>113</v>
      </c>
      <c r="J1056" s="189" t="s">
        <v>295</v>
      </c>
      <c r="K1056" s="189" t="s">
        <v>818</v>
      </c>
      <c r="L1056" s="189" t="s">
        <v>130</v>
      </c>
      <c r="M1056" s="189" t="s">
        <v>199</v>
      </c>
      <c r="N1056" s="189" t="s">
        <v>1243</v>
      </c>
      <c r="O1056" s="189" t="s">
        <v>244</v>
      </c>
      <c r="P1056" s="189" t="s">
        <v>111</v>
      </c>
      <c r="Q1056" s="189" t="s">
        <v>112</v>
      </c>
      <c r="R1056" s="189" t="s">
        <v>21</v>
      </c>
      <c r="S1056" s="189" t="s">
        <v>152</v>
      </c>
      <c r="T1056" s="189" t="s">
        <v>264</v>
      </c>
      <c r="V1056" s="189" t="s">
        <v>123</v>
      </c>
      <c r="W1056" s="189" t="s">
        <v>168</v>
      </c>
      <c r="X1056" s="189" t="s">
        <v>348</v>
      </c>
      <c r="Y1056" s="189" t="s">
        <v>2113</v>
      </c>
      <c r="Z1056" s="0" t="n">
        <v>2</v>
      </c>
      <c r="AA1056" s="189" t="s">
        <v>2210</v>
      </c>
    </row>
    <row r="1057" customFormat="false" ht="15" hidden="false" customHeight="false" outlineLevel="0" collapsed="false">
      <c r="A1057" s="0" t="n">
        <v>220</v>
      </c>
      <c r="B1057" s="191" t="n">
        <v>46116.2160671509</v>
      </c>
      <c r="C1057" s="191" t="n">
        <v>46116.2184514101</v>
      </c>
      <c r="D1057" s="189" t="s">
        <v>1600</v>
      </c>
      <c r="E1057" s="189" t="s">
        <v>1601</v>
      </c>
      <c r="F1057" s="189" t="s">
        <v>1601</v>
      </c>
      <c r="G1057" s="189" t="s">
        <v>1602</v>
      </c>
      <c r="H1057" s="191" t="n">
        <v>46116</v>
      </c>
      <c r="I1057" s="189" t="s">
        <v>113</v>
      </c>
      <c r="J1057" s="189" t="s">
        <v>128</v>
      </c>
      <c r="K1057" s="189" t="s">
        <v>232</v>
      </c>
      <c r="L1057" s="189" t="s">
        <v>110</v>
      </c>
      <c r="M1057" s="189" t="s">
        <v>234</v>
      </c>
      <c r="N1057" s="189" t="s">
        <v>827</v>
      </c>
      <c r="O1057" s="189" t="s">
        <v>107</v>
      </c>
      <c r="P1057" s="189" t="s">
        <v>211</v>
      </c>
      <c r="Q1057" s="189" t="s">
        <v>112</v>
      </c>
      <c r="R1057" s="189" t="s">
        <v>22</v>
      </c>
      <c r="S1057" s="189" t="s">
        <v>152</v>
      </c>
      <c r="T1057" s="189" t="s">
        <v>121</v>
      </c>
      <c r="U1057" s="189" t="s">
        <v>1605</v>
      </c>
      <c r="V1057" s="189" t="s">
        <v>167</v>
      </c>
      <c r="W1057" s="189" t="s">
        <v>124</v>
      </c>
      <c r="X1057" s="189" t="s">
        <v>298</v>
      </c>
      <c r="Y1057" s="189" t="s">
        <v>2108</v>
      </c>
      <c r="Z1057" s="0" t="n">
        <v>1</v>
      </c>
      <c r="AA1057" s="189" t="s">
        <v>2280</v>
      </c>
    </row>
    <row r="1058" customFormat="false" ht="15" hidden="false" customHeight="false" outlineLevel="0" collapsed="false">
      <c r="A1058" s="0" t="n">
        <v>220</v>
      </c>
      <c r="B1058" s="191" t="n">
        <v>46116.2160671509</v>
      </c>
      <c r="C1058" s="191" t="n">
        <v>46116.2184514101</v>
      </c>
      <c r="D1058" s="189" t="s">
        <v>1600</v>
      </c>
      <c r="E1058" s="189" t="s">
        <v>1601</v>
      </c>
      <c r="F1058" s="189" t="s">
        <v>1601</v>
      </c>
      <c r="G1058" s="189" t="s">
        <v>1602</v>
      </c>
      <c r="H1058" s="191" t="n">
        <v>46116</v>
      </c>
      <c r="I1058" s="189" t="s">
        <v>113</v>
      </c>
      <c r="J1058" s="189" t="s">
        <v>128</v>
      </c>
      <c r="K1058" s="189" t="s">
        <v>232</v>
      </c>
      <c r="L1058" s="189" t="s">
        <v>110</v>
      </c>
      <c r="M1058" s="189" t="s">
        <v>234</v>
      </c>
      <c r="N1058" s="189" t="s">
        <v>827</v>
      </c>
      <c r="O1058" s="189" t="s">
        <v>107</v>
      </c>
      <c r="P1058" s="189" t="s">
        <v>211</v>
      </c>
      <c r="Q1058" s="189" t="s">
        <v>112</v>
      </c>
      <c r="R1058" s="189" t="s">
        <v>22</v>
      </c>
      <c r="S1058" s="189" t="s">
        <v>152</v>
      </c>
      <c r="T1058" s="189" t="s">
        <v>121</v>
      </c>
      <c r="U1058" s="189" t="s">
        <v>1605</v>
      </c>
      <c r="V1058" s="189" t="s">
        <v>167</v>
      </c>
      <c r="W1058" s="189" t="s">
        <v>124</v>
      </c>
      <c r="X1058" s="189" t="s">
        <v>298</v>
      </c>
      <c r="Y1058" s="189" t="s">
        <v>2110</v>
      </c>
      <c r="Z1058" s="0" t="n">
        <v>1</v>
      </c>
      <c r="AA1058" s="189" t="s">
        <v>2299</v>
      </c>
    </row>
    <row r="1059" customFormat="false" ht="15" hidden="false" customHeight="false" outlineLevel="0" collapsed="false">
      <c r="A1059" s="0" t="n">
        <v>220</v>
      </c>
      <c r="B1059" s="191" t="n">
        <v>46116.2160671509</v>
      </c>
      <c r="C1059" s="191" t="n">
        <v>46116.2184514101</v>
      </c>
      <c r="D1059" s="189" t="s">
        <v>1600</v>
      </c>
      <c r="E1059" s="189" t="s">
        <v>1601</v>
      </c>
      <c r="F1059" s="189" t="s">
        <v>1601</v>
      </c>
      <c r="G1059" s="189" t="s">
        <v>1602</v>
      </c>
      <c r="H1059" s="191" t="n">
        <v>46116</v>
      </c>
      <c r="I1059" s="189" t="s">
        <v>113</v>
      </c>
      <c r="J1059" s="189" t="s">
        <v>128</v>
      </c>
      <c r="K1059" s="189" t="s">
        <v>232</v>
      </c>
      <c r="L1059" s="189" t="s">
        <v>110</v>
      </c>
      <c r="M1059" s="189" t="s">
        <v>234</v>
      </c>
      <c r="N1059" s="189" t="s">
        <v>827</v>
      </c>
      <c r="O1059" s="189" t="s">
        <v>107</v>
      </c>
      <c r="P1059" s="189" t="s">
        <v>211</v>
      </c>
      <c r="Q1059" s="189" t="s">
        <v>112</v>
      </c>
      <c r="R1059" s="189" t="s">
        <v>22</v>
      </c>
      <c r="S1059" s="189" t="s">
        <v>152</v>
      </c>
      <c r="T1059" s="189" t="s">
        <v>121</v>
      </c>
      <c r="U1059" s="189" t="s">
        <v>1605</v>
      </c>
      <c r="V1059" s="189" t="s">
        <v>167</v>
      </c>
      <c r="W1059" s="189" t="s">
        <v>124</v>
      </c>
      <c r="X1059" s="189" t="s">
        <v>298</v>
      </c>
      <c r="Y1059" s="189" t="s">
        <v>2113</v>
      </c>
      <c r="Z1059" s="0" t="n">
        <v>1</v>
      </c>
      <c r="AA1059" s="189" t="s">
        <v>2291</v>
      </c>
    </row>
    <row r="1060" customFormat="false" ht="15" hidden="false" customHeight="false" outlineLevel="0" collapsed="false">
      <c r="A1060" s="0" t="n">
        <v>220</v>
      </c>
      <c r="B1060" s="191" t="n">
        <v>46116.2160671509</v>
      </c>
      <c r="C1060" s="191" t="n">
        <v>46116.2184514101</v>
      </c>
      <c r="D1060" s="189" t="s">
        <v>1600</v>
      </c>
      <c r="E1060" s="189" t="s">
        <v>1601</v>
      </c>
      <c r="F1060" s="189" t="s">
        <v>1601</v>
      </c>
      <c r="G1060" s="189" t="s">
        <v>1602</v>
      </c>
      <c r="H1060" s="191" t="n">
        <v>46116</v>
      </c>
      <c r="I1060" s="189" t="s">
        <v>113</v>
      </c>
      <c r="J1060" s="189" t="s">
        <v>128</v>
      </c>
      <c r="K1060" s="189" t="s">
        <v>232</v>
      </c>
      <c r="L1060" s="189" t="s">
        <v>110</v>
      </c>
      <c r="M1060" s="189" t="s">
        <v>234</v>
      </c>
      <c r="N1060" s="189" t="s">
        <v>827</v>
      </c>
      <c r="O1060" s="189" t="s">
        <v>107</v>
      </c>
      <c r="P1060" s="189" t="s">
        <v>211</v>
      </c>
      <c r="Q1060" s="189" t="s">
        <v>112</v>
      </c>
      <c r="R1060" s="189" t="s">
        <v>22</v>
      </c>
      <c r="S1060" s="189" t="s">
        <v>152</v>
      </c>
      <c r="T1060" s="189" t="s">
        <v>121</v>
      </c>
      <c r="U1060" s="189" t="s">
        <v>1605</v>
      </c>
      <c r="V1060" s="189" t="s">
        <v>167</v>
      </c>
      <c r="W1060" s="189" t="s">
        <v>124</v>
      </c>
      <c r="X1060" s="189" t="s">
        <v>298</v>
      </c>
      <c r="Y1060" s="189" t="s">
        <v>2113</v>
      </c>
      <c r="Z1060" s="0" t="n">
        <v>2</v>
      </c>
      <c r="AA1060" s="189" t="s">
        <v>2282</v>
      </c>
    </row>
    <row r="1061" customFormat="false" ht="15" hidden="false" customHeight="false" outlineLevel="0" collapsed="false">
      <c r="A1061" s="0" t="n">
        <v>221</v>
      </c>
      <c r="B1061" s="191" t="n">
        <v>46184.8188207957</v>
      </c>
      <c r="C1061" s="191" t="n">
        <v>46184.8253717217</v>
      </c>
      <c r="D1061" s="189" t="s">
        <v>1606</v>
      </c>
      <c r="E1061" s="189" t="s">
        <v>1607</v>
      </c>
      <c r="F1061" s="189" t="s">
        <v>1608</v>
      </c>
      <c r="G1061" s="189" t="s">
        <v>1609</v>
      </c>
      <c r="H1061" s="191" t="n">
        <v>46178</v>
      </c>
      <c r="I1061" s="189" t="s">
        <v>336</v>
      </c>
      <c r="J1061" s="189" t="s">
        <v>108</v>
      </c>
      <c r="K1061" s="189" t="s">
        <v>1610</v>
      </c>
      <c r="L1061" s="189" t="s">
        <v>197</v>
      </c>
      <c r="M1061" s="189" t="s">
        <v>391</v>
      </c>
      <c r="N1061" s="189" t="s">
        <v>249</v>
      </c>
      <c r="O1061" s="189" t="s">
        <v>1506</v>
      </c>
      <c r="P1061" s="189" t="s">
        <v>111</v>
      </c>
      <c r="Q1061" s="189" t="s">
        <v>112</v>
      </c>
      <c r="R1061" s="189" t="s">
        <v>22</v>
      </c>
      <c r="S1061" s="189" t="s">
        <v>227</v>
      </c>
      <c r="T1061" s="189" t="s">
        <v>180</v>
      </c>
      <c r="U1061" s="189" t="s">
        <v>994</v>
      </c>
      <c r="V1061" s="189" t="s">
        <v>192</v>
      </c>
      <c r="W1061" s="189" t="s">
        <v>124</v>
      </c>
      <c r="X1061" s="189" t="s">
        <v>176</v>
      </c>
      <c r="Y1061" s="189" t="s">
        <v>2108</v>
      </c>
      <c r="Z1061" s="0" t="n">
        <v>1</v>
      </c>
      <c r="AA1061" s="189" t="s">
        <v>2345</v>
      </c>
    </row>
    <row r="1062" customFormat="false" ht="15" hidden="false" customHeight="false" outlineLevel="0" collapsed="false">
      <c r="A1062" s="0" t="n">
        <v>221</v>
      </c>
      <c r="B1062" s="191" t="n">
        <v>46184.8188207957</v>
      </c>
      <c r="C1062" s="191" t="n">
        <v>46184.8253717217</v>
      </c>
      <c r="D1062" s="189" t="s">
        <v>1606</v>
      </c>
      <c r="E1062" s="189" t="s">
        <v>1607</v>
      </c>
      <c r="F1062" s="189" t="s">
        <v>1608</v>
      </c>
      <c r="G1062" s="189" t="s">
        <v>1609</v>
      </c>
      <c r="H1062" s="191" t="n">
        <v>46178</v>
      </c>
      <c r="I1062" s="189" t="s">
        <v>336</v>
      </c>
      <c r="J1062" s="189" t="s">
        <v>108</v>
      </c>
      <c r="K1062" s="189" t="s">
        <v>1610</v>
      </c>
      <c r="L1062" s="189" t="s">
        <v>197</v>
      </c>
      <c r="M1062" s="189" t="s">
        <v>391</v>
      </c>
      <c r="N1062" s="189" t="s">
        <v>249</v>
      </c>
      <c r="O1062" s="189" t="s">
        <v>1506</v>
      </c>
      <c r="P1062" s="189" t="s">
        <v>111</v>
      </c>
      <c r="Q1062" s="189" t="s">
        <v>112</v>
      </c>
      <c r="R1062" s="189" t="s">
        <v>22</v>
      </c>
      <c r="S1062" s="189" t="s">
        <v>227</v>
      </c>
      <c r="T1062" s="189" t="s">
        <v>180</v>
      </c>
      <c r="U1062" s="189" t="s">
        <v>994</v>
      </c>
      <c r="V1062" s="189" t="s">
        <v>192</v>
      </c>
      <c r="W1062" s="189" t="s">
        <v>124</v>
      </c>
      <c r="X1062" s="189" t="s">
        <v>176</v>
      </c>
      <c r="Y1062" s="189" t="s">
        <v>2108</v>
      </c>
      <c r="Z1062" s="0" t="n">
        <v>2</v>
      </c>
      <c r="AA1062" s="189" t="s">
        <v>2346</v>
      </c>
    </row>
    <row r="1063" customFormat="false" ht="15" hidden="false" customHeight="false" outlineLevel="0" collapsed="false">
      <c r="A1063" s="0" t="n">
        <v>221</v>
      </c>
      <c r="B1063" s="191" t="n">
        <v>46184.8188207957</v>
      </c>
      <c r="C1063" s="191" t="n">
        <v>46184.8253717217</v>
      </c>
      <c r="D1063" s="189" t="s">
        <v>1606</v>
      </c>
      <c r="E1063" s="189" t="s">
        <v>1607</v>
      </c>
      <c r="F1063" s="189" t="s">
        <v>1608</v>
      </c>
      <c r="G1063" s="189" t="s">
        <v>1609</v>
      </c>
      <c r="H1063" s="191" t="n">
        <v>46178</v>
      </c>
      <c r="I1063" s="189" t="s">
        <v>336</v>
      </c>
      <c r="J1063" s="189" t="s">
        <v>108</v>
      </c>
      <c r="K1063" s="189" t="s">
        <v>1610</v>
      </c>
      <c r="L1063" s="189" t="s">
        <v>197</v>
      </c>
      <c r="M1063" s="189" t="s">
        <v>391</v>
      </c>
      <c r="N1063" s="189" t="s">
        <v>249</v>
      </c>
      <c r="O1063" s="189" t="s">
        <v>1506</v>
      </c>
      <c r="P1063" s="189" t="s">
        <v>111</v>
      </c>
      <c r="Q1063" s="189" t="s">
        <v>112</v>
      </c>
      <c r="R1063" s="189" t="s">
        <v>22</v>
      </c>
      <c r="S1063" s="189" t="s">
        <v>227</v>
      </c>
      <c r="T1063" s="189" t="s">
        <v>180</v>
      </c>
      <c r="U1063" s="189" t="s">
        <v>994</v>
      </c>
      <c r="V1063" s="189" t="s">
        <v>192</v>
      </c>
      <c r="W1063" s="189" t="s">
        <v>124</v>
      </c>
      <c r="X1063" s="189" t="s">
        <v>176</v>
      </c>
      <c r="Y1063" s="189" t="s">
        <v>2110</v>
      </c>
      <c r="Z1063" s="0" t="n">
        <v>1</v>
      </c>
      <c r="AA1063" s="189" t="s">
        <v>2347</v>
      </c>
    </row>
    <row r="1064" customFormat="false" ht="15" hidden="false" customHeight="false" outlineLevel="0" collapsed="false">
      <c r="A1064" s="0" t="n">
        <v>221</v>
      </c>
      <c r="B1064" s="191" t="n">
        <v>46184.8188207957</v>
      </c>
      <c r="C1064" s="191" t="n">
        <v>46184.8253717217</v>
      </c>
      <c r="D1064" s="189" t="s">
        <v>1606</v>
      </c>
      <c r="E1064" s="189" t="s">
        <v>1607</v>
      </c>
      <c r="F1064" s="189" t="s">
        <v>1608</v>
      </c>
      <c r="G1064" s="189" t="s">
        <v>1609</v>
      </c>
      <c r="H1064" s="191" t="n">
        <v>46178</v>
      </c>
      <c r="I1064" s="189" t="s">
        <v>336</v>
      </c>
      <c r="J1064" s="189" t="s">
        <v>108</v>
      </c>
      <c r="K1064" s="189" t="s">
        <v>1610</v>
      </c>
      <c r="L1064" s="189" t="s">
        <v>197</v>
      </c>
      <c r="M1064" s="189" t="s">
        <v>391</v>
      </c>
      <c r="N1064" s="189" t="s">
        <v>249</v>
      </c>
      <c r="O1064" s="189" t="s">
        <v>1506</v>
      </c>
      <c r="P1064" s="189" t="s">
        <v>111</v>
      </c>
      <c r="Q1064" s="189" t="s">
        <v>112</v>
      </c>
      <c r="R1064" s="189" t="s">
        <v>22</v>
      </c>
      <c r="S1064" s="189" t="s">
        <v>227</v>
      </c>
      <c r="T1064" s="189" t="s">
        <v>180</v>
      </c>
      <c r="U1064" s="189" t="s">
        <v>994</v>
      </c>
      <c r="V1064" s="189" t="s">
        <v>192</v>
      </c>
      <c r="W1064" s="189" t="s">
        <v>124</v>
      </c>
      <c r="X1064" s="189" t="s">
        <v>176</v>
      </c>
      <c r="Y1064" s="189" t="s">
        <v>2110</v>
      </c>
      <c r="Z1064" s="0" t="n">
        <v>2</v>
      </c>
      <c r="AA1064" s="189" t="s">
        <v>2284</v>
      </c>
    </row>
    <row r="1065" customFormat="false" ht="15" hidden="false" customHeight="false" outlineLevel="0" collapsed="false">
      <c r="A1065" s="0" t="n">
        <v>221</v>
      </c>
      <c r="B1065" s="191" t="n">
        <v>46184.8188207957</v>
      </c>
      <c r="C1065" s="191" t="n">
        <v>46184.8253717217</v>
      </c>
      <c r="D1065" s="189" t="s">
        <v>1606</v>
      </c>
      <c r="E1065" s="189" t="s">
        <v>1607</v>
      </c>
      <c r="F1065" s="189" t="s">
        <v>1608</v>
      </c>
      <c r="G1065" s="189" t="s">
        <v>1609</v>
      </c>
      <c r="H1065" s="191" t="n">
        <v>46178</v>
      </c>
      <c r="I1065" s="189" t="s">
        <v>336</v>
      </c>
      <c r="J1065" s="189" t="s">
        <v>108</v>
      </c>
      <c r="K1065" s="189" t="s">
        <v>1610</v>
      </c>
      <c r="L1065" s="189" t="s">
        <v>197</v>
      </c>
      <c r="M1065" s="189" t="s">
        <v>391</v>
      </c>
      <c r="N1065" s="189" t="s">
        <v>249</v>
      </c>
      <c r="O1065" s="189" t="s">
        <v>1506</v>
      </c>
      <c r="P1065" s="189" t="s">
        <v>111</v>
      </c>
      <c r="Q1065" s="189" t="s">
        <v>112</v>
      </c>
      <c r="R1065" s="189" t="s">
        <v>22</v>
      </c>
      <c r="S1065" s="189" t="s">
        <v>227</v>
      </c>
      <c r="T1065" s="189" t="s">
        <v>180</v>
      </c>
      <c r="U1065" s="189" t="s">
        <v>994</v>
      </c>
      <c r="V1065" s="189" t="s">
        <v>192</v>
      </c>
      <c r="W1065" s="189" t="s">
        <v>124</v>
      </c>
      <c r="X1065" s="189" t="s">
        <v>176</v>
      </c>
      <c r="Y1065" s="189" t="s">
        <v>2113</v>
      </c>
      <c r="Z1065" s="0" t="n">
        <v>1</v>
      </c>
      <c r="AA1065" s="189" t="s">
        <v>2132</v>
      </c>
    </row>
    <row r="1066" customFormat="false" ht="15" hidden="false" customHeight="false" outlineLevel="0" collapsed="false">
      <c r="A1066" s="0" t="n">
        <v>222</v>
      </c>
      <c r="B1066" s="191" t="n">
        <v>46207.8479702047</v>
      </c>
      <c r="C1066" s="191" t="n">
        <v>46207.8566854825</v>
      </c>
      <c r="D1066" s="189" t="s">
        <v>1613</v>
      </c>
      <c r="E1066" s="189" t="s">
        <v>1614</v>
      </c>
      <c r="F1066" s="189" t="s">
        <v>1614</v>
      </c>
      <c r="G1066" s="189" t="s">
        <v>1615</v>
      </c>
      <c r="H1066" s="191" t="n">
        <v>46196</v>
      </c>
      <c r="I1066" s="189" t="s">
        <v>113</v>
      </c>
      <c r="J1066" s="189" t="s">
        <v>295</v>
      </c>
      <c r="K1066" s="189" t="s">
        <v>143</v>
      </c>
      <c r="L1066" s="189" t="s">
        <v>296</v>
      </c>
      <c r="M1066" s="189" t="s">
        <v>774</v>
      </c>
      <c r="N1066" s="189" t="s">
        <v>508</v>
      </c>
      <c r="O1066" s="189" t="s">
        <v>713</v>
      </c>
      <c r="P1066" s="189" t="s">
        <v>111</v>
      </c>
      <c r="Q1066" s="189" t="s">
        <v>145</v>
      </c>
      <c r="R1066" s="189" t="s">
        <v>21</v>
      </c>
      <c r="S1066" s="189" t="s">
        <v>120</v>
      </c>
      <c r="T1066" s="189" t="s">
        <v>121</v>
      </c>
      <c r="U1066" s="189" t="s">
        <v>122</v>
      </c>
      <c r="V1066" s="189" t="s">
        <v>192</v>
      </c>
      <c r="W1066" s="189" t="s">
        <v>124</v>
      </c>
      <c r="X1066" s="189" t="s">
        <v>307</v>
      </c>
      <c r="Y1066" s="189" t="s">
        <v>2108</v>
      </c>
      <c r="Z1066" s="0" t="n">
        <v>1</v>
      </c>
      <c r="AA1066" s="189" t="s">
        <v>2173</v>
      </c>
    </row>
    <row r="1067" customFormat="false" ht="15" hidden="false" customHeight="false" outlineLevel="0" collapsed="false">
      <c r="A1067" s="0" t="n">
        <v>222</v>
      </c>
      <c r="B1067" s="191" t="n">
        <v>46207.8479702047</v>
      </c>
      <c r="C1067" s="191" t="n">
        <v>46207.8566854825</v>
      </c>
      <c r="D1067" s="189" t="s">
        <v>1613</v>
      </c>
      <c r="E1067" s="189" t="s">
        <v>1614</v>
      </c>
      <c r="F1067" s="189" t="s">
        <v>1614</v>
      </c>
      <c r="G1067" s="189" t="s">
        <v>1615</v>
      </c>
      <c r="H1067" s="191" t="n">
        <v>46196</v>
      </c>
      <c r="I1067" s="189" t="s">
        <v>113</v>
      </c>
      <c r="J1067" s="189" t="s">
        <v>295</v>
      </c>
      <c r="K1067" s="189" t="s">
        <v>143</v>
      </c>
      <c r="L1067" s="189" t="s">
        <v>296</v>
      </c>
      <c r="M1067" s="189" t="s">
        <v>774</v>
      </c>
      <c r="N1067" s="189" t="s">
        <v>508</v>
      </c>
      <c r="O1067" s="189" t="s">
        <v>713</v>
      </c>
      <c r="P1067" s="189" t="s">
        <v>111</v>
      </c>
      <c r="Q1067" s="189" t="s">
        <v>145</v>
      </c>
      <c r="R1067" s="189" t="s">
        <v>21</v>
      </c>
      <c r="S1067" s="189" t="s">
        <v>120</v>
      </c>
      <c r="T1067" s="189" t="s">
        <v>121</v>
      </c>
      <c r="U1067" s="189" t="s">
        <v>122</v>
      </c>
      <c r="V1067" s="189" t="s">
        <v>192</v>
      </c>
      <c r="W1067" s="189" t="s">
        <v>124</v>
      </c>
      <c r="X1067" s="189" t="s">
        <v>307</v>
      </c>
      <c r="Y1067" s="189" t="s">
        <v>2110</v>
      </c>
      <c r="Z1067" s="0" t="n">
        <v>1</v>
      </c>
      <c r="AA1067" s="189" t="s">
        <v>2226</v>
      </c>
    </row>
    <row r="1068" customFormat="false" ht="15" hidden="false" customHeight="false" outlineLevel="0" collapsed="false">
      <c r="A1068" s="0" t="n">
        <v>222</v>
      </c>
      <c r="B1068" s="191" t="n">
        <v>46207.8479702047</v>
      </c>
      <c r="C1068" s="191" t="n">
        <v>46207.8566854825</v>
      </c>
      <c r="D1068" s="189" t="s">
        <v>1613</v>
      </c>
      <c r="E1068" s="189" t="s">
        <v>1614</v>
      </c>
      <c r="F1068" s="189" t="s">
        <v>1614</v>
      </c>
      <c r="G1068" s="189" t="s">
        <v>1615</v>
      </c>
      <c r="H1068" s="191" t="n">
        <v>46196</v>
      </c>
      <c r="I1068" s="189" t="s">
        <v>113</v>
      </c>
      <c r="J1068" s="189" t="s">
        <v>295</v>
      </c>
      <c r="K1068" s="189" t="s">
        <v>143</v>
      </c>
      <c r="L1068" s="189" t="s">
        <v>296</v>
      </c>
      <c r="M1068" s="189" t="s">
        <v>774</v>
      </c>
      <c r="N1068" s="189" t="s">
        <v>508</v>
      </c>
      <c r="O1068" s="189" t="s">
        <v>713</v>
      </c>
      <c r="P1068" s="189" t="s">
        <v>111</v>
      </c>
      <c r="Q1068" s="189" t="s">
        <v>145</v>
      </c>
      <c r="R1068" s="189" t="s">
        <v>21</v>
      </c>
      <c r="S1068" s="189" t="s">
        <v>120</v>
      </c>
      <c r="T1068" s="189" t="s">
        <v>121</v>
      </c>
      <c r="U1068" s="189" t="s">
        <v>122</v>
      </c>
      <c r="V1068" s="189" t="s">
        <v>192</v>
      </c>
      <c r="W1068" s="189" t="s">
        <v>124</v>
      </c>
      <c r="X1068" s="189" t="s">
        <v>307</v>
      </c>
      <c r="Y1068" s="189" t="s">
        <v>2113</v>
      </c>
      <c r="Z1068" s="0" t="n">
        <v>1</v>
      </c>
      <c r="AA1068" s="189" t="s">
        <v>2178</v>
      </c>
    </row>
    <row r="1069" customFormat="false" ht="15" hidden="false" customHeight="false" outlineLevel="0" collapsed="false">
      <c r="A1069" s="0" t="n">
        <v>222</v>
      </c>
      <c r="B1069" s="191" t="n">
        <v>46207.8479702047</v>
      </c>
      <c r="C1069" s="191" t="n">
        <v>46207.8566854825</v>
      </c>
      <c r="D1069" s="189" t="s">
        <v>1613</v>
      </c>
      <c r="E1069" s="189" t="s">
        <v>1614</v>
      </c>
      <c r="F1069" s="189" t="s">
        <v>1614</v>
      </c>
      <c r="G1069" s="189" t="s">
        <v>1615</v>
      </c>
      <c r="H1069" s="191" t="n">
        <v>46196</v>
      </c>
      <c r="I1069" s="189" t="s">
        <v>113</v>
      </c>
      <c r="J1069" s="189" t="s">
        <v>295</v>
      </c>
      <c r="K1069" s="189" t="s">
        <v>143</v>
      </c>
      <c r="L1069" s="189" t="s">
        <v>296</v>
      </c>
      <c r="M1069" s="189" t="s">
        <v>774</v>
      </c>
      <c r="N1069" s="189" t="s">
        <v>508</v>
      </c>
      <c r="O1069" s="189" t="s">
        <v>713</v>
      </c>
      <c r="P1069" s="189" t="s">
        <v>111</v>
      </c>
      <c r="Q1069" s="189" t="s">
        <v>145</v>
      </c>
      <c r="R1069" s="189" t="s">
        <v>21</v>
      </c>
      <c r="S1069" s="189" t="s">
        <v>120</v>
      </c>
      <c r="T1069" s="189" t="s">
        <v>121</v>
      </c>
      <c r="U1069" s="189" t="s">
        <v>122</v>
      </c>
      <c r="V1069" s="189" t="s">
        <v>192</v>
      </c>
      <c r="W1069" s="189" t="s">
        <v>124</v>
      </c>
      <c r="X1069" s="189" t="s">
        <v>307</v>
      </c>
      <c r="Y1069" s="189" t="s">
        <v>2113</v>
      </c>
      <c r="Z1069" s="0" t="n">
        <v>2</v>
      </c>
      <c r="AA1069" s="189" t="s">
        <v>2177</v>
      </c>
    </row>
    <row r="1070" customFormat="false" ht="15" hidden="false" customHeight="false" outlineLevel="0" collapsed="false">
      <c r="A1070" s="0" t="n">
        <v>223</v>
      </c>
      <c r="B1070" s="191" t="n">
        <v>46185.6132689733</v>
      </c>
      <c r="C1070" s="191" t="n">
        <v>46185.6340907326</v>
      </c>
      <c r="D1070" s="189" t="s">
        <v>1619</v>
      </c>
      <c r="E1070" s="189" t="s">
        <v>1620</v>
      </c>
      <c r="F1070" s="189" t="s">
        <v>1620</v>
      </c>
      <c r="G1070" s="189" t="s">
        <v>1621</v>
      </c>
      <c r="H1070" s="191" t="n">
        <v>46177</v>
      </c>
      <c r="I1070" s="189" t="s">
        <v>113</v>
      </c>
      <c r="J1070" s="189" t="s">
        <v>108</v>
      </c>
      <c r="K1070" s="189" t="s">
        <v>257</v>
      </c>
      <c r="L1070" s="189" t="s">
        <v>296</v>
      </c>
      <c r="M1070" s="189" t="s">
        <v>1388</v>
      </c>
      <c r="N1070" s="189" t="s">
        <v>1622</v>
      </c>
      <c r="O1070" s="189" t="s">
        <v>172</v>
      </c>
      <c r="P1070" s="189" t="s">
        <v>111</v>
      </c>
      <c r="Q1070" s="189" t="s">
        <v>145</v>
      </c>
      <c r="R1070" s="189" t="s">
        <v>22</v>
      </c>
      <c r="S1070" s="189" t="s">
        <v>152</v>
      </c>
      <c r="T1070" s="189" t="s">
        <v>121</v>
      </c>
      <c r="U1070" s="189" t="s">
        <v>122</v>
      </c>
      <c r="V1070" s="189" t="s">
        <v>167</v>
      </c>
      <c r="W1070" s="189" t="s">
        <v>168</v>
      </c>
      <c r="X1070" s="189" t="s">
        <v>298</v>
      </c>
      <c r="Y1070" s="189" t="s">
        <v>2108</v>
      </c>
      <c r="Z1070" s="0" t="n">
        <v>1</v>
      </c>
      <c r="AA1070" s="189" t="s">
        <v>2239</v>
      </c>
    </row>
    <row r="1071" customFormat="false" ht="15" hidden="false" customHeight="false" outlineLevel="0" collapsed="false">
      <c r="A1071" s="0" t="n">
        <v>223</v>
      </c>
      <c r="B1071" s="191" t="n">
        <v>46185.6132689733</v>
      </c>
      <c r="C1071" s="191" t="n">
        <v>46185.6340907326</v>
      </c>
      <c r="D1071" s="189" t="s">
        <v>1619</v>
      </c>
      <c r="E1071" s="189" t="s">
        <v>1620</v>
      </c>
      <c r="F1071" s="189" t="s">
        <v>1620</v>
      </c>
      <c r="G1071" s="189" t="s">
        <v>1621</v>
      </c>
      <c r="H1071" s="191" t="n">
        <v>46177</v>
      </c>
      <c r="I1071" s="189" t="s">
        <v>113</v>
      </c>
      <c r="J1071" s="189" t="s">
        <v>108</v>
      </c>
      <c r="K1071" s="189" t="s">
        <v>257</v>
      </c>
      <c r="L1071" s="189" t="s">
        <v>296</v>
      </c>
      <c r="M1071" s="189" t="s">
        <v>1388</v>
      </c>
      <c r="N1071" s="189" t="s">
        <v>1622</v>
      </c>
      <c r="O1071" s="189" t="s">
        <v>172</v>
      </c>
      <c r="P1071" s="189" t="s">
        <v>111</v>
      </c>
      <c r="Q1071" s="189" t="s">
        <v>145</v>
      </c>
      <c r="R1071" s="189" t="s">
        <v>22</v>
      </c>
      <c r="S1071" s="189" t="s">
        <v>152</v>
      </c>
      <c r="T1071" s="189" t="s">
        <v>121</v>
      </c>
      <c r="U1071" s="189" t="s">
        <v>122</v>
      </c>
      <c r="V1071" s="189" t="s">
        <v>167</v>
      </c>
      <c r="W1071" s="189" t="s">
        <v>168</v>
      </c>
      <c r="X1071" s="189" t="s">
        <v>298</v>
      </c>
      <c r="Y1071" s="189" t="s">
        <v>2110</v>
      </c>
      <c r="Z1071" s="0" t="n">
        <v>1</v>
      </c>
      <c r="AA1071" s="189" t="s">
        <v>2170</v>
      </c>
    </row>
    <row r="1072" customFormat="false" ht="15" hidden="false" customHeight="false" outlineLevel="0" collapsed="false">
      <c r="A1072" s="0" t="n">
        <v>223</v>
      </c>
      <c r="B1072" s="191" t="n">
        <v>46185.6132689733</v>
      </c>
      <c r="C1072" s="191" t="n">
        <v>46185.6340907326</v>
      </c>
      <c r="D1072" s="189" t="s">
        <v>1619</v>
      </c>
      <c r="E1072" s="189" t="s">
        <v>1620</v>
      </c>
      <c r="F1072" s="189" t="s">
        <v>1620</v>
      </c>
      <c r="G1072" s="189" t="s">
        <v>1621</v>
      </c>
      <c r="H1072" s="191" t="n">
        <v>46177</v>
      </c>
      <c r="I1072" s="189" t="s">
        <v>113</v>
      </c>
      <c r="J1072" s="189" t="s">
        <v>108</v>
      </c>
      <c r="K1072" s="189" t="s">
        <v>257</v>
      </c>
      <c r="L1072" s="189" t="s">
        <v>296</v>
      </c>
      <c r="M1072" s="189" t="s">
        <v>1388</v>
      </c>
      <c r="N1072" s="189" t="s">
        <v>1622</v>
      </c>
      <c r="O1072" s="189" t="s">
        <v>172</v>
      </c>
      <c r="P1072" s="189" t="s">
        <v>111</v>
      </c>
      <c r="Q1072" s="189" t="s">
        <v>145</v>
      </c>
      <c r="R1072" s="189" t="s">
        <v>22</v>
      </c>
      <c r="S1072" s="189" t="s">
        <v>152</v>
      </c>
      <c r="T1072" s="189" t="s">
        <v>121</v>
      </c>
      <c r="U1072" s="189" t="s">
        <v>122</v>
      </c>
      <c r="V1072" s="189" t="s">
        <v>167</v>
      </c>
      <c r="W1072" s="189" t="s">
        <v>168</v>
      </c>
      <c r="X1072" s="189" t="s">
        <v>298</v>
      </c>
      <c r="Y1072" s="189" t="s">
        <v>2113</v>
      </c>
      <c r="Z1072" s="0" t="n">
        <v>1</v>
      </c>
      <c r="AA1072" s="189" t="s">
        <v>2341</v>
      </c>
    </row>
    <row r="1073" customFormat="false" ht="15" hidden="false" customHeight="false" outlineLevel="0" collapsed="false">
      <c r="A1073" s="0" t="n">
        <v>223</v>
      </c>
      <c r="B1073" s="191" t="n">
        <v>46185.6132689733</v>
      </c>
      <c r="C1073" s="191" t="n">
        <v>46185.6340907326</v>
      </c>
      <c r="D1073" s="189" t="s">
        <v>1619</v>
      </c>
      <c r="E1073" s="189" t="s">
        <v>1620</v>
      </c>
      <c r="F1073" s="189" t="s">
        <v>1620</v>
      </c>
      <c r="G1073" s="189" t="s">
        <v>1621</v>
      </c>
      <c r="H1073" s="191" t="n">
        <v>46177</v>
      </c>
      <c r="I1073" s="189" t="s">
        <v>113</v>
      </c>
      <c r="J1073" s="189" t="s">
        <v>108</v>
      </c>
      <c r="K1073" s="189" t="s">
        <v>257</v>
      </c>
      <c r="L1073" s="189" t="s">
        <v>296</v>
      </c>
      <c r="M1073" s="189" t="s">
        <v>1388</v>
      </c>
      <c r="N1073" s="189" t="s">
        <v>1622</v>
      </c>
      <c r="O1073" s="189" t="s">
        <v>172</v>
      </c>
      <c r="P1073" s="189" t="s">
        <v>111</v>
      </c>
      <c r="Q1073" s="189" t="s">
        <v>145</v>
      </c>
      <c r="R1073" s="189" t="s">
        <v>22</v>
      </c>
      <c r="S1073" s="189" t="s">
        <v>152</v>
      </c>
      <c r="T1073" s="189" t="s">
        <v>121</v>
      </c>
      <c r="U1073" s="189" t="s">
        <v>122</v>
      </c>
      <c r="V1073" s="189" t="s">
        <v>167</v>
      </c>
      <c r="W1073" s="189" t="s">
        <v>168</v>
      </c>
      <c r="X1073" s="189" t="s">
        <v>298</v>
      </c>
      <c r="Y1073" s="189" t="s">
        <v>2113</v>
      </c>
      <c r="Z1073" s="0" t="n">
        <v>2</v>
      </c>
      <c r="AA1073" s="189" t="s">
        <v>122</v>
      </c>
    </row>
    <row r="1074" customFormat="false" ht="15" hidden="false" customHeight="false" outlineLevel="0" collapsed="false">
      <c r="A1074" s="0" t="n">
        <v>224</v>
      </c>
      <c r="B1074" s="191" t="n">
        <v>46169.7006425458</v>
      </c>
      <c r="C1074" s="191" t="n">
        <v>46169.7096008791</v>
      </c>
      <c r="D1074" s="189" t="s">
        <v>1625</v>
      </c>
      <c r="E1074" s="189" t="s">
        <v>1626</v>
      </c>
      <c r="F1074" s="189" t="s">
        <v>1626</v>
      </c>
      <c r="G1074" s="189" t="s">
        <v>1627</v>
      </c>
      <c r="H1074" s="191" t="n">
        <v>46165</v>
      </c>
      <c r="I1074" s="189" t="s">
        <v>113</v>
      </c>
      <c r="J1074" s="189" t="s">
        <v>295</v>
      </c>
      <c r="K1074" s="189" t="s">
        <v>232</v>
      </c>
      <c r="L1074" s="189" t="s">
        <v>286</v>
      </c>
      <c r="M1074" s="189" t="s">
        <v>212</v>
      </c>
      <c r="N1074" s="189" t="s">
        <v>1628</v>
      </c>
      <c r="O1074" s="189" t="s">
        <v>107</v>
      </c>
      <c r="P1074" s="189" t="s">
        <v>111</v>
      </c>
      <c r="Q1074" s="189" t="s">
        <v>112</v>
      </c>
      <c r="R1074" s="189" t="s">
        <v>22</v>
      </c>
      <c r="S1074" s="189" t="s">
        <v>120</v>
      </c>
      <c r="T1074" s="189" t="s">
        <v>121</v>
      </c>
      <c r="V1074" s="189" t="s">
        <v>123</v>
      </c>
      <c r="W1074" s="189" t="s">
        <v>124</v>
      </c>
      <c r="X1074" s="189" t="s">
        <v>135</v>
      </c>
      <c r="Y1074" s="189" t="s">
        <v>2108</v>
      </c>
      <c r="Z1074" s="0" t="n">
        <v>1</v>
      </c>
      <c r="AA1074" s="189" t="s">
        <v>2246</v>
      </c>
    </row>
    <row r="1075" customFormat="false" ht="15" hidden="false" customHeight="false" outlineLevel="0" collapsed="false">
      <c r="A1075" s="0" t="n">
        <v>224</v>
      </c>
      <c r="B1075" s="191" t="n">
        <v>46169.7006425458</v>
      </c>
      <c r="C1075" s="191" t="n">
        <v>46169.7096008791</v>
      </c>
      <c r="D1075" s="189" t="s">
        <v>1625</v>
      </c>
      <c r="E1075" s="189" t="s">
        <v>1626</v>
      </c>
      <c r="F1075" s="189" t="s">
        <v>1626</v>
      </c>
      <c r="G1075" s="189" t="s">
        <v>1627</v>
      </c>
      <c r="H1075" s="191" t="n">
        <v>46165</v>
      </c>
      <c r="I1075" s="189" t="s">
        <v>113</v>
      </c>
      <c r="J1075" s="189" t="s">
        <v>295</v>
      </c>
      <c r="K1075" s="189" t="s">
        <v>232</v>
      </c>
      <c r="L1075" s="189" t="s">
        <v>286</v>
      </c>
      <c r="M1075" s="189" t="s">
        <v>212</v>
      </c>
      <c r="N1075" s="189" t="s">
        <v>1628</v>
      </c>
      <c r="O1075" s="189" t="s">
        <v>107</v>
      </c>
      <c r="P1075" s="189" t="s">
        <v>111</v>
      </c>
      <c r="Q1075" s="189" t="s">
        <v>112</v>
      </c>
      <c r="R1075" s="189" t="s">
        <v>22</v>
      </c>
      <c r="S1075" s="189" t="s">
        <v>120</v>
      </c>
      <c r="T1075" s="189" t="s">
        <v>121</v>
      </c>
      <c r="V1075" s="189" t="s">
        <v>123</v>
      </c>
      <c r="W1075" s="189" t="s">
        <v>124</v>
      </c>
      <c r="X1075" s="189" t="s">
        <v>135</v>
      </c>
      <c r="Y1075" s="189" t="s">
        <v>2108</v>
      </c>
      <c r="Z1075" s="0" t="n">
        <v>2</v>
      </c>
      <c r="AA1075" s="189" t="s">
        <v>2245</v>
      </c>
    </row>
    <row r="1076" customFormat="false" ht="15" hidden="false" customHeight="false" outlineLevel="0" collapsed="false">
      <c r="A1076" s="0" t="n">
        <v>224</v>
      </c>
      <c r="B1076" s="191" t="n">
        <v>46169.7006425458</v>
      </c>
      <c r="C1076" s="191" t="n">
        <v>46169.7096008791</v>
      </c>
      <c r="D1076" s="189" t="s">
        <v>1625</v>
      </c>
      <c r="E1076" s="189" t="s">
        <v>1626</v>
      </c>
      <c r="F1076" s="189" t="s">
        <v>1626</v>
      </c>
      <c r="G1076" s="189" t="s">
        <v>1627</v>
      </c>
      <c r="H1076" s="191" t="n">
        <v>46165</v>
      </c>
      <c r="I1076" s="189" t="s">
        <v>113</v>
      </c>
      <c r="J1076" s="189" t="s">
        <v>295</v>
      </c>
      <c r="K1076" s="189" t="s">
        <v>232</v>
      </c>
      <c r="L1076" s="189" t="s">
        <v>286</v>
      </c>
      <c r="M1076" s="189" t="s">
        <v>212</v>
      </c>
      <c r="N1076" s="189" t="s">
        <v>1628</v>
      </c>
      <c r="O1076" s="189" t="s">
        <v>107</v>
      </c>
      <c r="P1076" s="189" t="s">
        <v>111</v>
      </c>
      <c r="Q1076" s="189" t="s">
        <v>112</v>
      </c>
      <c r="R1076" s="189" t="s">
        <v>22</v>
      </c>
      <c r="S1076" s="189" t="s">
        <v>120</v>
      </c>
      <c r="T1076" s="189" t="s">
        <v>121</v>
      </c>
      <c r="V1076" s="189" t="s">
        <v>123</v>
      </c>
      <c r="W1076" s="189" t="s">
        <v>124</v>
      </c>
      <c r="X1076" s="189" t="s">
        <v>135</v>
      </c>
      <c r="Y1076" s="189" t="s">
        <v>2108</v>
      </c>
      <c r="Z1076" s="0" t="n">
        <v>3</v>
      </c>
      <c r="AA1076" s="189" t="s">
        <v>2115</v>
      </c>
    </row>
    <row r="1077" customFormat="false" ht="15" hidden="false" customHeight="false" outlineLevel="0" collapsed="false">
      <c r="A1077" s="0" t="n">
        <v>224</v>
      </c>
      <c r="B1077" s="191" t="n">
        <v>46169.7006425458</v>
      </c>
      <c r="C1077" s="191" t="n">
        <v>46169.7096008791</v>
      </c>
      <c r="D1077" s="189" t="s">
        <v>1625</v>
      </c>
      <c r="E1077" s="189" t="s">
        <v>1626</v>
      </c>
      <c r="F1077" s="189" t="s">
        <v>1626</v>
      </c>
      <c r="G1077" s="189" t="s">
        <v>1627</v>
      </c>
      <c r="H1077" s="191" t="n">
        <v>46165</v>
      </c>
      <c r="I1077" s="189" t="s">
        <v>113</v>
      </c>
      <c r="J1077" s="189" t="s">
        <v>295</v>
      </c>
      <c r="K1077" s="189" t="s">
        <v>232</v>
      </c>
      <c r="L1077" s="189" t="s">
        <v>286</v>
      </c>
      <c r="M1077" s="189" t="s">
        <v>212</v>
      </c>
      <c r="N1077" s="189" t="s">
        <v>1628</v>
      </c>
      <c r="O1077" s="189" t="s">
        <v>107</v>
      </c>
      <c r="P1077" s="189" t="s">
        <v>111</v>
      </c>
      <c r="Q1077" s="189" t="s">
        <v>112</v>
      </c>
      <c r="R1077" s="189" t="s">
        <v>22</v>
      </c>
      <c r="S1077" s="189" t="s">
        <v>120</v>
      </c>
      <c r="T1077" s="189" t="s">
        <v>121</v>
      </c>
      <c r="V1077" s="189" t="s">
        <v>123</v>
      </c>
      <c r="W1077" s="189" t="s">
        <v>124</v>
      </c>
      <c r="X1077" s="189" t="s">
        <v>135</v>
      </c>
      <c r="Y1077" s="189" t="s">
        <v>2110</v>
      </c>
      <c r="Z1077" s="0" t="n">
        <v>1</v>
      </c>
      <c r="AA1077" s="189" t="s">
        <v>2195</v>
      </c>
    </row>
    <row r="1078" customFormat="false" ht="15" hidden="false" customHeight="false" outlineLevel="0" collapsed="false">
      <c r="A1078" s="0" t="n">
        <v>224</v>
      </c>
      <c r="B1078" s="191" t="n">
        <v>46169.7006425458</v>
      </c>
      <c r="C1078" s="191" t="n">
        <v>46169.7096008791</v>
      </c>
      <c r="D1078" s="189" t="s">
        <v>1625</v>
      </c>
      <c r="E1078" s="189" t="s">
        <v>1626</v>
      </c>
      <c r="F1078" s="189" t="s">
        <v>1626</v>
      </c>
      <c r="G1078" s="189" t="s">
        <v>1627</v>
      </c>
      <c r="H1078" s="191" t="n">
        <v>46165</v>
      </c>
      <c r="I1078" s="189" t="s">
        <v>113</v>
      </c>
      <c r="J1078" s="189" t="s">
        <v>295</v>
      </c>
      <c r="K1078" s="189" t="s">
        <v>232</v>
      </c>
      <c r="L1078" s="189" t="s">
        <v>286</v>
      </c>
      <c r="M1078" s="189" t="s">
        <v>212</v>
      </c>
      <c r="N1078" s="189" t="s">
        <v>1628</v>
      </c>
      <c r="O1078" s="189" t="s">
        <v>107</v>
      </c>
      <c r="P1078" s="189" t="s">
        <v>111</v>
      </c>
      <c r="Q1078" s="189" t="s">
        <v>112</v>
      </c>
      <c r="R1078" s="189" t="s">
        <v>22</v>
      </c>
      <c r="S1078" s="189" t="s">
        <v>120</v>
      </c>
      <c r="T1078" s="189" t="s">
        <v>121</v>
      </c>
      <c r="V1078" s="189" t="s">
        <v>123</v>
      </c>
      <c r="W1078" s="189" t="s">
        <v>124</v>
      </c>
      <c r="X1078" s="189" t="s">
        <v>135</v>
      </c>
      <c r="Y1078" s="189" t="s">
        <v>2113</v>
      </c>
      <c r="Z1078" s="0" t="n">
        <v>1</v>
      </c>
      <c r="AA1078" s="189" t="s">
        <v>2119</v>
      </c>
    </row>
    <row r="1079" customFormat="false" ht="15" hidden="false" customHeight="false" outlineLevel="0" collapsed="false">
      <c r="A1079" s="0" t="n">
        <v>225</v>
      </c>
      <c r="B1079" s="191" t="n">
        <v>46140.8398707905</v>
      </c>
      <c r="C1079" s="191" t="n">
        <v>46140.8582851424</v>
      </c>
      <c r="D1079" s="189" t="s">
        <v>1630</v>
      </c>
      <c r="E1079" s="189" t="s">
        <v>1631</v>
      </c>
      <c r="F1079" s="189" t="s">
        <v>1631</v>
      </c>
      <c r="G1079" s="189" t="s">
        <v>1632</v>
      </c>
      <c r="H1079" s="191" t="n">
        <v>46126</v>
      </c>
      <c r="I1079" s="189" t="s">
        <v>325</v>
      </c>
      <c r="J1079" s="189" t="s">
        <v>108</v>
      </c>
      <c r="K1079" s="189" t="s">
        <v>1633</v>
      </c>
      <c r="L1079" s="189" t="s">
        <v>286</v>
      </c>
      <c r="M1079" s="189" t="s">
        <v>652</v>
      </c>
      <c r="N1079" s="189" t="s">
        <v>1539</v>
      </c>
      <c r="O1079" s="189" t="s">
        <v>278</v>
      </c>
      <c r="P1079" s="189" t="s">
        <v>111</v>
      </c>
      <c r="Q1079" s="189" t="s">
        <v>145</v>
      </c>
      <c r="R1079" s="189" t="s">
        <v>22</v>
      </c>
      <c r="S1079" s="189" t="s">
        <v>152</v>
      </c>
      <c r="T1079" s="189" t="s">
        <v>352</v>
      </c>
      <c r="U1079" s="189" t="s">
        <v>122</v>
      </c>
      <c r="V1079" s="189" t="s">
        <v>123</v>
      </c>
      <c r="W1079" s="189" t="s">
        <v>124</v>
      </c>
      <c r="X1079" s="189" t="s">
        <v>298</v>
      </c>
      <c r="Y1079" s="189" t="s">
        <v>2108</v>
      </c>
      <c r="Z1079" s="0" t="n">
        <v>1</v>
      </c>
      <c r="AA1079" s="189" t="s">
        <v>2252</v>
      </c>
    </row>
    <row r="1080" customFormat="false" ht="15" hidden="false" customHeight="false" outlineLevel="0" collapsed="false">
      <c r="A1080" s="0" t="n">
        <v>225</v>
      </c>
      <c r="B1080" s="191" t="n">
        <v>46140.8398707905</v>
      </c>
      <c r="C1080" s="191" t="n">
        <v>46140.8582851424</v>
      </c>
      <c r="D1080" s="189" t="s">
        <v>1630</v>
      </c>
      <c r="E1080" s="189" t="s">
        <v>1631</v>
      </c>
      <c r="F1080" s="189" t="s">
        <v>1631</v>
      </c>
      <c r="G1080" s="189" t="s">
        <v>1632</v>
      </c>
      <c r="H1080" s="191" t="n">
        <v>46126</v>
      </c>
      <c r="I1080" s="189" t="s">
        <v>325</v>
      </c>
      <c r="J1080" s="189" t="s">
        <v>108</v>
      </c>
      <c r="K1080" s="189" t="s">
        <v>1633</v>
      </c>
      <c r="L1080" s="189" t="s">
        <v>286</v>
      </c>
      <c r="M1080" s="189" t="s">
        <v>652</v>
      </c>
      <c r="N1080" s="189" t="s">
        <v>1539</v>
      </c>
      <c r="O1080" s="189" t="s">
        <v>278</v>
      </c>
      <c r="P1080" s="189" t="s">
        <v>111</v>
      </c>
      <c r="Q1080" s="189" t="s">
        <v>145</v>
      </c>
      <c r="R1080" s="189" t="s">
        <v>22</v>
      </c>
      <c r="S1080" s="189" t="s">
        <v>152</v>
      </c>
      <c r="T1080" s="189" t="s">
        <v>352</v>
      </c>
      <c r="U1080" s="189" t="s">
        <v>122</v>
      </c>
      <c r="V1080" s="189" t="s">
        <v>123</v>
      </c>
      <c r="W1080" s="189" t="s">
        <v>124</v>
      </c>
      <c r="X1080" s="189" t="s">
        <v>298</v>
      </c>
      <c r="Y1080" s="189" t="s">
        <v>2108</v>
      </c>
      <c r="Z1080" s="0" t="n">
        <v>2</v>
      </c>
      <c r="AA1080" s="189" t="s">
        <v>2168</v>
      </c>
    </row>
    <row r="1081" customFormat="false" ht="15" hidden="false" customHeight="false" outlineLevel="0" collapsed="false">
      <c r="A1081" s="0" t="n">
        <v>225</v>
      </c>
      <c r="B1081" s="191" t="n">
        <v>46140.8398707905</v>
      </c>
      <c r="C1081" s="191" t="n">
        <v>46140.8582851424</v>
      </c>
      <c r="D1081" s="189" t="s">
        <v>1630</v>
      </c>
      <c r="E1081" s="189" t="s">
        <v>1631</v>
      </c>
      <c r="F1081" s="189" t="s">
        <v>1631</v>
      </c>
      <c r="G1081" s="189" t="s">
        <v>1632</v>
      </c>
      <c r="H1081" s="191" t="n">
        <v>46126</v>
      </c>
      <c r="I1081" s="189" t="s">
        <v>325</v>
      </c>
      <c r="J1081" s="189" t="s">
        <v>108</v>
      </c>
      <c r="K1081" s="189" t="s">
        <v>1633</v>
      </c>
      <c r="L1081" s="189" t="s">
        <v>286</v>
      </c>
      <c r="M1081" s="189" t="s">
        <v>652</v>
      </c>
      <c r="N1081" s="189" t="s">
        <v>1539</v>
      </c>
      <c r="O1081" s="189" t="s">
        <v>278</v>
      </c>
      <c r="P1081" s="189" t="s">
        <v>111</v>
      </c>
      <c r="Q1081" s="189" t="s">
        <v>145</v>
      </c>
      <c r="R1081" s="189" t="s">
        <v>22</v>
      </c>
      <c r="S1081" s="189" t="s">
        <v>152</v>
      </c>
      <c r="T1081" s="189" t="s">
        <v>352</v>
      </c>
      <c r="U1081" s="189" t="s">
        <v>122</v>
      </c>
      <c r="V1081" s="189" t="s">
        <v>123</v>
      </c>
      <c r="W1081" s="189" t="s">
        <v>124</v>
      </c>
      <c r="X1081" s="189" t="s">
        <v>298</v>
      </c>
      <c r="Y1081" s="189" t="s">
        <v>2110</v>
      </c>
      <c r="Z1081" s="0" t="n">
        <v>1</v>
      </c>
      <c r="AA1081" s="189" t="s">
        <v>2253</v>
      </c>
    </row>
    <row r="1082" customFormat="false" ht="15" hidden="false" customHeight="false" outlineLevel="0" collapsed="false">
      <c r="A1082" s="0" t="n">
        <v>225</v>
      </c>
      <c r="B1082" s="191" t="n">
        <v>46140.8398707905</v>
      </c>
      <c r="C1082" s="191" t="n">
        <v>46140.8582851424</v>
      </c>
      <c r="D1082" s="189" t="s">
        <v>1630</v>
      </c>
      <c r="E1082" s="189" t="s">
        <v>1631</v>
      </c>
      <c r="F1082" s="189" t="s">
        <v>1631</v>
      </c>
      <c r="G1082" s="189" t="s">
        <v>1632</v>
      </c>
      <c r="H1082" s="191" t="n">
        <v>46126</v>
      </c>
      <c r="I1082" s="189" t="s">
        <v>325</v>
      </c>
      <c r="J1082" s="189" t="s">
        <v>108</v>
      </c>
      <c r="K1082" s="189" t="s">
        <v>1633</v>
      </c>
      <c r="L1082" s="189" t="s">
        <v>286</v>
      </c>
      <c r="M1082" s="189" t="s">
        <v>652</v>
      </c>
      <c r="N1082" s="189" t="s">
        <v>1539</v>
      </c>
      <c r="O1082" s="189" t="s">
        <v>278</v>
      </c>
      <c r="P1082" s="189" t="s">
        <v>111</v>
      </c>
      <c r="Q1082" s="189" t="s">
        <v>145</v>
      </c>
      <c r="R1082" s="189" t="s">
        <v>22</v>
      </c>
      <c r="S1082" s="189" t="s">
        <v>152</v>
      </c>
      <c r="T1082" s="189" t="s">
        <v>352</v>
      </c>
      <c r="U1082" s="189" t="s">
        <v>122</v>
      </c>
      <c r="V1082" s="189" t="s">
        <v>123</v>
      </c>
      <c r="W1082" s="189" t="s">
        <v>124</v>
      </c>
      <c r="X1082" s="189" t="s">
        <v>298</v>
      </c>
      <c r="Y1082" s="189" t="s">
        <v>2110</v>
      </c>
      <c r="Z1082" s="0" t="n">
        <v>2</v>
      </c>
      <c r="AA1082" s="189" t="s">
        <v>2170</v>
      </c>
    </row>
    <row r="1083" customFormat="false" ht="15" hidden="false" customHeight="false" outlineLevel="0" collapsed="false">
      <c r="A1083" s="0" t="n">
        <v>225</v>
      </c>
      <c r="B1083" s="191" t="n">
        <v>46140.8398707905</v>
      </c>
      <c r="C1083" s="191" t="n">
        <v>46140.8582851424</v>
      </c>
      <c r="D1083" s="189" t="s">
        <v>1630</v>
      </c>
      <c r="E1083" s="189" t="s">
        <v>1631</v>
      </c>
      <c r="F1083" s="189" t="s">
        <v>1631</v>
      </c>
      <c r="G1083" s="189" t="s">
        <v>1632</v>
      </c>
      <c r="H1083" s="191" t="n">
        <v>46126</v>
      </c>
      <c r="I1083" s="189" t="s">
        <v>325</v>
      </c>
      <c r="J1083" s="189" t="s">
        <v>108</v>
      </c>
      <c r="K1083" s="189" t="s">
        <v>1633</v>
      </c>
      <c r="L1083" s="189" t="s">
        <v>286</v>
      </c>
      <c r="M1083" s="189" t="s">
        <v>652</v>
      </c>
      <c r="N1083" s="189" t="s">
        <v>1539</v>
      </c>
      <c r="O1083" s="189" t="s">
        <v>278</v>
      </c>
      <c r="P1083" s="189" t="s">
        <v>111</v>
      </c>
      <c r="Q1083" s="189" t="s">
        <v>145</v>
      </c>
      <c r="R1083" s="189" t="s">
        <v>22</v>
      </c>
      <c r="S1083" s="189" t="s">
        <v>152</v>
      </c>
      <c r="T1083" s="189" t="s">
        <v>352</v>
      </c>
      <c r="U1083" s="189" t="s">
        <v>122</v>
      </c>
      <c r="V1083" s="189" t="s">
        <v>123</v>
      </c>
      <c r="W1083" s="189" t="s">
        <v>124</v>
      </c>
      <c r="X1083" s="189" t="s">
        <v>298</v>
      </c>
      <c r="Y1083" s="189" t="s">
        <v>2113</v>
      </c>
      <c r="Z1083" s="0" t="n">
        <v>1</v>
      </c>
      <c r="AA1083" s="189" t="s">
        <v>2254</v>
      </c>
    </row>
    <row r="1084" customFormat="false" ht="15" hidden="false" customHeight="false" outlineLevel="0" collapsed="false">
      <c r="A1084" s="0" t="n">
        <v>226</v>
      </c>
      <c r="B1084" s="191" t="n">
        <v>46192.2424429005</v>
      </c>
      <c r="C1084" s="191" t="n">
        <v>46192.2458572523</v>
      </c>
      <c r="D1084" s="189" t="s">
        <v>1637</v>
      </c>
      <c r="E1084" s="189" t="s">
        <v>1638</v>
      </c>
      <c r="F1084" s="189" t="s">
        <v>1638</v>
      </c>
      <c r="G1084" s="189" t="s">
        <v>1639</v>
      </c>
      <c r="H1084" s="191" t="n">
        <v>46182</v>
      </c>
      <c r="I1084" s="189" t="s">
        <v>113</v>
      </c>
      <c r="J1084" s="189" t="s">
        <v>108</v>
      </c>
      <c r="K1084" s="189" t="s">
        <v>1640</v>
      </c>
      <c r="L1084" s="189" t="s">
        <v>210</v>
      </c>
      <c r="M1084" s="189" t="s">
        <v>1112</v>
      </c>
      <c r="N1084" s="189" t="s">
        <v>347</v>
      </c>
      <c r="O1084" s="189" t="s">
        <v>1506</v>
      </c>
      <c r="P1084" s="189" t="s">
        <v>111</v>
      </c>
      <c r="Q1084" s="189" t="s">
        <v>145</v>
      </c>
      <c r="R1084" s="189" t="s">
        <v>21</v>
      </c>
      <c r="S1084" s="189" t="s">
        <v>152</v>
      </c>
      <c r="T1084" s="189" t="s">
        <v>121</v>
      </c>
      <c r="U1084" s="189" t="s">
        <v>1641</v>
      </c>
      <c r="V1084" s="189" t="s">
        <v>123</v>
      </c>
      <c r="W1084" s="189" t="s">
        <v>139</v>
      </c>
      <c r="X1084" s="189" t="s">
        <v>250</v>
      </c>
      <c r="Y1084" s="189" t="s">
        <v>2108</v>
      </c>
      <c r="Z1084" s="0" t="n">
        <v>1</v>
      </c>
      <c r="AA1084" s="189" t="s">
        <v>2139</v>
      </c>
    </row>
    <row r="1085" customFormat="false" ht="15" hidden="false" customHeight="false" outlineLevel="0" collapsed="false">
      <c r="A1085" s="0" t="n">
        <v>226</v>
      </c>
      <c r="B1085" s="191" t="n">
        <v>46192.2424429005</v>
      </c>
      <c r="C1085" s="191" t="n">
        <v>46192.2458572523</v>
      </c>
      <c r="D1085" s="189" t="s">
        <v>1637</v>
      </c>
      <c r="E1085" s="189" t="s">
        <v>1638</v>
      </c>
      <c r="F1085" s="189" t="s">
        <v>1638</v>
      </c>
      <c r="G1085" s="189" t="s">
        <v>1639</v>
      </c>
      <c r="H1085" s="191" t="n">
        <v>46182</v>
      </c>
      <c r="I1085" s="189" t="s">
        <v>113</v>
      </c>
      <c r="J1085" s="189" t="s">
        <v>108</v>
      </c>
      <c r="K1085" s="189" t="s">
        <v>1640</v>
      </c>
      <c r="L1085" s="189" t="s">
        <v>210</v>
      </c>
      <c r="M1085" s="189" t="s">
        <v>1112</v>
      </c>
      <c r="N1085" s="189" t="s">
        <v>347</v>
      </c>
      <c r="O1085" s="189" t="s">
        <v>1506</v>
      </c>
      <c r="P1085" s="189" t="s">
        <v>111</v>
      </c>
      <c r="Q1085" s="189" t="s">
        <v>145</v>
      </c>
      <c r="R1085" s="189" t="s">
        <v>21</v>
      </c>
      <c r="S1085" s="189" t="s">
        <v>152</v>
      </c>
      <c r="T1085" s="189" t="s">
        <v>121</v>
      </c>
      <c r="U1085" s="189" t="s">
        <v>1641</v>
      </c>
      <c r="V1085" s="189" t="s">
        <v>123</v>
      </c>
      <c r="W1085" s="189" t="s">
        <v>139</v>
      </c>
      <c r="X1085" s="189" t="s">
        <v>250</v>
      </c>
      <c r="Y1085" s="189" t="s">
        <v>2110</v>
      </c>
      <c r="Z1085" s="0" t="n">
        <v>1</v>
      </c>
      <c r="AA1085" s="189" t="s">
        <v>2255</v>
      </c>
    </row>
    <row r="1086" customFormat="false" ht="15" hidden="false" customHeight="false" outlineLevel="0" collapsed="false">
      <c r="A1086" s="0" t="n">
        <v>226</v>
      </c>
      <c r="B1086" s="191" t="n">
        <v>46192.2424429005</v>
      </c>
      <c r="C1086" s="191" t="n">
        <v>46192.2458572523</v>
      </c>
      <c r="D1086" s="189" t="s">
        <v>1637</v>
      </c>
      <c r="E1086" s="189" t="s">
        <v>1638</v>
      </c>
      <c r="F1086" s="189" t="s">
        <v>1638</v>
      </c>
      <c r="G1086" s="189" t="s">
        <v>1639</v>
      </c>
      <c r="H1086" s="191" t="n">
        <v>46182</v>
      </c>
      <c r="I1086" s="189" t="s">
        <v>113</v>
      </c>
      <c r="J1086" s="189" t="s">
        <v>108</v>
      </c>
      <c r="K1086" s="189" t="s">
        <v>1640</v>
      </c>
      <c r="L1086" s="189" t="s">
        <v>210</v>
      </c>
      <c r="M1086" s="189" t="s">
        <v>1112</v>
      </c>
      <c r="N1086" s="189" t="s">
        <v>347</v>
      </c>
      <c r="O1086" s="189" t="s">
        <v>1506</v>
      </c>
      <c r="P1086" s="189" t="s">
        <v>111</v>
      </c>
      <c r="Q1086" s="189" t="s">
        <v>145</v>
      </c>
      <c r="R1086" s="189" t="s">
        <v>21</v>
      </c>
      <c r="S1086" s="189" t="s">
        <v>152</v>
      </c>
      <c r="T1086" s="189" t="s">
        <v>121</v>
      </c>
      <c r="U1086" s="189" t="s">
        <v>1641</v>
      </c>
      <c r="V1086" s="189" t="s">
        <v>123</v>
      </c>
      <c r="W1086" s="189" t="s">
        <v>139</v>
      </c>
      <c r="X1086" s="189" t="s">
        <v>250</v>
      </c>
      <c r="Y1086" s="189" t="s">
        <v>2110</v>
      </c>
      <c r="Z1086" s="0" t="n">
        <v>2</v>
      </c>
      <c r="AA1086" s="189" t="s">
        <v>122</v>
      </c>
    </row>
    <row r="1087" customFormat="false" ht="15" hidden="false" customHeight="false" outlineLevel="0" collapsed="false">
      <c r="A1087" s="0" t="n">
        <v>226</v>
      </c>
      <c r="B1087" s="191" t="n">
        <v>46192.2424429005</v>
      </c>
      <c r="C1087" s="191" t="n">
        <v>46192.2458572523</v>
      </c>
      <c r="D1087" s="189" t="s">
        <v>1637</v>
      </c>
      <c r="E1087" s="189" t="s">
        <v>1638</v>
      </c>
      <c r="F1087" s="189" t="s">
        <v>1638</v>
      </c>
      <c r="G1087" s="189" t="s">
        <v>1639</v>
      </c>
      <c r="H1087" s="191" t="n">
        <v>46182</v>
      </c>
      <c r="I1087" s="189" t="s">
        <v>113</v>
      </c>
      <c r="J1087" s="189" t="s">
        <v>108</v>
      </c>
      <c r="K1087" s="189" t="s">
        <v>1640</v>
      </c>
      <c r="L1087" s="189" t="s">
        <v>210</v>
      </c>
      <c r="M1087" s="189" t="s">
        <v>1112</v>
      </c>
      <c r="N1087" s="189" t="s">
        <v>347</v>
      </c>
      <c r="O1087" s="189" t="s">
        <v>1506</v>
      </c>
      <c r="P1087" s="189" t="s">
        <v>111</v>
      </c>
      <c r="Q1087" s="189" t="s">
        <v>145</v>
      </c>
      <c r="R1087" s="189" t="s">
        <v>21</v>
      </c>
      <c r="S1087" s="189" t="s">
        <v>152</v>
      </c>
      <c r="T1087" s="189" t="s">
        <v>121</v>
      </c>
      <c r="U1087" s="189" t="s">
        <v>1641</v>
      </c>
      <c r="V1087" s="189" t="s">
        <v>123</v>
      </c>
      <c r="W1087" s="189" t="s">
        <v>139</v>
      </c>
      <c r="X1087" s="189" t="s">
        <v>250</v>
      </c>
      <c r="Y1087" s="189" t="s">
        <v>2113</v>
      </c>
      <c r="Z1087" s="0" t="n">
        <v>1</v>
      </c>
      <c r="AA1087" s="189" t="s">
        <v>2152</v>
      </c>
    </row>
    <row r="1088" customFormat="false" ht="15" hidden="false" customHeight="false" outlineLevel="0" collapsed="false">
      <c r="A1088" s="0" t="n">
        <v>228</v>
      </c>
      <c r="B1088" s="191" t="n">
        <v>46074.7274373984</v>
      </c>
      <c r="C1088" s="191" t="n">
        <v>46074.7324026762</v>
      </c>
      <c r="D1088" s="189" t="s">
        <v>1646</v>
      </c>
      <c r="E1088" s="189" t="s">
        <v>1647</v>
      </c>
      <c r="F1088" s="189" t="s">
        <v>1647</v>
      </c>
      <c r="G1088" s="189" t="s">
        <v>1648</v>
      </c>
      <c r="H1088" s="191" t="n">
        <v>46054</v>
      </c>
      <c r="I1088" s="189" t="s">
        <v>113</v>
      </c>
      <c r="J1088" s="189" t="s">
        <v>108</v>
      </c>
      <c r="K1088" s="189" t="s">
        <v>500</v>
      </c>
      <c r="L1088" s="189" t="s">
        <v>184</v>
      </c>
      <c r="M1088" s="189" t="s">
        <v>160</v>
      </c>
      <c r="N1088" s="189" t="s">
        <v>270</v>
      </c>
      <c r="O1088" s="189" t="s">
        <v>278</v>
      </c>
      <c r="P1088" s="189" t="s">
        <v>111</v>
      </c>
      <c r="Q1088" s="189" t="s">
        <v>112</v>
      </c>
      <c r="R1088" s="189" t="s">
        <v>21</v>
      </c>
      <c r="S1088" s="189" t="s">
        <v>120</v>
      </c>
      <c r="T1088" s="189" t="s">
        <v>264</v>
      </c>
      <c r="V1088" s="189" t="s">
        <v>167</v>
      </c>
      <c r="W1088" s="189" t="s">
        <v>124</v>
      </c>
      <c r="X1088" s="189" t="s">
        <v>374</v>
      </c>
      <c r="Y1088" s="189" t="s">
        <v>2108</v>
      </c>
      <c r="Z1088" s="0" t="n">
        <v>1</v>
      </c>
      <c r="AA1088" s="189" t="s">
        <v>2198</v>
      </c>
    </row>
    <row r="1089" customFormat="false" ht="15" hidden="false" customHeight="false" outlineLevel="0" collapsed="false">
      <c r="A1089" s="0" t="n">
        <v>228</v>
      </c>
      <c r="B1089" s="191" t="n">
        <v>46074.7274373984</v>
      </c>
      <c r="C1089" s="191" t="n">
        <v>46074.7324026762</v>
      </c>
      <c r="D1089" s="189" t="s">
        <v>1646</v>
      </c>
      <c r="E1089" s="189" t="s">
        <v>1647</v>
      </c>
      <c r="F1089" s="189" t="s">
        <v>1647</v>
      </c>
      <c r="G1089" s="189" t="s">
        <v>1648</v>
      </c>
      <c r="H1089" s="191" t="n">
        <v>46054</v>
      </c>
      <c r="I1089" s="189" t="s">
        <v>113</v>
      </c>
      <c r="J1089" s="189" t="s">
        <v>108</v>
      </c>
      <c r="K1089" s="189" t="s">
        <v>500</v>
      </c>
      <c r="L1089" s="189" t="s">
        <v>184</v>
      </c>
      <c r="M1089" s="189" t="s">
        <v>160</v>
      </c>
      <c r="N1089" s="189" t="s">
        <v>270</v>
      </c>
      <c r="O1089" s="189" t="s">
        <v>278</v>
      </c>
      <c r="P1089" s="189" t="s">
        <v>111</v>
      </c>
      <c r="Q1089" s="189" t="s">
        <v>112</v>
      </c>
      <c r="R1089" s="189" t="s">
        <v>21</v>
      </c>
      <c r="S1089" s="189" t="s">
        <v>120</v>
      </c>
      <c r="T1089" s="189" t="s">
        <v>264</v>
      </c>
      <c r="V1089" s="189" t="s">
        <v>167</v>
      </c>
      <c r="W1089" s="189" t="s">
        <v>124</v>
      </c>
      <c r="X1089" s="189" t="s">
        <v>374</v>
      </c>
      <c r="Y1089" s="189" t="s">
        <v>2110</v>
      </c>
      <c r="Z1089" s="0" t="n">
        <v>1</v>
      </c>
      <c r="AA1089" s="189" t="s">
        <v>2258</v>
      </c>
    </row>
    <row r="1090" customFormat="false" ht="15" hidden="false" customHeight="false" outlineLevel="0" collapsed="false">
      <c r="A1090" s="0" t="n">
        <v>228</v>
      </c>
      <c r="B1090" s="191" t="n">
        <v>46074.7274373984</v>
      </c>
      <c r="C1090" s="191" t="n">
        <v>46074.7324026762</v>
      </c>
      <c r="D1090" s="189" t="s">
        <v>1646</v>
      </c>
      <c r="E1090" s="189" t="s">
        <v>1647</v>
      </c>
      <c r="F1090" s="189" t="s">
        <v>1647</v>
      </c>
      <c r="G1090" s="189" t="s">
        <v>1648</v>
      </c>
      <c r="H1090" s="191" t="n">
        <v>46054</v>
      </c>
      <c r="I1090" s="189" t="s">
        <v>113</v>
      </c>
      <c r="J1090" s="189" t="s">
        <v>108</v>
      </c>
      <c r="K1090" s="189" t="s">
        <v>500</v>
      </c>
      <c r="L1090" s="189" t="s">
        <v>184</v>
      </c>
      <c r="M1090" s="189" t="s">
        <v>160</v>
      </c>
      <c r="N1090" s="189" t="s">
        <v>270</v>
      </c>
      <c r="O1090" s="189" t="s">
        <v>278</v>
      </c>
      <c r="P1090" s="189" t="s">
        <v>111</v>
      </c>
      <c r="Q1090" s="189" t="s">
        <v>112</v>
      </c>
      <c r="R1090" s="189" t="s">
        <v>21</v>
      </c>
      <c r="S1090" s="189" t="s">
        <v>120</v>
      </c>
      <c r="T1090" s="189" t="s">
        <v>264</v>
      </c>
      <c r="V1090" s="189" t="s">
        <v>167</v>
      </c>
      <c r="W1090" s="189" t="s">
        <v>124</v>
      </c>
      <c r="X1090" s="189" t="s">
        <v>374</v>
      </c>
      <c r="Y1090" s="189" t="s">
        <v>2110</v>
      </c>
      <c r="Z1090" s="0" t="n">
        <v>2</v>
      </c>
      <c r="AA1090" s="189" t="s">
        <v>2306</v>
      </c>
    </row>
    <row r="1091" customFormat="false" ht="15" hidden="false" customHeight="false" outlineLevel="0" collapsed="false">
      <c r="A1091" s="0" t="n">
        <v>228</v>
      </c>
      <c r="B1091" s="191" t="n">
        <v>46074.7274373984</v>
      </c>
      <c r="C1091" s="191" t="n">
        <v>46074.7324026762</v>
      </c>
      <c r="D1091" s="189" t="s">
        <v>1646</v>
      </c>
      <c r="E1091" s="189" t="s">
        <v>1647</v>
      </c>
      <c r="F1091" s="189" t="s">
        <v>1647</v>
      </c>
      <c r="G1091" s="189" t="s">
        <v>1648</v>
      </c>
      <c r="H1091" s="191" t="n">
        <v>46054</v>
      </c>
      <c r="I1091" s="189" t="s">
        <v>113</v>
      </c>
      <c r="J1091" s="189" t="s">
        <v>108</v>
      </c>
      <c r="K1091" s="189" t="s">
        <v>500</v>
      </c>
      <c r="L1091" s="189" t="s">
        <v>184</v>
      </c>
      <c r="M1091" s="189" t="s">
        <v>160</v>
      </c>
      <c r="N1091" s="189" t="s">
        <v>270</v>
      </c>
      <c r="O1091" s="189" t="s">
        <v>278</v>
      </c>
      <c r="P1091" s="189" t="s">
        <v>111</v>
      </c>
      <c r="Q1091" s="189" t="s">
        <v>112</v>
      </c>
      <c r="R1091" s="189" t="s">
        <v>21</v>
      </c>
      <c r="S1091" s="189" t="s">
        <v>120</v>
      </c>
      <c r="T1091" s="189" t="s">
        <v>264</v>
      </c>
      <c r="V1091" s="189" t="s">
        <v>167</v>
      </c>
      <c r="W1091" s="189" t="s">
        <v>124</v>
      </c>
      <c r="X1091" s="189" t="s">
        <v>374</v>
      </c>
      <c r="Y1091" s="189" t="s">
        <v>2113</v>
      </c>
      <c r="Z1091" s="0" t="n">
        <v>1</v>
      </c>
      <c r="AA1091" s="189" t="s">
        <v>2201</v>
      </c>
    </row>
    <row r="1092" customFormat="false" ht="15" hidden="false" customHeight="false" outlineLevel="0" collapsed="false">
      <c r="A1092" s="0" t="n">
        <v>228</v>
      </c>
      <c r="B1092" s="191" t="n">
        <v>46074.7274373984</v>
      </c>
      <c r="C1092" s="191" t="n">
        <v>46074.7324026762</v>
      </c>
      <c r="D1092" s="189" t="s">
        <v>1646</v>
      </c>
      <c r="E1092" s="189" t="s">
        <v>1647</v>
      </c>
      <c r="F1092" s="189" t="s">
        <v>1647</v>
      </c>
      <c r="G1092" s="189" t="s">
        <v>1648</v>
      </c>
      <c r="H1092" s="191" t="n">
        <v>46054</v>
      </c>
      <c r="I1092" s="189" t="s">
        <v>113</v>
      </c>
      <c r="J1092" s="189" t="s">
        <v>108</v>
      </c>
      <c r="K1092" s="189" t="s">
        <v>500</v>
      </c>
      <c r="L1092" s="189" t="s">
        <v>184</v>
      </c>
      <c r="M1092" s="189" t="s">
        <v>160</v>
      </c>
      <c r="N1092" s="189" t="s">
        <v>270</v>
      </c>
      <c r="O1092" s="189" t="s">
        <v>278</v>
      </c>
      <c r="P1092" s="189" t="s">
        <v>111</v>
      </c>
      <c r="Q1092" s="189" t="s">
        <v>112</v>
      </c>
      <c r="R1092" s="189" t="s">
        <v>21</v>
      </c>
      <c r="S1092" s="189" t="s">
        <v>120</v>
      </c>
      <c r="T1092" s="189" t="s">
        <v>264</v>
      </c>
      <c r="V1092" s="189" t="s">
        <v>167</v>
      </c>
      <c r="W1092" s="189" t="s">
        <v>124</v>
      </c>
      <c r="X1092" s="189" t="s">
        <v>374</v>
      </c>
      <c r="Y1092" s="189" t="s">
        <v>2113</v>
      </c>
      <c r="Z1092" s="0" t="n">
        <v>2</v>
      </c>
      <c r="AA1092" s="189" t="s">
        <v>2202</v>
      </c>
    </row>
    <row r="1093" customFormat="false" ht="15" hidden="false" customHeight="false" outlineLevel="0" collapsed="false">
      <c r="A1093" s="0" t="n">
        <v>229</v>
      </c>
      <c r="B1093" s="191" t="n">
        <v>46138.5829966795</v>
      </c>
      <c r="C1093" s="191" t="n">
        <v>46138.600103161</v>
      </c>
      <c r="D1093" s="189" t="s">
        <v>1650</v>
      </c>
      <c r="E1093" s="189" t="s">
        <v>1651</v>
      </c>
      <c r="F1093" s="189" t="s">
        <v>1651</v>
      </c>
      <c r="G1093" s="189" t="s">
        <v>1652</v>
      </c>
      <c r="H1093" s="191" t="n">
        <v>46138</v>
      </c>
      <c r="I1093" s="189" t="s">
        <v>305</v>
      </c>
      <c r="J1093" s="189" t="s">
        <v>108</v>
      </c>
      <c r="K1093" s="189" t="s">
        <v>462</v>
      </c>
      <c r="L1093" s="189" t="s">
        <v>184</v>
      </c>
      <c r="M1093" s="189" t="s">
        <v>1151</v>
      </c>
      <c r="N1093" s="189" t="s">
        <v>440</v>
      </c>
      <c r="O1093" s="189" t="s">
        <v>244</v>
      </c>
      <c r="P1093" s="189" t="s">
        <v>111</v>
      </c>
      <c r="Q1093" s="189" t="s">
        <v>112</v>
      </c>
      <c r="R1093" s="189" t="s">
        <v>22</v>
      </c>
      <c r="S1093" s="189" t="s">
        <v>120</v>
      </c>
      <c r="T1093" s="189" t="s">
        <v>180</v>
      </c>
      <c r="U1093" s="189" t="s">
        <v>122</v>
      </c>
      <c r="V1093" s="189" t="s">
        <v>192</v>
      </c>
      <c r="W1093" s="189" t="s">
        <v>124</v>
      </c>
      <c r="X1093" s="189" t="s">
        <v>148</v>
      </c>
      <c r="Y1093" s="189" t="s">
        <v>2108</v>
      </c>
      <c r="Z1093" s="0" t="n">
        <v>1</v>
      </c>
      <c r="AA1093" s="189" t="s">
        <v>2230</v>
      </c>
    </row>
    <row r="1094" customFormat="false" ht="15" hidden="false" customHeight="false" outlineLevel="0" collapsed="false">
      <c r="A1094" s="0" t="n">
        <v>229</v>
      </c>
      <c r="B1094" s="191" t="n">
        <v>46138.5829966795</v>
      </c>
      <c r="C1094" s="191" t="n">
        <v>46138.600103161</v>
      </c>
      <c r="D1094" s="189" t="s">
        <v>1650</v>
      </c>
      <c r="E1094" s="189" t="s">
        <v>1651</v>
      </c>
      <c r="F1094" s="189" t="s">
        <v>1651</v>
      </c>
      <c r="G1094" s="189" t="s">
        <v>1652</v>
      </c>
      <c r="H1094" s="191" t="n">
        <v>46138</v>
      </c>
      <c r="I1094" s="189" t="s">
        <v>305</v>
      </c>
      <c r="J1094" s="189" t="s">
        <v>108</v>
      </c>
      <c r="K1094" s="189" t="s">
        <v>462</v>
      </c>
      <c r="L1094" s="189" t="s">
        <v>184</v>
      </c>
      <c r="M1094" s="189" t="s">
        <v>1151</v>
      </c>
      <c r="N1094" s="189" t="s">
        <v>440</v>
      </c>
      <c r="O1094" s="189" t="s">
        <v>244</v>
      </c>
      <c r="P1094" s="189" t="s">
        <v>111</v>
      </c>
      <c r="Q1094" s="189" t="s">
        <v>112</v>
      </c>
      <c r="R1094" s="189" t="s">
        <v>22</v>
      </c>
      <c r="S1094" s="189" t="s">
        <v>120</v>
      </c>
      <c r="T1094" s="189" t="s">
        <v>180</v>
      </c>
      <c r="U1094" s="189" t="s">
        <v>122</v>
      </c>
      <c r="V1094" s="189" t="s">
        <v>192</v>
      </c>
      <c r="W1094" s="189" t="s">
        <v>124</v>
      </c>
      <c r="X1094" s="189" t="s">
        <v>148</v>
      </c>
      <c r="Y1094" s="189" t="s">
        <v>2108</v>
      </c>
      <c r="Z1094" s="0" t="n">
        <v>2</v>
      </c>
      <c r="AA1094" s="189" t="s">
        <v>2326</v>
      </c>
    </row>
    <row r="1095" customFormat="false" ht="15" hidden="false" customHeight="false" outlineLevel="0" collapsed="false">
      <c r="A1095" s="0" t="n">
        <v>229</v>
      </c>
      <c r="B1095" s="191" t="n">
        <v>46138.5829966795</v>
      </c>
      <c r="C1095" s="191" t="n">
        <v>46138.600103161</v>
      </c>
      <c r="D1095" s="189" t="s">
        <v>1650</v>
      </c>
      <c r="E1095" s="189" t="s">
        <v>1651</v>
      </c>
      <c r="F1095" s="189" t="s">
        <v>1651</v>
      </c>
      <c r="G1095" s="189" t="s">
        <v>1652</v>
      </c>
      <c r="H1095" s="191" t="n">
        <v>46138</v>
      </c>
      <c r="I1095" s="189" t="s">
        <v>305</v>
      </c>
      <c r="J1095" s="189" t="s">
        <v>108</v>
      </c>
      <c r="K1095" s="189" t="s">
        <v>462</v>
      </c>
      <c r="L1095" s="189" t="s">
        <v>184</v>
      </c>
      <c r="M1095" s="189" t="s">
        <v>1151</v>
      </c>
      <c r="N1095" s="189" t="s">
        <v>440</v>
      </c>
      <c r="O1095" s="189" t="s">
        <v>244</v>
      </c>
      <c r="P1095" s="189" t="s">
        <v>111</v>
      </c>
      <c r="Q1095" s="189" t="s">
        <v>112</v>
      </c>
      <c r="R1095" s="189" t="s">
        <v>22</v>
      </c>
      <c r="S1095" s="189" t="s">
        <v>120</v>
      </c>
      <c r="T1095" s="189" t="s">
        <v>180</v>
      </c>
      <c r="U1095" s="189" t="s">
        <v>122</v>
      </c>
      <c r="V1095" s="189" t="s">
        <v>192</v>
      </c>
      <c r="W1095" s="189" t="s">
        <v>124</v>
      </c>
      <c r="X1095" s="189" t="s">
        <v>148</v>
      </c>
      <c r="Y1095" s="189" t="s">
        <v>2110</v>
      </c>
      <c r="Z1095" s="0" t="n">
        <v>1</v>
      </c>
      <c r="AA1095" s="189" t="s">
        <v>2121</v>
      </c>
    </row>
    <row r="1096" customFormat="false" ht="15" hidden="false" customHeight="false" outlineLevel="0" collapsed="false">
      <c r="A1096" s="0" t="n">
        <v>229</v>
      </c>
      <c r="B1096" s="191" t="n">
        <v>46138.5829966795</v>
      </c>
      <c r="C1096" s="191" t="n">
        <v>46138.600103161</v>
      </c>
      <c r="D1096" s="189" t="s">
        <v>1650</v>
      </c>
      <c r="E1096" s="189" t="s">
        <v>1651</v>
      </c>
      <c r="F1096" s="189" t="s">
        <v>1651</v>
      </c>
      <c r="G1096" s="189" t="s">
        <v>1652</v>
      </c>
      <c r="H1096" s="191" t="n">
        <v>46138</v>
      </c>
      <c r="I1096" s="189" t="s">
        <v>305</v>
      </c>
      <c r="J1096" s="189" t="s">
        <v>108</v>
      </c>
      <c r="K1096" s="189" t="s">
        <v>462</v>
      </c>
      <c r="L1096" s="189" t="s">
        <v>184</v>
      </c>
      <c r="M1096" s="189" t="s">
        <v>1151</v>
      </c>
      <c r="N1096" s="189" t="s">
        <v>440</v>
      </c>
      <c r="O1096" s="189" t="s">
        <v>244</v>
      </c>
      <c r="P1096" s="189" t="s">
        <v>111</v>
      </c>
      <c r="Q1096" s="189" t="s">
        <v>112</v>
      </c>
      <c r="R1096" s="189" t="s">
        <v>22</v>
      </c>
      <c r="S1096" s="189" t="s">
        <v>120</v>
      </c>
      <c r="T1096" s="189" t="s">
        <v>180</v>
      </c>
      <c r="U1096" s="189" t="s">
        <v>122</v>
      </c>
      <c r="V1096" s="189" t="s">
        <v>192</v>
      </c>
      <c r="W1096" s="189" t="s">
        <v>124</v>
      </c>
      <c r="X1096" s="189" t="s">
        <v>148</v>
      </c>
      <c r="Y1096" s="189" t="s">
        <v>2110</v>
      </c>
      <c r="Z1096" s="0" t="n">
        <v>2</v>
      </c>
      <c r="AA1096" s="189" t="s">
        <v>2328</v>
      </c>
    </row>
    <row r="1097" customFormat="false" ht="15" hidden="false" customHeight="false" outlineLevel="0" collapsed="false">
      <c r="A1097" s="0" t="n">
        <v>229</v>
      </c>
      <c r="B1097" s="191" t="n">
        <v>46138.5829966795</v>
      </c>
      <c r="C1097" s="191" t="n">
        <v>46138.600103161</v>
      </c>
      <c r="D1097" s="189" t="s">
        <v>1650</v>
      </c>
      <c r="E1097" s="189" t="s">
        <v>1651</v>
      </c>
      <c r="F1097" s="189" t="s">
        <v>1651</v>
      </c>
      <c r="G1097" s="189" t="s">
        <v>1652</v>
      </c>
      <c r="H1097" s="191" t="n">
        <v>46138</v>
      </c>
      <c r="I1097" s="189" t="s">
        <v>305</v>
      </c>
      <c r="J1097" s="189" t="s">
        <v>108</v>
      </c>
      <c r="K1097" s="189" t="s">
        <v>462</v>
      </c>
      <c r="L1097" s="189" t="s">
        <v>184</v>
      </c>
      <c r="M1097" s="189" t="s">
        <v>1151</v>
      </c>
      <c r="N1097" s="189" t="s">
        <v>440</v>
      </c>
      <c r="O1097" s="189" t="s">
        <v>244</v>
      </c>
      <c r="P1097" s="189" t="s">
        <v>111</v>
      </c>
      <c r="Q1097" s="189" t="s">
        <v>112</v>
      </c>
      <c r="R1097" s="189" t="s">
        <v>22</v>
      </c>
      <c r="S1097" s="189" t="s">
        <v>120</v>
      </c>
      <c r="T1097" s="189" t="s">
        <v>180</v>
      </c>
      <c r="U1097" s="189" t="s">
        <v>122</v>
      </c>
      <c r="V1097" s="189" t="s">
        <v>192</v>
      </c>
      <c r="W1097" s="189" t="s">
        <v>124</v>
      </c>
      <c r="X1097" s="189" t="s">
        <v>148</v>
      </c>
      <c r="Y1097" s="189" t="s">
        <v>2113</v>
      </c>
      <c r="Z1097" s="0" t="n">
        <v>1</v>
      </c>
      <c r="AA1097" s="189" t="s">
        <v>2124</v>
      </c>
    </row>
    <row r="1098" customFormat="false" ht="15" hidden="false" customHeight="false" outlineLevel="0" collapsed="false">
      <c r="A1098" s="0" t="n">
        <v>230</v>
      </c>
      <c r="B1098" s="191" t="n">
        <v>46039.0827984962</v>
      </c>
      <c r="C1098" s="191" t="n">
        <v>46039.101525348</v>
      </c>
      <c r="D1098" s="189" t="s">
        <v>1655</v>
      </c>
      <c r="E1098" s="189" t="s">
        <v>1656</v>
      </c>
      <c r="F1098" s="189" t="s">
        <v>1656</v>
      </c>
      <c r="G1098" s="189" t="s">
        <v>1657</v>
      </c>
      <c r="H1098" s="191" t="n">
        <v>46021</v>
      </c>
      <c r="I1098" s="189" t="s">
        <v>113</v>
      </c>
      <c r="J1098" s="189" t="s">
        <v>128</v>
      </c>
      <c r="K1098" s="189" t="s">
        <v>232</v>
      </c>
      <c r="L1098" s="189" t="s">
        <v>144</v>
      </c>
      <c r="M1098" s="189" t="s">
        <v>269</v>
      </c>
      <c r="N1098" s="189" t="s">
        <v>1323</v>
      </c>
      <c r="O1098" s="189" t="s">
        <v>107</v>
      </c>
      <c r="P1098" s="189" t="s">
        <v>131</v>
      </c>
      <c r="Q1098" s="189" t="s">
        <v>145</v>
      </c>
      <c r="R1098" s="189" t="s">
        <v>21</v>
      </c>
      <c r="S1098" s="189" t="s">
        <v>152</v>
      </c>
      <c r="T1098" s="189" t="s">
        <v>121</v>
      </c>
      <c r="U1098" s="189" t="s">
        <v>321</v>
      </c>
      <c r="V1098" s="189" t="s">
        <v>123</v>
      </c>
      <c r="W1098" s="189" t="s">
        <v>124</v>
      </c>
      <c r="X1098" s="189" t="s">
        <v>250</v>
      </c>
      <c r="Y1098" s="189" t="s">
        <v>2108</v>
      </c>
      <c r="Z1098" s="0" t="n">
        <v>1</v>
      </c>
      <c r="AA1098" s="189" t="s">
        <v>2151</v>
      </c>
    </row>
    <row r="1099" customFormat="false" ht="15" hidden="false" customHeight="false" outlineLevel="0" collapsed="false">
      <c r="A1099" s="0" t="n">
        <v>230</v>
      </c>
      <c r="B1099" s="191" t="n">
        <v>46039.0827984962</v>
      </c>
      <c r="C1099" s="191" t="n">
        <v>46039.101525348</v>
      </c>
      <c r="D1099" s="189" t="s">
        <v>1655</v>
      </c>
      <c r="E1099" s="189" t="s">
        <v>1656</v>
      </c>
      <c r="F1099" s="189" t="s">
        <v>1656</v>
      </c>
      <c r="G1099" s="189" t="s">
        <v>1657</v>
      </c>
      <c r="H1099" s="191" t="n">
        <v>46021</v>
      </c>
      <c r="I1099" s="189" t="s">
        <v>113</v>
      </c>
      <c r="J1099" s="189" t="s">
        <v>128</v>
      </c>
      <c r="K1099" s="189" t="s">
        <v>232</v>
      </c>
      <c r="L1099" s="189" t="s">
        <v>144</v>
      </c>
      <c r="M1099" s="189" t="s">
        <v>269</v>
      </c>
      <c r="N1099" s="189" t="s">
        <v>1323</v>
      </c>
      <c r="O1099" s="189" t="s">
        <v>107</v>
      </c>
      <c r="P1099" s="189" t="s">
        <v>131</v>
      </c>
      <c r="Q1099" s="189" t="s">
        <v>145</v>
      </c>
      <c r="R1099" s="189" t="s">
        <v>21</v>
      </c>
      <c r="S1099" s="189" t="s">
        <v>152</v>
      </c>
      <c r="T1099" s="189" t="s">
        <v>121</v>
      </c>
      <c r="U1099" s="189" t="s">
        <v>321</v>
      </c>
      <c r="V1099" s="189" t="s">
        <v>123</v>
      </c>
      <c r="W1099" s="189" t="s">
        <v>124</v>
      </c>
      <c r="X1099" s="189" t="s">
        <v>250</v>
      </c>
      <c r="Y1099" s="189" t="s">
        <v>2110</v>
      </c>
      <c r="Z1099" s="0" t="n">
        <v>1</v>
      </c>
      <c r="AA1099" s="189" t="s">
        <v>122</v>
      </c>
    </row>
    <row r="1100" customFormat="false" ht="15" hidden="false" customHeight="false" outlineLevel="0" collapsed="false">
      <c r="A1100" s="0" t="n">
        <v>230</v>
      </c>
      <c r="B1100" s="191" t="n">
        <v>46039.0827984962</v>
      </c>
      <c r="C1100" s="191" t="n">
        <v>46039.101525348</v>
      </c>
      <c r="D1100" s="189" t="s">
        <v>1655</v>
      </c>
      <c r="E1100" s="189" t="s">
        <v>1656</v>
      </c>
      <c r="F1100" s="189" t="s">
        <v>1656</v>
      </c>
      <c r="G1100" s="189" t="s">
        <v>1657</v>
      </c>
      <c r="H1100" s="191" t="n">
        <v>46021</v>
      </c>
      <c r="I1100" s="189" t="s">
        <v>113</v>
      </c>
      <c r="J1100" s="189" t="s">
        <v>128</v>
      </c>
      <c r="K1100" s="189" t="s">
        <v>232</v>
      </c>
      <c r="L1100" s="189" t="s">
        <v>144</v>
      </c>
      <c r="M1100" s="189" t="s">
        <v>269</v>
      </c>
      <c r="N1100" s="189" t="s">
        <v>1323</v>
      </c>
      <c r="O1100" s="189" t="s">
        <v>107</v>
      </c>
      <c r="P1100" s="189" t="s">
        <v>131</v>
      </c>
      <c r="Q1100" s="189" t="s">
        <v>145</v>
      </c>
      <c r="R1100" s="189" t="s">
        <v>21</v>
      </c>
      <c r="S1100" s="189" t="s">
        <v>152</v>
      </c>
      <c r="T1100" s="189" t="s">
        <v>121</v>
      </c>
      <c r="U1100" s="189" t="s">
        <v>321</v>
      </c>
      <c r="V1100" s="189" t="s">
        <v>123</v>
      </c>
      <c r="W1100" s="189" t="s">
        <v>124</v>
      </c>
      <c r="X1100" s="189" t="s">
        <v>250</v>
      </c>
      <c r="Y1100" s="189" t="s">
        <v>2110</v>
      </c>
      <c r="Z1100" s="0" t="n">
        <v>2</v>
      </c>
      <c r="AA1100" s="189" t="s">
        <v>2255</v>
      </c>
    </row>
    <row r="1101" customFormat="false" ht="15" hidden="false" customHeight="false" outlineLevel="0" collapsed="false">
      <c r="A1101" s="0" t="n">
        <v>230</v>
      </c>
      <c r="B1101" s="191" t="n">
        <v>46039.0827984962</v>
      </c>
      <c r="C1101" s="191" t="n">
        <v>46039.101525348</v>
      </c>
      <c r="D1101" s="189" t="s">
        <v>1655</v>
      </c>
      <c r="E1101" s="189" t="s">
        <v>1656</v>
      </c>
      <c r="F1101" s="189" t="s">
        <v>1656</v>
      </c>
      <c r="G1101" s="189" t="s">
        <v>1657</v>
      </c>
      <c r="H1101" s="191" t="n">
        <v>46021</v>
      </c>
      <c r="I1101" s="189" t="s">
        <v>113</v>
      </c>
      <c r="J1101" s="189" t="s">
        <v>128</v>
      </c>
      <c r="K1101" s="189" t="s">
        <v>232</v>
      </c>
      <c r="L1101" s="189" t="s">
        <v>144</v>
      </c>
      <c r="M1101" s="189" t="s">
        <v>269</v>
      </c>
      <c r="N1101" s="189" t="s">
        <v>1323</v>
      </c>
      <c r="O1101" s="189" t="s">
        <v>107</v>
      </c>
      <c r="P1101" s="189" t="s">
        <v>131</v>
      </c>
      <c r="Q1101" s="189" t="s">
        <v>145</v>
      </c>
      <c r="R1101" s="189" t="s">
        <v>21</v>
      </c>
      <c r="S1101" s="189" t="s">
        <v>152</v>
      </c>
      <c r="T1101" s="189" t="s">
        <v>121</v>
      </c>
      <c r="U1101" s="189" t="s">
        <v>321</v>
      </c>
      <c r="V1101" s="189" t="s">
        <v>123</v>
      </c>
      <c r="W1101" s="189" t="s">
        <v>124</v>
      </c>
      <c r="X1101" s="189" t="s">
        <v>250</v>
      </c>
      <c r="Y1101" s="189" t="s">
        <v>2113</v>
      </c>
      <c r="Z1101" s="0" t="n">
        <v>1</v>
      </c>
      <c r="AA1101" s="189" t="s">
        <v>2114</v>
      </c>
    </row>
    <row r="1102" customFormat="false" ht="15" hidden="false" customHeight="false" outlineLevel="0" collapsed="false">
      <c r="A1102" s="0" t="n">
        <v>231</v>
      </c>
      <c r="B1102" s="191" t="n">
        <v>46097.8670586418</v>
      </c>
      <c r="C1102" s="191" t="n">
        <v>46097.8846743826</v>
      </c>
      <c r="D1102" s="189" t="s">
        <v>1659</v>
      </c>
      <c r="E1102" s="189" t="s">
        <v>1660</v>
      </c>
      <c r="F1102" s="189" t="s">
        <v>1661</v>
      </c>
      <c r="G1102" s="189" t="s">
        <v>1662</v>
      </c>
      <c r="H1102" s="191" t="n">
        <v>46094</v>
      </c>
      <c r="I1102" s="189" t="s">
        <v>113</v>
      </c>
      <c r="J1102" s="189" t="s">
        <v>108</v>
      </c>
      <c r="K1102" s="189" t="s">
        <v>245</v>
      </c>
      <c r="L1102" s="189" t="s">
        <v>389</v>
      </c>
      <c r="M1102" s="189" t="s">
        <v>1074</v>
      </c>
      <c r="N1102" s="189" t="s">
        <v>227</v>
      </c>
      <c r="O1102" s="189" t="s">
        <v>278</v>
      </c>
      <c r="P1102" s="189" t="s">
        <v>111</v>
      </c>
      <c r="Q1102" s="189" t="s">
        <v>112</v>
      </c>
      <c r="R1102" s="189" t="s">
        <v>22</v>
      </c>
      <c r="S1102" s="189" t="s">
        <v>152</v>
      </c>
      <c r="T1102" s="189" t="s">
        <v>180</v>
      </c>
      <c r="V1102" s="189" t="s">
        <v>123</v>
      </c>
      <c r="W1102" s="189" t="s">
        <v>168</v>
      </c>
      <c r="X1102" s="189" t="s">
        <v>339</v>
      </c>
      <c r="Y1102" s="189" t="s">
        <v>2108</v>
      </c>
      <c r="Z1102" s="0" t="n">
        <v>1</v>
      </c>
      <c r="AA1102" s="189" t="s">
        <v>2242</v>
      </c>
    </row>
    <row r="1103" customFormat="false" ht="15" hidden="false" customHeight="false" outlineLevel="0" collapsed="false">
      <c r="A1103" s="0" t="n">
        <v>231</v>
      </c>
      <c r="B1103" s="191" t="n">
        <v>46097.8670586418</v>
      </c>
      <c r="C1103" s="191" t="n">
        <v>46097.8846743826</v>
      </c>
      <c r="D1103" s="189" t="s">
        <v>1659</v>
      </c>
      <c r="E1103" s="189" t="s">
        <v>1660</v>
      </c>
      <c r="F1103" s="189" t="s">
        <v>1661</v>
      </c>
      <c r="G1103" s="189" t="s">
        <v>1662</v>
      </c>
      <c r="H1103" s="191" t="n">
        <v>46094</v>
      </c>
      <c r="I1103" s="189" t="s">
        <v>113</v>
      </c>
      <c r="J1103" s="189" t="s">
        <v>108</v>
      </c>
      <c r="K1103" s="189" t="s">
        <v>245</v>
      </c>
      <c r="L1103" s="189" t="s">
        <v>389</v>
      </c>
      <c r="M1103" s="189" t="s">
        <v>1074</v>
      </c>
      <c r="N1103" s="189" t="s">
        <v>227</v>
      </c>
      <c r="O1103" s="189" t="s">
        <v>278</v>
      </c>
      <c r="P1103" s="189" t="s">
        <v>111</v>
      </c>
      <c r="Q1103" s="189" t="s">
        <v>112</v>
      </c>
      <c r="R1103" s="189" t="s">
        <v>22</v>
      </c>
      <c r="S1103" s="189" t="s">
        <v>152</v>
      </c>
      <c r="T1103" s="189" t="s">
        <v>180</v>
      </c>
      <c r="V1103" s="189" t="s">
        <v>123</v>
      </c>
      <c r="W1103" s="189" t="s">
        <v>168</v>
      </c>
      <c r="X1103" s="189" t="s">
        <v>339</v>
      </c>
      <c r="Y1103" s="189" t="s">
        <v>2108</v>
      </c>
      <c r="Z1103" s="0" t="n">
        <v>2</v>
      </c>
      <c r="AA1103" s="189" t="s">
        <v>2260</v>
      </c>
    </row>
    <row r="1104" customFormat="false" ht="15" hidden="false" customHeight="false" outlineLevel="0" collapsed="false">
      <c r="A1104" s="0" t="n">
        <v>231</v>
      </c>
      <c r="B1104" s="191" t="n">
        <v>46097.8670586418</v>
      </c>
      <c r="C1104" s="191" t="n">
        <v>46097.8846743826</v>
      </c>
      <c r="D1104" s="189" t="s">
        <v>1659</v>
      </c>
      <c r="E1104" s="189" t="s">
        <v>1660</v>
      </c>
      <c r="F1104" s="189" t="s">
        <v>1661</v>
      </c>
      <c r="G1104" s="189" t="s">
        <v>1662</v>
      </c>
      <c r="H1104" s="191" t="n">
        <v>46094</v>
      </c>
      <c r="I1104" s="189" t="s">
        <v>113</v>
      </c>
      <c r="J1104" s="189" t="s">
        <v>108</v>
      </c>
      <c r="K1104" s="189" t="s">
        <v>245</v>
      </c>
      <c r="L1104" s="189" t="s">
        <v>389</v>
      </c>
      <c r="M1104" s="189" t="s">
        <v>1074</v>
      </c>
      <c r="N1104" s="189" t="s">
        <v>227</v>
      </c>
      <c r="O1104" s="189" t="s">
        <v>278</v>
      </c>
      <c r="P1104" s="189" t="s">
        <v>111</v>
      </c>
      <c r="Q1104" s="189" t="s">
        <v>112</v>
      </c>
      <c r="R1104" s="189" t="s">
        <v>22</v>
      </c>
      <c r="S1104" s="189" t="s">
        <v>152</v>
      </c>
      <c r="T1104" s="189" t="s">
        <v>180</v>
      </c>
      <c r="V1104" s="189" t="s">
        <v>123</v>
      </c>
      <c r="W1104" s="189" t="s">
        <v>168</v>
      </c>
      <c r="X1104" s="189" t="s">
        <v>339</v>
      </c>
      <c r="Y1104" s="189" t="s">
        <v>2108</v>
      </c>
      <c r="Z1104" s="0" t="n">
        <v>3</v>
      </c>
      <c r="AA1104" s="189" t="s">
        <v>2212</v>
      </c>
    </row>
    <row r="1105" customFormat="false" ht="15" hidden="false" customHeight="false" outlineLevel="0" collapsed="false">
      <c r="A1105" s="0" t="n">
        <v>231</v>
      </c>
      <c r="B1105" s="191" t="n">
        <v>46097.8670586418</v>
      </c>
      <c r="C1105" s="191" t="n">
        <v>46097.8846743826</v>
      </c>
      <c r="D1105" s="189" t="s">
        <v>1659</v>
      </c>
      <c r="E1105" s="189" t="s">
        <v>1660</v>
      </c>
      <c r="F1105" s="189" t="s">
        <v>1661</v>
      </c>
      <c r="G1105" s="189" t="s">
        <v>1662</v>
      </c>
      <c r="H1105" s="191" t="n">
        <v>46094</v>
      </c>
      <c r="I1105" s="189" t="s">
        <v>113</v>
      </c>
      <c r="J1105" s="189" t="s">
        <v>108</v>
      </c>
      <c r="K1105" s="189" t="s">
        <v>245</v>
      </c>
      <c r="L1105" s="189" t="s">
        <v>389</v>
      </c>
      <c r="M1105" s="189" t="s">
        <v>1074</v>
      </c>
      <c r="N1105" s="189" t="s">
        <v>227</v>
      </c>
      <c r="O1105" s="189" t="s">
        <v>278</v>
      </c>
      <c r="P1105" s="189" t="s">
        <v>111</v>
      </c>
      <c r="Q1105" s="189" t="s">
        <v>112</v>
      </c>
      <c r="R1105" s="189" t="s">
        <v>22</v>
      </c>
      <c r="S1105" s="189" t="s">
        <v>152</v>
      </c>
      <c r="T1105" s="189" t="s">
        <v>180</v>
      </c>
      <c r="V1105" s="189" t="s">
        <v>123</v>
      </c>
      <c r="W1105" s="189" t="s">
        <v>168</v>
      </c>
      <c r="X1105" s="189" t="s">
        <v>339</v>
      </c>
      <c r="Y1105" s="189" t="s">
        <v>2110</v>
      </c>
      <c r="Z1105" s="0" t="n">
        <v>1</v>
      </c>
      <c r="AA1105" s="189" t="s">
        <v>2287</v>
      </c>
    </row>
    <row r="1106" customFormat="false" ht="15" hidden="false" customHeight="false" outlineLevel="0" collapsed="false">
      <c r="A1106" s="0" t="n">
        <v>231</v>
      </c>
      <c r="B1106" s="191" t="n">
        <v>46097.8670586418</v>
      </c>
      <c r="C1106" s="191" t="n">
        <v>46097.8846743826</v>
      </c>
      <c r="D1106" s="189" t="s">
        <v>1659</v>
      </c>
      <c r="E1106" s="189" t="s">
        <v>1660</v>
      </c>
      <c r="F1106" s="189" t="s">
        <v>1661</v>
      </c>
      <c r="G1106" s="189" t="s">
        <v>1662</v>
      </c>
      <c r="H1106" s="191" t="n">
        <v>46094</v>
      </c>
      <c r="I1106" s="189" t="s">
        <v>113</v>
      </c>
      <c r="J1106" s="189" t="s">
        <v>108</v>
      </c>
      <c r="K1106" s="189" t="s">
        <v>245</v>
      </c>
      <c r="L1106" s="189" t="s">
        <v>389</v>
      </c>
      <c r="M1106" s="189" t="s">
        <v>1074</v>
      </c>
      <c r="N1106" s="189" t="s">
        <v>227</v>
      </c>
      <c r="O1106" s="189" t="s">
        <v>278</v>
      </c>
      <c r="P1106" s="189" t="s">
        <v>111</v>
      </c>
      <c r="Q1106" s="189" t="s">
        <v>112</v>
      </c>
      <c r="R1106" s="189" t="s">
        <v>22</v>
      </c>
      <c r="S1106" s="189" t="s">
        <v>152</v>
      </c>
      <c r="T1106" s="189" t="s">
        <v>180</v>
      </c>
      <c r="V1106" s="189" t="s">
        <v>123</v>
      </c>
      <c r="W1106" s="189" t="s">
        <v>168</v>
      </c>
      <c r="X1106" s="189" t="s">
        <v>339</v>
      </c>
      <c r="Y1106" s="189" t="s">
        <v>2110</v>
      </c>
      <c r="Z1106" s="0" t="n">
        <v>2</v>
      </c>
      <c r="AA1106" s="189" t="s">
        <v>2305</v>
      </c>
    </row>
    <row r="1107" customFormat="false" ht="15" hidden="false" customHeight="false" outlineLevel="0" collapsed="false">
      <c r="A1107" s="0" t="n">
        <v>231</v>
      </c>
      <c r="B1107" s="191" t="n">
        <v>46097.8670586418</v>
      </c>
      <c r="C1107" s="191" t="n">
        <v>46097.8846743826</v>
      </c>
      <c r="D1107" s="189" t="s">
        <v>1659</v>
      </c>
      <c r="E1107" s="189" t="s">
        <v>1660</v>
      </c>
      <c r="F1107" s="189" t="s">
        <v>1661</v>
      </c>
      <c r="G1107" s="189" t="s">
        <v>1662</v>
      </c>
      <c r="H1107" s="191" t="n">
        <v>46094</v>
      </c>
      <c r="I1107" s="189" t="s">
        <v>113</v>
      </c>
      <c r="J1107" s="189" t="s">
        <v>108</v>
      </c>
      <c r="K1107" s="189" t="s">
        <v>245</v>
      </c>
      <c r="L1107" s="189" t="s">
        <v>389</v>
      </c>
      <c r="M1107" s="189" t="s">
        <v>1074</v>
      </c>
      <c r="N1107" s="189" t="s">
        <v>227</v>
      </c>
      <c r="O1107" s="189" t="s">
        <v>278</v>
      </c>
      <c r="P1107" s="189" t="s">
        <v>111</v>
      </c>
      <c r="Q1107" s="189" t="s">
        <v>112</v>
      </c>
      <c r="R1107" s="189" t="s">
        <v>22</v>
      </c>
      <c r="S1107" s="189" t="s">
        <v>152</v>
      </c>
      <c r="T1107" s="189" t="s">
        <v>180</v>
      </c>
      <c r="V1107" s="189" t="s">
        <v>123</v>
      </c>
      <c r="W1107" s="189" t="s">
        <v>168</v>
      </c>
      <c r="X1107" s="189" t="s">
        <v>339</v>
      </c>
      <c r="Y1107" s="189" t="s">
        <v>2113</v>
      </c>
      <c r="Z1107" s="0" t="n">
        <v>1</v>
      </c>
      <c r="AA1107" s="189" t="s">
        <v>2188</v>
      </c>
    </row>
    <row r="1108" customFormat="false" ht="15" hidden="false" customHeight="false" outlineLevel="0" collapsed="false">
      <c r="A1108" s="0" t="n">
        <v>232</v>
      </c>
      <c r="B1108" s="191" t="n">
        <v>46050.5458762</v>
      </c>
      <c r="C1108" s="191" t="n">
        <v>46050.5543831444</v>
      </c>
      <c r="D1108" s="189" t="s">
        <v>1666</v>
      </c>
      <c r="E1108" s="189" t="s">
        <v>1667</v>
      </c>
      <c r="F1108" s="189" t="s">
        <v>1667</v>
      </c>
      <c r="G1108" s="189" t="s">
        <v>1668</v>
      </c>
      <c r="H1108" s="191" t="n">
        <v>46037</v>
      </c>
      <c r="I1108" s="189" t="s">
        <v>113</v>
      </c>
      <c r="J1108" s="189" t="s">
        <v>108</v>
      </c>
      <c r="K1108" s="189" t="s">
        <v>158</v>
      </c>
      <c r="L1108" s="189" t="s">
        <v>197</v>
      </c>
      <c r="M1108" s="189" t="s">
        <v>160</v>
      </c>
      <c r="N1108" s="189" t="s">
        <v>775</v>
      </c>
      <c r="O1108" s="189" t="s">
        <v>172</v>
      </c>
      <c r="P1108" s="189" t="s">
        <v>111</v>
      </c>
      <c r="Q1108" s="189" t="s">
        <v>112</v>
      </c>
      <c r="R1108" s="189" t="s">
        <v>22</v>
      </c>
      <c r="S1108" s="189" t="s">
        <v>120</v>
      </c>
      <c r="T1108" s="189" t="s">
        <v>121</v>
      </c>
      <c r="U1108" s="189" t="s">
        <v>122</v>
      </c>
      <c r="V1108" s="189" t="s">
        <v>123</v>
      </c>
      <c r="W1108" s="189" t="s">
        <v>124</v>
      </c>
      <c r="X1108" s="189" t="s">
        <v>715</v>
      </c>
      <c r="Y1108" s="189" t="s">
        <v>2108</v>
      </c>
      <c r="Z1108" s="0" t="n">
        <v>1</v>
      </c>
      <c r="AA1108" s="189" t="s">
        <v>2295</v>
      </c>
    </row>
    <row r="1109" customFormat="false" ht="15" hidden="false" customHeight="false" outlineLevel="0" collapsed="false">
      <c r="A1109" s="0" t="n">
        <v>232</v>
      </c>
      <c r="B1109" s="191" t="n">
        <v>46050.5458762</v>
      </c>
      <c r="C1109" s="191" t="n">
        <v>46050.5543831444</v>
      </c>
      <c r="D1109" s="189" t="s">
        <v>1666</v>
      </c>
      <c r="E1109" s="189" t="s">
        <v>1667</v>
      </c>
      <c r="F1109" s="189" t="s">
        <v>1667</v>
      </c>
      <c r="G1109" s="189" t="s">
        <v>1668</v>
      </c>
      <c r="H1109" s="191" t="n">
        <v>46037</v>
      </c>
      <c r="I1109" s="189" t="s">
        <v>113</v>
      </c>
      <c r="J1109" s="189" t="s">
        <v>108</v>
      </c>
      <c r="K1109" s="189" t="s">
        <v>158</v>
      </c>
      <c r="L1109" s="189" t="s">
        <v>197</v>
      </c>
      <c r="M1109" s="189" t="s">
        <v>160</v>
      </c>
      <c r="N1109" s="189" t="s">
        <v>775</v>
      </c>
      <c r="O1109" s="189" t="s">
        <v>172</v>
      </c>
      <c r="P1109" s="189" t="s">
        <v>111</v>
      </c>
      <c r="Q1109" s="189" t="s">
        <v>112</v>
      </c>
      <c r="R1109" s="189" t="s">
        <v>22</v>
      </c>
      <c r="S1109" s="189" t="s">
        <v>120</v>
      </c>
      <c r="T1109" s="189" t="s">
        <v>121</v>
      </c>
      <c r="U1109" s="189" t="s">
        <v>122</v>
      </c>
      <c r="V1109" s="189" t="s">
        <v>123</v>
      </c>
      <c r="W1109" s="189" t="s">
        <v>124</v>
      </c>
      <c r="X1109" s="189" t="s">
        <v>715</v>
      </c>
      <c r="Y1109" s="189" t="s">
        <v>2108</v>
      </c>
      <c r="Z1109" s="0" t="n">
        <v>2</v>
      </c>
      <c r="AA1109" s="189" t="s">
        <v>2296</v>
      </c>
    </row>
    <row r="1110" customFormat="false" ht="15" hidden="false" customHeight="false" outlineLevel="0" collapsed="false">
      <c r="A1110" s="0" t="n">
        <v>232</v>
      </c>
      <c r="B1110" s="191" t="n">
        <v>46050.5458762</v>
      </c>
      <c r="C1110" s="191" t="n">
        <v>46050.5543831444</v>
      </c>
      <c r="D1110" s="189" t="s">
        <v>1666</v>
      </c>
      <c r="E1110" s="189" t="s">
        <v>1667</v>
      </c>
      <c r="F1110" s="189" t="s">
        <v>1667</v>
      </c>
      <c r="G1110" s="189" t="s">
        <v>1668</v>
      </c>
      <c r="H1110" s="191" t="n">
        <v>46037</v>
      </c>
      <c r="I1110" s="189" t="s">
        <v>113</v>
      </c>
      <c r="J1110" s="189" t="s">
        <v>108</v>
      </c>
      <c r="K1110" s="189" t="s">
        <v>158</v>
      </c>
      <c r="L1110" s="189" t="s">
        <v>197</v>
      </c>
      <c r="M1110" s="189" t="s">
        <v>160</v>
      </c>
      <c r="N1110" s="189" t="s">
        <v>775</v>
      </c>
      <c r="O1110" s="189" t="s">
        <v>172</v>
      </c>
      <c r="P1110" s="189" t="s">
        <v>111</v>
      </c>
      <c r="Q1110" s="189" t="s">
        <v>112</v>
      </c>
      <c r="R1110" s="189" t="s">
        <v>22</v>
      </c>
      <c r="S1110" s="189" t="s">
        <v>120</v>
      </c>
      <c r="T1110" s="189" t="s">
        <v>121</v>
      </c>
      <c r="U1110" s="189" t="s">
        <v>122</v>
      </c>
      <c r="V1110" s="189" t="s">
        <v>123</v>
      </c>
      <c r="W1110" s="189" t="s">
        <v>124</v>
      </c>
      <c r="X1110" s="189" t="s">
        <v>715</v>
      </c>
      <c r="Y1110" s="189" t="s">
        <v>2110</v>
      </c>
      <c r="Z1110" s="0" t="n">
        <v>1</v>
      </c>
      <c r="AA1110" s="189" t="s">
        <v>2270</v>
      </c>
    </row>
    <row r="1111" customFormat="false" ht="15" hidden="false" customHeight="false" outlineLevel="0" collapsed="false">
      <c r="A1111" s="0" t="n">
        <v>232</v>
      </c>
      <c r="B1111" s="191" t="n">
        <v>46050.5458762</v>
      </c>
      <c r="C1111" s="191" t="n">
        <v>46050.5543831444</v>
      </c>
      <c r="D1111" s="189" t="s">
        <v>1666</v>
      </c>
      <c r="E1111" s="189" t="s">
        <v>1667</v>
      </c>
      <c r="F1111" s="189" t="s">
        <v>1667</v>
      </c>
      <c r="G1111" s="189" t="s">
        <v>1668</v>
      </c>
      <c r="H1111" s="191" t="n">
        <v>46037</v>
      </c>
      <c r="I1111" s="189" t="s">
        <v>113</v>
      </c>
      <c r="J1111" s="189" t="s">
        <v>108</v>
      </c>
      <c r="K1111" s="189" t="s">
        <v>158</v>
      </c>
      <c r="L1111" s="189" t="s">
        <v>197</v>
      </c>
      <c r="M1111" s="189" t="s">
        <v>160</v>
      </c>
      <c r="N1111" s="189" t="s">
        <v>775</v>
      </c>
      <c r="O1111" s="189" t="s">
        <v>172</v>
      </c>
      <c r="P1111" s="189" t="s">
        <v>111</v>
      </c>
      <c r="Q1111" s="189" t="s">
        <v>112</v>
      </c>
      <c r="R1111" s="189" t="s">
        <v>22</v>
      </c>
      <c r="S1111" s="189" t="s">
        <v>120</v>
      </c>
      <c r="T1111" s="189" t="s">
        <v>121</v>
      </c>
      <c r="U1111" s="189" t="s">
        <v>122</v>
      </c>
      <c r="V1111" s="189" t="s">
        <v>123</v>
      </c>
      <c r="W1111" s="189" t="s">
        <v>124</v>
      </c>
      <c r="X1111" s="189" t="s">
        <v>715</v>
      </c>
      <c r="Y1111" s="189" t="s">
        <v>2113</v>
      </c>
      <c r="Z1111" s="0" t="n">
        <v>1</v>
      </c>
      <c r="AA1111" s="189" t="s">
        <v>2272</v>
      </c>
    </row>
    <row r="1112" customFormat="false" ht="15" hidden="false" customHeight="false" outlineLevel="0" collapsed="false">
      <c r="A1112" s="0" t="n">
        <v>232</v>
      </c>
      <c r="B1112" s="191" t="n">
        <v>46050.5458762</v>
      </c>
      <c r="C1112" s="191" t="n">
        <v>46050.5543831444</v>
      </c>
      <c r="D1112" s="189" t="s">
        <v>1666</v>
      </c>
      <c r="E1112" s="189" t="s">
        <v>1667</v>
      </c>
      <c r="F1112" s="189" t="s">
        <v>1667</v>
      </c>
      <c r="G1112" s="189" t="s">
        <v>1668</v>
      </c>
      <c r="H1112" s="191" t="n">
        <v>46037</v>
      </c>
      <c r="I1112" s="189" t="s">
        <v>113</v>
      </c>
      <c r="J1112" s="189" t="s">
        <v>108</v>
      </c>
      <c r="K1112" s="189" t="s">
        <v>158</v>
      </c>
      <c r="L1112" s="189" t="s">
        <v>197</v>
      </c>
      <c r="M1112" s="189" t="s">
        <v>160</v>
      </c>
      <c r="N1112" s="189" t="s">
        <v>775</v>
      </c>
      <c r="O1112" s="189" t="s">
        <v>172</v>
      </c>
      <c r="P1112" s="189" t="s">
        <v>111</v>
      </c>
      <c r="Q1112" s="189" t="s">
        <v>112</v>
      </c>
      <c r="R1112" s="189" t="s">
        <v>22</v>
      </c>
      <c r="S1112" s="189" t="s">
        <v>120</v>
      </c>
      <c r="T1112" s="189" t="s">
        <v>121</v>
      </c>
      <c r="U1112" s="189" t="s">
        <v>122</v>
      </c>
      <c r="V1112" s="189" t="s">
        <v>123</v>
      </c>
      <c r="W1112" s="189" t="s">
        <v>124</v>
      </c>
      <c r="X1112" s="189" t="s">
        <v>715</v>
      </c>
      <c r="Y1112" s="189" t="s">
        <v>2113</v>
      </c>
      <c r="Z1112" s="0" t="n">
        <v>2</v>
      </c>
      <c r="AA1112" s="189" t="s">
        <v>2301</v>
      </c>
    </row>
    <row r="1113" customFormat="false" ht="15" hidden="false" customHeight="false" outlineLevel="0" collapsed="false">
      <c r="A1113" s="0" t="n">
        <v>233</v>
      </c>
      <c r="B1113" s="191" t="n">
        <v>46062.5286049161</v>
      </c>
      <c r="C1113" s="191" t="n">
        <v>46062.5380840828</v>
      </c>
      <c r="D1113" s="189" t="s">
        <v>1670</v>
      </c>
      <c r="E1113" s="189" t="s">
        <v>1671</v>
      </c>
      <c r="F1113" s="189" t="s">
        <v>1671</v>
      </c>
      <c r="G1113" s="189" t="s">
        <v>1672</v>
      </c>
      <c r="H1113" s="191" t="n">
        <v>46057</v>
      </c>
      <c r="I1113" s="189" t="s">
        <v>113</v>
      </c>
      <c r="J1113" s="189" t="s">
        <v>128</v>
      </c>
      <c r="K1113" s="189" t="s">
        <v>1673</v>
      </c>
      <c r="L1113" s="189" t="s">
        <v>114</v>
      </c>
      <c r="M1113" s="189" t="s">
        <v>736</v>
      </c>
      <c r="N1113" s="189" t="s">
        <v>939</v>
      </c>
      <c r="O1113" s="189" t="s">
        <v>107</v>
      </c>
      <c r="P1113" s="189" t="s">
        <v>111</v>
      </c>
      <c r="Q1113" s="189" t="s">
        <v>112</v>
      </c>
      <c r="R1113" s="189" t="s">
        <v>22</v>
      </c>
      <c r="S1113" s="189" t="s">
        <v>152</v>
      </c>
      <c r="T1113" s="189" t="s">
        <v>121</v>
      </c>
      <c r="V1113" s="189" t="s">
        <v>167</v>
      </c>
      <c r="W1113" s="189" t="s">
        <v>168</v>
      </c>
      <c r="X1113" s="189" t="s">
        <v>381</v>
      </c>
      <c r="Y1113" s="189" t="s">
        <v>2108</v>
      </c>
      <c r="Z1113" s="0" t="n">
        <v>1</v>
      </c>
      <c r="AA1113" s="189" t="s">
        <v>2277</v>
      </c>
    </row>
    <row r="1114" customFormat="false" ht="15" hidden="false" customHeight="false" outlineLevel="0" collapsed="false">
      <c r="A1114" s="0" t="n">
        <v>233</v>
      </c>
      <c r="B1114" s="191" t="n">
        <v>46062.5286049161</v>
      </c>
      <c r="C1114" s="191" t="n">
        <v>46062.5380840828</v>
      </c>
      <c r="D1114" s="189" t="s">
        <v>1670</v>
      </c>
      <c r="E1114" s="189" t="s">
        <v>1671</v>
      </c>
      <c r="F1114" s="189" t="s">
        <v>1671</v>
      </c>
      <c r="G1114" s="189" t="s">
        <v>1672</v>
      </c>
      <c r="H1114" s="191" t="n">
        <v>46057</v>
      </c>
      <c r="I1114" s="189" t="s">
        <v>113</v>
      </c>
      <c r="J1114" s="189" t="s">
        <v>128</v>
      </c>
      <c r="K1114" s="189" t="s">
        <v>1673</v>
      </c>
      <c r="L1114" s="189" t="s">
        <v>114</v>
      </c>
      <c r="M1114" s="189" t="s">
        <v>736</v>
      </c>
      <c r="N1114" s="189" t="s">
        <v>939</v>
      </c>
      <c r="O1114" s="189" t="s">
        <v>107</v>
      </c>
      <c r="P1114" s="189" t="s">
        <v>111</v>
      </c>
      <c r="Q1114" s="189" t="s">
        <v>112</v>
      </c>
      <c r="R1114" s="189" t="s">
        <v>22</v>
      </c>
      <c r="S1114" s="189" t="s">
        <v>152</v>
      </c>
      <c r="T1114" s="189" t="s">
        <v>121</v>
      </c>
      <c r="V1114" s="189" t="s">
        <v>167</v>
      </c>
      <c r="W1114" s="189" t="s">
        <v>168</v>
      </c>
      <c r="X1114" s="189" t="s">
        <v>381</v>
      </c>
      <c r="Y1114" s="189" t="s">
        <v>2108</v>
      </c>
      <c r="Z1114" s="0" t="n">
        <v>2</v>
      </c>
      <c r="AA1114" s="189" t="s">
        <v>2224</v>
      </c>
    </row>
    <row r="1115" customFormat="false" ht="15" hidden="false" customHeight="false" outlineLevel="0" collapsed="false">
      <c r="A1115" s="0" t="n">
        <v>233</v>
      </c>
      <c r="B1115" s="191" t="n">
        <v>46062.5286049161</v>
      </c>
      <c r="C1115" s="191" t="n">
        <v>46062.5380840828</v>
      </c>
      <c r="D1115" s="189" t="s">
        <v>1670</v>
      </c>
      <c r="E1115" s="189" t="s">
        <v>1671</v>
      </c>
      <c r="F1115" s="189" t="s">
        <v>1671</v>
      </c>
      <c r="G1115" s="189" t="s">
        <v>1672</v>
      </c>
      <c r="H1115" s="191" t="n">
        <v>46057</v>
      </c>
      <c r="I1115" s="189" t="s">
        <v>113</v>
      </c>
      <c r="J1115" s="189" t="s">
        <v>128</v>
      </c>
      <c r="K1115" s="189" t="s">
        <v>1673</v>
      </c>
      <c r="L1115" s="189" t="s">
        <v>114</v>
      </c>
      <c r="M1115" s="189" t="s">
        <v>736</v>
      </c>
      <c r="N1115" s="189" t="s">
        <v>939</v>
      </c>
      <c r="O1115" s="189" t="s">
        <v>107</v>
      </c>
      <c r="P1115" s="189" t="s">
        <v>111</v>
      </c>
      <c r="Q1115" s="189" t="s">
        <v>112</v>
      </c>
      <c r="R1115" s="189" t="s">
        <v>22</v>
      </c>
      <c r="S1115" s="189" t="s">
        <v>152</v>
      </c>
      <c r="T1115" s="189" t="s">
        <v>121</v>
      </c>
      <c r="V1115" s="189" t="s">
        <v>167</v>
      </c>
      <c r="W1115" s="189" t="s">
        <v>168</v>
      </c>
      <c r="X1115" s="189" t="s">
        <v>381</v>
      </c>
      <c r="Y1115" s="189" t="s">
        <v>2108</v>
      </c>
      <c r="Z1115" s="0" t="n">
        <v>3</v>
      </c>
      <c r="AA1115" s="189" t="s">
        <v>2293</v>
      </c>
    </row>
    <row r="1116" customFormat="false" ht="15" hidden="false" customHeight="false" outlineLevel="0" collapsed="false">
      <c r="A1116" s="0" t="n">
        <v>233</v>
      </c>
      <c r="B1116" s="191" t="n">
        <v>46062.5286049161</v>
      </c>
      <c r="C1116" s="191" t="n">
        <v>46062.5380840828</v>
      </c>
      <c r="D1116" s="189" t="s">
        <v>1670</v>
      </c>
      <c r="E1116" s="189" t="s">
        <v>1671</v>
      </c>
      <c r="F1116" s="189" t="s">
        <v>1671</v>
      </c>
      <c r="G1116" s="189" t="s">
        <v>1672</v>
      </c>
      <c r="H1116" s="191" t="n">
        <v>46057</v>
      </c>
      <c r="I1116" s="189" t="s">
        <v>113</v>
      </c>
      <c r="J1116" s="189" t="s">
        <v>128</v>
      </c>
      <c r="K1116" s="189" t="s">
        <v>1673</v>
      </c>
      <c r="L1116" s="189" t="s">
        <v>114</v>
      </c>
      <c r="M1116" s="189" t="s">
        <v>736</v>
      </c>
      <c r="N1116" s="189" t="s">
        <v>939</v>
      </c>
      <c r="O1116" s="189" t="s">
        <v>107</v>
      </c>
      <c r="P1116" s="189" t="s">
        <v>111</v>
      </c>
      <c r="Q1116" s="189" t="s">
        <v>112</v>
      </c>
      <c r="R1116" s="189" t="s">
        <v>22</v>
      </c>
      <c r="S1116" s="189" t="s">
        <v>152</v>
      </c>
      <c r="T1116" s="189" t="s">
        <v>121</v>
      </c>
      <c r="V1116" s="189" t="s">
        <v>167</v>
      </c>
      <c r="W1116" s="189" t="s">
        <v>168</v>
      </c>
      <c r="X1116" s="189" t="s">
        <v>381</v>
      </c>
      <c r="Y1116" s="189" t="s">
        <v>2110</v>
      </c>
      <c r="Z1116" s="0" t="n">
        <v>1</v>
      </c>
      <c r="AA1116" s="189" t="s">
        <v>2204</v>
      </c>
    </row>
    <row r="1117" customFormat="false" ht="15" hidden="false" customHeight="false" outlineLevel="0" collapsed="false">
      <c r="A1117" s="0" t="n">
        <v>233</v>
      </c>
      <c r="B1117" s="191" t="n">
        <v>46062.5286049161</v>
      </c>
      <c r="C1117" s="191" t="n">
        <v>46062.5380840828</v>
      </c>
      <c r="D1117" s="189" t="s">
        <v>1670</v>
      </c>
      <c r="E1117" s="189" t="s">
        <v>1671</v>
      </c>
      <c r="F1117" s="189" t="s">
        <v>1671</v>
      </c>
      <c r="G1117" s="189" t="s">
        <v>1672</v>
      </c>
      <c r="H1117" s="191" t="n">
        <v>46057</v>
      </c>
      <c r="I1117" s="189" t="s">
        <v>113</v>
      </c>
      <c r="J1117" s="189" t="s">
        <v>128</v>
      </c>
      <c r="K1117" s="189" t="s">
        <v>1673</v>
      </c>
      <c r="L1117" s="189" t="s">
        <v>114</v>
      </c>
      <c r="M1117" s="189" t="s">
        <v>736</v>
      </c>
      <c r="N1117" s="189" t="s">
        <v>939</v>
      </c>
      <c r="O1117" s="189" t="s">
        <v>107</v>
      </c>
      <c r="P1117" s="189" t="s">
        <v>111</v>
      </c>
      <c r="Q1117" s="189" t="s">
        <v>112</v>
      </c>
      <c r="R1117" s="189" t="s">
        <v>22</v>
      </c>
      <c r="S1117" s="189" t="s">
        <v>152</v>
      </c>
      <c r="T1117" s="189" t="s">
        <v>121</v>
      </c>
      <c r="V1117" s="189" t="s">
        <v>167</v>
      </c>
      <c r="W1117" s="189" t="s">
        <v>168</v>
      </c>
      <c r="X1117" s="189" t="s">
        <v>381</v>
      </c>
      <c r="Y1117" s="189" t="s">
        <v>2110</v>
      </c>
      <c r="Z1117" s="0" t="n">
        <v>2</v>
      </c>
      <c r="AA1117" s="189" t="s">
        <v>2205</v>
      </c>
    </row>
    <row r="1118" customFormat="false" ht="15" hidden="false" customHeight="false" outlineLevel="0" collapsed="false">
      <c r="A1118" s="0" t="n">
        <v>233</v>
      </c>
      <c r="B1118" s="191" t="n">
        <v>46062.5286049161</v>
      </c>
      <c r="C1118" s="191" t="n">
        <v>46062.5380840828</v>
      </c>
      <c r="D1118" s="189" t="s">
        <v>1670</v>
      </c>
      <c r="E1118" s="189" t="s">
        <v>1671</v>
      </c>
      <c r="F1118" s="189" t="s">
        <v>1671</v>
      </c>
      <c r="G1118" s="189" t="s">
        <v>1672</v>
      </c>
      <c r="H1118" s="191" t="n">
        <v>46057</v>
      </c>
      <c r="I1118" s="189" t="s">
        <v>113</v>
      </c>
      <c r="J1118" s="189" t="s">
        <v>128</v>
      </c>
      <c r="K1118" s="189" t="s">
        <v>1673</v>
      </c>
      <c r="L1118" s="189" t="s">
        <v>114</v>
      </c>
      <c r="M1118" s="189" t="s">
        <v>736</v>
      </c>
      <c r="N1118" s="189" t="s">
        <v>939</v>
      </c>
      <c r="O1118" s="189" t="s">
        <v>107</v>
      </c>
      <c r="P1118" s="189" t="s">
        <v>111</v>
      </c>
      <c r="Q1118" s="189" t="s">
        <v>112</v>
      </c>
      <c r="R1118" s="189" t="s">
        <v>22</v>
      </c>
      <c r="S1118" s="189" t="s">
        <v>152</v>
      </c>
      <c r="T1118" s="189" t="s">
        <v>121</v>
      </c>
      <c r="V1118" s="189" t="s">
        <v>167</v>
      </c>
      <c r="W1118" s="189" t="s">
        <v>168</v>
      </c>
      <c r="X1118" s="189" t="s">
        <v>381</v>
      </c>
      <c r="Y1118" s="189" t="s">
        <v>2113</v>
      </c>
      <c r="Z1118" s="0" t="n">
        <v>1</v>
      </c>
      <c r="AA1118" s="189" t="s">
        <v>2225</v>
      </c>
    </row>
    <row r="1119" customFormat="false" ht="15" hidden="false" customHeight="false" outlineLevel="0" collapsed="false">
      <c r="A1119" s="0" t="n">
        <v>233</v>
      </c>
      <c r="B1119" s="191" t="n">
        <v>46062.5286049161</v>
      </c>
      <c r="C1119" s="191" t="n">
        <v>46062.5380840828</v>
      </c>
      <c r="D1119" s="189" t="s">
        <v>1670</v>
      </c>
      <c r="E1119" s="189" t="s">
        <v>1671</v>
      </c>
      <c r="F1119" s="189" t="s">
        <v>1671</v>
      </c>
      <c r="G1119" s="189" t="s">
        <v>1672</v>
      </c>
      <c r="H1119" s="191" t="n">
        <v>46057</v>
      </c>
      <c r="I1119" s="189" t="s">
        <v>113</v>
      </c>
      <c r="J1119" s="189" t="s">
        <v>128</v>
      </c>
      <c r="K1119" s="189" t="s">
        <v>1673</v>
      </c>
      <c r="L1119" s="189" t="s">
        <v>114</v>
      </c>
      <c r="M1119" s="189" t="s">
        <v>736</v>
      </c>
      <c r="N1119" s="189" t="s">
        <v>939</v>
      </c>
      <c r="O1119" s="189" t="s">
        <v>107</v>
      </c>
      <c r="P1119" s="189" t="s">
        <v>111</v>
      </c>
      <c r="Q1119" s="189" t="s">
        <v>112</v>
      </c>
      <c r="R1119" s="189" t="s">
        <v>22</v>
      </c>
      <c r="S1119" s="189" t="s">
        <v>152</v>
      </c>
      <c r="T1119" s="189" t="s">
        <v>121</v>
      </c>
      <c r="V1119" s="189" t="s">
        <v>167</v>
      </c>
      <c r="W1119" s="189" t="s">
        <v>168</v>
      </c>
      <c r="X1119" s="189" t="s">
        <v>381</v>
      </c>
      <c r="Y1119" s="189" t="s">
        <v>2113</v>
      </c>
      <c r="Z1119" s="0" t="n">
        <v>2</v>
      </c>
      <c r="AA1119" s="189" t="s">
        <v>2206</v>
      </c>
    </row>
    <row r="1120" customFormat="false" ht="15" hidden="false" customHeight="false" outlineLevel="0" collapsed="false">
      <c r="A1120" s="0" t="n">
        <v>234</v>
      </c>
      <c r="B1120" s="191" t="n">
        <v>46062.5287183089</v>
      </c>
      <c r="C1120" s="191" t="n">
        <v>46062.5404312719</v>
      </c>
      <c r="D1120" s="189" t="s">
        <v>1675</v>
      </c>
      <c r="E1120" s="189" t="s">
        <v>1676</v>
      </c>
      <c r="F1120" s="189" t="s">
        <v>1676</v>
      </c>
      <c r="G1120" s="189" t="s">
        <v>1677</v>
      </c>
      <c r="H1120" s="191" t="n">
        <v>46045</v>
      </c>
      <c r="I1120" s="189" t="s">
        <v>113</v>
      </c>
      <c r="J1120" s="189" t="s">
        <v>108</v>
      </c>
      <c r="K1120" s="189" t="s">
        <v>196</v>
      </c>
      <c r="L1120" s="189" t="s">
        <v>159</v>
      </c>
      <c r="M1120" s="189" t="s">
        <v>397</v>
      </c>
      <c r="N1120" s="189" t="s">
        <v>1224</v>
      </c>
      <c r="O1120" s="189" t="s">
        <v>107</v>
      </c>
      <c r="P1120" s="189" t="s">
        <v>111</v>
      </c>
      <c r="Q1120" s="189" t="s">
        <v>112</v>
      </c>
      <c r="R1120" s="189" t="s">
        <v>25</v>
      </c>
      <c r="S1120" s="189" t="s">
        <v>152</v>
      </c>
      <c r="T1120" s="189" t="s">
        <v>121</v>
      </c>
      <c r="U1120" s="189" t="s">
        <v>961</v>
      </c>
      <c r="V1120" s="189" t="s">
        <v>167</v>
      </c>
      <c r="W1120" s="189" t="s">
        <v>168</v>
      </c>
      <c r="X1120" s="189" t="s">
        <v>687</v>
      </c>
      <c r="Y1120" s="189" t="s">
        <v>2108</v>
      </c>
      <c r="Z1120" s="0" t="n">
        <v>1</v>
      </c>
      <c r="AA1120" s="189" t="s">
        <v>2348</v>
      </c>
    </row>
    <row r="1121" customFormat="false" ht="15" hidden="false" customHeight="false" outlineLevel="0" collapsed="false">
      <c r="A1121" s="0" t="n">
        <v>234</v>
      </c>
      <c r="B1121" s="191" t="n">
        <v>46062.5287183089</v>
      </c>
      <c r="C1121" s="191" t="n">
        <v>46062.5404312719</v>
      </c>
      <c r="D1121" s="189" t="s">
        <v>1675</v>
      </c>
      <c r="E1121" s="189" t="s">
        <v>1676</v>
      </c>
      <c r="F1121" s="189" t="s">
        <v>1676</v>
      </c>
      <c r="G1121" s="189" t="s">
        <v>1677</v>
      </c>
      <c r="H1121" s="191" t="n">
        <v>46045</v>
      </c>
      <c r="I1121" s="189" t="s">
        <v>113</v>
      </c>
      <c r="J1121" s="189" t="s">
        <v>108</v>
      </c>
      <c r="K1121" s="189" t="s">
        <v>196</v>
      </c>
      <c r="L1121" s="189" t="s">
        <v>159</v>
      </c>
      <c r="M1121" s="189" t="s">
        <v>397</v>
      </c>
      <c r="N1121" s="189" t="s">
        <v>1224</v>
      </c>
      <c r="O1121" s="189" t="s">
        <v>107</v>
      </c>
      <c r="P1121" s="189" t="s">
        <v>111</v>
      </c>
      <c r="Q1121" s="189" t="s">
        <v>112</v>
      </c>
      <c r="R1121" s="189" t="s">
        <v>25</v>
      </c>
      <c r="S1121" s="189" t="s">
        <v>152</v>
      </c>
      <c r="T1121" s="189" t="s">
        <v>121</v>
      </c>
      <c r="U1121" s="189" t="s">
        <v>961</v>
      </c>
      <c r="V1121" s="189" t="s">
        <v>167</v>
      </c>
      <c r="W1121" s="189" t="s">
        <v>168</v>
      </c>
      <c r="X1121" s="189" t="s">
        <v>687</v>
      </c>
      <c r="Y1121" s="189" t="s">
        <v>2110</v>
      </c>
      <c r="Z1121" s="0" t="n">
        <v>1</v>
      </c>
      <c r="AA1121" s="189" t="s">
        <v>2263</v>
      </c>
    </row>
    <row r="1122" customFormat="false" ht="15" hidden="false" customHeight="false" outlineLevel="0" collapsed="false">
      <c r="A1122" s="0" t="n">
        <v>234</v>
      </c>
      <c r="B1122" s="191" t="n">
        <v>46062.5287183089</v>
      </c>
      <c r="C1122" s="191" t="n">
        <v>46062.5404312719</v>
      </c>
      <c r="D1122" s="189" t="s">
        <v>1675</v>
      </c>
      <c r="E1122" s="189" t="s">
        <v>1676</v>
      </c>
      <c r="F1122" s="189" t="s">
        <v>1676</v>
      </c>
      <c r="G1122" s="189" t="s">
        <v>1677</v>
      </c>
      <c r="H1122" s="191" t="n">
        <v>46045</v>
      </c>
      <c r="I1122" s="189" t="s">
        <v>113</v>
      </c>
      <c r="J1122" s="189" t="s">
        <v>108</v>
      </c>
      <c r="K1122" s="189" t="s">
        <v>196</v>
      </c>
      <c r="L1122" s="189" t="s">
        <v>159</v>
      </c>
      <c r="M1122" s="189" t="s">
        <v>397</v>
      </c>
      <c r="N1122" s="189" t="s">
        <v>1224</v>
      </c>
      <c r="O1122" s="189" t="s">
        <v>107</v>
      </c>
      <c r="P1122" s="189" t="s">
        <v>111</v>
      </c>
      <c r="Q1122" s="189" t="s">
        <v>112</v>
      </c>
      <c r="R1122" s="189" t="s">
        <v>25</v>
      </c>
      <c r="S1122" s="189" t="s">
        <v>152</v>
      </c>
      <c r="T1122" s="189" t="s">
        <v>121</v>
      </c>
      <c r="U1122" s="189" t="s">
        <v>961</v>
      </c>
      <c r="V1122" s="189" t="s">
        <v>167</v>
      </c>
      <c r="W1122" s="189" t="s">
        <v>168</v>
      </c>
      <c r="X1122" s="189" t="s">
        <v>687</v>
      </c>
      <c r="Y1122" s="189" t="s">
        <v>2113</v>
      </c>
      <c r="Z1122" s="0" t="n">
        <v>1</v>
      </c>
      <c r="AA1122" s="189" t="s">
        <v>2265</v>
      </c>
    </row>
    <row r="1123" customFormat="false" ht="15" hidden="false" customHeight="false" outlineLevel="0" collapsed="false">
      <c r="A1123" s="0" t="n">
        <v>234</v>
      </c>
      <c r="B1123" s="191" t="n">
        <v>46062.5287183089</v>
      </c>
      <c r="C1123" s="191" t="n">
        <v>46062.5404312719</v>
      </c>
      <c r="D1123" s="189" t="s">
        <v>1675</v>
      </c>
      <c r="E1123" s="189" t="s">
        <v>1676</v>
      </c>
      <c r="F1123" s="189" t="s">
        <v>1676</v>
      </c>
      <c r="G1123" s="189" t="s">
        <v>1677</v>
      </c>
      <c r="H1123" s="191" t="n">
        <v>46045</v>
      </c>
      <c r="I1123" s="189" t="s">
        <v>113</v>
      </c>
      <c r="J1123" s="189" t="s">
        <v>108</v>
      </c>
      <c r="K1123" s="189" t="s">
        <v>196</v>
      </c>
      <c r="L1123" s="189" t="s">
        <v>159</v>
      </c>
      <c r="M1123" s="189" t="s">
        <v>397</v>
      </c>
      <c r="N1123" s="189" t="s">
        <v>1224</v>
      </c>
      <c r="O1123" s="189" t="s">
        <v>107</v>
      </c>
      <c r="P1123" s="189" t="s">
        <v>111</v>
      </c>
      <c r="Q1123" s="189" t="s">
        <v>112</v>
      </c>
      <c r="R1123" s="189" t="s">
        <v>25</v>
      </c>
      <c r="S1123" s="189" t="s">
        <v>152</v>
      </c>
      <c r="T1123" s="189" t="s">
        <v>121</v>
      </c>
      <c r="U1123" s="189" t="s">
        <v>961</v>
      </c>
      <c r="V1123" s="189" t="s">
        <v>167</v>
      </c>
      <c r="W1123" s="189" t="s">
        <v>168</v>
      </c>
      <c r="X1123" s="189" t="s">
        <v>687</v>
      </c>
      <c r="Y1123" s="189" t="s">
        <v>2113</v>
      </c>
      <c r="Z1123" s="0" t="n">
        <v>2</v>
      </c>
      <c r="AA1123" s="189" t="s">
        <v>2266</v>
      </c>
    </row>
    <row r="1124" customFormat="false" ht="15" hidden="false" customHeight="false" outlineLevel="0" collapsed="false">
      <c r="A1124" s="0" t="n">
        <v>235</v>
      </c>
      <c r="B1124" s="191" t="n">
        <v>46114.6752439637</v>
      </c>
      <c r="C1124" s="191" t="n">
        <v>46114.6835194266</v>
      </c>
      <c r="D1124" s="189" t="s">
        <v>1680</v>
      </c>
      <c r="E1124" s="189" t="s">
        <v>1681</v>
      </c>
      <c r="F1124" s="189" t="s">
        <v>1681</v>
      </c>
      <c r="G1124" s="189" t="s">
        <v>1682</v>
      </c>
      <c r="H1124" s="191" t="n">
        <v>46099</v>
      </c>
      <c r="I1124" s="189" t="s">
        <v>113</v>
      </c>
      <c r="J1124" s="189" t="s">
        <v>295</v>
      </c>
      <c r="K1124" s="189" t="s">
        <v>196</v>
      </c>
      <c r="L1124" s="189" t="s">
        <v>184</v>
      </c>
      <c r="M1124" s="189" t="s">
        <v>391</v>
      </c>
      <c r="N1124" s="189" t="s">
        <v>297</v>
      </c>
      <c r="O1124" s="189" t="s">
        <v>244</v>
      </c>
      <c r="P1124" s="189" t="s">
        <v>111</v>
      </c>
      <c r="Q1124" s="189" t="s">
        <v>112</v>
      </c>
      <c r="R1124" s="189" t="s">
        <v>21</v>
      </c>
      <c r="S1124" s="189" t="s">
        <v>120</v>
      </c>
      <c r="T1124" s="189" t="s">
        <v>121</v>
      </c>
      <c r="V1124" s="189" t="s">
        <v>123</v>
      </c>
      <c r="W1124" s="189" t="s">
        <v>124</v>
      </c>
      <c r="X1124" s="189" t="s">
        <v>187</v>
      </c>
      <c r="Y1124" s="189" t="s">
        <v>2108</v>
      </c>
      <c r="Z1124" s="0" t="n">
        <v>1</v>
      </c>
      <c r="AA1124" s="189" t="s">
        <v>2133</v>
      </c>
    </row>
    <row r="1125" customFormat="false" ht="15" hidden="false" customHeight="false" outlineLevel="0" collapsed="false">
      <c r="A1125" s="0" t="n">
        <v>235</v>
      </c>
      <c r="B1125" s="191" t="n">
        <v>46114.6752439637</v>
      </c>
      <c r="C1125" s="191" t="n">
        <v>46114.6835194266</v>
      </c>
      <c r="D1125" s="189" t="s">
        <v>1680</v>
      </c>
      <c r="E1125" s="189" t="s">
        <v>1681</v>
      </c>
      <c r="F1125" s="189" t="s">
        <v>1681</v>
      </c>
      <c r="G1125" s="189" t="s">
        <v>1682</v>
      </c>
      <c r="H1125" s="191" t="n">
        <v>46099</v>
      </c>
      <c r="I1125" s="189" t="s">
        <v>113</v>
      </c>
      <c r="J1125" s="189" t="s">
        <v>295</v>
      </c>
      <c r="K1125" s="189" t="s">
        <v>196</v>
      </c>
      <c r="L1125" s="189" t="s">
        <v>184</v>
      </c>
      <c r="M1125" s="189" t="s">
        <v>391</v>
      </c>
      <c r="N1125" s="189" t="s">
        <v>297</v>
      </c>
      <c r="O1125" s="189" t="s">
        <v>244</v>
      </c>
      <c r="P1125" s="189" t="s">
        <v>111</v>
      </c>
      <c r="Q1125" s="189" t="s">
        <v>112</v>
      </c>
      <c r="R1125" s="189" t="s">
        <v>21</v>
      </c>
      <c r="S1125" s="189" t="s">
        <v>120</v>
      </c>
      <c r="T1125" s="189" t="s">
        <v>121</v>
      </c>
      <c r="V1125" s="189" t="s">
        <v>123</v>
      </c>
      <c r="W1125" s="189" t="s">
        <v>124</v>
      </c>
      <c r="X1125" s="189" t="s">
        <v>187</v>
      </c>
      <c r="Y1125" s="189" t="s">
        <v>2110</v>
      </c>
      <c r="Z1125" s="0" t="n">
        <v>1</v>
      </c>
      <c r="AA1125" s="189" t="s">
        <v>2211</v>
      </c>
    </row>
    <row r="1126" customFormat="false" ht="15" hidden="false" customHeight="false" outlineLevel="0" collapsed="false">
      <c r="A1126" s="0" t="n">
        <v>235</v>
      </c>
      <c r="B1126" s="191" t="n">
        <v>46114.6752439637</v>
      </c>
      <c r="C1126" s="191" t="n">
        <v>46114.6835194266</v>
      </c>
      <c r="D1126" s="189" t="s">
        <v>1680</v>
      </c>
      <c r="E1126" s="189" t="s">
        <v>1681</v>
      </c>
      <c r="F1126" s="189" t="s">
        <v>1681</v>
      </c>
      <c r="G1126" s="189" t="s">
        <v>1682</v>
      </c>
      <c r="H1126" s="191" t="n">
        <v>46099</v>
      </c>
      <c r="I1126" s="189" t="s">
        <v>113</v>
      </c>
      <c r="J1126" s="189" t="s">
        <v>295</v>
      </c>
      <c r="K1126" s="189" t="s">
        <v>196</v>
      </c>
      <c r="L1126" s="189" t="s">
        <v>184</v>
      </c>
      <c r="M1126" s="189" t="s">
        <v>391</v>
      </c>
      <c r="N1126" s="189" t="s">
        <v>297</v>
      </c>
      <c r="O1126" s="189" t="s">
        <v>244</v>
      </c>
      <c r="P1126" s="189" t="s">
        <v>111</v>
      </c>
      <c r="Q1126" s="189" t="s">
        <v>112</v>
      </c>
      <c r="R1126" s="189" t="s">
        <v>21</v>
      </c>
      <c r="S1126" s="189" t="s">
        <v>120</v>
      </c>
      <c r="T1126" s="189" t="s">
        <v>121</v>
      </c>
      <c r="V1126" s="189" t="s">
        <v>123</v>
      </c>
      <c r="W1126" s="189" t="s">
        <v>124</v>
      </c>
      <c r="X1126" s="189" t="s">
        <v>187</v>
      </c>
      <c r="Y1126" s="189" t="s">
        <v>2113</v>
      </c>
      <c r="Z1126" s="0" t="n">
        <v>1</v>
      </c>
      <c r="AA1126" s="189" t="s">
        <v>2135</v>
      </c>
    </row>
    <row r="1127" customFormat="false" ht="15" hidden="false" customHeight="false" outlineLevel="0" collapsed="false">
      <c r="A1127" s="0" t="n">
        <v>236</v>
      </c>
      <c r="B1127" s="191" t="n">
        <v>46109.3950797273</v>
      </c>
      <c r="C1127" s="191" t="n">
        <v>46109.4107394495</v>
      </c>
      <c r="D1127" s="189" t="s">
        <v>1683</v>
      </c>
      <c r="E1127" s="189" t="s">
        <v>1684</v>
      </c>
      <c r="F1127" s="189" t="s">
        <v>1684</v>
      </c>
      <c r="G1127" s="189" t="s">
        <v>1685</v>
      </c>
      <c r="H1127" s="191" t="n">
        <v>46095</v>
      </c>
      <c r="I1127" s="189" t="s">
        <v>132</v>
      </c>
      <c r="J1127" s="189" t="s">
        <v>108</v>
      </c>
      <c r="K1127" s="189" t="s">
        <v>245</v>
      </c>
      <c r="L1127" s="189" t="s">
        <v>491</v>
      </c>
      <c r="M1127" s="189" t="s">
        <v>515</v>
      </c>
      <c r="N1127" s="189" t="s">
        <v>1078</v>
      </c>
      <c r="O1127" s="189" t="s">
        <v>107</v>
      </c>
      <c r="P1127" s="189" t="s">
        <v>131</v>
      </c>
      <c r="Q1127" s="189" t="s">
        <v>145</v>
      </c>
      <c r="R1127" s="189" t="s">
        <v>22</v>
      </c>
      <c r="S1127" s="189" t="s">
        <v>227</v>
      </c>
      <c r="T1127" s="189" t="s">
        <v>121</v>
      </c>
      <c r="U1127" s="189" t="s">
        <v>122</v>
      </c>
      <c r="V1127" s="189" t="s">
        <v>167</v>
      </c>
      <c r="W1127" s="189" t="s">
        <v>124</v>
      </c>
      <c r="X1127" s="189" t="s">
        <v>148</v>
      </c>
      <c r="Y1127" s="189" t="s">
        <v>2108</v>
      </c>
      <c r="Z1127" s="0" t="n">
        <v>1</v>
      </c>
      <c r="AA1127" s="189" t="s">
        <v>2166</v>
      </c>
    </row>
    <row r="1128" customFormat="false" ht="15" hidden="false" customHeight="false" outlineLevel="0" collapsed="false">
      <c r="A1128" s="0" t="n">
        <v>236</v>
      </c>
      <c r="B1128" s="191" t="n">
        <v>46109.3950797273</v>
      </c>
      <c r="C1128" s="191" t="n">
        <v>46109.4107394495</v>
      </c>
      <c r="D1128" s="189" t="s">
        <v>1683</v>
      </c>
      <c r="E1128" s="189" t="s">
        <v>1684</v>
      </c>
      <c r="F1128" s="189" t="s">
        <v>1684</v>
      </c>
      <c r="G1128" s="189" t="s">
        <v>1685</v>
      </c>
      <c r="H1128" s="191" t="n">
        <v>46095</v>
      </c>
      <c r="I1128" s="189" t="s">
        <v>132</v>
      </c>
      <c r="J1128" s="189" t="s">
        <v>108</v>
      </c>
      <c r="K1128" s="189" t="s">
        <v>245</v>
      </c>
      <c r="L1128" s="189" t="s">
        <v>491</v>
      </c>
      <c r="M1128" s="189" t="s">
        <v>515</v>
      </c>
      <c r="N1128" s="189" t="s">
        <v>1078</v>
      </c>
      <c r="O1128" s="189" t="s">
        <v>107</v>
      </c>
      <c r="P1128" s="189" t="s">
        <v>131</v>
      </c>
      <c r="Q1128" s="189" t="s">
        <v>145</v>
      </c>
      <c r="R1128" s="189" t="s">
        <v>22</v>
      </c>
      <c r="S1128" s="189" t="s">
        <v>227</v>
      </c>
      <c r="T1128" s="189" t="s">
        <v>121</v>
      </c>
      <c r="U1128" s="189" t="s">
        <v>122</v>
      </c>
      <c r="V1128" s="189" t="s">
        <v>167</v>
      </c>
      <c r="W1128" s="189" t="s">
        <v>124</v>
      </c>
      <c r="X1128" s="189" t="s">
        <v>148</v>
      </c>
      <c r="Y1128" s="189" t="s">
        <v>2108</v>
      </c>
      <c r="Z1128" s="0" t="n">
        <v>2</v>
      </c>
      <c r="AA1128" s="189" t="s">
        <v>2136</v>
      </c>
    </row>
    <row r="1129" customFormat="false" ht="15" hidden="false" customHeight="false" outlineLevel="0" collapsed="false">
      <c r="A1129" s="0" t="n">
        <v>236</v>
      </c>
      <c r="B1129" s="191" t="n">
        <v>46109.3950797273</v>
      </c>
      <c r="C1129" s="191" t="n">
        <v>46109.4107394495</v>
      </c>
      <c r="D1129" s="189" t="s">
        <v>1683</v>
      </c>
      <c r="E1129" s="189" t="s">
        <v>1684</v>
      </c>
      <c r="F1129" s="189" t="s">
        <v>1684</v>
      </c>
      <c r="G1129" s="189" t="s">
        <v>1685</v>
      </c>
      <c r="H1129" s="191" t="n">
        <v>46095</v>
      </c>
      <c r="I1129" s="189" t="s">
        <v>132</v>
      </c>
      <c r="J1129" s="189" t="s">
        <v>108</v>
      </c>
      <c r="K1129" s="189" t="s">
        <v>245</v>
      </c>
      <c r="L1129" s="189" t="s">
        <v>491</v>
      </c>
      <c r="M1129" s="189" t="s">
        <v>515</v>
      </c>
      <c r="N1129" s="189" t="s">
        <v>1078</v>
      </c>
      <c r="O1129" s="189" t="s">
        <v>107</v>
      </c>
      <c r="P1129" s="189" t="s">
        <v>131</v>
      </c>
      <c r="Q1129" s="189" t="s">
        <v>145</v>
      </c>
      <c r="R1129" s="189" t="s">
        <v>22</v>
      </c>
      <c r="S1129" s="189" t="s">
        <v>227</v>
      </c>
      <c r="T1129" s="189" t="s">
        <v>121</v>
      </c>
      <c r="U1129" s="189" t="s">
        <v>122</v>
      </c>
      <c r="V1129" s="189" t="s">
        <v>167</v>
      </c>
      <c r="W1129" s="189" t="s">
        <v>124</v>
      </c>
      <c r="X1129" s="189" t="s">
        <v>148</v>
      </c>
      <c r="Y1129" s="189" t="s">
        <v>2108</v>
      </c>
      <c r="Z1129" s="0" t="n">
        <v>3</v>
      </c>
      <c r="AA1129" s="189" t="s">
        <v>2326</v>
      </c>
    </row>
    <row r="1130" customFormat="false" ht="15" hidden="false" customHeight="false" outlineLevel="0" collapsed="false">
      <c r="A1130" s="0" t="n">
        <v>236</v>
      </c>
      <c r="B1130" s="191" t="n">
        <v>46109.3950797273</v>
      </c>
      <c r="C1130" s="191" t="n">
        <v>46109.4107394495</v>
      </c>
      <c r="D1130" s="189" t="s">
        <v>1683</v>
      </c>
      <c r="E1130" s="189" t="s">
        <v>1684</v>
      </c>
      <c r="F1130" s="189" t="s">
        <v>1684</v>
      </c>
      <c r="G1130" s="189" t="s">
        <v>1685</v>
      </c>
      <c r="H1130" s="191" t="n">
        <v>46095</v>
      </c>
      <c r="I1130" s="189" t="s">
        <v>132</v>
      </c>
      <c r="J1130" s="189" t="s">
        <v>108</v>
      </c>
      <c r="K1130" s="189" t="s">
        <v>245</v>
      </c>
      <c r="L1130" s="189" t="s">
        <v>491</v>
      </c>
      <c r="M1130" s="189" t="s">
        <v>515</v>
      </c>
      <c r="N1130" s="189" t="s">
        <v>1078</v>
      </c>
      <c r="O1130" s="189" t="s">
        <v>107</v>
      </c>
      <c r="P1130" s="189" t="s">
        <v>131</v>
      </c>
      <c r="Q1130" s="189" t="s">
        <v>145</v>
      </c>
      <c r="R1130" s="189" t="s">
        <v>22</v>
      </c>
      <c r="S1130" s="189" t="s">
        <v>227</v>
      </c>
      <c r="T1130" s="189" t="s">
        <v>121</v>
      </c>
      <c r="U1130" s="189" t="s">
        <v>122</v>
      </c>
      <c r="V1130" s="189" t="s">
        <v>167</v>
      </c>
      <c r="W1130" s="189" t="s">
        <v>124</v>
      </c>
      <c r="X1130" s="189" t="s">
        <v>148</v>
      </c>
      <c r="Y1130" s="189" t="s">
        <v>2110</v>
      </c>
      <c r="Z1130" s="0" t="n">
        <v>1</v>
      </c>
      <c r="AA1130" s="189" t="s">
        <v>2121</v>
      </c>
    </row>
    <row r="1131" customFormat="false" ht="15" hidden="false" customHeight="false" outlineLevel="0" collapsed="false">
      <c r="A1131" s="0" t="n">
        <v>236</v>
      </c>
      <c r="B1131" s="191" t="n">
        <v>46109.3950797273</v>
      </c>
      <c r="C1131" s="191" t="n">
        <v>46109.4107394495</v>
      </c>
      <c r="D1131" s="189" t="s">
        <v>1683</v>
      </c>
      <c r="E1131" s="189" t="s">
        <v>1684</v>
      </c>
      <c r="F1131" s="189" t="s">
        <v>1684</v>
      </c>
      <c r="G1131" s="189" t="s">
        <v>1685</v>
      </c>
      <c r="H1131" s="191" t="n">
        <v>46095</v>
      </c>
      <c r="I1131" s="189" t="s">
        <v>132</v>
      </c>
      <c r="J1131" s="189" t="s">
        <v>108</v>
      </c>
      <c r="K1131" s="189" t="s">
        <v>245</v>
      </c>
      <c r="L1131" s="189" t="s">
        <v>491</v>
      </c>
      <c r="M1131" s="189" t="s">
        <v>515</v>
      </c>
      <c r="N1131" s="189" t="s">
        <v>1078</v>
      </c>
      <c r="O1131" s="189" t="s">
        <v>107</v>
      </c>
      <c r="P1131" s="189" t="s">
        <v>131</v>
      </c>
      <c r="Q1131" s="189" t="s">
        <v>145</v>
      </c>
      <c r="R1131" s="189" t="s">
        <v>22</v>
      </c>
      <c r="S1131" s="189" t="s">
        <v>227</v>
      </c>
      <c r="T1131" s="189" t="s">
        <v>121</v>
      </c>
      <c r="U1131" s="189" t="s">
        <v>122</v>
      </c>
      <c r="V1131" s="189" t="s">
        <v>167</v>
      </c>
      <c r="W1131" s="189" t="s">
        <v>124</v>
      </c>
      <c r="X1131" s="189" t="s">
        <v>148</v>
      </c>
      <c r="Y1131" s="189" t="s">
        <v>2113</v>
      </c>
      <c r="Z1131" s="0" t="n">
        <v>1</v>
      </c>
      <c r="AA1131" s="189" t="s">
        <v>2232</v>
      </c>
    </row>
    <row r="1132" customFormat="false" ht="15" hidden="false" customHeight="false" outlineLevel="0" collapsed="false">
      <c r="A1132" s="0" t="n">
        <v>236</v>
      </c>
      <c r="B1132" s="191" t="n">
        <v>46109.3950797273</v>
      </c>
      <c r="C1132" s="191" t="n">
        <v>46109.4107394495</v>
      </c>
      <c r="D1132" s="189" t="s">
        <v>1683</v>
      </c>
      <c r="E1132" s="189" t="s">
        <v>1684</v>
      </c>
      <c r="F1132" s="189" t="s">
        <v>1684</v>
      </c>
      <c r="G1132" s="189" t="s">
        <v>1685</v>
      </c>
      <c r="H1132" s="191" t="n">
        <v>46095</v>
      </c>
      <c r="I1132" s="189" t="s">
        <v>132</v>
      </c>
      <c r="J1132" s="189" t="s">
        <v>108</v>
      </c>
      <c r="K1132" s="189" t="s">
        <v>245</v>
      </c>
      <c r="L1132" s="189" t="s">
        <v>491</v>
      </c>
      <c r="M1132" s="189" t="s">
        <v>515</v>
      </c>
      <c r="N1132" s="189" t="s">
        <v>1078</v>
      </c>
      <c r="O1132" s="189" t="s">
        <v>107</v>
      </c>
      <c r="P1132" s="189" t="s">
        <v>131</v>
      </c>
      <c r="Q1132" s="189" t="s">
        <v>145</v>
      </c>
      <c r="R1132" s="189" t="s">
        <v>22</v>
      </c>
      <c r="S1132" s="189" t="s">
        <v>227</v>
      </c>
      <c r="T1132" s="189" t="s">
        <v>121</v>
      </c>
      <c r="U1132" s="189" t="s">
        <v>122</v>
      </c>
      <c r="V1132" s="189" t="s">
        <v>167</v>
      </c>
      <c r="W1132" s="189" t="s">
        <v>124</v>
      </c>
      <c r="X1132" s="189" t="s">
        <v>148</v>
      </c>
      <c r="Y1132" s="189" t="s">
        <v>2113</v>
      </c>
      <c r="Z1132" s="0" t="n">
        <v>2</v>
      </c>
      <c r="AA1132" s="189" t="s">
        <v>2124</v>
      </c>
    </row>
    <row r="1133" customFormat="false" ht="15" hidden="false" customHeight="false" outlineLevel="0" collapsed="false">
      <c r="A1133" s="0" t="n">
        <v>238</v>
      </c>
      <c r="B1133" s="191" t="n">
        <v>46074.0472887368</v>
      </c>
      <c r="C1133" s="191" t="n">
        <v>46074.0665827183</v>
      </c>
      <c r="D1133" s="189" t="s">
        <v>1692</v>
      </c>
      <c r="E1133" s="189" t="s">
        <v>1693</v>
      </c>
      <c r="F1133" s="189" t="s">
        <v>1693</v>
      </c>
      <c r="G1133" s="189" t="s">
        <v>1694</v>
      </c>
      <c r="H1133" s="191" t="n">
        <v>46055</v>
      </c>
      <c r="I1133" s="189" t="s">
        <v>113</v>
      </c>
      <c r="J1133" s="189" t="s">
        <v>128</v>
      </c>
      <c r="K1133" s="189" t="s">
        <v>413</v>
      </c>
      <c r="L1133" s="189" t="s">
        <v>197</v>
      </c>
      <c r="M1133" s="189" t="s">
        <v>507</v>
      </c>
      <c r="N1133" s="189" t="s">
        <v>1144</v>
      </c>
      <c r="O1133" s="189" t="s">
        <v>244</v>
      </c>
      <c r="P1133" s="189" t="s">
        <v>111</v>
      </c>
      <c r="Q1133" s="189" t="s">
        <v>112</v>
      </c>
      <c r="R1133" s="189" t="s">
        <v>22</v>
      </c>
      <c r="S1133" s="189" t="s">
        <v>152</v>
      </c>
      <c r="T1133" s="189" t="s">
        <v>121</v>
      </c>
      <c r="U1133" s="189" t="s">
        <v>1395</v>
      </c>
      <c r="V1133" s="189" t="s">
        <v>123</v>
      </c>
      <c r="W1133" s="189" t="s">
        <v>168</v>
      </c>
      <c r="X1133" s="189" t="s">
        <v>715</v>
      </c>
      <c r="Y1133" s="189" t="s">
        <v>2108</v>
      </c>
      <c r="Z1133" s="0" t="n">
        <v>1</v>
      </c>
      <c r="AA1133" s="189" t="s">
        <v>2269</v>
      </c>
    </row>
    <row r="1134" customFormat="false" ht="15" hidden="false" customHeight="false" outlineLevel="0" collapsed="false">
      <c r="A1134" s="0" t="n">
        <v>238</v>
      </c>
      <c r="B1134" s="191" t="n">
        <v>46074.0472887368</v>
      </c>
      <c r="C1134" s="191" t="n">
        <v>46074.0665827183</v>
      </c>
      <c r="D1134" s="189" t="s">
        <v>1692</v>
      </c>
      <c r="E1134" s="189" t="s">
        <v>1693</v>
      </c>
      <c r="F1134" s="189" t="s">
        <v>1693</v>
      </c>
      <c r="G1134" s="189" t="s">
        <v>1694</v>
      </c>
      <c r="H1134" s="191" t="n">
        <v>46055</v>
      </c>
      <c r="I1134" s="189" t="s">
        <v>113</v>
      </c>
      <c r="J1134" s="189" t="s">
        <v>128</v>
      </c>
      <c r="K1134" s="189" t="s">
        <v>413</v>
      </c>
      <c r="L1134" s="189" t="s">
        <v>197</v>
      </c>
      <c r="M1134" s="189" t="s">
        <v>507</v>
      </c>
      <c r="N1134" s="189" t="s">
        <v>1144</v>
      </c>
      <c r="O1134" s="189" t="s">
        <v>244</v>
      </c>
      <c r="P1134" s="189" t="s">
        <v>111</v>
      </c>
      <c r="Q1134" s="189" t="s">
        <v>112</v>
      </c>
      <c r="R1134" s="189" t="s">
        <v>22</v>
      </c>
      <c r="S1134" s="189" t="s">
        <v>152</v>
      </c>
      <c r="T1134" s="189" t="s">
        <v>121</v>
      </c>
      <c r="U1134" s="189" t="s">
        <v>1395</v>
      </c>
      <c r="V1134" s="189" t="s">
        <v>123</v>
      </c>
      <c r="W1134" s="189" t="s">
        <v>168</v>
      </c>
      <c r="X1134" s="189" t="s">
        <v>715</v>
      </c>
      <c r="Y1134" s="189" t="s">
        <v>2108</v>
      </c>
      <c r="Z1134" s="0" t="n">
        <v>2</v>
      </c>
      <c r="AA1134" s="189" t="s">
        <v>2268</v>
      </c>
    </row>
    <row r="1135" customFormat="false" ht="15" hidden="false" customHeight="false" outlineLevel="0" collapsed="false">
      <c r="A1135" s="0" t="n">
        <v>238</v>
      </c>
      <c r="B1135" s="191" t="n">
        <v>46074.0472887368</v>
      </c>
      <c r="C1135" s="191" t="n">
        <v>46074.0665827183</v>
      </c>
      <c r="D1135" s="189" t="s">
        <v>1692</v>
      </c>
      <c r="E1135" s="189" t="s">
        <v>1693</v>
      </c>
      <c r="F1135" s="189" t="s">
        <v>1693</v>
      </c>
      <c r="G1135" s="189" t="s">
        <v>1694</v>
      </c>
      <c r="H1135" s="191" t="n">
        <v>46055</v>
      </c>
      <c r="I1135" s="189" t="s">
        <v>113</v>
      </c>
      <c r="J1135" s="189" t="s">
        <v>128</v>
      </c>
      <c r="K1135" s="189" t="s">
        <v>413</v>
      </c>
      <c r="L1135" s="189" t="s">
        <v>197</v>
      </c>
      <c r="M1135" s="189" t="s">
        <v>507</v>
      </c>
      <c r="N1135" s="189" t="s">
        <v>1144</v>
      </c>
      <c r="O1135" s="189" t="s">
        <v>244</v>
      </c>
      <c r="P1135" s="189" t="s">
        <v>111</v>
      </c>
      <c r="Q1135" s="189" t="s">
        <v>112</v>
      </c>
      <c r="R1135" s="189" t="s">
        <v>22</v>
      </c>
      <c r="S1135" s="189" t="s">
        <v>152</v>
      </c>
      <c r="T1135" s="189" t="s">
        <v>121</v>
      </c>
      <c r="U1135" s="189" t="s">
        <v>1395</v>
      </c>
      <c r="V1135" s="189" t="s">
        <v>123</v>
      </c>
      <c r="W1135" s="189" t="s">
        <v>168</v>
      </c>
      <c r="X1135" s="189" t="s">
        <v>715</v>
      </c>
      <c r="Y1135" s="189" t="s">
        <v>2108</v>
      </c>
      <c r="Z1135" s="0" t="n">
        <v>3</v>
      </c>
      <c r="AA1135" s="189" t="s">
        <v>2295</v>
      </c>
    </row>
    <row r="1136" customFormat="false" ht="15" hidden="false" customHeight="false" outlineLevel="0" collapsed="false">
      <c r="A1136" s="0" t="n">
        <v>238</v>
      </c>
      <c r="B1136" s="191" t="n">
        <v>46074.0472887368</v>
      </c>
      <c r="C1136" s="191" t="n">
        <v>46074.0665827183</v>
      </c>
      <c r="D1136" s="189" t="s">
        <v>1692</v>
      </c>
      <c r="E1136" s="189" t="s">
        <v>1693</v>
      </c>
      <c r="F1136" s="189" t="s">
        <v>1693</v>
      </c>
      <c r="G1136" s="189" t="s">
        <v>1694</v>
      </c>
      <c r="H1136" s="191" t="n">
        <v>46055</v>
      </c>
      <c r="I1136" s="189" t="s">
        <v>113</v>
      </c>
      <c r="J1136" s="189" t="s">
        <v>128</v>
      </c>
      <c r="K1136" s="189" t="s">
        <v>413</v>
      </c>
      <c r="L1136" s="189" t="s">
        <v>197</v>
      </c>
      <c r="M1136" s="189" t="s">
        <v>507</v>
      </c>
      <c r="N1136" s="189" t="s">
        <v>1144</v>
      </c>
      <c r="O1136" s="189" t="s">
        <v>244</v>
      </c>
      <c r="P1136" s="189" t="s">
        <v>111</v>
      </c>
      <c r="Q1136" s="189" t="s">
        <v>112</v>
      </c>
      <c r="R1136" s="189" t="s">
        <v>22</v>
      </c>
      <c r="S1136" s="189" t="s">
        <v>152</v>
      </c>
      <c r="T1136" s="189" t="s">
        <v>121</v>
      </c>
      <c r="U1136" s="189" t="s">
        <v>1395</v>
      </c>
      <c r="V1136" s="189" t="s">
        <v>123</v>
      </c>
      <c r="W1136" s="189" t="s">
        <v>168</v>
      </c>
      <c r="X1136" s="189" t="s">
        <v>715</v>
      </c>
      <c r="Y1136" s="189" t="s">
        <v>2110</v>
      </c>
      <c r="Z1136" s="0" t="n">
        <v>1</v>
      </c>
      <c r="AA1136" s="189" t="s">
        <v>2275</v>
      </c>
    </row>
    <row r="1137" customFormat="false" ht="15" hidden="false" customHeight="false" outlineLevel="0" collapsed="false">
      <c r="A1137" s="0" t="n">
        <v>238</v>
      </c>
      <c r="B1137" s="191" t="n">
        <v>46074.0472887368</v>
      </c>
      <c r="C1137" s="191" t="n">
        <v>46074.0665827183</v>
      </c>
      <c r="D1137" s="189" t="s">
        <v>1692</v>
      </c>
      <c r="E1137" s="189" t="s">
        <v>1693</v>
      </c>
      <c r="F1137" s="189" t="s">
        <v>1693</v>
      </c>
      <c r="G1137" s="189" t="s">
        <v>1694</v>
      </c>
      <c r="H1137" s="191" t="n">
        <v>46055</v>
      </c>
      <c r="I1137" s="189" t="s">
        <v>113</v>
      </c>
      <c r="J1137" s="189" t="s">
        <v>128</v>
      </c>
      <c r="K1137" s="189" t="s">
        <v>413</v>
      </c>
      <c r="L1137" s="189" t="s">
        <v>197</v>
      </c>
      <c r="M1137" s="189" t="s">
        <v>507</v>
      </c>
      <c r="N1137" s="189" t="s">
        <v>1144</v>
      </c>
      <c r="O1137" s="189" t="s">
        <v>244</v>
      </c>
      <c r="P1137" s="189" t="s">
        <v>111</v>
      </c>
      <c r="Q1137" s="189" t="s">
        <v>112</v>
      </c>
      <c r="R1137" s="189" t="s">
        <v>22</v>
      </c>
      <c r="S1137" s="189" t="s">
        <v>152</v>
      </c>
      <c r="T1137" s="189" t="s">
        <v>121</v>
      </c>
      <c r="U1137" s="189" t="s">
        <v>1395</v>
      </c>
      <c r="V1137" s="189" t="s">
        <v>123</v>
      </c>
      <c r="W1137" s="189" t="s">
        <v>168</v>
      </c>
      <c r="X1137" s="189" t="s">
        <v>715</v>
      </c>
      <c r="Y1137" s="189" t="s">
        <v>2113</v>
      </c>
      <c r="Z1137" s="0" t="n">
        <v>1</v>
      </c>
      <c r="AA1137" s="189" t="s">
        <v>2273</v>
      </c>
    </row>
    <row r="1138" customFormat="false" ht="15" hidden="false" customHeight="false" outlineLevel="0" collapsed="false">
      <c r="A1138" s="0" t="n">
        <v>238</v>
      </c>
      <c r="B1138" s="191" t="n">
        <v>46074.0472887368</v>
      </c>
      <c r="C1138" s="191" t="n">
        <v>46074.0665827183</v>
      </c>
      <c r="D1138" s="189" t="s">
        <v>1692</v>
      </c>
      <c r="E1138" s="189" t="s">
        <v>1693</v>
      </c>
      <c r="F1138" s="189" t="s">
        <v>1693</v>
      </c>
      <c r="G1138" s="189" t="s">
        <v>1694</v>
      </c>
      <c r="H1138" s="191" t="n">
        <v>46055</v>
      </c>
      <c r="I1138" s="189" t="s">
        <v>113</v>
      </c>
      <c r="J1138" s="189" t="s">
        <v>128</v>
      </c>
      <c r="K1138" s="189" t="s">
        <v>413</v>
      </c>
      <c r="L1138" s="189" t="s">
        <v>197</v>
      </c>
      <c r="M1138" s="189" t="s">
        <v>507</v>
      </c>
      <c r="N1138" s="189" t="s">
        <v>1144</v>
      </c>
      <c r="O1138" s="189" t="s">
        <v>244</v>
      </c>
      <c r="P1138" s="189" t="s">
        <v>111</v>
      </c>
      <c r="Q1138" s="189" t="s">
        <v>112</v>
      </c>
      <c r="R1138" s="189" t="s">
        <v>22</v>
      </c>
      <c r="S1138" s="189" t="s">
        <v>152</v>
      </c>
      <c r="T1138" s="189" t="s">
        <v>121</v>
      </c>
      <c r="U1138" s="189" t="s">
        <v>1395</v>
      </c>
      <c r="V1138" s="189" t="s">
        <v>123</v>
      </c>
      <c r="W1138" s="189" t="s">
        <v>168</v>
      </c>
      <c r="X1138" s="189" t="s">
        <v>715</v>
      </c>
      <c r="Y1138" s="189" t="s">
        <v>2113</v>
      </c>
      <c r="Z1138" s="0" t="n">
        <v>2</v>
      </c>
      <c r="AA1138" s="189" t="s">
        <v>2272</v>
      </c>
    </row>
    <row r="1139" customFormat="false" ht="15" hidden="false" customHeight="false" outlineLevel="0" collapsed="false">
      <c r="A1139" s="0" t="n">
        <v>239</v>
      </c>
      <c r="B1139" s="191" t="n">
        <v>46173.8548996133</v>
      </c>
      <c r="C1139" s="191" t="n">
        <v>46173.8651079466</v>
      </c>
      <c r="D1139" s="189" t="s">
        <v>1697</v>
      </c>
      <c r="E1139" s="189" t="s">
        <v>1698</v>
      </c>
      <c r="F1139" s="189" t="s">
        <v>1698</v>
      </c>
      <c r="G1139" s="189" t="s">
        <v>1699</v>
      </c>
      <c r="H1139" s="191" t="n">
        <v>46162</v>
      </c>
      <c r="I1139" s="189" t="s">
        <v>305</v>
      </c>
      <c r="J1139" s="189" t="s">
        <v>108</v>
      </c>
      <c r="K1139" s="189" t="s">
        <v>245</v>
      </c>
      <c r="L1139" s="189" t="s">
        <v>184</v>
      </c>
      <c r="M1139" s="189" t="s">
        <v>439</v>
      </c>
      <c r="N1139" s="189" t="s">
        <v>338</v>
      </c>
      <c r="O1139" s="189" t="s">
        <v>244</v>
      </c>
      <c r="P1139" s="189" t="s">
        <v>111</v>
      </c>
      <c r="Q1139" s="189" t="s">
        <v>112</v>
      </c>
      <c r="R1139" s="189" t="s">
        <v>24</v>
      </c>
      <c r="S1139" s="189" t="s">
        <v>227</v>
      </c>
      <c r="T1139" s="189" t="s">
        <v>121</v>
      </c>
      <c r="U1139" s="189" t="s">
        <v>1700</v>
      </c>
      <c r="V1139" s="189" t="s">
        <v>167</v>
      </c>
      <c r="W1139" s="189" t="s">
        <v>124</v>
      </c>
      <c r="X1139" s="189" t="s">
        <v>19</v>
      </c>
      <c r="Y1139" s="189" t="s">
        <v>2216</v>
      </c>
      <c r="Z1139" s="0" t="n">
        <v>1</v>
      </c>
      <c r="AA1139" s="189" t="s">
        <v>880</v>
      </c>
    </row>
    <row r="1140" customFormat="false" ht="15" hidden="false" customHeight="false" outlineLevel="0" collapsed="false">
      <c r="A1140" s="0" t="n">
        <v>241</v>
      </c>
      <c r="B1140" s="191" t="n">
        <v>46057.377238174</v>
      </c>
      <c r="C1140" s="191" t="n">
        <v>46057.3940784518</v>
      </c>
      <c r="D1140" s="189" t="s">
        <v>1704</v>
      </c>
      <c r="E1140" s="189" t="s">
        <v>1705</v>
      </c>
      <c r="F1140" s="189" t="s">
        <v>1705</v>
      </c>
      <c r="G1140" s="189" t="s">
        <v>1706</v>
      </c>
      <c r="H1140" s="191" t="n">
        <v>46037</v>
      </c>
      <c r="I1140" s="189" t="s">
        <v>305</v>
      </c>
      <c r="J1140" s="189" t="s">
        <v>108</v>
      </c>
      <c r="K1140" s="189" t="s">
        <v>173</v>
      </c>
      <c r="L1140" s="189" t="s">
        <v>144</v>
      </c>
      <c r="M1140" s="189" t="s">
        <v>144</v>
      </c>
      <c r="N1140" s="189" t="s">
        <v>249</v>
      </c>
      <c r="O1140" s="189" t="s">
        <v>172</v>
      </c>
      <c r="P1140" s="189" t="s">
        <v>111</v>
      </c>
      <c r="Q1140" s="189" t="s">
        <v>145</v>
      </c>
      <c r="R1140" s="189" t="s">
        <v>22</v>
      </c>
      <c r="S1140" s="189" t="s">
        <v>120</v>
      </c>
      <c r="T1140" s="189" t="s">
        <v>121</v>
      </c>
      <c r="U1140" s="189" t="s">
        <v>122</v>
      </c>
      <c r="V1140" s="189" t="s">
        <v>123</v>
      </c>
      <c r="W1140" s="189" t="s">
        <v>124</v>
      </c>
      <c r="X1140" s="189" t="s">
        <v>148</v>
      </c>
      <c r="Y1140" s="189" t="s">
        <v>2108</v>
      </c>
      <c r="Z1140" s="0" t="n">
        <v>1</v>
      </c>
      <c r="AA1140" s="189" t="s">
        <v>2120</v>
      </c>
    </row>
    <row r="1141" customFormat="false" ht="15" hidden="false" customHeight="false" outlineLevel="0" collapsed="false">
      <c r="A1141" s="0" t="n">
        <v>241</v>
      </c>
      <c r="B1141" s="191" t="n">
        <v>46057.377238174</v>
      </c>
      <c r="C1141" s="191" t="n">
        <v>46057.3940784518</v>
      </c>
      <c r="D1141" s="189" t="s">
        <v>1704</v>
      </c>
      <c r="E1141" s="189" t="s">
        <v>1705</v>
      </c>
      <c r="F1141" s="189" t="s">
        <v>1705</v>
      </c>
      <c r="G1141" s="189" t="s">
        <v>1706</v>
      </c>
      <c r="H1141" s="191" t="n">
        <v>46037</v>
      </c>
      <c r="I1141" s="189" t="s">
        <v>305</v>
      </c>
      <c r="J1141" s="189" t="s">
        <v>108</v>
      </c>
      <c r="K1141" s="189" t="s">
        <v>173</v>
      </c>
      <c r="L1141" s="189" t="s">
        <v>144</v>
      </c>
      <c r="M1141" s="189" t="s">
        <v>144</v>
      </c>
      <c r="N1141" s="189" t="s">
        <v>249</v>
      </c>
      <c r="O1141" s="189" t="s">
        <v>172</v>
      </c>
      <c r="P1141" s="189" t="s">
        <v>111</v>
      </c>
      <c r="Q1141" s="189" t="s">
        <v>145</v>
      </c>
      <c r="R1141" s="189" t="s">
        <v>22</v>
      </c>
      <c r="S1141" s="189" t="s">
        <v>120</v>
      </c>
      <c r="T1141" s="189" t="s">
        <v>121</v>
      </c>
      <c r="U1141" s="189" t="s">
        <v>122</v>
      </c>
      <c r="V1141" s="189" t="s">
        <v>123</v>
      </c>
      <c r="W1141" s="189" t="s">
        <v>124</v>
      </c>
      <c r="X1141" s="189" t="s">
        <v>148</v>
      </c>
      <c r="Y1141" s="189" t="s">
        <v>2108</v>
      </c>
      <c r="Z1141" s="0" t="n">
        <v>2</v>
      </c>
      <c r="AA1141" s="189" t="s">
        <v>2230</v>
      </c>
    </row>
    <row r="1142" customFormat="false" ht="15" hidden="false" customHeight="false" outlineLevel="0" collapsed="false">
      <c r="A1142" s="0" t="n">
        <v>241</v>
      </c>
      <c r="B1142" s="191" t="n">
        <v>46057.377238174</v>
      </c>
      <c r="C1142" s="191" t="n">
        <v>46057.3940784518</v>
      </c>
      <c r="D1142" s="189" t="s">
        <v>1704</v>
      </c>
      <c r="E1142" s="189" t="s">
        <v>1705</v>
      </c>
      <c r="F1142" s="189" t="s">
        <v>1705</v>
      </c>
      <c r="G1142" s="189" t="s">
        <v>1706</v>
      </c>
      <c r="H1142" s="191" t="n">
        <v>46037</v>
      </c>
      <c r="I1142" s="189" t="s">
        <v>305</v>
      </c>
      <c r="J1142" s="189" t="s">
        <v>108</v>
      </c>
      <c r="K1142" s="189" t="s">
        <v>173</v>
      </c>
      <c r="L1142" s="189" t="s">
        <v>144</v>
      </c>
      <c r="M1142" s="189" t="s">
        <v>144</v>
      </c>
      <c r="N1142" s="189" t="s">
        <v>249</v>
      </c>
      <c r="O1142" s="189" t="s">
        <v>172</v>
      </c>
      <c r="P1142" s="189" t="s">
        <v>111</v>
      </c>
      <c r="Q1142" s="189" t="s">
        <v>145</v>
      </c>
      <c r="R1142" s="189" t="s">
        <v>22</v>
      </c>
      <c r="S1142" s="189" t="s">
        <v>120</v>
      </c>
      <c r="T1142" s="189" t="s">
        <v>121</v>
      </c>
      <c r="U1142" s="189" t="s">
        <v>122</v>
      </c>
      <c r="V1142" s="189" t="s">
        <v>123</v>
      </c>
      <c r="W1142" s="189" t="s">
        <v>124</v>
      </c>
      <c r="X1142" s="189" t="s">
        <v>148</v>
      </c>
      <c r="Y1142" s="189" t="s">
        <v>2108</v>
      </c>
      <c r="Z1142" s="0" t="n">
        <v>3</v>
      </c>
      <c r="AA1142" s="189" t="s">
        <v>2166</v>
      </c>
    </row>
    <row r="1143" customFormat="false" ht="15" hidden="false" customHeight="false" outlineLevel="0" collapsed="false">
      <c r="A1143" s="0" t="n">
        <v>241</v>
      </c>
      <c r="B1143" s="191" t="n">
        <v>46057.377238174</v>
      </c>
      <c r="C1143" s="191" t="n">
        <v>46057.3940784518</v>
      </c>
      <c r="D1143" s="189" t="s">
        <v>1704</v>
      </c>
      <c r="E1143" s="189" t="s">
        <v>1705</v>
      </c>
      <c r="F1143" s="189" t="s">
        <v>1705</v>
      </c>
      <c r="G1143" s="189" t="s">
        <v>1706</v>
      </c>
      <c r="H1143" s="191" t="n">
        <v>46037</v>
      </c>
      <c r="I1143" s="189" t="s">
        <v>305</v>
      </c>
      <c r="J1143" s="189" t="s">
        <v>108</v>
      </c>
      <c r="K1143" s="189" t="s">
        <v>173</v>
      </c>
      <c r="L1143" s="189" t="s">
        <v>144</v>
      </c>
      <c r="M1143" s="189" t="s">
        <v>144</v>
      </c>
      <c r="N1143" s="189" t="s">
        <v>249</v>
      </c>
      <c r="O1143" s="189" t="s">
        <v>172</v>
      </c>
      <c r="P1143" s="189" t="s">
        <v>111</v>
      </c>
      <c r="Q1143" s="189" t="s">
        <v>145</v>
      </c>
      <c r="R1143" s="189" t="s">
        <v>22</v>
      </c>
      <c r="S1143" s="189" t="s">
        <v>120</v>
      </c>
      <c r="T1143" s="189" t="s">
        <v>121</v>
      </c>
      <c r="U1143" s="189" t="s">
        <v>122</v>
      </c>
      <c r="V1143" s="189" t="s">
        <v>123</v>
      </c>
      <c r="W1143" s="189" t="s">
        <v>124</v>
      </c>
      <c r="X1143" s="189" t="s">
        <v>148</v>
      </c>
      <c r="Y1143" s="189" t="s">
        <v>2110</v>
      </c>
      <c r="Z1143" s="0" t="n">
        <v>1</v>
      </c>
      <c r="AA1143" s="189" t="s">
        <v>122</v>
      </c>
    </row>
    <row r="1144" customFormat="false" ht="15" hidden="false" customHeight="false" outlineLevel="0" collapsed="false">
      <c r="A1144" s="0" t="n">
        <v>241</v>
      </c>
      <c r="B1144" s="191" t="n">
        <v>46057.377238174</v>
      </c>
      <c r="C1144" s="191" t="n">
        <v>46057.3940784518</v>
      </c>
      <c r="D1144" s="189" t="s">
        <v>1704</v>
      </c>
      <c r="E1144" s="189" t="s">
        <v>1705</v>
      </c>
      <c r="F1144" s="189" t="s">
        <v>1705</v>
      </c>
      <c r="G1144" s="189" t="s">
        <v>1706</v>
      </c>
      <c r="H1144" s="191" t="n">
        <v>46037</v>
      </c>
      <c r="I1144" s="189" t="s">
        <v>305</v>
      </c>
      <c r="J1144" s="189" t="s">
        <v>108</v>
      </c>
      <c r="K1144" s="189" t="s">
        <v>173</v>
      </c>
      <c r="L1144" s="189" t="s">
        <v>144</v>
      </c>
      <c r="M1144" s="189" t="s">
        <v>144</v>
      </c>
      <c r="N1144" s="189" t="s">
        <v>249</v>
      </c>
      <c r="O1144" s="189" t="s">
        <v>172</v>
      </c>
      <c r="P1144" s="189" t="s">
        <v>111</v>
      </c>
      <c r="Q1144" s="189" t="s">
        <v>145</v>
      </c>
      <c r="R1144" s="189" t="s">
        <v>22</v>
      </c>
      <c r="S1144" s="189" t="s">
        <v>120</v>
      </c>
      <c r="T1144" s="189" t="s">
        <v>121</v>
      </c>
      <c r="U1144" s="189" t="s">
        <v>122</v>
      </c>
      <c r="V1144" s="189" t="s">
        <v>123</v>
      </c>
      <c r="W1144" s="189" t="s">
        <v>124</v>
      </c>
      <c r="X1144" s="189" t="s">
        <v>148</v>
      </c>
      <c r="Y1144" s="189" t="s">
        <v>2110</v>
      </c>
      <c r="Z1144" s="0" t="n">
        <v>2</v>
      </c>
      <c r="AA1144" s="189" t="s">
        <v>2121</v>
      </c>
    </row>
    <row r="1145" customFormat="false" ht="15" hidden="false" customHeight="false" outlineLevel="0" collapsed="false">
      <c r="A1145" s="0" t="n">
        <v>241</v>
      </c>
      <c r="B1145" s="191" t="n">
        <v>46057.377238174</v>
      </c>
      <c r="C1145" s="191" t="n">
        <v>46057.3940784518</v>
      </c>
      <c r="D1145" s="189" t="s">
        <v>1704</v>
      </c>
      <c r="E1145" s="189" t="s">
        <v>1705</v>
      </c>
      <c r="F1145" s="189" t="s">
        <v>1705</v>
      </c>
      <c r="G1145" s="189" t="s">
        <v>1706</v>
      </c>
      <c r="H1145" s="191" t="n">
        <v>46037</v>
      </c>
      <c r="I1145" s="189" t="s">
        <v>305</v>
      </c>
      <c r="J1145" s="189" t="s">
        <v>108</v>
      </c>
      <c r="K1145" s="189" t="s">
        <v>173</v>
      </c>
      <c r="L1145" s="189" t="s">
        <v>144</v>
      </c>
      <c r="M1145" s="189" t="s">
        <v>144</v>
      </c>
      <c r="N1145" s="189" t="s">
        <v>249</v>
      </c>
      <c r="O1145" s="189" t="s">
        <v>172</v>
      </c>
      <c r="P1145" s="189" t="s">
        <v>111</v>
      </c>
      <c r="Q1145" s="189" t="s">
        <v>145</v>
      </c>
      <c r="R1145" s="189" t="s">
        <v>22</v>
      </c>
      <c r="S1145" s="189" t="s">
        <v>120</v>
      </c>
      <c r="T1145" s="189" t="s">
        <v>121</v>
      </c>
      <c r="U1145" s="189" t="s">
        <v>122</v>
      </c>
      <c r="V1145" s="189" t="s">
        <v>123</v>
      </c>
      <c r="W1145" s="189" t="s">
        <v>124</v>
      </c>
      <c r="X1145" s="189" t="s">
        <v>148</v>
      </c>
      <c r="Y1145" s="189" t="s">
        <v>2113</v>
      </c>
      <c r="Z1145" s="0" t="n">
        <v>1</v>
      </c>
      <c r="AA1145" s="189" t="s">
        <v>2232</v>
      </c>
    </row>
    <row r="1146" customFormat="false" ht="15" hidden="false" customHeight="false" outlineLevel="0" collapsed="false">
      <c r="A1146" s="0" t="n">
        <v>242</v>
      </c>
      <c r="B1146" s="191" t="n">
        <v>46046.9534835269</v>
      </c>
      <c r="C1146" s="191" t="n">
        <v>46046.9610182491</v>
      </c>
      <c r="D1146" s="189" t="s">
        <v>1708</v>
      </c>
      <c r="E1146" s="189" t="s">
        <v>1709</v>
      </c>
      <c r="F1146" s="189" t="s">
        <v>1709</v>
      </c>
      <c r="G1146" s="189" t="s">
        <v>1710</v>
      </c>
      <c r="H1146" s="191" t="n">
        <v>46043</v>
      </c>
      <c r="I1146" s="189" t="s">
        <v>113</v>
      </c>
      <c r="J1146" s="189" t="s">
        <v>295</v>
      </c>
      <c r="K1146" s="189" t="s">
        <v>1711</v>
      </c>
      <c r="L1146" s="189" t="s">
        <v>130</v>
      </c>
      <c r="M1146" s="189" t="s">
        <v>286</v>
      </c>
      <c r="N1146" s="189" t="s">
        <v>1539</v>
      </c>
      <c r="O1146" s="189" t="s">
        <v>107</v>
      </c>
      <c r="P1146" s="189" t="s">
        <v>111</v>
      </c>
      <c r="Q1146" s="189" t="s">
        <v>112</v>
      </c>
      <c r="R1146" s="189" t="s">
        <v>25</v>
      </c>
      <c r="S1146" s="189" t="s">
        <v>152</v>
      </c>
      <c r="T1146" s="189" t="s">
        <v>180</v>
      </c>
      <c r="U1146" s="189" t="s">
        <v>770</v>
      </c>
      <c r="V1146" s="189" t="s">
        <v>192</v>
      </c>
      <c r="W1146" s="189" t="s">
        <v>124</v>
      </c>
      <c r="X1146" s="189" t="s">
        <v>1712</v>
      </c>
      <c r="Y1146" s="189" t="s">
        <v>2108</v>
      </c>
      <c r="Z1146" s="0" t="n">
        <v>1</v>
      </c>
      <c r="AA1146" s="189" t="s">
        <v>2349</v>
      </c>
    </row>
    <row r="1147" customFormat="false" ht="15" hidden="false" customHeight="false" outlineLevel="0" collapsed="false">
      <c r="A1147" s="0" t="n">
        <v>242</v>
      </c>
      <c r="B1147" s="191" t="n">
        <v>46046.9534835269</v>
      </c>
      <c r="C1147" s="191" t="n">
        <v>46046.9610182491</v>
      </c>
      <c r="D1147" s="189" t="s">
        <v>1708</v>
      </c>
      <c r="E1147" s="189" t="s">
        <v>1709</v>
      </c>
      <c r="F1147" s="189" t="s">
        <v>1709</v>
      </c>
      <c r="G1147" s="189" t="s">
        <v>1710</v>
      </c>
      <c r="H1147" s="191" t="n">
        <v>46043</v>
      </c>
      <c r="I1147" s="189" t="s">
        <v>113</v>
      </c>
      <c r="J1147" s="189" t="s">
        <v>295</v>
      </c>
      <c r="K1147" s="189" t="s">
        <v>1711</v>
      </c>
      <c r="L1147" s="189" t="s">
        <v>130</v>
      </c>
      <c r="M1147" s="189" t="s">
        <v>286</v>
      </c>
      <c r="N1147" s="189" t="s">
        <v>1539</v>
      </c>
      <c r="O1147" s="189" t="s">
        <v>107</v>
      </c>
      <c r="P1147" s="189" t="s">
        <v>111</v>
      </c>
      <c r="Q1147" s="189" t="s">
        <v>112</v>
      </c>
      <c r="R1147" s="189" t="s">
        <v>25</v>
      </c>
      <c r="S1147" s="189" t="s">
        <v>152</v>
      </c>
      <c r="T1147" s="189" t="s">
        <v>180</v>
      </c>
      <c r="U1147" s="189" t="s">
        <v>770</v>
      </c>
      <c r="V1147" s="189" t="s">
        <v>192</v>
      </c>
      <c r="W1147" s="189" t="s">
        <v>124</v>
      </c>
      <c r="X1147" s="189" t="s">
        <v>1712</v>
      </c>
      <c r="Y1147" s="189" t="s">
        <v>2108</v>
      </c>
      <c r="Z1147" s="0" t="n">
        <v>2</v>
      </c>
      <c r="AA1147" s="189" t="s">
        <v>2350</v>
      </c>
    </row>
    <row r="1148" customFormat="false" ht="15" hidden="false" customHeight="false" outlineLevel="0" collapsed="false">
      <c r="A1148" s="0" t="n">
        <v>242</v>
      </c>
      <c r="B1148" s="191" t="n">
        <v>46046.9534835269</v>
      </c>
      <c r="C1148" s="191" t="n">
        <v>46046.9610182491</v>
      </c>
      <c r="D1148" s="189" t="s">
        <v>1708</v>
      </c>
      <c r="E1148" s="189" t="s">
        <v>1709</v>
      </c>
      <c r="F1148" s="189" t="s">
        <v>1709</v>
      </c>
      <c r="G1148" s="189" t="s">
        <v>1710</v>
      </c>
      <c r="H1148" s="191" t="n">
        <v>46043</v>
      </c>
      <c r="I1148" s="189" t="s">
        <v>113</v>
      </c>
      <c r="J1148" s="189" t="s">
        <v>295</v>
      </c>
      <c r="K1148" s="189" t="s">
        <v>1711</v>
      </c>
      <c r="L1148" s="189" t="s">
        <v>130</v>
      </c>
      <c r="M1148" s="189" t="s">
        <v>286</v>
      </c>
      <c r="N1148" s="189" t="s">
        <v>1539</v>
      </c>
      <c r="O1148" s="189" t="s">
        <v>107</v>
      </c>
      <c r="P1148" s="189" t="s">
        <v>111</v>
      </c>
      <c r="Q1148" s="189" t="s">
        <v>112</v>
      </c>
      <c r="R1148" s="189" t="s">
        <v>25</v>
      </c>
      <c r="S1148" s="189" t="s">
        <v>152</v>
      </c>
      <c r="T1148" s="189" t="s">
        <v>180</v>
      </c>
      <c r="U1148" s="189" t="s">
        <v>770</v>
      </c>
      <c r="V1148" s="189" t="s">
        <v>192</v>
      </c>
      <c r="W1148" s="189" t="s">
        <v>124</v>
      </c>
      <c r="X1148" s="189" t="s">
        <v>1712</v>
      </c>
      <c r="Y1148" s="189" t="s">
        <v>2108</v>
      </c>
      <c r="Z1148" s="0" t="n">
        <v>3</v>
      </c>
      <c r="AA1148" s="189" t="s">
        <v>2351</v>
      </c>
    </row>
    <row r="1149" customFormat="false" ht="15" hidden="false" customHeight="false" outlineLevel="0" collapsed="false">
      <c r="A1149" s="0" t="n">
        <v>242</v>
      </c>
      <c r="B1149" s="191" t="n">
        <v>46046.9534835269</v>
      </c>
      <c r="C1149" s="191" t="n">
        <v>46046.9610182491</v>
      </c>
      <c r="D1149" s="189" t="s">
        <v>1708</v>
      </c>
      <c r="E1149" s="189" t="s">
        <v>1709</v>
      </c>
      <c r="F1149" s="189" t="s">
        <v>1709</v>
      </c>
      <c r="G1149" s="189" t="s">
        <v>1710</v>
      </c>
      <c r="H1149" s="191" t="n">
        <v>46043</v>
      </c>
      <c r="I1149" s="189" t="s">
        <v>113</v>
      </c>
      <c r="J1149" s="189" t="s">
        <v>295</v>
      </c>
      <c r="K1149" s="189" t="s">
        <v>1711</v>
      </c>
      <c r="L1149" s="189" t="s">
        <v>130</v>
      </c>
      <c r="M1149" s="189" t="s">
        <v>286</v>
      </c>
      <c r="N1149" s="189" t="s">
        <v>1539</v>
      </c>
      <c r="O1149" s="189" t="s">
        <v>107</v>
      </c>
      <c r="P1149" s="189" t="s">
        <v>111</v>
      </c>
      <c r="Q1149" s="189" t="s">
        <v>112</v>
      </c>
      <c r="R1149" s="189" t="s">
        <v>25</v>
      </c>
      <c r="S1149" s="189" t="s">
        <v>152</v>
      </c>
      <c r="T1149" s="189" t="s">
        <v>180</v>
      </c>
      <c r="U1149" s="189" t="s">
        <v>770</v>
      </c>
      <c r="V1149" s="189" t="s">
        <v>192</v>
      </c>
      <c r="W1149" s="189" t="s">
        <v>124</v>
      </c>
      <c r="X1149" s="189" t="s">
        <v>1712</v>
      </c>
      <c r="Y1149" s="189" t="s">
        <v>2110</v>
      </c>
      <c r="Z1149" s="0" t="n">
        <v>1</v>
      </c>
      <c r="AA1149" s="189" t="s">
        <v>2352</v>
      </c>
    </row>
    <row r="1150" customFormat="false" ht="15" hidden="false" customHeight="false" outlineLevel="0" collapsed="false">
      <c r="A1150" s="0" t="n">
        <v>242</v>
      </c>
      <c r="B1150" s="191" t="n">
        <v>46046.9534835269</v>
      </c>
      <c r="C1150" s="191" t="n">
        <v>46046.9610182491</v>
      </c>
      <c r="D1150" s="189" t="s">
        <v>1708</v>
      </c>
      <c r="E1150" s="189" t="s">
        <v>1709</v>
      </c>
      <c r="F1150" s="189" t="s">
        <v>1709</v>
      </c>
      <c r="G1150" s="189" t="s">
        <v>1710</v>
      </c>
      <c r="H1150" s="191" t="n">
        <v>46043</v>
      </c>
      <c r="I1150" s="189" t="s">
        <v>113</v>
      </c>
      <c r="J1150" s="189" t="s">
        <v>295</v>
      </c>
      <c r="K1150" s="189" t="s">
        <v>1711</v>
      </c>
      <c r="L1150" s="189" t="s">
        <v>130</v>
      </c>
      <c r="M1150" s="189" t="s">
        <v>286</v>
      </c>
      <c r="N1150" s="189" t="s">
        <v>1539</v>
      </c>
      <c r="O1150" s="189" t="s">
        <v>107</v>
      </c>
      <c r="P1150" s="189" t="s">
        <v>111</v>
      </c>
      <c r="Q1150" s="189" t="s">
        <v>112</v>
      </c>
      <c r="R1150" s="189" t="s">
        <v>25</v>
      </c>
      <c r="S1150" s="189" t="s">
        <v>152</v>
      </c>
      <c r="T1150" s="189" t="s">
        <v>180</v>
      </c>
      <c r="U1150" s="189" t="s">
        <v>770</v>
      </c>
      <c r="V1150" s="189" t="s">
        <v>192</v>
      </c>
      <c r="W1150" s="189" t="s">
        <v>124</v>
      </c>
      <c r="X1150" s="189" t="s">
        <v>1712</v>
      </c>
      <c r="Y1150" s="189" t="s">
        <v>2110</v>
      </c>
      <c r="Z1150" s="0" t="n">
        <v>2</v>
      </c>
      <c r="AA1150" s="189" t="s">
        <v>2353</v>
      </c>
    </row>
    <row r="1151" customFormat="false" ht="15" hidden="false" customHeight="false" outlineLevel="0" collapsed="false">
      <c r="A1151" s="0" t="n">
        <v>242</v>
      </c>
      <c r="B1151" s="191" t="n">
        <v>46046.9534835269</v>
      </c>
      <c r="C1151" s="191" t="n">
        <v>46046.9610182491</v>
      </c>
      <c r="D1151" s="189" t="s">
        <v>1708</v>
      </c>
      <c r="E1151" s="189" t="s">
        <v>1709</v>
      </c>
      <c r="F1151" s="189" t="s">
        <v>1709</v>
      </c>
      <c r="G1151" s="189" t="s">
        <v>1710</v>
      </c>
      <c r="H1151" s="191" t="n">
        <v>46043</v>
      </c>
      <c r="I1151" s="189" t="s">
        <v>113</v>
      </c>
      <c r="J1151" s="189" t="s">
        <v>295</v>
      </c>
      <c r="K1151" s="189" t="s">
        <v>1711</v>
      </c>
      <c r="L1151" s="189" t="s">
        <v>130</v>
      </c>
      <c r="M1151" s="189" t="s">
        <v>286</v>
      </c>
      <c r="N1151" s="189" t="s">
        <v>1539</v>
      </c>
      <c r="O1151" s="189" t="s">
        <v>107</v>
      </c>
      <c r="P1151" s="189" t="s">
        <v>111</v>
      </c>
      <c r="Q1151" s="189" t="s">
        <v>112</v>
      </c>
      <c r="R1151" s="189" t="s">
        <v>25</v>
      </c>
      <c r="S1151" s="189" t="s">
        <v>152</v>
      </c>
      <c r="T1151" s="189" t="s">
        <v>180</v>
      </c>
      <c r="U1151" s="189" t="s">
        <v>770</v>
      </c>
      <c r="V1151" s="189" t="s">
        <v>192</v>
      </c>
      <c r="W1151" s="189" t="s">
        <v>124</v>
      </c>
      <c r="X1151" s="189" t="s">
        <v>1712</v>
      </c>
      <c r="Y1151" s="189" t="s">
        <v>2113</v>
      </c>
      <c r="Z1151" s="0" t="n">
        <v>1</v>
      </c>
      <c r="AA1151" s="189" t="s">
        <v>2354</v>
      </c>
    </row>
    <row r="1152" customFormat="false" ht="15" hidden="false" customHeight="false" outlineLevel="0" collapsed="false">
      <c r="A1152" s="0" t="n">
        <v>242</v>
      </c>
      <c r="B1152" s="191" t="n">
        <v>46046.9534835269</v>
      </c>
      <c r="C1152" s="191" t="n">
        <v>46046.9610182491</v>
      </c>
      <c r="D1152" s="189" t="s">
        <v>1708</v>
      </c>
      <c r="E1152" s="189" t="s">
        <v>1709</v>
      </c>
      <c r="F1152" s="189" t="s">
        <v>1709</v>
      </c>
      <c r="G1152" s="189" t="s">
        <v>1710</v>
      </c>
      <c r="H1152" s="191" t="n">
        <v>46043</v>
      </c>
      <c r="I1152" s="189" t="s">
        <v>113</v>
      </c>
      <c r="J1152" s="189" t="s">
        <v>295</v>
      </c>
      <c r="K1152" s="189" t="s">
        <v>1711</v>
      </c>
      <c r="L1152" s="189" t="s">
        <v>130</v>
      </c>
      <c r="M1152" s="189" t="s">
        <v>286</v>
      </c>
      <c r="N1152" s="189" t="s">
        <v>1539</v>
      </c>
      <c r="O1152" s="189" t="s">
        <v>107</v>
      </c>
      <c r="P1152" s="189" t="s">
        <v>111</v>
      </c>
      <c r="Q1152" s="189" t="s">
        <v>112</v>
      </c>
      <c r="R1152" s="189" t="s">
        <v>25</v>
      </c>
      <c r="S1152" s="189" t="s">
        <v>152</v>
      </c>
      <c r="T1152" s="189" t="s">
        <v>180</v>
      </c>
      <c r="U1152" s="189" t="s">
        <v>770</v>
      </c>
      <c r="V1152" s="189" t="s">
        <v>192</v>
      </c>
      <c r="W1152" s="189" t="s">
        <v>124</v>
      </c>
      <c r="X1152" s="189" t="s">
        <v>1712</v>
      </c>
      <c r="Y1152" s="189" t="s">
        <v>2113</v>
      </c>
      <c r="Z1152" s="0" t="n">
        <v>2</v>
      </c>
      <c r="AA1152" s="189" t="s">
        <v>2355</v>
      </c>
    </row>
    <row r="1153" customFormat="false" ht="15" hidden="false" customHeight="false" outlineLevel="0" collapsed="false">
      <c r="A1153" s="0" t="n">
        <v>244</v>
      </c>
      <c r="B1153" s="191" t="n">
        <v>46086.6405792124</v>
      </c>
      <c r="C1153" s="191" t="n">
        <v>46086.6531833791</v>
      </c>
      <c r="D1153" s="189" t="s">
        <v>1719</v>
      </c>
      <c r="E1153" s="189" t="s">
        <v>1720</v>
      </c>
      <c r="F1153" s="189" t="s">
        <v>1720</v>
      </c>
      <c r="G1153" s="189" t="s">
        <v>1721</v>
      </c>
      <c r="H1153" s="191" t="n">
        <v>46069</v>
      </c>
      <c r="I1153" s="189" t="s">
        <v>113</v>
      </c>
      <c r="J1153" s="189" t="s">
        <v>128</v>
      </c>
      <c r="K1153" s="189" t="s">
        <v>245</v>
      </c>
      <c r="L1153" s="189" t="s">
        <v>114</v>
      </c>
      <c r="M1153" s="189" t="s">
        <v>248</v>
      </c>
      <c r="N1153" s="189" t="s">
        <v>757</v>
      </c>
      <c r="O1153" s="189" t="s">
        <v>172</v>
      </c>
      <c r="P1153" s="189" t="s">
        <v>111</v>
      </c>
      <c r="Q1153" s="189" t="s">
        <v>112</v>
      </c>
      <c r="R1153" s="189" t="s">
        <v>22</v>
      </c>
      <c r="S1153" s="189" t="s">
        <v>152</v>
      </c>
      <c r="T1153" s="189" t="s">
        <v>228</v>
      </c>
      <c r="V1153" s="189" t="s">
        <v>123</v>
      </c>
      <c r="W1153" s="189" t="s">
        <v>124</v>
      </c>
      <c r="X1153" s="189" t="s">
        <v>271</v>
      </c>
      <c r="Y1153" s="189" t="s">
        <v>2108</v>
      </c>
      <c r="Z1153" s="0" t="n">
        <v>1</v>
      </c>
      <c r="AA1153" s="189" t="s">
        <v>2180</v>
      </c>
    </row>
    <row r="1154" customFormat="false" ht="15" hidden="false" customHeight="false" outlineLevel="0" collapsed="false">
      <c r="A1154" s="0" t="n">
        <v>244</v>
      </c>
      <c r="B1154" s="191" t="n">
        <v>46086.6405792124</v>
      </c>
      <c r="C1154" s="191" t="n">
        <v>46086.6531833791</v>
      </c>
      <c r="D1154" s="189" t="s">
        <v>1719</v>
      </c>
      <c r="E1154" s="189" t="s">
        <v>1720</v>
      </c>
      <c r="F1154" s="189" t="s">
        <v>1720</v>
      </c>
      <c r="G1154" s="189" t="s">
        <v>1721</v>
      </c>
      <c r="H1154" s="191" t="n">
        <v>46069</v>
      </c>
      <c r="I1154" s="189" t="s">
        <v>113</v>
      </c>
      <c r="J1154" s="189" t="s">
        <v>128</v>
      </c>
      <c r="K1154" s="189" t="s">
        <v>245</v>
      </c>
      <c r="L1154" s="189" t="s">
        <v>114</v>
      </c>
      <c r="M1154" s="189" t="s">
        <v>248</v>
      </c>
      <c r="N1154" s="189" t="s">
        <v>757</v>
      </c>
      <c r="O1154" s="189" t="s">
        <v>172</v>
      </c>
      <c r="P1154" s="189" t="s">
        <v>111</v>
      </c>
      <c r="Q1154" s="189" t="s">
        <v>112</v>
      </c>
      <c r="R1154" s="189" t="s">
        <v>22</v>
      </c>
      <c r="S1154" s="189" t="s">
        <v>152</v>
      </c>
      <c r="T1154" s="189" t="s">
        <v>228</v>
      </c>
      <c r="V1154" s="189" t="s">
        <v>123</v>
      </c>
      <c r="W1154" s="189" t="s">
        <v>124</v>
      </c>
      <c r="X1154" s="189" t="s">
        <v>271</v>
      </c>
      <c r="Y1154" s="189" t="s">
        <v>2108</v>
      </c>
      <c r="Z1154" s="0" t="n">
        <v>2</v>
      </c>
      <c r="AA1154" s="189" t="s">
        <v>2179</v>
      </c>
    </row>
    <row r="1155" customFormat="false" ht="15" hidden="false" customHeight="false" outlineLevel="0" collapsed="false">
      <c r="A1155" s="0" t="n">
        <v>244</v>
      </c>
      <c r="B1155" s="191" t="n">
        <v>46086.6405792124</v>
      </c>
      <c r="C1155" s="191" t="n">
        <v>46086.6531833791</v>
      </c>
      <c r="D1155" s="189" t="s">
        <v>1719</v>
      </c>
      <c r="E1155" s="189" t="s">
        <v>1720</v>
      </c>
      <c r="F1155" s="189" t="s">
        <v>1720</v>
      </c>
      <c r="G1155" s="189" t="s">
        <v>1721</v>
      </c>
      <c r="H1155" s="191" t="n">
        <v>46069</v>
      </c>
      <c r="I1155" s="189" t="s">
        <v>113</v>
      </c>
      <c r="J1155" s="189" t="s">
        <v>128</v>
      </c>
      <c r="K1155" s="189" t="s">
        <v>245</v>
      </c>
      <c r="L1155" s="189" t="s">
        <v>114</v>
      </c>
      <c r="M1155" s="189" t="s">
        <v>248</v>
      </c>
      <c r="N1155" s="189" t="s">
        <v>757</v>
      </c>
      <c r="O1155" s="189" t="s">
        <v>172</v>
      </c>
      <c r="P1155" s="189" t="s">
        <v>111</v>
      </c>
      <c r="Q1155" s="189" t="s">
        <v>112</v>
      </c>
      <c r="R1155" s="189" t="s">
        <v>22</v>
      </c>
      <c r="S1155" s="189" t="s">
        <v>152</v>
      </c>
      <c r="T1155" s="189" t="s">
        <v>228</v>
      </c>
      <c r="V1155" s="189" t="s">
        <v>123</v>
      </c>
      <c r="W1155" s="189" t="s">
        <v>124</v>
      </c>
      <c r="X1155" s="189" t="s">
        <v>271</v>
      </c>
      <c r="Y1155" s="189" t="s">
        <v>2110</v>
      </c>
      <c r="Z1155" s="0" t="n">
        <v>1</v>
      </c>
      <c r="AA1155" s="189" t="s">
        <v>2161</v>
      </c>
    </row>
    <row r="1156" customFormat="false" ht="15" hidden="false" customHeight="false" outlineLevel="0" collapsed="false">
      <c r="A1156" s="0" t="n">
        <v>244</v>
      </c>
      <c r="B1156" s="191" t="n">
        <v>46086.6405792124</v>
      </c>
      <c r="C1156" s="191" t="n">
        <v>46086.6531833791</v>
      </c>
      <c r="D1156" s="189" t="s">
        <v>1719</v>
      </c>
      <c r="E1156" s="189" t="s">
        <v>1720</v>
      </c>
      <c r="F1156" s="189" t="s">
        <v>1720</v>
      </c>
      <c r="G1156" s="189" t="s">
        <v>1721</v>
      </c>
      <c r="H1156" s="191" t="n">
        <v>46069</v>
      </c>
      <c r="I1156" s="189" t="s">
        <v>113</v>
      </c>
      <c r="J1156" s="189" t="s">
        <v>128</v>
      </c>
      <c r="K1156" s="189" t="s">
        <v>245</v>
      </c>
      <c r="L1156" s="189" t="s">
        <v>114</v>
      </c>
      <c r="M1156" s="189" t="s">
        <v>248</v>
      </c>
      <c r="N1156" s="189" t="s">
        <v>757</v>
      </c>
      <c r="O1156" s="189" t="s">
        <v>172</v>
      </c>
      <c r="P1156" s="189" t="s">
        <v>111</v>
      </c>
      <c r="Q1156" s="189" t="s">
        <v>112</v>
      </c>
      <c r="R1156" s="189" t="s">
        <v>22</v>
      </c>
      <c r="S1156" s="189" t="s">
        <v>152</v>
      </c>
      <c r="T1156" s="189" t="s">
        <v>228</v>
      </c>
      <c r="V1156" s="189" t="s">
        <v>123</v>
      </c>
      <c r="W1156" s="189" t="s">
        <v>124</v>
      </c>
      <c r="X1156" s="189" t="s">
        <v>271</v>
      </c>
      <c r="Y1156" s="189" t="s">
        <v>2113</v>
      </c>
      <c r="Z1156" s="0" t="n">
        <v>1</v>
      </c>
      <c r="AA1156" s="189" t="s">
        <v>122</v>
      </c>
    </row>
    <row r="1157" customFormat="false" ht="15" hidden="false" customHeight="false" outlineLevel="0" collapsed="false">
      <c r="A1157" s="0" t="n">
        <v>245</v>
      </c>
      <c r="B1157" s="191" t="n">
        <v>46065.168556808</v>
      </c>
      <c r="C1157" s="191" t="n">
        <v>46065.1709989376</v>
      </c>
      <c r="D1157" s="189" t="s">
        <v>1723</v>
      </c>
      <c r="E1157" s="189" t="s">
        <v>1724</v>
      </c>
      <c r="F1157" s="189" t="s">
        <v>1724</v>
      </c>
      <c r="G1157" s="189" t="s">
        <v>1725</v>
      </c>
      <c r="H1157" s="191" t="n">
        <v>46056</v>
      </c>
      <c r="I1157" s="189" t="s">
        <v>113</v>
      </c>
      <c r="J1157" s="189" t="s">
        <v>128</v>
      </c>
      <c r="K1157" s="189" t="s">
        <v>196</v>
      </c>
      <c r="L1157" s="189" t="s">
        <v>431</v>
      </c>
      <c r="M1157" s="189" t="s">
        <v>130</v>
      </c>
      <c r="N1157" s="189" t="s">
        <v>280</v>
      </c>
      <c r="O1157" s="189" t="s">
        <v>244</v>
      </c>
      <c r="P1157" s="189" t="s">
        <v>111</v>
      </c>
      <c r="Q1157" s="189" t="s">
        <v>112</v>
      </c>
      <c r="R1157" s="189" t="s">
        <v>22</v>
      </c>
      <c r="S1157" s="189" t="s">
        <v>227</v>
      </c>
      <c r="T1157" s="189" t="s">
        <v>264</v>
      </c>
      <c r="U1157" s="189" t="s">
        <v>1129</v>
      </c>
      <c r="V1157" s="189" t="s">
        <v>123</v>
      </c>
      <c r="W1157" s="189" t="s">
        <v>124</v>
      </c>
      <c r="X1157" s="189" t="s">
        <v>271</v>
      </c>
      <c r="Y1157" s="189" t="s">
        <v>2108</v>
      </c>
      <c r="Z1157" s="0" t="n">
        <v>1</v>
      </c>
      <c r="AA1157" s="189" t="s">
        <v>2158</v>
      </c>
    </row>
    <row r="1158" customFormat="false" ht="15" hidden="false" customHeight="false" outlineLevel="0" collapsed="false">
      <c r="A1158" s="0" t="n">
        <v>245</v>
      </c>
      <c r="B1158" s="191" t="n">
        <v>46065.168556808</v>
      </c>
      <c r="C1158" s="191" t="n">
        <v>46065.1709989376</v>
      </c>
      <c r="D1158" s="189" t="s">
        <v>1723</v>
      </c>
      <c r="E1158" s="189" t="s">
        <v>1724</v>
      </c>
      <c r="F1158" s="189" t="s">
        <v>1724</v>
      </c>
      <c r="G1158" s="189" t="s">
        <v>1725</v>
      </c>
      <c r="H1158" s="191" t="n">
        <v>46056</v>
      </c>
      <c r="I1158" s="189" t="s">
        <v>113</v>
      </c>
      <c r="J1158" s="189" t="s">
        <v>128</v>
      </c>
      <c r="K1158" s="189" t="s">
        <v>196</v>
      </c>
      <c r="L1158" s="189" t="s">
        <v>431</v>
      </c>
      <c r="M1158" s="189" t="s">
        <v>130</v>
      </c>
      <c r="N1158" s="189" t="s">
        <v>280</v>
      </c>
      <c r="O1158" s="189" t="s">
        <v>244</v>
      </c>
      <c r="P1158" s="189" t="s">
        <v>111</v>
      </c>
      <c r="Q1158" s="189" t="s">
        <v>112</v>
      </c>
      <c r="R1158" s="189" t="s">
        <v>22</v>
      </c>
      <c r="S1158" s="189" t="s">
        <v>227</v>
      </c>
      <c r="T1158" s="189" t="s">
        <v>264</v>
      </c>
      <c r="U1158" s="189" t="s">
        <v>1129</v>
      </c>
      <c r="V1158" s="189" t="s">
        <v>123</v>
      </c>
      <c r="W1158" s="189" t="s">
        <v>124</v>
      </c>
      <c r="X1158" s="189" t="s">
        <v>271</v>
      </c>
      <c r="Y1158" s="189" t="s">
        <v>2110</v>
      </c>
      <c r="Z1158" s="0" t="n">
        <v>1</v>
      </c>
      <c r="AA1158" s="189" t="s">
        <v>2311</v>
      </c>
    </row>
    <row r="1159" customFormat="false" ht="15" hidden="false" customHeight="false" outlineLevel="0" collapsed="false">
      <c r="A1159" s="0" t="n">
        <v>245</v>
      </c>
      <c r="B1159" s="191" t="n">
        <v>46065.168556808</v>
      </c>
      <c r="C1159" s="191" t="n">
        <v>46065.1709989376</v>
      </c>
      <c r="D1159" s="189" t="s">
        <v>1723</v>
      </c>
      <c r="E1159" s="189" t="s">
        <v>1724</v>
      </c>
      <c r="F1159" s="189" t="s">
        <v>1724</v>
      </c>
      <c r="G1159" s="189" t="s">
        <v>1725</v>
      </c>
      <c r="H1159" s="191" t="n">
        <v>46056</v>
      </c>
      <c r="I1159" s="189" t="s">
        <v>113</v>
      </c>
      <c r="J1159" s="189" t="s">
        <v>128</v>
      </c>
      <c r="K1159" s="189" t="s">
        <v>196</v>
      </c>
      <c r="L1159" s="189" t="s">
        <v>431</v>
      </c>
      <c r="M1159" s="189" t="s">
        <v>130</v>
      </c>
      <c r="N1159" s="189" t="s">
        <v>280</v>
      </c>
      <c r="O1159" s="189" t="s">
        <v>244</v>
      </c>
      <c r="P1159" s="189" t="s">
        <v>111</v>
      </c>
      <c r="Q1159" s="189" t="s">
        <v>112</v>
      </c>
      <c r="R1159" s="189" t="s">
        <v>22</v>
      </c>
      <c r="S1159" s="189" t="s">
        <v>227</v>
      </c>
      <c r="T1159" s="189" t="s">
        <v>264</v>
      </c>
      <c r="U1159" s="189" t="s">
        <v>1129</v>
      </c>
      <c r="V1159" s="189" t="s">
        <v>123</v>
      </c>
      <c r="W1159" s="189" t="s">
        <v>124</v>
      </c>
      <c r="X1159" s="189" t="s">
        <v>271</v>
      </c>
      <c r="Y1159" s="189" t="s">
        <v>2110</v>
      </c>
      <c r="Z1159" s="0" t="n">
        <v>2</v>
      </c>
      <c r="AA1159" s="189" t="s">
        <v>2161</v>
      </c>
    </row>
    <row r="1160" customFormat="false" ht="15" hidden="false" customHeight="false" outlineLevel="0" collapsed="false">
      <c r="A1160" s="0" t="n">
        <v>245</v>
      </c>
      <c r="B1160" s="191" t="n">
        <v>46065.168556808</v>
      </c>
      <c r="C1160" s="191" t="n">
        <v>46065.1709989376</v>
      </c>
      <c r="D1160" s="189" t="s">
        <v>1723</v>
      </c>
      <c r="E1160" s="189" t="s">
        <v>1724</v>
      </c>
      <c r="F1160" s="189" t="s">
        <v>1724</v>
      </c>
      <c r="G1160" s="189" t="s">
        <v>1725</v>
      </c>
      <c r="H1160" s="191" t="n">
        <v>46056</v>
      </c>
      <c r="I1160" s="189" t="s">
        <v>113</v>
      </c>
      <c r="J1160" s="189" t="s">
        <v>128</v>
      </c>
      <c r="K1160" s="189" t="s">
        <v>196</v>
      </c>
      <c r="L1160" s="189" t="s">
        <v>431</v>
      </c>
      <c r="M1160" s="189" t="s">
        <v>130</v>
      </c>
      <c r="N1160" s="189" t="s">
        <v>280</v>
      </c>
      <c r="O1160" s="189" t="s">
        <v>244</v>
      </c>
      <c r="P1160" s="189" t="s">
        <v>111</v>
      </c>
      <c r="Q1160" s="189" t="s">
        <v>112</v>
      </c>
      <c r="R1160" s="189" t="s">
        <v>22</v>
      </c>
      <c r="S1160" s="189" t="s">
        <v>227</v>
      </c>
      <c r="T1160" s="189" t="s">
        <v>264</v>
      </c>
      <c r="U1160" s="189" t="s">
        <v>1129</v>
      </c>
      <c r="V1160" s="189" t="s">
        <v>123</v>
      </c>
      <c r="W1160" s="189" t="s">
        <v>124</v>
      </c>
      <c r="X1160" s="189" t="s">
        <v>271</v>
      </c>
      <c r="Y1160" s="189" t="s">
        <v>2113</v>
      </c>
      <c r="Z1160" s="0" t="n">
        <v>1</v>
      </c>
      <c r="AA1160" s="189" t="s">
        <v>2163</v>
      </c>
    </row>
    <row r="1161" customFormat="false" ht="15" hidden="false" customHeight="false" outlineLevel="0" collapsed="false">
      <c r="A1161" s="0" t="n">
        <v>245</v>
      </c>
      <c r="B1161" s="191" t="n">
        <v>46065.168556808</v>
      </c>
      <c r="C1161" s="191" t="n">
        <v>46065.1709989376</v>
      </c>
      <c r="D1161" s="189" t="s">
        <v>1723</v>
      </c>
      <c r="E1161" s="189" t="s">
        <v>1724</v>
      </c>
      <c r="F1161" s="189" t="s">
        <v>1724</v>
      </c>
      <c r="G1161" s="189" t="s">
        <v>1725</v>
      </c>
      <c r="H1161" s="191" t="n">
        <v>46056</v>
      </c>
      <c r="I1161" s="189" t="s">
        <v>113</v>
      </c>
      <c r="J1161" s="189" t="s">
        <v>128</v>
      </c>
      <c r="K1161" s="189" t="s">
        <v>196</v>
      </c>
      <c r="L1161" s="189" t="s">
        <v>431</v>
      </c>
      <c r="M1161" s="189" t="s">
        <v>130</v>
      </c>
      <c r="N1161" s="189" t="s">
        <v>280</v>
      </c>
      <c r="O1161" s="189" t="s">
        <v>244</v>
      </c>
      <c r="P1161" s="189" t="s">
        <v>111</v>
      </c>
      <c r="Q1161" s="189" t="s">
        <v>112</v>
      </c>
      <c r="R1161" s="189" t="s">
        <v>22</v>
      </c>
      <c r="S1161" s="189" t="s">
        <v>227</v>
      </c>
      <c r="T1161" s="189" t="s">
        <v>264</v>
      </c>
      <c r="U1161" s="189" t="s">
        <v>1129</v>
      </c>
      <c r="V1161" s="189" t="s">
        <v>123</v>
      </c>
      <c r="W1161" s="189" t="s">
        <v>124</v>
      </c>
      <c r="X1161" s="189" t="s">
        <v>271</v>
      </c>
      <c r="Y1161" s="189" t="s">
        <v>2113</v>
      </c>
      <c r="Z1161" s="0" t="n">
        <v>2</v>
      </c>
      <c r="AA1161" s="189" t="s">
        <v>2162</v>
      </c>
    </row>
    <row r="1162" customFormat="false" ht="15" hidden="false" customHeight="false" outlineLevel="0" collapsed="false">
      <c r="A1162" s="0" t="n">
        <v>246</v>
      </c>
      <c r="B1162" s="191" t="n">
        <v>46113.5068978957</v>
      </c>
      <c r="C1162" s="191" t="n">
        <v>46113.5156015994</v>
      </c>
      <c r="D1162" s="189" t="s">
        <v>1728</v>
      </c>
      <c r="E1162" s="189" t="s">
        <v>1729</v>
      </c>
      <c r="F1162" s="189" t="s">
        <v>1729</v>
      </c>
      <c r="G1162" s="189" t="s">
        <v>1730</v>
      </c>
      <c r="H1162" s="191" t="n">
        <v>46093</v>
      </c>
      <c r="I1162" s="189" t="s">
        <v>305</v>
      </c>
      <c r="J1162" s="189" t="s">
        <v>108</v>
      </c>
      <c r="K1162" s="189" t="s">
        <v>173</v>
      </c>
      <c r="L1162" s="189" t="s">
        <v>233</v>
      </c>
      <c r="M1162" s="189" t="s">
        <v>566</v>
      </c>
      <c r="N1162" s="189" t="s">
        <v>775</v>
      </c>
      <c r="O1162" s="189" t="s">
        <v>244</v>
      </c>
      <c r="P1162" s="189" t="s">
        <v>111</v>
      </c>
      <c r="Q1162" s="189" t="s">
        <v>112</v>
      </c>
      <c r="R1162" s="189" t="s">
        <v>24</v>
      </c>
      <c r="S1162" s="189" t="s">
        <v>152</v>
      </c>
      <c r="T1162" s="189" t="s">
        <v>121</v>
      </c>
      <c r="U1162" s="189" t="s">
        <v>122</v>
      </c>
      <c r="V1162" s="189" t="s">
        <v>123</v>
      </c>
      <c r="W1162" s="189" t="s">
        <v>124</v>
      </c>
      <c r="X1162" s="189" t="s">
        <v>223</v>
      </c>
      <c r="Y1162" s="189" t="s">
        <v>2108</v>
      </c>
      <c r="Z1162" s="0" t="n">
        <v>1</v>
      </c>
      <c r="AA1162" s="189" t="s">
        <v>2141</v>
      </c>
    </row>
    <row r="1163" customFormat="false" ht="15" hidden="false" customHeight="false" outlineLevel="0" collapsed="false">
      <c r="A1163" s="0" t="n">
        <v>246</v>
      </c>
      <c r="B1163" s="191" t="n">
        <v>46113.5068978957</v>
      </c>
      <c r="C1163" s="191" t="n">
        <v>46113.5156015994</v>
      </c>
      <c r="D1163" s="189" t="s">
        <v>1728</v>
      </c>
      <c r="E1163" s="189" t="s">
        <v>1729</v>
      </c>
      <c r="F1163" s="189" t="s">
        <v>1729</v>
      </c>
      <c r="G1163" s="189" t="s">
        <v>1730</v>
      </c>
      <c r="H1163" s="191" t="n">
        <v>46093</v>
      </c>
      <c r="I1163" s="189" t="s">
        <v>305</v>
      </c>
      <c r="J1163" s="189" t="s">
        <v>108</v>
      </c>
      <c r="K1163" s="189" t="s">
        <v>173</v>
      </c>
      <c r="L1163" s="189" t="s">
        <v>233</v>
      </c>
      <c r="M1163" s="189" t="s">
        <v>566</v>
      </c>
      <c r="N1163" s="189" t="s">
        <v>775</v>
      </c>
      <c r="O1163" s="189" t="s">
        <v>244</v>
      </c>
      <c r="P1163" s="189" t="s">
        <v>111</v>
      </c>
      <c r="Q1163" s="189" t="s">
        <v>112</v>
      </c>
      <c r="R1163" s="189" t="s">
        <v>24</v>
      </c>
      <c r="S1163" s="189" t="s">
        <v>152</v>
      </c>
      <c r="T1163" s="189" t="s">
        <v>121</v>
      </c>
      <c r="U1163" s="189" t="s">
        <v>122</v>
      </c>
      <c r="V1163" s="189" t="s">
        <v>123</v>
      </c>
      <c r="W1163" s="189" t="s">
        <v>124</v>
      </c>
      <c r="X1163" s="189" t="s">
        <v>223</v>
      </c>
      <c r="Y1163" s="189" t="s">
        <v>2110</v>
      </c>
      <c r="Z1163" s="0" t="n">
        <v>1</v>
      </c>
      <c r="AA1163" s="189" t="s">
        <v>2144</v>
      </c>
    </row>
    <row r="1164" customFormat="false" ht="15" hidden="false" customHeight="false" outlineLevel="0" collapsed="false">
      <c r="A1164" s="0" t="n">
        <v>246</v>
      </c>
      <c r="B1164" s="191" t="n">
        <v>46113.5068978957</v>
      </c>
      <c r="C1164" s="191" t="n">
        <v>46113.5156015994</v>
      </c>
      <c r="D1164" s="189" t="s">
        <v>1728</v>
      </c>
      <c r="E1164" s="189" t="s">
        <v>1729</v>
      </c>
      <c r="F1164" s="189" t="s">
        <v>1729</v>
      </c>
      <c r="G1164" s="189" t="s">
        <v>1730</v>
      </c>
      <c r="H1164" s="191" t="n">
        <v>46093</v>
      </c>
      <c r="I1164" s="189" t="s">
        <v>305</v>
      </c>
      <c r="J1164" s="189" t="s">
        <v>108</v>
      </c>
      <c r="K1164" s="189" t="s">
        <v>173</v>
      </c>
      <c r="L1164" s="189" t="s">
        <v>233</v>
      </c>
      <c r="M1164" s="189" t="s">
        <v>566</v>
      </c>
      <c r="N1164" s="189" t="s">
        <v>775</v>
      </c>
      <c r="O1164" s="189" t="s">
        <v>244</v>
      </c>
      <c r="P1164" s="189" t="s">
        <v>111</v>
      </c>
      <c r="Q1164" s="189" t="s">
        <v>112</v>
      </c>
      <c r="R1164" s="189" t="s">
        <v>24</v>
      </c>
      <c r="S1164" s="189" t="s">
        <v>152</v>
      </c>
      <c r="T1164" s="189" t="s">
        <v>121</v>
      </c>
      <c r="U1164" s="189" t="s">
        <v>122</v>
      </c>
      <c r="V1164" s="189" t="s">
        <v>123</v>
      </c>
      <c r="W1164" s="189" t="s">
        <v>124</v>
      </c>
      <c r="X1164" s="189" t="s">
        <v>223</v>
      </c>
      <c r="Y1164" s="189" t="s">
        <v>2113</v>
      </c>
      <c r="Z1164" s="0" t="n">
        <v>1</v>
      </c>
      <c r="AA1164" s="189" t="s">
        <v>2194</v>
      </c>
    </row>
    <row r="1165" customFormat="false" ht="15" hidden="false" customHeight="false" outlineLevel="0" collapsed="false">
      <c r="A1165" s="0" t="n">
        <v>246</v>
      </c>
      <c r="B1165" s="191" t="n">
        <v>46113.5068978957</v>
      </c>
      <c r="C1165" s="191" t="n">
        <v>46113.5156015994</v>
      </c>
      <c r="D1165" s="189" t="s">
        <v>1728</v>
      </c>
      <c r="E1165" s="189" t="s">
        <v>1729</v>
      </c>
      <c r="F1165" s="189" t="s">
        <v>1729</v>
      </c>
      <c r="G1165" s="189" t="s">
        <v>1730</v>
      </c>
      <c r="H1165" s="191" t="n">
        <v>46093</v>
      </c>
      <c r="I1165" s="189" t="s">
        <v>305</v>
      </c>
      <c r="J1165" s="189" t="s">
        <v>108</v>
      </c>
      <c r="K1165" s="189" t="s">
        <v>173</v>
      </c>
      <c r="L1165" s="189" t="s">
        <v>233</v>
      </c>
      <c r="M1165" s="189" t="s">
        <v>566</v>
      </c>
      <c r="N1165" s="189" t="s">
        <v>775</v>
      </c>
      <c r="O1165" s="189" t="s">
        <v>244</v>
      </c>
      <c r="P1165" s="189" t="s">
        <v>111</v>
      </c>
      <c r="Q1165" s="189" t="s">
        <v>112</v>
      </c>
      <c r="R1165" s="189" t="s">
        <v>24</v>
      </c>
      <c r="S1165" s="189" t="s">
        <v>152</v>
      </c>
      <c r="T1165" s="189" t="s">
        <v>121</v>
      </c>
      <c r="U1165" s="189" t="s">
        <v>122</v>
      </c>
      <c r="V1165" s="189" t="s">
        <v>123</v>
      </c>
      <c r="W1165" s="189" t="s">
        <v>124</v>
      </c>
      <c r="X1165" s="189" t="s">
        <v>223</v>
      </c>
      <c r="Y1165" s="189" t="s">
        <v>2113</v>
      </c>
      <c r="Z1165" s="0" t="n">
        <v>2</v>
      </c>
      <c r="AA1165" s="189" t="s">
        <v>2150</v>
      </c>
    </row>
    <row r="1166" customFormat="false" ht="15" hidden="false" customHeight="false" outlineLevel="0" collapsed="false">
      <c r="A1166" s="0" t="n">
        <v>247</v>
      </c>
      <c r="B1166" s="191" t="n">
        <v>46141.2790514299</v>
      </c>
      <c r="C1166" s="191" t="n">
        <v>46141.2865282818</v>
      </c>
      <c r="D1166" s="189" t="s">
        <v>1732</v>
      </c>
      <c r="E1166" s="189" t="s">
        <v>1733</v>
      </c>
      <c r="F1166" s="189" t="s">
        <v>1734</v>
      </c>
      <c r="G1166" s="189" t="s">
        <v>1735</v>
      </c>
      <c r="H1166" s="191" t="n">
        <v>46138</v>
      </c>
      <c r="I1166" s="189" t="s">
        <v>113</v>
      </c>
      <c r="J1166" s="189" t="s">
        <v>108</v>
      </c>
      <c r="K1166" s="189" t="s">
        <v>1711</v>
      </c>
      <c r="L1166" s="189" t="s">
        <v>110</v>
      </c>
      <c r="M1166" s="189" t="s">
        <v>686</v>
      </c>
      <c r="N1166" s="189" t="s">
        <v>1094</v>
      </c>
      <c r="O1166" s="189" t="s">
        <v>244</v>
      </c>
      <c r="P1166" s="189" t="s">
        <v>111</v>
      </c>
      <c r="Q1166" s="189" t="s">
        <v>247</v>
      </c>
      <c r="R1166" s="189" t="s">
        <v>25</v>
      </c>
      <c r="S1166" s="189" t="s">
        <v>120</v>
      </c>
      <c r="T1166" s="189" t="s">
        <v>121</v>
      </c>
      <c r="U1166" s="189" t="s">
        <v>1557</v>
      </c>
      <c r="V1166" s="189" t="s">
        <v>123</v>
      </c>
      <c r="W1166" s="189" t="s">
        <v>124</v>
      </c>
      <c r="X1166" s="189" t="s">
        <v>327</v>
      </c>
      <c r="Y1166" s="189" t="s">
        <v>2108</v>
      </c>
      <c r="Z1166" s="0" t="n">
        <v>1</v>
      </c>
      <c r="AA1166" s="189" t="s">
        <v>2125</v>
      </c>
    </row>
    <row r="1167" customFormat="false" ht="15" hidden="false" customHeight="false" outlineLevel="0" collapsed="false">
      <c r="A1167" s="0" t="n">
        <v>247</v>
      </c>
      <c r="B1167" s="191" t="n">
        <v>46141.2790514299</v>
      </c>
      <c r="C1167" s="191" t="n">
        <v>46141.2865282818</v>
      </c>
      <c r="D1167" s="189" t="s">
        <v>1732</v>
      </c>
      <c r="E1167" s="189" t="s">
        <v>1733</v>
      </c>
      <c r="F1167" s="189" t="s">
        <v>1734</v>
      </c>
      <c r="G1167" s="189" t="s">
        <v>1735</v>
      </c>
      <c r="H1167" s="191" t="n">
        <v>46138</v>
      </c>
      <c r="I1167" s="189" t="s">
        <v>113</v>
      </c>
      <c r="J1167" s="189" t="s">
        <v>108</v>
      </c>
      <c r="K1167" s="189" t="s">
        <v>1711</v>
      </c>
      <c r="L1167" s="189" t="s">
        <v>110</v>
      </c>
      <c r="M1167" s="189" t="s">
        <v>686</v>
      </c>
      <c r="N1167" s="189" t="s">
        <v>1094</v>
      </c>
      <c r="O1167" s="189" t="s">
        <v>244</v>
      </c>
      <c r="P1167" s="189" t="s">
        <v>111</v>
      </c>
      <c r="Q1167" s="189" t="s">
        <v>247</v>
      </c>
      <c r="R1167" s="189" t="s">
        <v>25</v>
      </c>
      <c r="S1167" s="189" t="s">
        <v>120</v>
      </c>
      <c r="T1167" s="189" t="s">
        <v>121</v>
      </c>
      <c r="U1167" s="189" t="s">
        <v>1557</v>
      </c>
      <c r="V1167" s="189" t="s">
        <v>123</v>
      </c>
      <c r="W1167" s="189" t="s">
        <v>124</v>
      </c>
      <c r="X1167" s="189" t="s">
        <v>327</v>
      </c>
      <c r="Y1167" s="189" t="s">
        <v>2110</v>
      </c>
      <c r="Z1167" s="0" t="n">
        <v>1</v>
      </c>
      <c r="AA1167" s="189" t="s">
        <v>2112</v>
      </c>
    </row>
    <row r="1168" customFormat="false" ht="15" hidden="false" customHeight="false" outlineLevel="0" collapsed="false">
      <c r="A1168" s="0" t="n">
        <v>247</v>
      </c>
      <c r="B1168" s="191" t="n">
        <v>46141.2790514299</v>
      </c>
      <c r="C1168" s="191" t="n">
        <v>46141.2865282818</v>
      </c>
      <c r="D1168" s="189" t="s">
        <v>1732</v>
      </c>
      <c r="E1168" s="189" t="s">
        <v>1733</v>
      </c>
      <c r="F1168" s="189" t="s">
        <v>1734</v>
      </c>
      <c r="G1168" s="189" t="s">
        <v>1735</v>
      </c>
      <c r="H1168" s="191" t="n">
        <v>46138</v>
      </c>
      <c r="I1168" s="189" t="s">
        <v>113</v>
      </c>
      <c r="J1168" s="189" t="s">
        <v>108</v>
      </c>
      <c r="K1168" s="189" t="s">
        <v>1711</v>
      </c>
      <c r="L1168" s="189" t="s">
        <v>110</v>
      </c>
      <c r="M1168" s="189" t="s">
        <v>686</v>
      </c>
      <c r="N1168" s="189" t="s">
        <v>1094</v>
      </c>
      <c r="O1168" s="189" t="s">
        <v>244</v>
      </c>
      <c r="P1168" s="189" t="s">
        <v>111</v>
      </c>
      <c r="Q1168" s="189" t="s">
        <v>247</v>
      </c>
      <c r="R1168" s="189" t="s">
        <v>25</v>
      </c>
      <c r="S1168" s="189" t="s">
        <v>120</v>
      </c>
      <c r="T1168" s="189" t="s">
        <v>121</v>
      </c>
      <c r="U1168" s="189" t="s">
        <v>1557</v>
      </c>
      <c r="V1168" s="189" t="s">
        <v>123</v>
      </c>
      <c r="W1168" s="189" t="s">
        <v>124</v>
      </c>
      <c r="X1168" s="189" t="s">
        <v>327</v>
      </c>
      <c r="Y1168" s="189" t="s">
        <v>2110</v>
      </c>
      <c r="Z1168" s="0" t="n">
        <v>2</v>
      </c>
      <c r="AA1168" s="189" t="s">
        <v>122</v>
      </c>
    </row>
    <row r="1169" customFormat="false" ht="15" hidden="false" customHeight="false" outlineLevel="0" collapsed="false">
      <c r="A1169" s="0" t="n">
        <v>247</v>
      </c>
      <c r="B1169" s="191" t="n">
        <v>46141.2790514299</v>
      </c>
      <c r="C1169" s="191" t="n">
        <v>46141.2865282818</v>
      </c>
      <c r="D1169" s="189" t="s">
        <v>1732</v>
      </c>
      <c r="E1169" s="189" t="s">
        <v>1733</v>
      </c>
      <c r="F1169" s="189" t="s">
        <v>1734</v>
      </c>
      <c r="G1169" s="189" t="s">
        <v>1735</v>
      </c>
      <c r="H1169" s="191" t="n">
        <v>46138</v>
      </c>
      <c r="I1169" s="189" t="s">
        <v>113</v>
      </c>
      <c r="J1169" s="189" t="s">
        <v>108</v>
      </c>
      <c r="K1169" s="189" t="s">
        <v>1711</v>
      </c>
      <c r="L1169" s="189" t="s">
        <v>110</v>
      </c>
      <c r="M1169" s="189" t="s">
        <v>686</v>
      </c>
      <c r="N1169" s="189" t="s">
        <v>1094</v>
      </c>
      <c r="O1169" s="189" t="s">
        <v>244</v>
      </c>
      <c r="P1169" s="189" t="s">
        <v>111</v>
      </c>
      <c r="Q1169" s="189" t="s">
        <v>247</v>
      </c>
      <c r="R1169" s="189" t="s">
        <v>25</v>
      </c>
      <c r="S1169" s="189" t="s">
        <v>120</v>
      </c>
      <c r="T1169" s="189" t="s">
        <v>121</v>
      </c>
      <c r="U1169" s="189" t="s">
        <v>1557</v>
      </c>
      <c r="V1169" s="189" t="s">
        <v>123</v>
      </c>
      <c r="W1169" s="189" t="s">
        <v>124</v>
      </c>
      <c r="X1169" s="189" t="s">
        <v>327</v>
      </c>
      <c r="Y1169" s="189" t="s">
        <v>2113</v>
      </c>
      <c r="Z1169" s="0" t="n">
        <v>1</v>
      </c>
      <c r="AA1169" s="189" t="s">
        <v>2114</v>
      </c>
    </row>
    <row r="1170" customFormat="false" ht="15" hidden="false" customHeight="false" outlineLevel="0" collapsed="false">
      <c r="A1170" s="0" t="n">
        <v>247</v>
      </c>
      <c r="B1170" s="191" t="n">
        <v>46141.2790514299</v>
      </c>
      <c r="C1170" s="191" t="n">
        <v>46141.2865282818</v>
      </c>
      <c r="D1170" s="189" t="s">
        <v>1732</v>
      </c>
      <c r="E1170" s="189" t="s">
        <v>1733</v>
      </c>
      <c r="F1170" s="189" t="s">
        <v>1734</v>
      </c>
      <c r="G1170" s="189" t="s">
        <v>1735</v>
      </c>
      <c r="H1170" s="191" t="n">
        <v>46138</v>
      </c>
      <c r="I1170" s="189" t="s">
        <v>113</v>
      </c>
      <c r="J1170" s="189" t="s">
        <v>108</v>
      </c>
      <c r="K1170" s="189" t="s">
        <v>1711</v>
      </c>
      <c r="L1170" s="189" t="s">
        <v>110</v>
      </c>
      <c r="M1170" s="189" t="s">
        <v>686</v>
      </c>
      <c r="N1170" s="189" t="s">
        <v>1094</v>
      </c>
      <c r="O1170" s="189" t="s">
        <v>244</v>
      </c>
      <c r="P1170" s="189" t="s">
        <v>111</v>
      </c>
      <c r="Q1170" s="189" t="s">
        <v>247</v>
      </c>
      <c r="R1170" s="189" t="s">
        <v>25</v>
      </c>
      <c r="S1170" s="189" t="s">
        <v>120</v>
      </c>
      <c r="T1170" s="189" t="s">
        <v>121</v>
      </c>
      <c r="U1170" s="189" t="s">
        <v>1557</v>
      </c>
      <c r="V1170" s="189" t="s">
        <v>123</v>
      </c>
      <c r="W1170" s="189" t="s">
        <v>124</v>
      </c>
      <c r="X1170" s="189" t="s">
        <v>327</v>
      </c>
      <c r="Y1170" s="189" t="s">
        <v>2113</v>
      </c>
      <c r="Z1170" s="0" t="n">
        <v>2</v>
      </c>
      <c r="AA1170" s="189" t="s">
        <v>2127</v>
      </c>
    </row>
    <row r="1171" customFormat="false" ht="68.65" hidden="false" customHeight="false" outlineLevel="0" collapsed="false">
      <c r="A1171" s="0" t="n">
        <v>248</v>
      </c>
      <c r="B1171" s="191" t="n">
        <v>46126.9716729835</v>
      </c>
      <c r="C1171" s="191" t="n">
        <v>46126.9850178909</v>
      </c>
      <c r="D1171" s="189" t="s">
        <v>1738</v>
      </c>
      <c r="E1171" s="189" t="s">
        <v>1739</v>
      </c>
      <c r="F1171" s="189" t="s">
        <v>1739</v>
      </c>
      <c r="G1171" s="189" t="s">
        <v>1740</v>
      </c>
      <c r="H1171" s="191" t="n">
        <v>46118</v>
      </c>
      <c r="I1171" s="189" t="s">
        <v>305</v>
      </c>
      <c r="J1171" s="189" t="s">
        <v>108</v>
      </c>
      <c r="K1171" s="189" t="s">
        <v>196</v>
      </c>
      <c r="L1171" s="189" t="s">
        <v>246</v>
      </c>
      <c r="M1171" s="189" t="s">
        <v>258</v>
      </c>
      <c r="N1171" s="189" t="s">
        <v>297</v>
      </c>
      <c r="O1171" s="189" t="s">
        <v>107</v>
      </c>
      <c r="P1171" s="189" t="s">
        <v>111</v>
      </c>
      <c r="Q1171" s="189" t="s">
        <v>112</v>
      </c>
      <c r="R1171" s="189" t="s">
        <v>25</v>
      </c>
      <c r="S1171" s="189" t="s">
        <v>120</v>
      </c>
      <c r="T1171" s="189" t="s">
        <v>121</v>
      </c>
      <c r="U1171" s="132" t="s">
        <v>641</v>
      </c>
      <c r="V1171" s="189" t="s">
        <v>123</v>
      </c>
      <c r="W1171" s="189" t="s">
        <v>139</v>
      </c>
      <c r="X1171" s="189" t="s">
        <v>1712</v>
      </c>
      <c r="Y1171" s="189" t="s">
        <v>2108</v>
      </c>
      <c r="Z1171" s="0" t="n">
        <v>1</v>
      </c>
      <c r="AA1171" s="189" t="s">
        <v>2350</v>
      </c>
    </row>
    <row r="1172" customFormat="false" ht="68.65" hidden="false" customHeight="false" outlineLevel="0" collapsed="false">
      <c r="A1172" s="0" t="n">
        <v>248</v>
      </c>
      <c r="B1172" s="191" t="n">
        <v>46126.9716729835</v>
      </c>
      <c r="C1172" s="191" t="n">
        <v>46126.9850178909</v>
      </c>
      <c r="D1172" s="189" t="s">
        <v>1738</v>
      </c>
      <c r="E1172" s="189" t="s">
        <v>1739</v>
      </c>
      <c r="F1172" s="189" t="s">
        <v>1739</v>
      </c>
      <c r="G1172" s="189" t="s">
        <v>1740</v>
      </c>
      <c r="H1172" s="191" t="n">
        <v>46118</v>
      </c>
      <c r="I1172" s="189" t="s">
        <v>305</v>
      </c>
      <c r="J1172" s="189" t="s">
        <v>108</v>
      </c>
      <c r="K1172" s="189" t="s">
        <v>196</v>
      </c>
      <c r="L1172" s="189" t="s">
        <v>246</v>
      </c>
      <c r="M1172" s="189" t="s">
        <v>258</v>
      </c>
      <c r="N1172" s="189" t="s">
        <v>297</v>
      </c>
      <c r="O1172" s="189" t="s">
        <v>107</v>
      </c>
      <c r="P1172" s="189" t="s">
        <v>111</v>
      </c>
      <c r="Q1172" s="189" t="s">
        <v>112</v>
      </c>
      <c r="R1172" s="189" t="s">
        <v>25</v>
      </c>
      <c r="S1172" s="189" t="s">
        <v>120</v>
      </c>
      <c r="T1172" s="189" t="s">
        <v>121</v>
      </c>
      <c r="U1172" s="132" t="s">
        <v>641</v>
      </c>
      <c r="V1172" s="189" t="s">
        <v>123</v>
      </c>
      <c r="W1172" s="189" t="s">
        <v>139</v>
      </c>
      <c r="X1172" s="189" t="s">
        <v>1712</v>
      </c>
      <c r="Y1172" s="189" t="s">
        <v>2110</v>
      </c>
      <c r="Z1172" s="0" t="n">
        <v>1</v>
      </c>
      <c r="AA1172" s="189" t="s">
        <v>2352</v>
      </c>
    </row>
    <row r="1173" customFormat="false" ht="68.65" hidden="false" customHeight="false" outlineLevel="0" collapsed="false">
      <c r="A1173" s="0" t="n">
        <v>248</v>
      </c>
      <c r="B1173" s="191" t="n">
        <v>46126.9716729835</v>
      </c>
      <c r="C1173" s="191" t="n">
        <v>46126.9850178909</v>
      </c>
      <c r="D1173" s="189" t="s">
        <v>1738</v>
      </c>
      <c r="E1173" s="189" t="s">
        <v>1739</v>
      </c>
      <c r="F1173" s="189" t="s">
        <v>1739</v>
      </c>
      <c r="G1173" s="189" t="s">
        <v>1740</v>
      </c>
      <c r="H1173" s="191" t="n">
        <v>46118</v>
      </c>
      <c r="I1173" s="189" t="s">
        <v>305</v>
      </c>
      <c r="J1173" s="189" t="s">
        <v>108</v>
      </c>
      <c r="K1173" s="189" t="s">
        <v>196</v>
      </c>
      <c r="L1173" s="189" t="s">
        <v>246</v>
      </c>
      <c r="M1173" s="189" t="s">
        <v>258</v>
      </c>
      <c r="N1173" s="189" t="s">
        <v>297</v>
      </c>
      <c r="O1173" s="189" t="s">
        <v>107</v>
      </c>
      <c r="P1173" s="189" t="s">
        <v>111</v>
      </c>
      <c r="Q1173" s="189" t="s">
        <v>112</v>
      </c>
      <c r="R1173" s="189" t="s">
        <v>25</v>
      </c>
      <c r="S1173" s="189" t="s">
        <v>120</v>
      </c>
      <c r="T1173" s="189" t="s">
        <v>121</v>
      </c>
      <c r="U1173" s="132" t="s">
        <v>641</v>
      </c>
      <c r="V1173" s="189" t="s">
        <v>123</v>
      </c>
      <c r="W1173" s="189" t="s">
        <v>139</v>
      </c>
      <c r="X1173" s="189" t="s">
        <v>1712</v>
      </c>
      <c r="Y1173" s="189" t="s">
        <v>2113</v>
      </c>
      <c r="Z1173" s="0" t="n">
        <v>1</v>
      </c>
      <c r="AA1173" s="189" t="s">
        <v>2355</v>
      </c>
    </row>
    <row r="1174" customFormat="false" ht="68.65" hidden="false" customHeight="false" outlineLevel="0" collapsed="false">
      <c r="A1174" s="0" t="n">
        <v>248</v>
      </c>
      <c r="B1174" s="191" t="n">
        <v>46126.9716729835</v>
      </c>
      <c r="C1174" s="191" t="n">
        <v>46126.9850178909</v>
      </c>
      <c r="D1174" s="189" t="s">
        <v>1738</v>
      </c>
      <c r="E1174" s="189" t="s">
        <v>1739</v>
      </c>
      <c r="F1174" s="189" t="s">
        <v>1739</v>
      </c>
      <c r="G1174" s="189" t="s">
        <v>1740</v>
      </c>
      <c r="H1174" s="191" t="n">
        <v>46118</v>
      </c>
      <c r="I1174" s="189" t="s">
        <v>305</v>
      </c>
      <c r="J1174" s="189" t="s">
        <v>108</v>
      </c>
      <c r="K1174" s="189" t="s">
        <v>196</v>
      </c>
      <c r="L1174" s="189" t="s">
        <v>246</v>
      </c>
      <c r="M1174" s="189" t="s">
        <v>258</v>
      </c>
      <c r="N1174" s="189" t="s">
        <v>297</v>
      </c>
      <c r="O1174" s="189" t="s">
        <v>107</v>
      </c>
      <c r="P1174" s="189" t="s">
        <v>111</v>
      </c>
      <c r="Q1174" s="189" t="s">
        <v>112</v>
      </c>
      <c r="R1174" s="189" t="s">
        <v>25</v>
      </c>
      <c r="S1174" s="189" t="s">
        <v>120</v>
      </c>
      <c r="T1174" s="189" t="s">
        <v>121</v>
      </c>
      <c r="U1174" s="132" t="s">
        <v>641</v>
      </c>
      <c r="V1174" s="189" t="s">
        <v>123</v>
      </c>
      <c r="W1174" s="189" t="s">
        <v>139</v>
      </c>
      <c r="X1174" s="189" t="s">
        <v>1712</v>
      </c>
      <c r="Y1174" s="189" t="s">
        <v>2113</v>
      </c>
      <c r="Z1174" s="0" t="n">
        <v>2</v>
      </c>
      <c r="AA1174" s="189" t="s">
        <v>2354</v>
      </c>
    </row>
    <row r="1175" customFormat="false" ht="15" hidden="false" customHeight="false" outlineLevel="0" collapsed="false">
      <c r="A1175" s="0" t="n">
        <v>249</v>
      </c>
      <c r="B1175" s="191" t="n">
        <v>46199.1472808569</v>
      </c>
      <c r="C1175" s="191" t="n">
        <v>46199.1618178939</v>
      </c>
      <c r="D1175" s="189" t="s">
        <v>1744</v>
      </c>
      <c r="E1175" s="189" t="s">
        <v>1745</v>
      </c>
      <c r="F1175" s="189" t="s">
        <v>1746</v>
      </c>
      <c r="G1175" s="189" t="s">
        <v>1747</v>
      </c>
      <c r="H1175" s="191" t="n">
        <v>46185</v>
      </c>
      <c r="I1175" s="189" t="s">
        <v>113</v>
      </c>
      <c r="J1175" s="189" t="s">
        <v>108</v>
      </c>
      <c r="K1175" s="189" t="s">
        <v>364</v>
      </c>
      <c r="L1175" s="189" t="s">
        <v>246</v>
      </c>
      <c r="M1175" s="189" t="s">
        <v>774</v>
      </c>
      <c r="N1175" s="189" t="s">
        <v>422</v>
      </c>
      <c r="O1175" s="189" t="s">
        <v>260</v>
      </c>
      <c r="P1175" s="189" t="s">
        <v>111</v>
      </c>
      <c r="Q1175" s="189" t="s">
        <v>247</v>
      </c>
      <c r="R1175" s="189" t="s">
        <v>22</v>
      </c>
      <c r="S1175" s="189" t="s">
        <v>152</v>
      </c>
      <c r="T1175" s="189" t="s">
        <v>352</v>
      </c>
      <c r="U1175" s="189" t="s">
        <v>1326</v>
      </c>
      <c r="V1175" s="189" t="s">
        <v>167</v>
      </c>
      <c r="W1175" s="189" t="s">
        <v>168</v>
      </c>
      <c r="X1175" s="189" t="s">
        <v>271</v>
      </c>
      <c r="Y1175" s="189" t="s">
        <v>2108</v>
      </c>
      <c r="Z1175" s="0" t="n">
        <v>1</v>
      </c>
      <c r="AA1175" s="189" t="s">
        <v>2274</v>
      </c>
    </row>
    <row r="1176" customFormat="false" ht="15" hidden="false" customHeight="false" outlineLevel="0" collapsed="false">
      <c r="A1176" s="0" t="n">
        <v>249</v>
      </c>
      <c r="B1176" s="191" t="n">
        <v>46199.1472808569</v>
      </c>
      <c r="C1176" s="191" t="n">
        <v>46199.1618178939</v>
      </c>
      <c r="D1176" s="189" t="s">
        <v>1744</v>
      </c>
      <c r="E1176" s="189" t="s">
        <v>1745</v>
      </c>
      <c r="F1176" s="189" t="s">
        <v>1746</v>
      </c>
      <c r="G1176" s="189" t="s">
        <v>1747</v>
      </c>
      <c r="H1176" s="191" t="n">
        <v>46185</v>
      </c>
      <c r="I1176" s="189" t="s">
        <v>113</v>
      </c>
      <c r="J1176" s="189" t="s">
        <v>108</v>
      </c>
      <c r="K1176" s="189" t="s">
        <v>364</v>
      </c>
      <c r="L1176" s="189" t="s">
        <v>246</v>
      </c>
      <c r="M1176" s="189" t="s">
        <v>774</v>
      </c>
      <c r="N1176" s="189" t="s">
        <v>422</v>
      </c>
      <c r="O1176" s="189" t="s">
        <v>260</v>
      </c>
      <c r="P1176" s="189" t="s">
        <v>111</v>
      </c>
      <c r="Q1176" s="189" t="s">
        <v>247</v>
      </c>
      <c r="R1176" s="189" t="s">
        <v>22</v>
      </c>
      <c r="S1176" s="189" t="s">
        <v>152</v>
      </c>
      <c r="T1176" s="189" t="s">
        <v>352</v>
      </c>
      <c r="U1176" s="189" t="s">
        <v>1326</v>
      </c>
      <c r="V1176" s="189" t="s">
        <v>167</v>
      </c>
      <c r="W1176" s="189" t="s">
        <v>168</v>
      </c>
      <c r="X1176" s="189" t="s">
        <v>271</v>
      </c>
      <c r="Y1176" s="189" t="s">
        <v>2108</v>
      </c>
      <c r="Z1176" s="0" t="n">
        <v>2</v>
      </c>
      <c r="AA1176" s="189" t="s">
        <v>2180</v>
      </c>
    </row>
    <row r="1177" customFormat="false" ht="15" hidden="false" customHeight="false" outlineLevel="0" collapsed="false">
      <c r="A1177" s="0" t="n">
        <v>249</v>
      </c>
      <c r="B1177" s="191" t="n">
        <v>46199.1472808569</v>
      </c>
      <c r="C1177" s="191" t="n">
        <v>46199.1618178939</v>
      </c>
      <c r="D1177" s="189" t="s">
        <v>1744</v>
      </c>
      <c r="E1177" s="189" t="s">
        <v>1745</v>
      </c>
      <c r="F1177" s="189" t="s">
        <v>1746</v>
      </c>
      <c r="G1177" s="189" t="s">
        <v>1747</v>
      </c>
      <c r="H1177" s="191" t="n">
        <v>46185</v>
      </c>
      <c r="I1177" s="189" t="s">
        <v>113</v>
      </c>
      <c r="J1177" s="189" t="s">
        <v>108</v>
      </c>
      <c r="K1177" s="189" t="s">
        <v>364</v>
      </c>
      <c r="L1177" s="189" t="s">
        <v>246</v>
      </c>
      <c r="M1177" s="189" t="s">
        <v>774</v>
      </c>
      <c r="N1177" s="189" t="s">
        <v>422</v>
      </c>
      <c r="O1177" s="189" t="s">
        <v>260</v>
      </c>
      <c r="P1177" s="189" t="s">
        <v>111</v>
      </c>
      <c r="Q1177" s="189" t="s">
        <v>247</v>
      </c>
      <c r="R1177" s="189" t="s">
        <v>22</v>
      </c>
      <c r="S1177" s="189" t="s">
        <v>152</v>
      </c>
      <c r="T1177" s="189" t="s">
        <v>352</v>
      </c>
      <c r="U1177" s="189" t="s">
        <v>1326</v>
      </c>
      <c r="V1177" s="189" t="s">
        <v>167</v>
      </c>
      <c r="W1177" s="189" t="s">
        <v>168</v>
      </c>
      <c r="X1177" s="189" t="s">
        <v>271</v>
      </c>
      <c r="Y1177" s="189" t="s">
        <v>2108</v>
      </c>
      <c r="Z1177" s="0" t="n">
        <v>3</v>
      </c>
      <c r="AA1177" s="189" t="s">
        <v>2159</v>
      </c>
    </row>
    <row r="1178" customFormat="false" ht="15" hidden="false" customHeight="false" outlineLevel="0" collapsed="false">
      <c r="A1178" s="0" t="n">
        <v>249</v>
      </c>
      <c r="B1178" s="191" t="n">
        <v>46199.1472808569</v>
      </c>
      <c r="C1178" s="191" t="n">
        <v>46199.1618178939</v>
      </c>
      <c r="D1178" s="189" t="s">
        <v>1744</v>
      </c>
      <c r="E1178" s="189" t="s">
        <v>1745</v>
      </c>
      <c r="F1178" s="189" t="s">
        <v>1746</v>
      </c>
      <c r="G1178" s="189" t="s">
        <v>1747</v>
      </c>
      <c r="H1178" s="191" t="n">
        <v>46185</v>
      </c>
      <c r="I1178" s="189" t="s">
        <v>113</v>
      </c>
      <c r="J1178" s="189" t="s">
        <v>108</v>
      </c>
      <c r="K1178" s="189" t="s">
        <v>364</v>
      </c>
      <c r="L1178" s="189" t="s">
        <v>246</v>
      </c>
      <c r="M1178" s="189" t="s">
        <v>774</v>
      </c>
      <c r="N1178" s="189" t="s">
        <v>422</v>
      </c>
      <c r="O1178" s="189" t="s">
        <v>260</v>
      </c>
      <c r="P1178" s="189" t="s">
        <v>111</v>
      </c>
      <c r="Q1178" s="189" t="s">
        <v>247</v>
      </c>
      <c r="R1178" s="189" t="s">
        <v>22</v>
      </c>
      <c r="S1178" s="189" t="s">
        <v>152</v>
      </c>
      <c r="T1178" s="189" t="s">
        <v>352</v>
      </c>
      <c r="U1178" s="189" t="s">
        <v>1326</v>
      </c>
      <c r="V1178" s="189" t="s">
        <v>167</v>
      </c>
      <c r="W1178" s="189" t="s">
        <v>168</v>
      </c>
      <c r="X1178" s="189" t="s">
        <v>271</v>
      </c>
      <c r="Y1178" s="189" t="s">
        <v>2110</v>
      </c>
      <c r="Z1178" s="0" t="n">
        <v>1</v>
      </c>
      <c r="AA1178" s="189" t="s">
        <v>2160</v>
      </c>
    </row>
    <row r="1179" customFormat="false" ht="15" hidden="false" customHeight="false" outlineLevel="0" collapsed="false">
      <c r="A1179" s="0" t="n">
        <v>249</v>
      </c>
      <c r="B1179" s="191" t="n">
        <v>46199.1472808569</v>
      </c>
      <c r="C1179" s="191" t="n">
        <v>46199.1618178939</v>
      </c>
      <c r="D1179" s="189" t="s">
        <v>1744</v>
      </c>
      <c r="E1179" s="189" t="s">
        <v>1745</v>
      </c>
      <c r="F1179" s="189" t="s">
        <v>1746</v>
      </c>
      <c r="G1179" s="189" t="s">
        <v>1747</v>
      </c>
      <c r="H1179" s="191" t="n">
        <v>46185</v>
      </c>
      <c r="I1179" s="189" t="s">
        <v>113</v>
      </c>
      <c r="J1179" s="189" t="s">
        <v>108</v>
      </c>
      <c r="K1179" s="189" t="s">
        <v>364</v>
      </c>
      <c r="L1179" s="189" t="s">
        <v>246</v>
      </c>
      <c r="M1179" s="189" t="s">
        <v>774</v>
      </c>
      <c r="N1179" s="189" t="s">
        <v>422</v>
      </c>
      <c r="O1179" s="189" t="s">
        <v>260</v>
      </c>
      <c r="P1179" s="189" t="s">
        <v>111</v>
      </c>
      <c r="Q1179" s="189" t="s">
        <v>247</v>
      </c>
      <c r="R1179" s="189" t="s">
        <v>22</v>
      </c>
      <c r="S1179" s="189" t="s">
        <v>152</v>
      </c>
      <c r="T1179" s="189" t="s">
        <v>352</v>
      </c>
      <c r="U1179" s="189" t="s">
        <v>1326</v>
      </c>
      <c r="V1179" s="189" t="s">
        <v>167</v>
      </c>
      <c r="W1179" s="189" t="s">
        <v>168</v>
      </c>
      <c r="X1179" s="189" t="s">
        <v>271</v>
      </c>
      <c r="Y1179" s="189" t="s">
        <v>2113</v>
      </c>
      <c r="Z1179" s="0" t="n">
        <v>1</v>
      </c>
      <c r="AA1179" s="189" t="s">
        <v>2163</v>
      </c>
    </row>
    <row r="1180" customFormat="false" ht="15" hidden="false" customHeight="false" outlineLevel="0" collapsed="false">
      <c r="A1180" s="0" t="n">
        <v>250</v>
      </c>
      <c r="B1180" s="191" t="n">
        <v>46080.5175837687</v>
      </c>
      <c r="C1180" s="191" t="n">
        <v>46080.5351300649</v>
      </c>
      <c r="D1180" s="189" t="s">
        <v>1750</v>
      </c>
      <c r="E1180" s="189" t="s">
        <v>1751</v>
      </c>
      <c r="F1180" s="189" t="s">
        <v>1751</v>
      </c>
      <c r="G1180" s="189" t="s">
        <v>1752</v>
      </c>
      <c r="H1180" s="191" t="n">
        <v>46066</v>
      </c>
      <c r="I1180" s="189" t="s">
        <v>305</v>
      </c>
      <c r="J1180" s="189" t="s">
        <v>295</v>
      </c>
      <c r="K1180" s="189" t="s">
        <v>143</v>
      </c>
      <c r="L1180" s="189" t="s">
        <v>296</v>
      </c>
      <c r="M1180" s="189" t="s">
        <v>1313</v>
      </c>
      <c r="N1180" s="189" t="s">
        <v>665</v>
      </c>
      <c r="O1180" s="189" t="s">
        <v>107</v>
      </c>
      <c r="P1180" s="189" t="s">
        <v>211</v>
      </c>
      <c r="Q1180" s="189" t="s">
        <v>112</v>
      </c>
      <c r="R1180" s="189" t="s">
        <v>24</v>
      </c>
      <c r="S1180" s="189" t="s">
        <v>152</v>
      </c>
      <c r="T1180" s="189" t="s">
        <v>121</v>
      </c>
      <c r="U1180" s="189" t="s">
        <v>122</v>
      </c>
      <c r="V1180" s="189" t="s">
        <v>192</v>
      </c>
      <c r="W1180" s="189" t="s">
        <v>124</v>
      </c>
      <c r="X1180" s="189" t="s">
        <v>19</v>
      </c>
      <c r="Y1180" s="189" t="s">
        <v>2216</v>
      </c>
      <c r="Z1180" s="0" t="n">
        <v>1</v>
      </c>
      <c r="AA1180" s="189" t="s">
        <v>880</v>
      </c>
    </row>
    <row r="1181" customFormat="false" ht="15" hidden="false" customHeight="false" outlineLevel="0" collapsed="false">
      <c r="A1181" s="0" t="n">
        <v>251</v>
      </c>
      <c r="B1181" s="191" t="n">
        <v>46066.1309753443</v>
      </c>
      <c r="C1181" s="191" t="n">
        <v>46066.147792474</v>
      </c>
      <c r="D1181" s="189" t="s">
        <v>1753</v>
      </c>
      <c r="E1181" s="189" t="s">
        <v>1754</v>
      </c>
      <c r="F1181" s="189" t="s">
        <v>1754</v>
      </c>
      <c r="G1181" s="189" t="s">
        <v>1755</v>
      </c>
      <c r="H1181" s="191" t="n">
        <v>46052</v>
      </c>
      <c r="I1181" s="189" t="s">
        <v>113</v>
      </c>
      <c r="J1181" s="189" t="s">
        <v>108</v>
      </c>
      <c r="K1181" s="189" t="s">
        <v>257</v>
      </c>
      <c r="L1181" s="189" t="s">
        <v>210</v>
      </c>
      <c r="M1181" s="189" t="s">
        <v>736</v>
      </c>
      <c r="N1181" s="189" t="s">
        <v>757</v>
      </c>
      <c r="O1181" s="189" t="s">
        <v>244</v>
      </c>
      <c r="P1181" s="189" t="s">
        <v>111</v>
      </c>
      <c r="Q1181" s="189" t="s">
        <v>145</v>
      </c>
      <c r="R1181" s="189" t="s">
        <v>22</v>
      </c>
      <c r="S1181" s="189" t="s">
        <v>120</v>
      </c>
      <c r="T1181" s="189" t="s">
        <v>180</v>
      </c>
      <c r="U1181" s="189" t="s">
        <v>369</v>
      </c>
      <c r="V1181" s="189" t="s">
        <v>123</v>
      </c>
      <c r="W1181" s="189" t="s">
        <v>124</v>
      </c>
      <c r="X1181" s="189" t="s">
        <v>176</v>
      </c>
      <c r="Y1181" s="189" t="s">
        <v>2108</v>
      </c>
      <c r="Z1181" s="0" t="n">
        <v>1</v>
      </c>
      <c r="AA1181" s="189" t="s">
        <v>2338</v>
      </c>
    </row>
    <row r="1182" customFormat="false" ht="15" hidden="false" customHeight="false" outlineLevel="0" collapsed="false">
      <c r="A1182" s="0" t="n">
        <v>251</v>
      </c>
      <c r="B1182" s="191" t="n">
        <v>46066.1309753443</v>
      </c>
      <c r="C1182" s="191" t="n">
        <v>46066.147792474</v>
      </c>
      <c r="D1182" s="189" t="s">
        <v>1753</v>
      </c>
      <c r="E1182" s="189" t="s">
        <v>1754</v>
      </c>
      <c r="F1182" s="189" t="s">
        <v>1754</v>
      </c>
      <c r="G1182" s="189" t="s">
        <v>1755</v>
      </c>
      <c r="H1182" s="191" t="n">
        <v>46052</v>
      </c>
      <c r="I1182" s="189" t="s">
        <v>113</v>
      </c>
      <c r="J1182" s="189" t="s">
        <v>108</v>
      </c>
      <c r="K1182" s="189" t="s">
        <v>257</v>
      </c>
      <c r="L1182" s="189" t="s">
        <v>210</v>
      </c>
      <c r="M1182" s="189" t="s">
        <v>736</v>
      </c>
      <c r="N1182" s="189" t="s">
        <v>757</v>
      </c>
      <c r="O1182" s="189" t="s">
        <v>244</v>
      </c>
      <c r="P1182" s="189" t="s">
        <v>111</v>
      </c>
      <c r="Q1182" s="189" t="s">
        <v>145</v>
      </c>
      <c r="R1182" s="189" t="s">
        <v>22</v>
      </c>
      <c r="S1182" s="189" t="s">
        <v>120</v>
      </c>
      <c r="T1182" s="189" t="s">
        <v>180</v>
      </c>
      <c r="U1182" s="189" t="s">
        <v>369</v>
      </c>
      <c r="V1182" s="189" t="s">
        <v>123</v>
      </c>
      <c r="W1182" s="189" t="s">
        <v>124</v>
      </c>
      <c r="X1182" s="189" t="s">
        <v>176</v>
      </c>
      <c r="Y1182" s="189" t="s">
        <v>2108</v>
      </c>
      <c r="Z1182" s="0" t="n">
        <v>2</v>
      </c>
      <c r="AA1182" s="189" t="s">
        <v>2314</v>
      </c>
    </row>
    <row r="1183" customFormat="false" ht="15" hidden="false" customHeight="false" outlineLevel="0" collapsed="false">
      <c r="A1183" s="0" t="n">
        <v>251</v>
      </c>
      <c r="B1183" s="191" t="n">
        <v>46066.1309753443</v>
      </c>
      <c r="C1183" s="191" t="n">
        <v>46066.147792474</v>
      </c>
      <c r="D1183" s="189" t="s">
        <v>1753</v>
      </c>
      <c r="E1183" s="189" t="s">
        <v>1754</v>
      </c>
      <c r="F1183" s="189" t="s">
        <v>1754</v>
      </c>
      <c r="G1183" s="189" t="s">
        <v>1755</v>
      </c>
      <c r="H1183" s="191" t="n">
        <v>46052</v>
      </c>
      <c r="I1183" s="189" t="s">
        <v>113</v>
      </c>
      <c r="J1183" s="189" t="s">
        <v>108</v>
      </c>
      <c r="K1183" s="189" t="s">
        <v>257</v>
      </c>
      <c r="L1183" s="189" t="s">
        <v>210</v>
      </c>
      <c r="M1183" s="189" t="s">
        <v>736</v>
      </c>
      <c r="N1183" s="189" t="s">
        <v>757</v>
      </c>
      <c r="O1183" s="189" t="s">
        <v>244</v>
      </c>
      <c r="P1183" s="189" t="s">
        <v>111</v>
      </c>
      <c r="Q1183" s="189" t="s">
        <v>145</v>
      </c>
      <c r="R1183" s="189" t="s">
        <v>22</v>
      </c>
      <c r="S1183" s="189" t="s">
        <v>120</v>
      </c>
      <c r="T1183" s="189" t="s">
        <v>180</v>
      </c>
      <c r="U1183" s="189" t="s">
        <v>369</v>
      </c>
      <c r="V1183" s="189" t="s">
        <v>123</v>
      </c>
      <c r="W1183" s="189" t="s">
        <v>124</v>
      </c>
      <c r="X1183" s="189" t="s">
        <v>176</v>
      </c>
      <c r="Y1183" s="189" t="s">
        <v>2110</v>
      </c>
      <c r="Z1183" s="0" t="n">
        <v>1</v>
      </c>
      <c r="AA1183" s="189" t="s">
        <v>2310</v>
      </c>
    </row>
    <row r="1184" customFormat="false" ht="15" hidden="false" customHeight="false" outlineLevel="0" collapsed="false">
      <c r="A1184" s="0" t="n">
        <v>251</v>
      </c>
      <c r="B1184" s="191" t="n">
        <v>46066.1309753443</v>
      </c>
      <c r="C1184" s="191" t="n">
        <v>46066.147792474</v>
      </c>
      <c r="D1184" s="189" t="s">
        <v>1753</v>
      </c>
      <c r="E1184" s="189" t="s">
        <v>1754</v>
      </c>
      <c r="F1184" s="189" t="s">
        <v>1754</v>
      </c>
      <c r="G1184" s="189" t="s">
        <v>1755</v>
      </c>
      <c r="H1184" s="191" t="n">
        <v>46052</v>
      </c>
      <c r="I1184" s="189" t="s">
        <v>113</v>
      </c>
      <c r="J1184" s="189" t="s">
        <v>108</v>
      </c>
      <c r="K1184" s="189" t="s">
        <v>257</v>
      </c>
      <c r="L1184" s="189" t="s">
        <v>210</v>
      </c>
      <c r="M1184" s="189" t="s">
        <v>736</v>
      </c>
      <c r="N1184" s="189" t="s">
        <v>757</v>
      </c>
      <c r="O1184" s="189" t="s">
        <v>244</v>
      </c>
      <c r="P1184" s="189" t="s">
        <v>111</v>
      </c>
      <c r="Q1184" s="189" t="s">
        <v>145</v>
      </c>
      <c r="R1184" s="189" t="s">
        <v>22</v>
      </c>
      <c r="S1184" s="189" t="s">
        <v>120</v>
      </c>
      <c r="T1184" s="189" t="s">
        <v>180</v>
      </c>
      <c r="U1184" s="189" t="s">
        <v>369</v>
      </c>
      <c r="V1184" s="189" t="s">
        <v>123</v>
      </c>
      <c r="W1184" s="189" t="s">
        <v>124</v>
      </c>
      <c r="X1184" s="189" t="s">
        <v>176</v>
      </c>
      <c r="Y1184" s="189" t="s">
        <v>2113</v>
      </c>
      <c r="Z1184" s="0" t="n">
        <v>1</v>
      </c>
      <c r="AA1184" s="189" t="s">
        <v>2286</v>
      </c>
    </row>
    <row r="1185" customFormat="false" ht="15" hidden="false" customHeight="false" outlineLevel="0" collapsed="false">
      <c r="A1185" s="0" t="n">
        <v>251</v>
      </c>
      <c r="B1185" s="191" t="n">
        <v>46066.1309753443</v>
      </c>
      <c r="C1185" s="191" t="n">
        <v>46066.147792474</v>
      </c>
      <c r="D1185" s="189" t="s">
        <v>1753</v>
      </c>
      <c r="E1185" s="189" t="s">
        <v>1754</v>
      </c>
      <c r="F1185" s="189" t="s">
        <v>1754</v>
      </c>
      <c r="G1185" s="189" t="s">
        <v>1755</v>
      </c>
      <c r="H1185" s="191" t="n">
        <v>46052</v>
      </c>
      <c r="I1185" s="189" t="s">
        <v>113</v>
      </c>
      <c r="J1185" s="189" t="s">
        <v>108</v>
      </c>
      <c r="K1185" s="189" t="s">
        <v>257</v>
      </c>
      <c r="L1185" s="189" t="s">
        <v>210</v>
      </c>
      <c r="M1185" s="189" t="s">
        <v>736</v>
      </c>
      <c r="N1185" s="189" t="s">
        <v>757</v>
      </c>
      <c r="O1185" s="189" t="s">
        <v>244</v>
      </c>
      <c r="P1185" s="189" t="s">
        <v>111</v>
      </c>
      <c r="Q1185" s="189" t="s">
        <v>145</v>
      </c>
      <c r="R1185" s="189" t="s">
        <v>22</v>
      </c>
      <c r="S1185" s="189" t="s">
        <v>120</v>
      </c>
      <c r="T1185" s="189" t="s">
        <v>180</v>
      </c>
      <c r="U1185" s="189" t="s">
        <v>369</v>
      </c>
      <c r="V1185" s="189" t="s">
        <v>123</v>
      </c>
      <c r="W1185" s="189" t="s">
        <v>124</v>
      </c>
      <c r="X1185" s="189" t="s">
        <v>176</v>
      </c>
      <c r="Y1185" s="189" t="s">
        <v>2113</v>
      </c>
      <c r="Z1185" s="0" t="n">
        <v>2</v>
      </c>
      <c r="AA1185" s="189" t="s">
        <v>2250</v>
      </c>
    </row>
    <row r="1186" customFormat="false" ht="15" hidden="false" customHeight="false" outlineLevel="0" collapsed="false">
      <c r="A1186" s="0" t="n">
        <v>252</v>
      </c>
      <c r="B1186" s="191" t="n">
        <v>46158.1187463509</v>
      </c>
      <c r="C1186" s="191" t="n">
        <v>46158.136882925</v>
      </c>
      <c r="D1186" s="189" t="s">
        <v>1759</v>
      </c>
      <c r="E1186" s="189" t="s">
        <v>1760</v>
      </c>
      <c r="F1186" s="189" t="s">
        <v>1760</v>
      </c>
      <c r="G1186" s="189" t="s">
        <v>1761</v>
      </c>
      <c r="H1186" s="191" t="n">
        <v>46152</v>
      </c>
      <c r="I1186" s="189" t="s">
        <v>113</v>
      </c>
      <c r="J1186" s="189" t="s">
        <v>295</v>
      </c>
      <c r="K1186" s="189" t="s">
        <v>1762</v>
      </c>
      <c r="L1186" s="189" t="s">
        <v>346</v>
      </c>
      <c r="M1186" s="189" t="s">
        <v>234</v>
      </c>
      <c r="N1186" s="189" t="s">
        <v>893</v>
      </c>
      <c r="O1186" s="189" t="s">
        <v>781</v>
      </c>
      <c r="P1186" s="189" t="s">
        <v>111</v>
      </c>
      <c r="Q1186" s="189" t="s">
        <v>112</v>
      </c>
      <c r="R1186" s="189" t="s">
        <v>22</v>
      </c>
      <c r="S1186" s="189" t="s">
        <v>120</v>
      </c>
      <c r="T1186" s="189" t="s">
        <v>352</v>
      </c>
      <c r="U1186" s="189" t="s">
        <v>122</v>
      </c>
      <c r="V1186" s="189" t="s">
        <v>123</v>
      </c>
      <c r="W1186" s="189" t="s">
        <v>139</v>
      </c>
      <c r="X1186" s="189" t="s">
        <v>298</v>
      </c>
      <c r="Y1186" s="189" t="s">
        <v>2108</v>
      </c>
      <c r="Z1186" s="0" t="n">
        <v>1</v>
      </c>
      <c r="AA1186" s="189" t="s">
        <v>2169</v>
      </c>
    </row>
    <row r="1187" customFormat="false" ht="15" hidden="false" customHeight="false" outlineLevel="0" collapsed="false">
      <c r="A1187" s="0" t="n">
        <v>252</v>
      </c>
      <c r="B1187" s="191" t="n">
        <v>46158.1187463509</v>
      </c>
      <c r="C1187" s="191" t="n">
        <v>46158.136882925</v>
      </c>
      <c r="D1187" s="189" t="s">
        <v>1759</v>
      </c>
      <c r="E1187" s="189" t="s">
        <v>1760</v>
      </c>
      <c r="F1187" s="189" t="s">
        <v>1760</v>
      </c>
      <c r="G1187" s="189" t="s">
        <v>1761</v>
      </c>
      <c r="H1187" s="191" t="n">
        <v>46152</v>
      </c>
      <c r="I1187" s="189" t="s">
        <v>113</v>
      </c>
      <c r="J1187" s="189" t="s">
        <v>295</v>
      </c>
      <c r="K1187" s="189" t="s">
        <v>1762</v>
      </c>
      <c r="L1187" s="189" t="s">
        <v>346</v>
      </c>
      <c r="M1187" s="189" t="s">
        <v>234</v>
      </c>
      <c r="N1187" s="189" t="s">
        <v>893</v>
      </c>
      <c r="O1187" s="189" t="s">
        <v>781</v>
      </c>
      <c r="P1187" s="189" t="s">
        <v>111</v>
      </c>
      <c r="Q1187" s="189" t="s">
        <v>112</v>
      </c>
      <c r="R1187" s="189" t="s">
        <v>22</v>
      </c>
      <c r="S1187" s="189" t="s">
        <v>120</v>
      </c>
      <c r="T1187" s="189" t="s">
        <v>352</v>
      </c>
      <c r="U1187" s="189" t="s">
        <v>122</v>
      </c>
      <c r="V1187" s="189" t="s">
        <v>123</v>
      </c>
      <c r="W1187" s="189" t="s">
        <v>139</v>
      </c>
      <c r="X1187" s="189" t="s">
        <v>298</v>
      </c>
      <c r="Y1187" s="189" t="s">
        <v>2110</v>
      </c>
      <c r="Z1187" s="0" t="n">
        <v>1</v>
      </c>
      <c r="AA1187" s="189" t="s">
        <v>2316</v>
      </c>
    </row>
    <row r="1188" customFormat="false" ht="15" hidden="false" customHeight="false" outlineLevel="0" collapsed="false">
      <c r="A1188" s="0" t="n">
        <v>252</v>
      </c>
      <c r="B1188" s="191" t="n">
        <v>46158.1187463509</v>
      </c>
      <c r="C1188" s="191" t="n">
        <v>46158.136882925</v>
      </c>
      <c r="D1188" s="189" t="s">
        <v>1759</v>
      </c>
      <c r="E1188" s="189" t="s">
        <v>1760</v>
      </c>
      <c r="F1188" s="189" t="s">
        <v>1760</v>
      </c>
      <c r="G1188" s="189" t="s">
        <v>1761</v>
      </c>
      <c r="H1188" s="191" t="n">
        <v>46152</v>
      </c>
      <c r="I1188" s="189" t="s">
        <v>113</v>
      </c>
      <c r="J1188" s="189" t="s">
        <v>295</v>
      </c>
      <c r="K1188" s="189" t="s">
        <v>1762</v>
      </c>
      <c r="L1188" s="189" t="s">
        <v>346</v>
      </c>
      <c r="M1188" s="189" t="s">
        <v>234</v>
      </c>
      <c r="N1188" s="189" t="s">
        <v>893</v>
      </c>
      <c r="O1188" s="189" t="s">
        <v>781</v>
      </c>
      <c r="P1188" s="189" t="s">
        <v>111</v>
      </c>
      <c r="Q1188" s="189" t="s">
        <v>112</v>
      </c>
      <c r="R1188" s="189" t="s">
        <v>22</v>
      </c>
      <c r="S1188" s="189" t="s">
        <v>120</v>
      </c>
      <c r="T1188" s="189" t="s">
        <v>352</v>
      </c>
      <c r="U1188" s="189" t="s">
        <v>122</v>
      </c>
      <c r="V1188" s="189" t="s">
        <v>123</v>
      </c>
      <c r="W1188" s="189" t="s">
        <v>139</v>
      </c>
      <c r="X1188" s="189" t="s">
        <v>298</v>
      </c>
      <c r="Y1188" s="189" t="s">
        <v>2113</v>
      </c>
      <c r="Z1188" s="0" t="n">
        <v>1</v>
      </c>
      <c r="AA1188" s="189" t="s">
        <v>122</v>
      </c>
    </row>
    <row r="1189" customFormat="false" ht="15" hidden="false" customHeight="false" outlineLevel="0" collapsed="false">
      <c r="A1189" s="0" t="n">
        <v>252</v>
      </c>
      <c r="B1189" s="191" t="n">
        <v>46158.1187463509</v>
      </c>
      <c r="C1189" s="191" t="n">
        <v>46158.136882925</v>
      </c>
      <c r="D1189" s="189" t="s">
        <v>1759</v>
      </c>
      <c r="E1189" s="189" t="s">
        <v>1760</v>
      </c>
      <c r="F1189" s="189" t="s">
        <v>1760</v>
      </c>
      <c r="G1189" s="189" t="s">
        <v>1761</v>
      </c>
      <c r="H1189" s="191" t="n">
        <v>46152</v>
      </c>
      <c r="I1189" s="189" t="s">
        <v>113</v>
      </c>
      <c r="J1189" s="189" t="s">
        <v>295</v>
      </c>
      <c r="K1189" s="189" t="s">
        <v>1762</v>
      </c>
      <c r="L1189" s="189" t="s">
        <v>346</v>
      </c>
      <c r="M1189" s="189" t="s">
        <v>234</v>
      </c>
      <c r="N1189" s="189" t="s">
        <v>893</v>
      </c>
      <c r="O1189" s="189" t="s">
        <v>781</v>
      </c>
      <c r="P1189" s="189" t="s">
        <v>111</v>
      </c>
      <c r="Q1189" s="189" t="s">
        <v>112</v>
      </c>
      <c r="R1189" s="189" t="s">
        <v>22</v>
      </c>
      <c r="S1189" s="189" t="s">
        <v>120</v>
      </c>
      <c r="T1189" s="189" t="s">
        <v>352</v>
      </c>
      <c r="U1189" s="189" t="s">
        <v>122</v>
      </c>
      <c r="V1189" s="189" t="s">
        <v>123</v>
      </c>
      <c r="W1189" s="189" t="s">
        <v>139</v>
      </c>
      <c r="X1189" s="189" t="s">
        <v>298</v>
      </c>
      <c r="Y1189" s="189" t="s">
        <v>2113</v>
      </c>
      <c r="Z1189" s="0" t="n">
        <v>2</v>
      </c>
      <c r="AA1189" s="189" t="s">
        <v>2292</v>
      </c>
    </row>
    <row r="1190" customFormat="false" ht="15" hidden="false" customHeight="false" outlineLevel="0" collapsed="false">
      <c r="A1190" s="0" t="n">
        <v>253</v>
      </c>
      <c r="B1190" s="191" t="n">
        <v>46119.3857400541</v>
      </c>
      <c r="C1190" s="191" t="n">
        <v>46119.3978812578</v>
      </c>
      <c r="D1190" s="189" t="s">
        <v>1765</v>
      </c>
      <c r="E1190" s="189" t="s">
        <v>1766</v>
      </c>
      <c r="F1190" s="189" t="s">
        <v>1766</v>
      </c>
      <c r="G1190" s="189" t="s">
        <v>1767</v>
      </c>
      <c r="H1190" s="191" t="n">
        <v>46099</v>
      </c>
      <c r="I1190" s="189" t="s">
        <v>113</v>
      </c>
      <c r="J1190" s="189" t="s">
        <v>295</v>
      </c>
      <c r="K1190" s="189" t="s">
        <v>257</v>
      </c>
      <c r="L1190" s="189" t="s">
        <v>159</v>
      </c>
      <c r="M1190" s="189" t="s">
        <v>144</v>
      </c>
      <c r="N1190" s="189" t="s">
        <v>672</v>
      </c>
      <c r="O1190" s="189" t="s">
        <v>244</v>
      </c>
      <c r="P1190" s="189" t="s">
        <v>131</v>
      </c>
      <c r="Q1190" s="189" t="s">
        <v>112</v>
      </c>
      <c r="R1190" s="189" t="s">
        <v>22</v>
      </c>
      <c r="S1190" s="189" t="s">
        <v>152</v>
      </c>
      <c r="T1190" s="189" t="s">
        <v>121</v>
      </c>
      <c r="U1190" s="189" t="s">
        <v>122</v>
      </c>
      <c r="V1190" s="189" t="s">
        <v>167</v>
      </c>
      <c r="W1190" s="189" t="s">
        <v>139</v>
      </c>
      <c r="X1190" s="189" t="s">
        <v>116</v>
      </c>
      <c r="Y1190" s="189" t="s">
        <v>2108</v>
      </c>
      <c r="Z1190" s="0" t="n">
        <v>1</v>
      </c>
      <c r="AA1190" s="189" t="s">
        <v>2151</v>
      </c>
    </row>
    <row r="1191" customFormat="false" ht="15" hidden="false" customHeight="false" outlineLevel="0" collapsed="false">
      <c r="A1191" s="0" t="n">
        <v>253</v>
      </c>
      <c r="B1191" s="191" t="n">
        <v>46119.3857400541</v>
      </c>
      <c r="C1191" s="191" t="n">
        <v>46119.3978812578</v>
      </c>
      <c r="D1191" s="189" t="s">
        <v>1765</v>
      </c>
      <c r="E1191" s="189" t="s">
        <v>1766</v>
      </c>
      <c r="F1191" s="189" t="s">
        <v>1766</v>
      </c>
      <c r="G1191" s="189" t="s">
        <v>1767</v>
      </c>
      <c r="H1191" s="191" t="n">
        <v>46099</v>
      </c>
      <c r="I1191" s="189" t="s">
        <v>113</v>
      </c>
      <c r="J1191" s="189" t="s">
        <v>295</v>
      </c>
      <c r="K1191" s="189" t="s">
        <v>257</v>
      </c>
      <c r="L1191" s="189" t="s">
        <v>159</v>
      </c>
      <c r="M1191" s="189" t="s">
        <v>144</v>
      </c>
      <c r="N1191" s="189" t="s">
        <v>672</v>
      </c>
      <c r="O1191" s="189" t="s">
        <v>244</v>
      </c>
      <c r="P1191" s="189" t="s">
        <v>131</v>
      </c>
      <c r="Q1191" s="189" t="s">
        <v>112</v>
      </c>
      <c r="R1191" s="189" t="s">
        <v>22</v>
      </c>
      <c r="S1191" s="189" t="s">
        <v>152</v>
      </c>
      <c r="T1191" s="189" t="s">
        <v>121</v>
      </c>
      <c r="U1191" s="189" t="s">
        <v>122</v>
      </c>
      <c r="V1191" s="189" t="s">
        <v>167</v>
      </c>
      <c r="W1191" s="189" t="s">
        <v>139</v>
      </c>
      <c r="X1191" s="189" t="s">
        <v>116</v>
      </c>
      <c r="Y1191" s="189" t="s">
        <v>2110</v>
      </c>
      <c r="Z1191" s="0" t="n">
        <v>1</v>
      </c>
      <c r="AA1191" s="189" t="s">
        <v>2126</v>
      </c>
    </row>
    <row r="1192" customFormat="false" ht="15" hidden="false" customHeight="false" outlineLevel="0" collapsed="false">
      <c r="A1192" s="0" t="n">
        <v>253</v>
      </c>
      <c r="B1192" s="191" t="n">
        <v>46119.3857400541</v>
      </c>
      <c r="C1192" s="191" t="n">
        <v>46119.3978812578</v>
      </c>
      <c r="D1192" s="189" t="s">
        <v>1765</v>
      </c>
      <c r="E1192" s="189" t="s">
        <v>1766</v>
      </c>
      <c r="F1192" s="189" t="s">
        <v>1766</v>
      </c>
      <c r="G1192" s="189" t="s">
        <v>1767</v>
      </c>
      <c r="H1192" s="191" t="n">
        <v>46099</v>
      </c>
      <c r="I1192" s="189" t="s">
        <v>113</v>
      </c>
      <c r="J1192" s="189" t="s">
        <v>295</v>
      </c>
      <c r="K1192" s="189" t="s">
        <v>257</v>
      </c>
      <c r="L1192" s="189" t="s">
        <v>159</v>
      </c>
      <c r="M1192" s="189" t="s">
        <v>144</v>
      </c>
      <c r="N1192" s="189" t="s">
        <v>672</v>
      </c>
      <c r="O1192" s="189" t="s">
        <v>244</v>
      </c>
      <c r="P1192" s="189" t="s">
        <v>131</v>
      </c>
      <c r="Q1192" s="189" t="s">
        <v>112</v>
      </c>
      <c r="R1192" s="189" t="s">
        <v>22</v>
      </c>
      <c r="S1192" s="189" t="s">
        <v>152</v>
      </c>
      <c r="T1192" s="189" t="s">
        <v>121</v>
      </c>
      <c r="U1192" s="189" t="s">
        <v>122</v>
      </c>
      <c r="V1192" s="189" t="s">
        <v>167</v>
      </c>
      <c r="W1192" s="189" t="s">
        <v>139</v>
      </c>
      <c r="X1192" s="189" t="s">
        <v>116</v>
      </c>
      <c r="Y1192" s="189" t="s">
        <v>2113</v>
      </c>
      <c r="Z1192" s="0" t="n">
        <v>1</v>
      </c>
      <c r="AA1192" s="189" t="s">
        <v>2184</v>
      </c>
    </row>
    <row r="1193" customFormat="false" ht="15" hidden="false" customHeight="false" outlineLevel="0" collapsed="false">
      <c r="A1193" s="0" t="n">
        <v>253</v>
      </c>
      <c r="B1193" s="191" t="n">
        <v>46119.3857400541</v>
      </c>
      <c r="C1193" s="191" t="n">
        <v>46119.3978812578</v>
      </c>
      <c r="D1193" s="189" t="s">
        <v>1765</v>
      </c>
      <c r="E1193" s="189" t="s">
        <v>1766</v>
      </c>
      <c r="F1193" s="189" t="s">
        <v>1766</v>
      </c>
      <c r="G1193" s="189" t="s">
        <v>1767</v>
      </c>
      <c r="H1193" s="191" t="n">
        <v>46099</v>
      </c>
      <c r="I1193" s="189" t="s">
        <v>113</v>
      </c>
      <c r="J1193" s="189" t="s">
        <v>295</v>
      </c>
      <c r="K1193" s="189" t="s">
        <v>257</v>
      </c>
      <c r="L1193" s="189" t="s">
        <v>159</v>
      </c>
      <c r="M1193" s="189" t="s">
        <v>144</v>
      </c>
      <c r="N1193" s="189" t="s">
        <v>672</v>
      </c>
      <c r="O1193" s="189" t="s">
        <v>244</v>
      </c>
      <c r="P1193" s="189" t="s">
        <v>131</v>
      </c>
      <c r="Q1193" s="189" t="s">
        <v>112</v>
      </c>
      <c r="R1193" s="189" t="s">
        <v>22</v>
      </c>
      <c r="S1193" s="189" t="s">
        <v>152</v>
      </c>
      <c r="T1193" s="189" t="s">
        <v>121</v>
      </c>
      <c r="U1193" s="189" t="s">
        <v>122</v>
      </c>
      <c r="V1193" s="189" t="s">
        <v>167</v>
      </c>
      <c r="W1193" s="189" t="s">
        <v>139</v>
      </c>
      <c r="X1193" s="189" t="s">
        <v>116</v>
      </c>
      <c r="Y1193" s="189" t="s">
        <v>2113</v>
      </c>
      <c r="Z1193" s="0" t="n">
        <v>2</v>
      </c>
      <c r="AA1193" s="189" t="s">
        <v>2127</v>
      </c>
    </row>
    <row r="1194" customFormat="false" ht="15" hidden="false" customHeight="false" outlineLevel="0" collapsed="false">
      <c r="A1194" s="0" t="n">
        <v>254</v>
      </c>
      <c r="B1194" s="191" t="n">
        <v>46098.0347583615</v>
      </c>
      <c r="C1194" s="191" t="n">
        <v>46098.0420616023</v>
      </c>
      <c r="D1194" s="189" t="s">
        <v>1768</v>
      </c>
      <c r="E1194" s="189" t="s">
        <v>1769</v>
      </c>
      <c r="F1194" s="189" t="s">
        <v>1769</v>
      </c>
      <c r="G1194" s="189" t="s">
        <v>1770</v>
      </c>
      <c r="H1194" s="191" t="n">
        <v>46089</v>
      </c>
      <c r="I1194" s="189" t="s">
        <v>113</v>
      </c>
      <c r="J1194" s="189" t="s">
        <v>108</v>
      </c>
      <c r="K1194" s="189" t="s">
        <v>1771</v>
      </c>
      <c r="L1194" s="189" t="s">
        <v>159</v>
      </c>
      <c r="M1194" s="189" t="s">
        <v>612</v>
      </c>
      <c r="N1194" s="189" t="s">
        <v>1028</v>
      </c>
      <c r="O1194" s="189" t="s">
        <v>107</v>
      </c>
      <c r="P1194" s="189" t="s">
        <v>131</v>
      </c>
      <c r="Q1194" s="189" t="s">
        <v>112</v>
      </c>
      <c r="R1194" s="189" t="s">
        <v>22</v>
      </c>
      <c r="S1194" s="189" t="s">
        <v>120</v>
      </c>
      <c r="T1194" s="189" t="s">
        <v>180</v>
      </c>
      <c r="U1194" s="189" t="s">
        <v>1773</v>
      </c>
      <c r="V1194" s="189" t="s">
        <v>123</v>
      </c>
      <c r="W1194" s="189" t="s">
        <v>124</v>
      </c>
      <c r="X1194" s="189" t="s">
        <v>381</v>
      </c>
      <c r="Y1194" s="189" t="s">
        <v>2108</v>
      </c>
      <c r="Z1194" s="0" t="n">
        <v>1</v>
      </c>
      <c r="AA1194" s="189" t="s">
        <v>2224</v>
      </c>
    </row>
    <row r="1195" customFormat="false" ht="15" hidden="false" customHeight="false" outlineLevel="0" collapsed="false">
      <c r="A1195" s="0" t="n">
        <v>254</v>
      </c>
      <c r="B1195" s="191" t="n">
        <v>46098.0347583615</v>
      </c>
      <c r="C1195" s="191" t="n">
        <v>46098.0420616023</v>
      </c>
      <c r="D1195" s="189" t="s">
        <v>1768</v>
      </c>
      <c r="E1195" s="189" t="s">
        <v>1769</v>
      </c>
      <c r="F1195" s="189" t="s">
        <v>1769</v>
      </c>
      <c r="G1195" s="189" t="s">
        <v>1770</v>
      </c>
      <c r="H1195" s="191" t="n">
        <v>46089</v>
      </c>
      <c r="I1195" s="189" t="s">
        <v>113</v>
      </c>
      <c r="J1195" s="189" t="s">
        <v>108</v>
      </c>
      <c r="K1195" s="189" t="s">
        <v>1771</v>
      </c>
      <c r="L1195" s="189" t="s">
        <v>159</v>
      </c>
      <c r="M1195" s="189" t="s">
        <v>612</v>
      </c>
      <c r="N1195" s="189" t="s">
        <v>1028</v>
      </c>
      <c r="O1195" s="189" t="s">
        <v>107</v>
      </c>
      <c r="P1195" s="189" t="s">
        <v>131</v>
      </c>
      <c r="Q1195" s="189" t="s">
        <v>112</v>
      </c>
      <c r="R1195" s="189" t="s">
        <v>22</v>
      </c>
      <c r="S1195" s="189" t="s">
        <v>120</v>
      </c>
      <c r="T1195" s="189" t="s">
        <v>180</v>
      </c>
      <c r="U1195" s="189" t="s">
        <v>1773</v>
      </c>
      <c r="V1195" s="189" t="s">
        <v>123</v>
      </c>
      <c r="W1195" s="189" t="s">
        <v>124</v>
      </c>
      <c r="X1195" s="189" t="s">
        <v>381</v>
      </c>
      <c r="Y1195" s="189" t="s">
        <v>2110</v>
      </c>
      <c r="Z1195" s="0" t="n">
        <v>1</v>
      </c>
      <c r="AA1195" s="189" t="s">
        <v>2205</v>
      </c>
    </row>
    <row r="1196" customFormat="false" ht="15" hidden="false" customHeight="false" outlineLevel="0" collapsed="false">
      <c r="A1196" s="0" t="n">
        <v>254</v>
      </c>
      <c r="B1196" s="191" t="n">
        <v>46098.0347583615</v>
      </c>
      <c r="C1196" s="191" t="n">
        <v>46098.0420616023</v>
      </c>
      <c r="D1196" s="189" t="s">
        <v>1768</v>
      </c>
      <c r="E1196" s="189" t="s">
        <v>1769</v>
      </c>
      <c r="F1196" s="189" t="s">
        <v>1769</v>
      </c>
      <c r="G1196" s="189" t="s">
        <v>1770</v>
      </c>
      <c r="H1196" s="191" t="n">
        <v>46089</v>
      </c>
      <c r="I1196" s="189" t="s">
        <v>113</v>
      </c>
      <c r="J1196" s="189" t="s">
        <v>108</v>
      </c>
      <c r="K1196" s="189" t="s">
        <v>1771</v>
      </c>
      <c r="L1196" s="189" t="s">
        <v>159</v>
      </c>
      <c r="M1196" s="189" t="s">
        <v>612</v>
      </c>
      <c r="N1196" s="189" t="s">
        <v>1028</v>
      </c>
      <c r="O1196" s="189" t="s">
        <v>107</v>
      </c>
      <c r="P1196" s="189" t="s">
        <v>131</v>
      </c>
      <c r="Q1196" s="189" t="s">
        <v>112</v>
      </c>
      <c r="R1196" s="189" t="s">
        <v>22</v>
      </c>
      <c r="S1196" s="189" t="s">
        <v>120</v>
      </c>
      <c r="T1196" s="189" t="s">
        <v>180</v>
      </c>
      <c r="U1196" s="189" t="s">
        <v>1773</v>
      </c>
      <c r="V1196" s="189" t="s">
        <v>123</v>
      </c>
      <c r="W1196" s="189" t="s">
        <v>124</v>
      </c>
      <c r="X1196" s="189" t="s">
        <v>381</v>
      </c>
      <c r="Y1196" s="189" t="s">
        <v>2113</v>
      </c>
      <c r="Z1196" s="0" t="n">
        <v>1</v>
      </c>
      <c r="AA1196" s="189" t="s">
        <v>2206</v>
      </c>
    </row>
    <row r="1197" customFormat="false" ht="15" hidden="false" customHeight="false" outlineLevel="0" collapsed="false">
      <c r="A1197" s="0" t="n">
        <v>255</v>
      </c>
      <c r="B1197" s="191" t="n">
        <v>46044.1818359671</v>
      </c>
      <c r="C1197" s="191" t="n">
        <v>46044.1996600412</v>
      </c>
      <c r="D1197" s="189" t="s">
        <v>1774</v>
      </c>
      <c r="E1197" s="189" t="s">
        <v>1775</v>
      </c>
      <c r="F1197" s="189" t="s">
        <v>1775</v>
      </c>
      <c r="G1197" s="189" t="s">
        <v>1776</v>
      </c>
      <c r="H1197" s="191" t="n">
        <v>46043</v>
      </c>
      <c r="I1197" s="189" t="s">
        <v>113</v>
      </c>
      <c r="J1197" s="189" t="s">
        <v>108</v>
      </c>
      <c r="K1197" s="189" t="s">
        <v>245</v>
      </c>
      <c r="L1197" s="189" t="s">
        <v>110</v>
      </c>
      <c r="M1197" s="189" t="s">
        <v>543</v>
      </c>
      <c r="N1197" s="189" t="s">
        <v>1323</v>
      </c>
      <c r="O1197" s="189" t="s">
        <v>713</v>
      </c>
      <c r="P1197" s="189" t="s">
        <v>111</v>
      </c>
      <c r="Q1197" s="189" t="s">
        <v>112</v>
      </c>
      <c r="R1197" s="189" t="s">
        <v>22</v>
      </c>
      <c r="S1197" s="189" t="s">
        <v>120</v>
      </c>
      <c r="T1197" s="189" t="s">
        <v>180</v>
      </c>
      <c r="U1197" s="189" t="s">
        <v>122</v>
      </c>
      <c r="V1197" s="189" t="s">
        <v>192</v>
      </c>
      <c r="W1197" s="189" t="s">
        <v>124</v>
      </c>
      <c r="X1197" s="189" t="s">
        <v>339</v>
      </c>
      <c r="Y1197" s="189" t="s">
        <v>2108</v>
      </c>
      <c r="Z1197" s="0" t="n">
        <v>1</v>
      </c>
      <c r="AA1197" s="189" t="s">
        <v>2212</v>
      </c>
    </row>
    <row r="1198" customFormat="false" ht="15" hidden="false" customHeight="false" outlineLevel="0" collapsed="false">
      <c r="A1198" s="0" t="n">
        <v>255</v>
      </c>
      <c r="B1198" s="191" t="n">
        <v>46044.1818359671</v>
      </c>
      <c r="C1198" s="191" t="n">
        <v>46044.1996600412</v>
      </c>
      <c r="D1198" s="189" t="s">
        <v>1774</v>
      </c>
      <c r="E1198" s="189" t="s">
        <v>1775</v>
      </c>
      <c r="F1198" s="189" t="s">
        <v>1775</v>
      </c>
      <c r="G1198" s="189" t="s">
        <v>1776</v>
      </c>
      <c r="H1198" s="191" t="n">
        <v>46043</v>
      </c>
      <c r="I1198" s="189" t="s">
        <v>113</v>
      </c>
      <c r="J1198" s="189" t="s">
        <v>108</v>
      </c>
      <c r="K1198" s="189" t="s">
        <v>245</v>
      </c>
      <c r="L1198" s="189" t="s">
        <v>110</v>
      </c>
      <c r="M1198" s="189" t="s">
        <v>543</v>
      </c>
      <c r="N1198" s="189" t="s">
        <v>1323</v>
      </c>
      <c r="O1198" s="189" t="s">
        <v>713</v>
      </c>
      <c r="P1198" s="189" t="s">
        <v>111</v>
      </c>
      <c r="Q1198" s="189" t="s">
        <v>112</v>
      </c>
      <c r="R1198" s="189" t="s">
        <v>22</v>
      </c>
      <c r="S1198" s="189" t="s">
        <v>120</v>
      </c>
      <c r="T1198" s="189" t="s">
        <v>180</v>
      </c>
      <c r="U1198" s="189" t="s">
        <v>122</v>
      </c>
      <c r="V1198" s="189" t="s">
        <v>192</v>
      </c>
      <c r="W1198" s="189" t="s">
        <v>124</v>
      </c>
      <c r="X1198" s="189" t="s">
        <v>339</v>
      </c>
      <c r="Y1198" s="189" t="s">
        <v>2110</v>
      </c>
      <c r="Z1198" s="0" t="n">
        <v>1</v>
      </c>
      <c r="AA1198" s="189" t="s">
        <v>2287</v>
      </c>
    </row>
    <row r="1199" customFormat="false" ht="15" hidden="false" customHeight="false" outlineLevel="0" collapsed="false">
      <c r="A1199" s="0" t="n">
        <v>255</v>
      </c>
      <c r="B1199" s="191" t="n">
        <v>46044.1818359671</v>
      </c>
      <c r="C1199" s="191" t="n">
        <v>46044.1996600412</v>
      </c>
      <c r="D1199" s="189" t="s">
        <v>1774</v>
      </c>
      <c r="E1199" s="189" t="s">
        <v>1775</v>
      </c>
      <c r="F1199" s="189" t="s">
        <v>1775</v>
      </c>
      <c r="G1199" s="189" t="s">
        <v>1776</v>
      </c>
      <c r="H1199" s="191" t="n">
        <v>46043</v>
      </c>
      <c r="I1199" s="189" t="s">
        <v>113</v>
      </c>
      <c r="J1199" s="189" t="s">
        <v>108</v>
      </c>
      <c r="K1199" s="189" t="s">
        <v>245</v>
      </c>
      <c r="L1199" s="189" t="s">
        <v>110</v>
      </c>
      <c r="M1199" s="189" t="s">
        <v>543</v>
      </c>
      <c r="N1199" s="189" t="s">
        <v>1323</v>
      </c>
      <c r="O1199" s="189" t="s">
        <v>713</v>
      </c>
      <c r="P1199" s="189" t="s">
        <v>111</v>
      </c>
      <c r="Q1199" s="189" t="s">
        <v>112</v>
      </c>
      <c r="R1199" s="189" t="s">
        <v>22</v>
      </c>
      <c r="S1199" s="189" t="s">
        <v>120</v>
      </c>
      <c r="T1199" s="189" t="s">
        <v>180</v>
      </c>
      <c r="U1199" s="189" t="s">
        <v>122</v>
      </c>
      <c r="V1199" s="189" t="s">
        <v>192</v>
      </c>
      <c r="W1199" s="189" t="s">
        <v>124</v>
      </c>
      <c r="X1199" s="189" t="s">
        <v>339</v>
      </c>
      <c r="Y1199" s="189" t="s">
        <v>2113</v>
      </c>
      <c r="Z1199" s="0" t="n">
        <v>1</v>
      </c>
      <c r="AA1199" s="189" t="s">
        <v>2188</v>
      </c>
    </row>
    <row r="1200" customFormat="false" ht="15" hidden="false" customHeight="false" outlineLevel="0" collapsed="false">
      <c r="A1200" s="0" t="n">
        <v>255</v>
      </c>
      <c r="B1200" s="191" t="n">
        <v>46044.1818359671</v>
      </c>
      <c r="C1200" s="191" t="n">
        <v>46044.1996600412</v>
      </c>
      <c r="D1200" s="189" t="s">
        <v>1774</v>
      </c>
      <c r="E1200" s="189" t="s">
        <v>1775</v>
      </c>
      <c r="F1200" s="189" t="s">
        <v>1775</v>
      </c>
      <c r="G1200" s="189" t="s">
        <v>1776</v>
      </c>
      <c r="H1200" s="191" t="n">
        <v>46043</v>
      </c>
      <c r="I1200" s="189" t="s">
        <v>113</v>
      </c>
      <c r="J1200" s="189" t="s">
        <v>108</v>
      </c>
      <c r="K1200" s="189" t="s">
        <v>245</v>
      </c>
      <c r="L1200" s="189" t="s">
        <v>110</v>
      </c>
      <c r="M1200" s="189" t="s">
        <v>543</v>
      </c>
      <c r="N1200" s="189" t="s">
        <v>1323</v>
      </c>
      <c r="O1200" s="189" t="s">
        <v>713</v>
      </c>
      <c r="P1200" s="189" t="s">
        <v>111</v>
      </c>
      <c r="Q1200" s="189" t="s">
        <v>112</v>
      </c>
      <c r="R1200" s="189" t="s">
        <v>22</v>
      </c>
      <c r="S1200" s="189" t="s">
        <v>120</v>
      </c>
      <c r="T1200" s="189" t="s">
        <v>180</v>
      </c>
      <c r="U1200" s="189" t="s">
        <v>122</v>
      </c>
      <c r="V1200" s="189" t="s">
        <v>192</v>
      </c>
      <c r="W1200" s="189" t="s">
        <v>124</v>
      </c>
      <c r="X1200" s="189" t="s">
        <v>339</v>
      </c>
      <c r="Y1200" s="189" t="s">
        <v>2113</v>
      </c>
      <c r="Z1200" s="0" t="n">
        <v>2</v>
      </c>
      <c r="AA1200" s="189" t="s">
        <v>2189</v>
      </c>
    </row>
    <row r="1201" customFormat="false" ht="15" hidden="false" customHeight="false" outlineLevel="0" collapsed="false">
      <c r="A1201" s="0" t="n">
        <v>256</v>
      </c>
      <c r="B1201" s="191" t="n">
        <v>46146.0495949425</v>
      </c>
      <c r="C1201" s="191" t="n">
        <v>46146.0650810536</v>
      </c>
      <c r="D1201" s="189" t="s">
        <v>1777</v>
      </c>
      <c r="E1201" s="189" t="s">
        <v>1778</v>
      </c>
      <c r="F1201" s="189" t="s">
        <v>1779</v>
      </c>
      <c r="G1201" s="189" t="s">
        <v>1780</v>
      </c>
      <c r="H1201" s="191" t="n">
        <v>46140</v>
      </c>
      <c r="I1201" s="189" t="s">
        <v>113</v>
      </c>
      <c r="J1201" s="189" t="s">
        <v>108</v>
      </c>
      <c r="K1201" s="189" t="s">
        <v>257</v>
      </c>
      <c r="L1201" s="189" t="s">
        <v>159</v>
      </c>
      <c r="M1201" s="189" t="s">
        <v>1313</v>
      </c>
      <c r="N1201" s="189" t="s">
        <v>1781</v>
      </c>
      <c r="O1201" s="189" t="s">
        <v>713</v>
      </c>
      <c r="P1201" s="189" t="s">
        <v>111</v>
      </c>
      <c r="Q1201" s="189" t="s">
        <v>112</v>
      </c>
      <c r="R1201" s="189" t="s">
        <v>21</v>
      </c>
      <c r="S1201" s="189" t="s">
        <v>152</v>
      </c>
      <c r="T1201" s="189" t="s">
        <v>180</v>
      </c>
      <c r="U1201" s="189" t="s">
        <v>122</v>
      </c>
      <c r="V1201" s="189" t="s">
        <v>192</v>
      </c>
      <c r="W1201" s="189" t="s">
        <v>124</v>
      </c>
      <c r="X1201" s="189" t="s">
        <v>348</v>
      </c>
      <c r="Y1201" s="189" t="s">
        <v>2108</v>
      </c>
      <c r="Z1201" s="0" t="n">
        <v>1</v>
      </c>
      <c r="AA1201" s="189" t="s">
        <v>2356</v>
      </c>
    </row>
    <row r="1202" customFormat="false" ht="15" hidden="false" customHeight="false" outlineLevel="0" collapsed="false">
      <c r="A1202" s="0" t="n">
        <v>256</v>
      </c>
      <c r="B1202" s="191" t="n">
        <v>46146.0495949425</v>
      </c>
      <c r="C1202" s="191" t="n">
        <v>46146.0650810536</v>
      </c>
      <c r="D1202" s="189" t="s">
        <v>1777</v>
      </c>
      <c r="E1202" s="189" t="s">
        <v>1778</v>
      </c>
      <c r="F1202" s="189" t="s">
        <v>1779</v>
      </c>
      <c r="G1202" s="189" t="s">
        <v>1780</v>
      </c>
      <c r="H1202" s="191" t="n">
        <v>46140</v>
      </c>
      <c r="I1202" s="189" t="s">
        <v>113</v>
      </c>
      <c r="J1202" s="189" t="s">
        <v>108</v>
      </c>
      <c r="K1202" s="189" t="s">
        <v>257</v>
      </c>
      <c r="L1202" s="189" t="s">
        <v>159</v>
      </c>
      <c r="M1202" s="189" t="s">
        <v>1313</v>
      </c>
      <c r="N1202" s="189" t="s">
        <v>1781</v>
      </c>
      <c r="O1202" s="189" t="s">
        <v>713</v>
      </c>
      <c r="P1202" s="189" t="s">
        <v>111</v>
      </c>
      <c r="Q1202" s="189" t="s">
        <v>112</v>
      </c>
      <c r="R1202" s="189" t="s">
        <v>21</v>
      </c>
      <c r="S1202" s="189" t="s">
        <v>152</v>
      </c>
      <c r="T1202" s="189" t="s">
        <v>180</v>
      </c>
      <c r="U1202" s="189" t="s">
        <v>122</v>
      </c>
      <c r="V1202" s="189" t="s">
        <v>192</v>
      </c>
      <c r="W1202" s="189" t="s">
        <v>124</v>
      </c>
      <c r="X1202" s="189" t="s">
        <v>348</v>
      </c>
      <c r="Y1202" s="189" t="s">
        <v>2108</v>
      </c>
      <c r="Z1202" s="0" t="n">
        <v>2</v>
      </c>
      <c r="AA1202" s="189" t="s">
        <v>2208</v>
      </c>
    </row>
    <row r="1203" customFormat="false" ht="15" hidden="false" customHeight="false" outlineLevel="0" collapsed="false">
      <c r="A1203" s="0" t="n">
        <v>256</v>
      </c>
      <c r="B1203" s="191" t="n">
        <v>46146.0495949425</v>
      </c>
      <c r="C1203" s="191" t="n">
        <v>46146.0650810536</v>
      </c>
      <c r="D1203" s="189" t="s">
        <v>1777</v>
      </c>
      <c r="E1203" s="189" t="s">
        <v>1778</v>
      </c>
      <c r="F1203" s="189" t="s">
        <v>1779</v>
      </c>
      <c r="G1203" s="189" t="s">
        <v>1780</v>
      </c>
      <c r="H1203" s="191" t="n">
        <v>46140</v>
      </c>
      <c r="I1203" s="189" t="s">
        <v>113</v>
      </c>
      <c r="J1203" s="189" t="s">
        <v>108</v>
      </c>
      <c r="K1203" s="189" t="s">
        <v>257</v>
      </c>
      <c r="L1203" s="189" t="s">
        <v>159</v>
      </c>
      <c r="M1203" s="189" t="s">
        <v>1313</v>
      </c>
      <c r="N1203" s="189" t="s">
        <v>1781</v>
      </c>
      <c r="O1203" s="189" t="s">
        <v>713</v>
      </c>
      <c r="P1203" s="189" t="s">
        <v>111</v>
      </c>
      <c r="Q1203" s="189" t="s">
        <v>112</v>
      </c>
      <c r="R1203" s="189" t="s">
        <v>21</v>
      </c>
      <c r="S1203" s="189" t="s">
        <v>152</v>
      </c>
      <c r="T1203" s="189" t="s">
        <v>180</v>
      </c>
      <c r="U1203" s="189" t="s">
        <v>122</v>
      </c>
      <c r="V1203" s="189" t="s">
        <v>192</v>
      </c>
      <c r="W1203" s="189" t="s">
        <v>124</v>
      </c>
      <c r="X1203" s="189" t="s">
        <v>348</v>
      </c>
      <c r="Y1203" s="189" t="s">
        <v>2110</v>
      </c>
      <c r="Z1203" s="0" t="n">
        <v>1</v>
      </c>
      <c r="AA1203" s="189" t="s">
        <v>2191</v>
      </c>
    </row>
    <row r="1204" customFormat="false" ht="15" hidden="false" customHeight="false" outlineLevel="0" collapsed="false">
      <c r="A1204" s="0" t="n">
        <v>256</v>
      </c>
      <c r="B1204" s="191" t="n">
        <v>46146.0495949425</v>
      </c>
      <c r="C1204" s="191" t="n">
        <v>46146.0650810536</v>
      </c>
      <c r="D1204" s="189" t="s">
        <v>1777</v>
      </c>
      <c r="E1204" s="189" t="s">
        <v>1778</v>
      </c>
      <c r="F1204" s="189" t="s">
        <v>1779</v>
      </c>
      <c r="G1204" s="189" t="s">
        <v>1780</v>
      </c>
      <c r="H1204" s="191" t="n">
        <v>46140</v>
      </c>
      <c r="I1204" s="189" t="s">
        <v>113</v>
      </c>
      <c r="J1204" s="189" t="s">
        <v>108</v>
      </c>
      <c r="K1204" s="189" t="s">
        <v>257</v>
      </c>
      <c r="L1204" s="189" t="s">
        <v>159</v>
      </c>
      <c r="M1204" s="189" t="s">
        <v>1313</v>
      </c>
      <c r="N1204" s="189" t="s">
        <v>1781</v>
      </c>
      <c r="O1204" s="189" t="s">
        <v>713</v>
      </c>
      <c r="P1204" s="189" t="s">
        <v>111</v>
      </c>
      <c r="Q1204" s="189" t="s">
        <v>112</v>
      </c>
      <c r="R1204" s="189" t="s">
        <v>21</v>
      </c>
      <c r="S1204" s="189" t="s">
        <v>152</v>
      </c>
      <c r="T1204" s="189" t="s">
        <v>180</v>
      </c>
      <c r="U1204" s="189" t="s">
        <v>122</v>
      </c>
      <c r="V1204" s="189" t="s">
        <v>192</v>
      </c>
      <c r="W1204" s="189" t="s">
        <v>124</v>
      </c>
      <c r="X1204" s="189" t="s">
        <v>348</v>
      </c>
      <c r="Y1204" s="189" t="s">
        <v>2113</v>
      </c>
      <c r="Z1204" s="0" t="n">
        <v>1</v>
      </c>
      <c r="AA1204" s="189" t="s">
        <v>2308</v>
      </c>
    </row>
    <row r="1205" customFormat="false" ht="15" hidden="false" customHeight="false" outlineLevel="0" collapsed="false">
      <c r="A1205" s="0" t="n">
        <v>257</v>
      </c>
      <c r="B1205" s="191" t="n">
        <v>46144.2239287234</v>
      </c>
      <c r="C1205" s="191" t="n">
        <v>46144.2385699271</v>
      </c>
      <c r="D1205" s="189" t="s">
        <v>1784</v>
      </c>
      <c r="E1205" s="189" t="s">
        <v>1785</v>
      </c>
      <c r="F1205" s="189" t="s">
        <v>1785</v>
      </c>
      <c r="G1205" s="189" t="s">
        <v>1786</v>
      </c>
      <c r="H1205" s="191" t="n">
        <v>46138</v>
      </c>
      <c r="I1205" s="189" t="s">
        <v>113</v>
      </c>
      <c r="J1205" s="189" t="s">
        <v>295</v>
      </c>
      <c r="K1205" s="189" t="s">
        <v>1787</v>
      </c>
      <c r="L1205" s="189" t="s">
        <v>110</v>
      </c>
      <c r="M1205" s="189" t="s">
        <v>160</v>
      </c>
      <c r="N1205" s="189" t="s">
        <v>469</v>
      </c>
      <c r="O1205" s="189" t="s">
        <v>405</v>
      </c>
      <c r="P1205" s="189" t="s">
        <v>111</v>
      </c>
      <c r="Q1205" s="189" t="s">
        <v>112</v>
      </c>
      <c r="R1205" s="189" t="s">
        <v>22</v>
      </c>
      <c r="S1205" s="189" t="s">
        <v>152</v>
      </c>
      <c r="T1205" s="189" t="s">
        <v>121</v>
      </c>
      <c r="V1205" s="189" t="s">
        <v>192</v>
      </c>
      <c r="W1205" s="189" t="s">
        <v>124</v>
      </c>
      <c r="X1205" s="189" t="s">
        <v>271</v>
      </c>
      <c r="Y1205" s="189" t="s">
        <v>2108</v>
      </c>
      <c r="Z1205" s="0" t="n">
        <v>1</v>
      </c>
      <c r="AA1205" s="189" t="s">
        <v>2180</v>
      </c>
    </row>
    <row r="1206" customFormat="false" ht="15" hidden="false" customHeight="false" outlineLevel="0" collapsed="false">
      <c r="A1206" s="0" t="n">
        <v>257</v>
      </c>
      <c r="B1206" s="191" t="n">
        <v>46144.2239287234</v>
      </c>
      <c r="C1206" s="191" t="n">
        <v>46144.2385699271</v>
      </c>
      <c r="D1206" s="189" t="s">
        <v>1784</v>
      </c>
      <c r="E1206" s="189" t="s">
        <v>1785</v>
      </c>
      <c r="F1206" s="189" t="s">
        <v>1785</v>
      </c>
      <c r="G1206" s="189" t="s">
        <v>1786</v>
      </c>
      <c r="H1206" s="191" t="n">
        <v>46138</v>
      </c>
      <c r="I1206" s="189" t="s">
        <v>113</v>
      </c>
      <c r="J1206" s="189" t="s">
        <v>295</v>
      </c>
      <c r="K1206" s="189" t="s">
        <v>1787</v>
      </c>
      <c r="L1206" s="189" t="s">
        <v>110</v>
      </c>
      <c r="M1206" s="189" t="s">
        <v>160</v>
      </c>
      <c r="N1206" s="189" t="s">
        <v>469</v>
      </c>
      <c r="O1206" s="189" t="s">
        <v>405</v>
      </c>
      <c r="P1206" s="189" t="s">
        <v>111</v>
      </c>
      <c r="Q1206" s="189" t="s">
        <v>112</v>
      </c>
      <c r="R1206" s="189" t="s">
        <v>22</v>
      </c>
      <c r="S1206" s="189" t="s">
        <v>152</v>
      </c>
      <c r="T1206" s="189" t="s">
        <v>121</v>
      </c>
      <c r="V1206" s="189" t="s">
        <v>192</v>
      </c>
      <c r="W1206" s="189" t="s">
        <v>124</v>
      </c>
      <c r="X1206" s="189" t="s">
        <v>271</v>
      </c>
      <c r="Y1206" s="189" t="s">
        <v>2108</v>
      </c>
      <c r="Z1206" s="0" t="n">
        <v>2</v>
      </c>
      <c r="AA1206" s="189" t="s">
        <v>2179</v>
      </c>
    </row>
    <row r="1207" customFormat="false" ht="15" hidden="false" customHeight="false" outlineLevel="0" collapsed="false">
      <c r="A1207" s="0" t="n">
        <v>257</v>
      </c>
      <c r="B1207" s="191" t="n">
        <v>46144.2239287234</v>
      </c>
      <c r="C1207" s="191" t="n">
        <v>46144.2385699271</v>
      </c>
      <c r="D1207" s="189" t="s">
        <v>1784</v>
      </c>
      <c r="E1207" s="189" t="s">
        <v>1785</v>
      </c>
      <c r="F1207" s="189" t="s">
        <v>1785</v>
      </c>
      <c r="G1207" s="189" t="s">
        <v>1786</v>
      </c>
      <c r="H1207" s="191" t="n">
        <v>46138</v>
      </c>
      <c r="I1207" s="189" t="s">
        <v>113</v>
      </c>
      <c r="J1207" s="189" t="s">
        <v>295</v>
      </c>
      <c r="K1207" s="189" t="s">
        <v>1787</v>
      </c>
      <c r="L1207" s="189" t="s">
        <v>110</v>
      </c>
      <c r="M1207" s="189" t="s">
        <v>160</v>
      </c>
      <c r="N1207" s="189" t="s">
        <v>469</v>
      </c>
      <c r="O1207" s="189" t="s">
        <v>405</v>
      </c>
      <c r="P1207" s="189" t="s">
        <v>111</v>
      </c>
      <c r="Q1207" s="189" t="s">
        <v>112</v>
      </c>
      <c r="R1207" s="189" t="s">
        <v>22</v>
      </c>
      <c r="S1207" s="189" t="s">
        <v>152</v>
      </c>
      <c r="T1207" s="189" t="s">
        <v>121</v>
      </c>
      <c r="V1207" s="189" t="s">
        <v>192</v>
      </c>
      <c r="W1207" s="189" t="s">
        <v>124</v>
      </c>
      <c r="X1207" s="189" t="s">
        <v>271</v>
      </c>
      <c r="Y1207" s="189" t="s">
        <v>2108</v>
      </c>
      <c r="Z1207" s="0" t="n">
        <v>3</v>
      </c>
      <c r="AA1207" s="189" t="s">
        <v>2274</v>
      </c>
    </row>
    <row r="1208" customFormat="false" ht="15" hidden="false" customHeight="false" outlineLevel="0" collapsed="false">
      <c r="A1208" s="0" t="n">
        <v>257</v>
      </c>
      <c r="B1208" s="191" t="n">
        <v>46144.2239287234</v>
      </c>
      <c r="C1208" s="191" t="n">
        <v>46144.2385699271</v>
      </c>
      <c r="D1208" s="189" t="s">
        <v>1784</v>
      </c>
      <c r="E1208" s="189" t="s">
        <v>1785</v>
      </c>
      <c r="F1208" s="189" t="s">
        <v>1785</v>
      </c>
      <c r="G1208" s="189" t="s">
        <v>1786</v>
      </c>
      <c r="H1208" s="191" t="n">
        <v>46138</v>
      </c>
      <c r="I1208" s="189" t="s">
        <v>113</v>
      </c>
      <c r="J1208" s="189" t="s">
        <v>295</v>
      </c>
      <c r="K1208" s="189" t="s">
        <v>1787</v>
      </c>
      <c r="L1208" s="189" t="s">
        <v>110</v>
      </c>
      <c r="M1208" s="189" t="s">
        <v>160</v>
      </c>
      <c r="N1208" s="189" t="s">
        <v>469</v>
      </c>
      <c r="O1208" s="189" t="s">
        <v>405</v>
      </c>
      <c r="P1208" s="189" t="s">
        <v>111</v>
      </c>
      <c r="Q1208" s="189" t="s">
        <v>112</v>
      </c>
      <c r="R1208" s="189" t="s">
        <v>22</v>
      </c>
      <c r="S1208" s="189" t="s">
        <v>152</v>
      </c>
      <c r="T1208" s="189" t="s">
        <v>121</v>
      </c>
      <c r="V1208" s="189" t="s">
        <v>192</v>
      </c>
      <c r="W1208" s="189" t="s">
        <v>124</v>
      </c>
      <c r="X1208" s="189" t="s">
        <v>271</v>
      </c>
      <c r="Y1208" s="189" t="s">
        <v>2110</v>
      </c>
      <c r="Z1208" s="0" t="n">
        <v>1</v>
      </c>
      <c r="AA1208" s="189" t="s">
        <v>2182</v>
      </c>
    </row>
    <row r="1209" customFormat="false" ht="15" hidden="false" customHeight="false" outlineLevel="0" collapsed="false">
      <c r="A1209" s="0" t="n">
        <v>257</v>
      </c>
      <c r="B1209" s="191" t="n">
        <v>46144.2239287234</v>
      </c>
      <c r="C1209" s="191" t="n">
        <v>46144.2385699271</v>
      </c>
      <c r="D1209" s="189" t="s">
        <v>1784</v>
      </c>
      <c r="E1209" s="189" t="s">
        <v>1785</v>
      </c>
      <c r="F1209" s="189" t="s">
        <v>1785</v>
      </c>
      <c r="G1209" s="189" t="s">
        <v>1786</v>
      </c>
      <c r="H1209" s="191" t="n">
        <v>46138</v>
      </c>
      <c r="I1209" s="189" t="s">
        <v>113</v>
      </c>
      <c r="J1209" s="189" t="s">
        <v>295</v>
      </c>
      <c r="K1209" s="189" t="s">
        <v>1787</v>
      </c>
      <c r="L1209" s="189" t="s">
        <v>110</v>
      </c>
      <c r="M1209" s="189" t="s">
        <v>160</v>
      </c>
      <c r="N1209" s="189" t="s">
        <v>469</v>
      </c>
      <c r="O1209" s="189" t="s">
        <v>405</v>
      </c>
      <c r="P1209" s="189" t="s">
        <v>111</v>
      </c>
      <c r="Q1209" s="189" t="s">
        <v>112</v>
      </c>
      <c r="R1209" s="189" t="s">
        <v>22</v>
      </c>
      <c r="S1209" s="189" t="s">
        <v>152</v>
      </c>
      <c r="T1209" s="189" t="s">
        <v>121</v>
      </c>
      <c r="V1209" s="189" t="s">
        <v>192</v>
      </c>
      <c r="W1209" s="189" t="s">
        <v>124</v>
      </c>
      <c r="X1209" s="189" t="s">
        <v>271</v>
      </c>
      <c r="Y1209" s="189" t="s">
        <v>2113</v>
      </c>
      <c r="Z1209" s="0" t="n">
        <v>1</v>
      </c>
      <c r="AA1209" s="189" t="s">
        <v>2162</v>
      </c>
    </row>
    <row r="1210" customFormat="false" ht="15" hidden="false" customHeight="false" outlineLevel="0" collapsed="false">
      <c r="A1210" s="0" t="n">
        <v>257</v>
      </c>
      <c r="B1210" s="191" t="n">
        <v>46144.2239287234</v>
      </c>
      <c r="C1210" s="191" t="n">
        <v>46144.2385699271</v>
      </c>
      <c r="D1210" s="189" t="s">
        <v>1784</v>
      </c>
      <c r="E1210" s="189" t="s">
        <v>1785</v>
      </c>
      <c r="F1210" s="189" t="s">
        <v>1785</v>
      </c>
      <c r="G1210" s="189" t="s">
        <v>1786</v>
      </c>
      <c r="H1210" s="191" t="n">
        <v>46138</v>
      </c>
      <c r="I1210" s="189" t="s">
        <v>113</v>
      </c>
      <c r="J1210" s="189" t="s">
        <v>295</v>
      </c>
      <c r="K1210" s="189" t="s">
        <v>1787</v>
      </c>
      <c r="L1210" s="189" t="s">
        <v>110</v>
      </c>
      <c r="M1210" s="189" t="s">
        <v>160</v>
      </c>
      <c r="N1210" s="189" t="s">
        <v>469</v>
      </c>
      <c r="O1210" s="189" t="s">
        <v>405</v>
      </c>
      <c r="P1210" s="189" t="s">
        <v>111</v>
      </c>
      <c r="Q1210" s="189" t="s">
        <v>112</v>
      </c>
      <c r="R1210" s="189" t="s">
        <v>22</v>
      </c>
      <c r="S1210" s="189" t="s">
        <v>152</v>
      </c>
      <c r="T1210" s="189" t="s">
        <v>121</v>
      </c>
      <c r="V1210" s="189" t="s">
        <v>192</v>
      </c>
      <c r="W1210" s="189" t="s">
        <v>124</v>
      </c>
      <c r="X1210" s="189" t="s">
        <v>271</v>
      </c>
      <c r="Y1210" s="189" t="s">
        <v>2113</v>
      </c>
      <c r="Z1210" s="0" t="n">
        <v>2</v>
      </c>
      <c r="AA1210" s="189" t="s">
        <v>2163</v>
      </c>
    </row>
    <row r="1211" customFormat="false" ht="15" hidden="false" customHeight="false" outlineLevel="0" collapsed="false">
      <c r="A1211" s="0" t="n">
        <v>258</v>
      </c>
      <c r="B1211" s="191" t="n">
        <v>46213.1032801501</v>
      </c>
      <c r="C1211" s="191" t="n">
        <v>46213.1222037612</v>
      </c>
      <c r="D1211" s="189" t="s">
        <v>1789</v>
      </c>
      <c r="E1211" s="189" t="s">
        <v>1790</v>
      </c>
      <c r="F1211" s="189" t="s">
        <v>1790</v>
      </c>
      <c r="G1211" s="189" t="s">
        <v>1791</v>
      </c>
      <c r="H1211" s="191" t="n">
        <v>46208</v>
      </c>
      <c r="I1211" s="189" t="s">
        <v>113</v>
      </c>
      <c r="J1211" s="189" t="s">
        <v>108</v>
      </c>
      <c r="K1211" s="189" t="s">
        <v>1792</v>
      </c>
      <c r="L1211" s="189" t="s">
        <v>491</v>
      </c>
      <c r="M1211" s="189" t="s">
        <v>797</v>
      </c>
      <c r="N1211" s="189" t="s">
        <v>1622</v>
      </c>
      <c r="O1211" s="189" t="s">
        <v>278</v>
      </c>
      <c r="P1211" s="189" t="s">
        <v>111</v>
      </c>
      <c r="Q1211" s="189" t="s">
        <v>112</v>
      </c>
      <c r="R1211" s="189" t="s">
        <v>22</v>
      </c>
      <c r="S1211" s="189" t="s">
        <v>120</v>
      </c>
      <c r="T1211" s="189" t="s">
        <v>352</v>
      </c>
      <c r="U1211" s="189" t="s">
        <v>122</v>
      </c>
      <c r="V1211" s="189" t="s">
        <v>123</v>
      </c>
      <c r="W1211" s="189" t="s">
        <v>124</v>
      </c>
      <c r="X1211" s="189" t="s">
        <v>271</v>
      </c>
      <c r="Y1211" s="189" t="s">
        <v>2108</v>
      </c>
      <c r="Z1211" s="0" t="n">
        <v>1</v>
      </c>
      <c r="AA1211" s="189" t="s">
        <v>2159</v>
      </c>
    </row>
    <row r="1212" customFormat="false" ht="15" hidden="false" customHeight="false" outlineLevel="0" collapsed="false">
      <c r="A1212" s="0" t="n">
        <v>258</v>
      </c>
      <c r="B1212" s="191" t="n">
        <v>46213.1032801501</v>
      </c>
      <c r="C1212" s="191" t="n">
        <v>46213.1222037612</v>
      </c>
      <c r="D1212" s="189" t="s">
        <v>1789</v>
      </c>
      <c r="E1212" s="189" t="s">
        <v>1790</v>
      </c>
      <c r="F1212" s="189" t="s">
        <v>1790</v>
      </c>
      <c r="G1212" s="189" t="s">
        <v>1791</v>
      </c>
      <c r="H1212" s="191" t="n">
        <v>46208</v>
      </c>
      <c r="I1212" s="189" t="s">
        <v>113</v>
      </c>
      <c r="J1212" s="189" t="s">
        <v>108</v>
      </c>
      <c r="K1212" s="189" t="s">
        <v>1792</v>
      </c>
      <c r="L1212" s="189" t="s">
        <v>491</v>
      </c>
      <c r="M1212" s="189" t="s">
        <v>797</v>
      </c>
      <c r="N1212" s="189" t="s">
        <v>1622</v>
      </c>
      <c r="O1212" s="189" t="s">
        <v>278</v>
      </c>
      <c r="P1212" s="189" t="s">
        <v>111</v>
      </c>
      <c r="Q1212" s="189" t="s">
        <v>112</v>
      </c>
      <c r="R1212" s="189" t="s">
        <v>22</v>
      </c>
      <c r="S1212" s="189" t="s">
        <v>120</v>
      </c>
      <c r="T1212" s="189" t="s">
        <v>352</v>
      </c>
      <c r="U1212" s="189" t="s">
        <v>122</v>
      </c>
      <c r="V1212" s="189" t="s">
        <v>123</v>
      </c>
      <c r="W1212" s="189" t="s">
        <v>124</v>
      </c>
      <c r="X1212" s="189" t="s">
        <v>271</v>
      </c>
      <c r="Y1212" s="189" t="s">
        <v>2110</v>
      </c>
      <c r="Z1212" s="0" t="n">
        <v>1</v>
      </c>
      <c r="AA1212" s="189" t="s">
        <v>2161</v>
      </c>
    </row>
    <row r="1213" customFormat="false" ht="15" hidden="false" customHeight="false" outlineLevel="0" collapsed="false">
      <c r="A1213" s="0" t="n">
        <v>258</v>
      </c>
      <c r="B1213" s="191" t="n">
        <v>46213.1032801501</v>
      </c>
      <c r="C1213" s="191" t="n">
        <v>46213.1222037612</v>
      </c>
      <c r="D1213" s="189" t="s">
        <v>1789</v>
      </c>
      <c r="E1213" s="189" t="s">
        <v>1790</v>
      </c>
      <c r="F1213" s="189" t="s">
        <v>1790</v>
      </c>
      <c r="G1213" s="189" t="s">
        <v>1791</v>
      </c>
      <c r="H1213" s="191" t="n">
        <v>46208</v>
      </c>
      <c r="I1213" s="189" t="s">
        <v>113</v>
      </c>
      <c r="J1213" s="189" t="s">
        <v>108</v>
      </c>
      <c r="K1213" s="189" t="s">
        <v>1792</v>
      </c>
      <c r="L1213" s="189" t="s">
        <v>491</v>
      </c>
      <c r="M1213" s="189" t="s">
        <v>797</v>
      </c>
      <c r="N1213" s="189" t="s">
        <v>1622</v>
      </c>
      <c r="O1213" s="189" t="s">
        <v>278</v>
      </c>
      <c r="P1213" s="189" t="s">
        <v>111</v>
      </c>
      <c r="Q1213" s="189" t="s">
        <v>112</v>
      </c>
      <c r="R1213" s="189" t="s">
        <v>22</v>
      </c>
      <c r="S1213" s="189" t="s">
        <v>120</v>
      </c>
      <c r="T1213" s="189" t="s">
        <v>352</v>
      </c>
      <c r="U1213" s="189" t="s">
        <v>122</v>
      </c>
      <c r="V1213" s="189" t="s">
        <v>123</v>
      </c>
      <c r="W1213" s="189" t="s">
        <v>124</v>
      </c>
      <c r="X1213" s="189" t="s">
        <v>271</v>
      </c>
      <c r="Y1213" s="189" t="s">
        <v>2113</v>
      </c>
      <c r="Z1213" s="0" t="n">
        <v>1</v>
      </c>
      <c r="AA1213" s="189" t="s">
        <v>2162</v>
      </c>
    </row>
    <row r="1214" customFormat="false" ht="15" hidden="false" customHeight="false" outlineLevel="0" collapsed="false">
      <c r="A1214" s="0" t="n">
        <v>258</v>
      </c>
      <c r="B1214" s="191" t="n">
        <v>46213.1032801501</v>
      </c>
      <c r="C1214" s="191" t="n">
        <v>46213.1222037612</v>
      </c>
      <c r="D1214" s="189" t="s">
        <v>1789</v>
      </c>
      <c r="E1214" s="189" t="s">
        <v>1790</v>
      </c>
      <c r="F1214" s="189" t="s">
        <v>1790</v>
      </c>
      <c r="G1214" s="189" t="s">
        <v>1791</v>
      </c>
      <c r="H1214" s="191" t="n">
        <v>46208</v>
      </c>
      <c r="I1214" s="189" t="s">
        <v>113</v>
      </c>
      <c r="J1214" s="189" t="s">
        <v>108</v>
      </c>
      <c r="K1214" s="189" t="s">
        <v>1792</v>
      </c>
      <c r="L1214" s="189" t="s">
        <v>491</v>
      </c>
      <c r="M1214" s="189" t="s">
        <v>797</v>
      </c>
      <c r="N1214" s="189" t="s">
        <v>1622</v>
      </c>
      <c r="O1214" s="189" t="s">
        <v>278</v>
      </c>
      <c r="P1214" s="189" t="s">
        <v>111</v>
      </c>
      <c r="Q1214" s="189" t="s">
        <v>112</v>
      </c>
      <c r="R1214" s="189" t="s">
        <v>22</v>
      </c>
      <c r="S1214" s="189" t="s">
        <v>120</v>
      </c>
      <c r="T1214" s="189" t="s">
        <v>352</v>
      </c>
      <c r="U1214" s="189" t="s">
        <v>122</v>
      </c>
      <c r="V1214" s="189" t="s">
        <v>123</v>
      </c>
      <c r="W1214" s="189" t="s">
        <v>124</v>
      </c>
      <c r="X1214" s="189" t="s">
        <v>271</v>
      </c>
      <c r="Y1214" s="189" t="s">
        <v>2113</v>
      </c>
      <c r="Z1214" s="0" t="n">
        <v>2</v>
      </c>
      <c r="AA1214" s="189" t="s">
        <v>122</v>
      </c>
    </row>
    <row r="1215" customFormat="false" ht="15" hidden="false" customHeight="false" outlineLevel="0" collapsed="false">
      <c r="A1215" s="0" t="n">
        <v>259</v>
      </c>
      <c r="B1215" s="191" t="n">
        <v>46162.953377362</v>
      </c>
      <c r="C1215" s="191" t="n">
        <v>46162.9708194916</v>
      </c>
      <c r="D1215" s="189" t="s">
        <v>1793</v>
      </c>
      <c r="E1215" s="189" t="s">
        <v>1794</v>
      </c>
      <c r="F1215" s="189" t="s">
        <v>1794</v>
      </c>
      <c r="G1215" s="189" t="s">
        <v>1795</v>
      </c>
      <c r="H1215" s="191" t="n">
        <v>46159</v>
      </c>
      <c r="I1215" s="189" t="s">
        <v>1333</v>
      </c>
      <c r="J1215" s="189" t="s">
        <v>108</v>
      </c>
      <c r="K1215" s="189" t="s">
        <v>257</v>
      </c>
      <c r="L1215" s="189" t="s">
        <v>491</v>
      </c>
      <c r="M1215" s="189" t="s">
        <v>515</v>
      </c>
      <c r="N1215" s="189" t="s">
        <v>270</v>
      </c>
      <c r="O1215" s="189" t="s">
        <v>172</v>
      </c>
      <c r="P1215" s="189" t="s">
        <v>111</v>
      </c>
      <c r="Q1215" s="189" t="s">
        <v>247</v>
      </c>
      <c r="R1215" s="189" t="s">
        <v>24</v>
      </c>
      <c r="S1215" s="189" t="s">
        <v>120</v>
      </c>
      <c r="T1215" s="189" t="s">
        <v>121</v>
      </c>
      <c r="U1215" s="189" t="s">
        <v>122</v>
      </c>
      <c r="V1215" s="189" t="s">
        <v>167</v>
      </c>
      <c r="W1215" s="189" t="s">
        <v>168</v>
      </c>
      <c r="X1215" s="189" t="s">
        <v>260</v>
      </c>
      <c r="Y1215" s="189" t="s">
        <v>2108</v>
      </c>
      <c r="Z1215" s="0" t="n">
        <v>1</v>
      </c>
      <c r="AA1215" s="189" t="s">
        <v>2303</v>
      </c>
    </row>
    <row r="1216" customFormat="false" ht="15" hidden="false" customHeight="false" outlineLevel="0" collapsed="false">
      <c r="A1216" s="0" t="n">
        <v>259</v>
      </c>
      <c r="B1216" s="191" t="n">
        <v>46162.953377362</v>
      </c>
      <c r="C1216" s="191" t="n">
        <v>46162.9708194916</v>
      </c>
      <c r="D1216" s="189" t="s">
        <v>1793</v>
      </c>
      <c r="E1216" s="189" t="s">
        <v>1794</v>
      </c>
      <c r="F1216" s="189" t="s">
        <v>1794</v>
      </c>
      <c r="G1216" s="189" t="s">
        <v>1795</v>
      </c>
      <c r="H1216" s="191" t="n">
        <v>46159</v>
      </c>
      <c r="I1216" s="189" t="s">
        <v>1333</v>
      </c>
      <c r="J1216" s="189" t="s">
        <v>108</v>
      </c>
      <c r="K1216" s="189" t="s">
        <v>257</v>
      </c>
      <c r="L1216" s="189" t="s">
        <v>491</v>
      </c>
      <c r="M1216" s="189" t="s">
        <v>515</v>
      </c>
      <c r="N1216" s="189" t="s">
        <v>270</v>
      </c>
      <c r="O1216" s="189" t="s">
        <v>172</v>
      </c>
      <c r="P1216" s="189" t="s">
        <v>111</v>
      </c>
      <c r="Q1216" s="189" t="s">
        <v>247</v>
      </c>
      <c r="R1216" s="189" t="s">
        <v>24</v>
      </c>
      <c r="S1216" s="189" t="s">
        <v>120</v>
      </c>
      <c r="T1216" s="189" t="s">
        <v>121</v>
      </c>
      <c r="U1216" s="189" t="s">
        <v>122</v>
      </c>
      <c r="V1216" s="189" t="s">
        <v>167</v>
      </c>
      <c r="W1216" s="189" t="s">
        <v>168</v>
      </c>
      <c r="X1216" s="189" t="s">
        <v>260</v>
      </c>
      <c r="Y1216" s="189" t="s">
        <v>2110</v>
      </c>
      <c r="Z1216" s="0" t="n">
        <v>1</v>
      </c>
      <c r="AA1216" s="189" t="s">
        <v>2155</v>
      </c>
    </row>
    <row r="1217" customFormat="false" ht="15" hidden="false" customHeight="false" outlineLevel="0" collapsed="false">
      <c r="A1217" s="0" t="n">
        <v>259</v>
      </c>
      <c r="B1217" s="191" t="n">
        <v>46162.953377362</v>
      </c>
      <c r="C1217" s="191" t="n">
        <v>46162.9708194916</v>
      </c>
      <c r="D1217" s="189" t="s">
        <v>1793</v>
      </c>
      <c r="E1217" s="189" t="s">
        <v>1794</v>
      </c>
      <c r="F1217" s="189" t="s">
        <v>1794</v>
      </c>
      <c r="G1217" s="189" t="s">
        <v>1795</v>
      </c>
      <c r="H1217" s="191" t="n">
        <v>46159</v>
      </c>
      <c r="I1217" s="189" t="s">
        <v>1333</v>
      </c>
      <c r="J1217" s="189" t="s">
        <v>108</v>
      </c>
      <c r="K1217" s="189" t="s">
        <v>257</v>
      </c>
      <c r="L1217" s="189" t="s">
        <v>491</v>
      </c>
      <c r="M1217" s="189" t="s">
        <v>515</v>
      </c>
      <c r="N1217" s="189" t="s">
        <v>270</v>
      </c>
      <c r="O1217" s="189" t="s">
        <v>172</v>
      </c>
      <c r="P1217" s="189" t="s">
        <v>111</v>
      </c>
      <c r="Q1217" s="189" t="s">
        <v>247</v>
      </c>
      <c r="R1217" s="189" t="s">
        <v>24</v>
      </c>
      <c r="S1217" s="189" t="s">
        <v>120</v>
      </c>
      <c r="T1217" s="189" t="s">
        <v>121</v>
      </c>
      <c r="U1217" s="189" t="s">
        <v>122</v>
      </c>
      <c r="V1217" s="189" t="s">
        <v>167</v>
      </c>
      <c r="W1217" s="189" t="s">
        <v>168</v>
      </c>
      <c r="X1217" s="189" t="s">
        <v>260</v>
      </c>
      <c r="Y1217" s="189" t="s">
        <v>2113</v>
      </c>
      <c r="Z1217" s="0" t="n">
        <v>1</v>
      </c>
      <c r="AA1217" s="189" t="s">
        <v>606</v>
      </c>
    </row>
    <row r="1218" customFormat="false" ht="15" hidden="false" customHeight="false" outlineLevel="0" collapsed="false">
      <c r="A1218" s="0" t="n">
        <v>260</v>
      </c>
      <c r="B1218" s="191" t="n">
        <v>46101.851207662</v>
      </c>
      <c r="C1218" s="191" t="n">
        <v>46101.8561150694</v>
      </c>
      <c r="D1218" s="189" t="s">
        <v>1797</v>
      </c>
      <c r="E1218" s="189" t="s">
        <v>1798</v>
      </c>
      <c r="F1218" s="189" t="s">
        <v>1798</v>
      </c>
      <c r="G1218" s="189" t="s">
        <v>1799</v>
      </c>
      <c r="H1218" s="191" t="n">
        <v>46081</v>
      </c>
      <c r="I1218" s="189" t="s">
        <v>325</v>
      </c>
      <c r="J1218" s="189" t="s">
        <v>128</v>
      </c>
      <c r="K1218" s="189" t="s">
        <v>196</v>
      </c>
      <c r="L1218" s="189" t="s">
        <v>286</v>
      </c>
      <c r="M1218" s="189" t="s">
        <v>515</v>
      </c>
      <c r="N1218" s="189" t="s">
        <v>407</v>
      </c>
      <c r="O1218" s="189" t="s">
        <v>278</v>
      </c>
      <c r="P1218" s="189" t="s">
        <v>111</v>
      </c>
      <c r="Q1218" s="189" t="s">
        <v>145</v>
      </c>
      <c r="R1218" s="189" t="s">
        <v>22</v>
      </c>
      <c r="S1218" s="189" t="s">
        <v>120</v>
      </c>
      <c r="T1218" s="189" t="s">
        <v>121</v>
      </c>
      <c r="V1218" s="189" t="s">
        <v>167</v>
      </c>
      <c r="W1218" s="189" t="s">
        <v>124</v>
      </c>
      <c r="X1218" s="189" t="s">
        <v>339</v>
      </c>
      <c r="Y1218" s="189" t="s">
        <v>2108</v>
      </c>
      <c r="Z1218" s="0" t="n">
        <v>1</v>
      </c>
      <c r="AA1218" s="189" t="s">
        <v>2212</v>
      </c>
    </row>
    <row r="1219" customFormat="false" ht="15" hidden="false" customHeight="false" outlineLevel="0" collapsed="false">
      <c r="A1219" s="0" t="n">
        <v>260</v>
      </c>
      <c r="B1219" s="191" t="n">
        <v>46101.851207662</v>
      </c>
      <c r="C1219" s="191" t="n">
        <v>46101.8561150694</v>
      </c>
      <c r="D1219" s="189" t="s">
        <v>1797</v>
      </c>
      <c r="E1219" s="189" t="s">
        <v>1798</v>
      </c>
      <c r="F1219" s="189" t="s">
        <v>1798</v>
      </c>
      <c r="G1219" s="189" t="s">
        <v>1799</v>
      </c>
      <c r="H1219" s="191" t="n">
        <v>46081</v>
      </c>
      <c r="I1219" s="189" t="s">
        <v>325</v>
      </c>
      <c r="J1219" s="189" t="s">
        <v>128</v>
      </c>
      <c r="K1219" s="189" t="s">
        <v>196</v>
      </c>
      <c r="L1219" s="189" t="s">
        <v>286</v>
      </c>
      <c r="M1219" s="189" t="s">
        <v>515</v>
      </c>
      <c r="N1219" s="189" t="s">
        <v>407</v>
      </c>
      <c r="O1219" s="189" t="s">
        <v>278</v>
      </c>
      <c r="P1219" s="189" t="s">
        <v>111</v>
      </c>
      <c r="Q1219" s="189" t="s">
        <v>145</v>
      </c>
      <c r="R1219" s="189" t="s">
        <v>22</v>
      </c>
      <c r="S1219" s="189" t="s">
        <v>120</v>
      </c>
      <c r="T1219" s="189" t="s">
        <v>121</v>
      </c>
      <c r="V1219" s="189" t="s">
        <v>167</v>
      </c>
      <c r="W1219" s="189" t="s">
        <v>124</v>
      </c>
      <c r="X1219" s="189" t="s">
        <v>339</v>
      </c>
      <c r="Y1219" s="189" t="s">
        <v>2108</v>
      </c>
      <c r="Z1219" s="0" t="n">
        <v>2</v>
      </c>
      <c r="AA1219" s="189" t="s">
        <v>2213</v>
      </c>
    </row>
    <row r="1220" customFormat="false" ht="15" hidden="false" customHeight="false" outlineLevel="0" collapsed="false">
      <c r="A1220" s="0" t="n">
        <v>260</v>
      </c>
      <c r="B1220" s="191" t="n">
        <v>46101.851207662</v>
      </c>
      <c r="C1220" s="191" t="n">
        <v>46101.8561150694</v>
      </c>
      <c r="D1220" s="189" t="s">
        <v>1797</v>
      </c>
      <c r="E1220" s="189" t="s">
        <v>1798</v>
      </c>
      <c r="F1220" s="189" t="s">
        <v>1798</v>
      </c>
      <c r="G1220" s="189" t="s">
        <v>1799</v>
      </c>
      <c r="H1220" s="191" t="n">
        <v>46081</v>
      </c>
      <c r="I1220" s="189" t="s">
        <v>325</v>
      </c>
      <c r="J1220" s="189" t="s">
        <v>128</v>
      </c>
      <c r="K1220" s="189" t="s">
        <v>196</v>
      </c>
      <c r="L1220" s="189" t="s">
        <v>286</v>
      </c>
      <c r="M1220" s="189" t="s">
        <v>515</v>
      </c>
      <c r="N1220" s="189" t="s">
        <v>407</v>
      </c>
      <c r="O1220" s="189" t="s">
        <v>278</v>
      </c>
      <c r="P1220" s="189" t="s">
        <v>111</v>
      </c>
      <c r="Q1220" s="189" t="s">
        <v>145</v>
      </c>
      <c r="R1220" s="189" t="s">
        <v>22</v>
      </c>
      <c r="S1220" s="189" t="s">
        <v>120</v>
      </c>
      <c r="T1220" s="189" t="s">
        <v>121</v>
      </c>
      <c r="V1220" s="189" t="s">
        <v>167</v>
      </c>
      <c r="W1220" s="189" t="s">
        <v>124</v>
      </c>
      <c r="X1220" s="189" t="s">
        <v>339</v>
      </c>
      <c r="Y1220" s="189" t="s">
        <v>2108</v>
      </c>
      <c r="Z1220" s="0" t="n">
        <v>3</v>
      </c>
      <c r="AA1220" s="189" t="s">
        <v>2242</v>
      </c>
    </row>
    <row r="1221" customFormat="false" ht="15" hidden="false" customHeight="false" outlineLevel="0" collapsed="false">
      <c r="A1221" s="0" t="n">
        <v>260</v>
      </c>
      <c r="B1221" s="191" t="n">
        <v>46101.851207662</v>
      </c>
      <c r="C1221" s="191" t="n">
        <v>46101.8561150694</v>
      </c>
      <c r="D1221" s="189" t="s">
        <v>1797</v>
      </c>
      <c r="E1221" s="189" t="s">
        <v>1798</v>
      </c>
      <c r="F1221" s="189" t="s">
        <v>1798</v>
      </c>
      <c r="G1221" s="189" t="s">
        <v>1799</v>
      </c>
      <c r="H1221" s="191" t="n">
        <v>46081</v>
      </c>
      <c r="I1221" s="189" t="s">
        <v>325</v>
      </c>
      <c r="J1221" s="189" t="s">
        <v>128</v>
      </c>
      <c r="K1221" s="189" t="s">
        <v>196</v>
      </c>
      <c r="L1221" s="189" t="s">
        <v>286</v>
      </c>
      <c r="M1221" s="189" t="s">
        <v>515</v>
      </c>
      <c r="N1221" s="189" t="s">
        <v>407</v>
      </c>
      <c r="O1221" s="189" t="s">
        <v>278</v>
      </c>
      <c r="P1221" s="189" t="s">
        <v>111</v>
      </c>
      <c r="Q1221" s="189" t="s">
        <v>145</v>
      </c>
      <c r="R1221" s="189" t="s">
        <v>22</v>
      </c>
      <c r="S1221" s="189" t="s">
        <v>120</v>
      </c>
      <c r="T1221" s="189" t="s">
        <v>121</v>
      </c>
      <c r="V1221" s="189" t="s">
        <v>167</v>
      </c>
      <c r="W1221" s="189" t="s">
        <v>124</v>
      </c>
      <c r="X1221" s="189" t="s">
        <v>339</v>
      </c>
      <c r="Y1221" s="189" t="s">
        <v>2110</v>
      </c>
      <c r="Z1221" s="0" t="n">
        <v>1</v>
      </c>
      <c r="AA1221" s="189" t="s">
        <v>2305</v>
      </c>
    </row>
    <row r="1222" customFormat="false" ht="15" hidden="false" customHeight="false" outlineLevel="0" collapsed="false">
      <c r="A1222" s="0" t="n">
        <v>260</v>
      </c>
      <c r="B1222" s="191" t="n">
        <v>46101.851207662</v>
      </c>
      <c r="C1222" s="191" t="n">
        <v>46101.8561150694</v>
      </c>
      <c r="D1222" s="189" t="s">
        <v>1797</v>
      </c>
      <c r="E1222" s="189" t="s">
        <v>1798</v>
      </c>
      <c r="F1222" s="189" t="s">
        <v>1798</v>
      </c>
      <c r="G1222" s="189" t="s">
        <v>1799</v>
      </c>
      <c r="H1222" s="191" t="n">
        <v>46081</v>
      </c>
      <c r="I1222" s="189" t="s">
        <v>325</v>
      </c>
      <c r="J1222" s="189" t="s">
        <v>128</v>
      </c>
      <c r="K1222" s="189" t="s">
        <v>196</v>
      </c>
      <c r="L1222" s="189" t="s">
        <v>286</v>
      </c>
      <c r="M1222" s="189" t="s">
        <v>515</v>
      </c>
      <c r="N1222" s="189" t="s">
        <v>407</v>
      </c>
      <c r="O1222" s="189" t="s">
        <v>278</v>
      </c>
      <c r="P1222" s="189" t="s">
        <v>111</v>
      </c>
      <c r="Q1222" s="189" t="s">
        <v>145</v>
      </c>
      <c r="R1222" s="189" t="s">
        <v>22</v>
      </c>
      <c r="S1222" s="189" t="s">
        <v>120</v>
      </c>
      <c r="T1222" s="189" t="s">
        <v>121</v>
      </c>
      <c r="V1222" s="189" t="s">
        <v>167</v>
      </c>
      <c r="W1222" s="189" t="s">
        <v>124</v>
      </c>
      <c r="X1222" s="189" t="s">
        <v>339</v>
      </c>
      <c r="Y1222" s="189" t="s">
        <v>2110</v>
      </c>
      <c r="Z1222" s="0" t="n">
        <v>2</v>
      </c>
      <c r="AA1222" s="189" t="s">
        <v>122</v>
      </c>
    </row>
    <row r="1223" customFormat="false" ht="15" hidden="false" customHeight="false" outlineLevel="0" collapsed="false">
      <c r="A1223" s="0" t="n">
        <v>260</v>
      </c>
      <c r="B1223" s="191" t="n">
        <v>46101.851207662</v>
      </c>
      <c r="C1223" s="191" t="n">
        <v>46101.8561150694</v>
      </c>
      <c r="D1223" s="189" t="s">
        <v>1797</v>
      </c>
      <c r="E1223" s="189" t="s">
        <v>1798</v>
      </c>
      <c r="F1223" s="189" t="s">
        <v>1798</v>
      </c>
      <c r="G1223" s="189" t="s">
        <v>1799</v>
      </c>
      <c r="H1223" s="191" t="n">
        <v>46081</v>
      </c>
      <c r="I1223" s="189" t="s">
        <v>325</v>
      </c>
      <c r="J1223" s="189" t="s">
        <v>128</v>
      </c>
      <c r="K1223" s="189" t="s">
        <v>196</v>
      </c>
      <c r="L1223" s="189" t="s">
        <v>286</v>
      </c>
      <c r="M1223" s="189" t="s">
        <v>515</v>
      </c>
      <c r="N1223" s="189" t="s">
        <v>407</v>
      </c>
      <c r="O1223" s="189" t="s">
        <v>278</v>
      </c>
      <c r="P1223" s="189" t="s">
        <v>111</v>
      </c>
      <c r="Q1223" s="189" t="s">
        <v>145</v>
      </c>
      <c r="R1223" s="189" t="s">
        <v>22</v>
      </c>
      <c r="S1223" s="189" t="s">
        <v>120</v>
      </c>
      <c r="T1223" s="189" t="s">
        <v>121</v>
      </c>
      <c r="V1223" s="189" t="s">
        <v>167</v>
      </c>
      <c r="W1223" s="189" t="s">
        <v>124</v>
      </c>
      <c r="X1223" s="189" t="s">
        <v>339</v>
      </c>
      <c r="Y1223" s="189" t="s">
        <v>2113</v>
      </c>
      <c r="Z1223" s="0" t="n">
        <v>1</v>
      </c>
      <c r="AA1223" s="189" t="s">
        <v>122</v>
      </c>
    </row>
    <row r="1224" customFormat="false" ht="15" hidden="false" customHeight="false" outlineLevel="0" collapsed="false">
      <c r="A1224" s="0" t="n">
        <v>260</v>
      </c>
      <c r="B1224" s="191" t="n">
        <v>46101.851207662</v>
      </c>
      <c r="C1224" s="191" t="n">
        <v>46101.8561150694</v>
      </c>
      <c r="D1224" s="189" t="s">
        <v>1797</v>
      </c>
      <c r="E1224" s="189" t="s">
        <v>1798</v>
      </c>
      <c r="F1224" s="189" t="s">
        <v>1798</v>
      </c>
      <c r="G1224" s="189" t="s">
        <v>1799</v>
      </c>
      <c r="H1224" s="191" t="n">
        <v>46081</v>
      </c>
      <c r="I1224" s="189" t="s">
        <v>325</v>
      </c>
      <c r="J1224" s="189" t="s">
        <v>128</v>
      </c>
      <c r="K1224" s="189" t="s">
        <v>196</v>
      </c>
      <c r="L1224" s="189" t="s">
        <v>286</v>
      </c>
      <c r="M1224" s="189" t="s">
        <v>515</v>
      </c>
      <c r="N1224" s="189" t="s">
        <v>407</v>
      </c>
      <c r="O1224" s="189" t="s">
        <v>278</v>
      </c>
      <c r="P1224" s="189" t="s">
        <v>111</v>
      </c>
      <c r="Q1224" s="189" t="s">
        <v>145</v>
      </c>
      <c r="R1224" s="189" t="s">
        <v>22</v>
      </c>
      <c r="S1224" s="189" t="s">
        <v>120</v>
      </c>
      <c r="T1224" s="189" t="s">
        <v>121</v>
      </c>
      <c r="V1224" s="189" t="s">
        <v>167</v>
      </c>
      <c r="W1224" s="189" t="s">
        <v>124</v>
      </c>
      <c r="X1224" s="189" t="s">
        <v>339</v>
      </c>
      <c r="Y1224" s="189" t="s">
        <v>2113</v>
      </c>
      <c r="Z1224" s="0" t="n">
        <v>2</v>
      </c>
      <c r="AA1224" s="189" t="s">
        <v>2188</v>
      </c>
    </row>
    <row r="1225" customFormat="false" ht="15" hidden="false" customHeight="false" outlineLevel="0" collapsed="false">
      <c r="A1225" s="0" t="n">
        <v>261</v>
      </c>
      <c r="B1225" s="191" t="n">
        <v>46175.1535770994</v>
      </c>
      <c r="C1225" s="191" t="n">
        <v>46175.1605215438</v>
      </c>
      <c r="D1225" s="189" t="s">
        <v>1802</v>
      </c>
      <c r="E1225" s="189" t="s">
        <v>1803</v>
      </c>
      <c r="F1225" s="189" t="s">
        <v>1803</v>
      </c>
      <c r="G1225" s="189" t="s">
        <v>1804</v>
      </c>
      <c r="H1225" s="191" t="n">
        <v>46162</v>
      </c>
      <c r="I1225" s="189" t="s">
        <v>113</v>
      </c>
      <c r="J1225" s="189" t="s">
        <v>108</v>
      </c>
      <c r="K1225" s="189" t="s">
        <v>257</v>
      </c>
      <c r="L1225" s="189" t="s">
        <v>346</v>
      </c>
      <c r="M1225" s="189" t="s">
        <v>130</v>
      </c>
      <c r="N1225" s="189" t="s">
        <v>606</v>
      </c>
      <c r="O1225" s="189" t="s">
        <v>157</v>
      </c>
      <c r="P1225" s="189" t="s">
        <v>111</v>
      </c>
      <c r="Q1225" s="189" t="s">
        <v>112</v>
      </c>
      <c r="R1225" s="189" t="s">
        <v>22</v>
      </c>
      <c r="S1225" s="189" t="s">
        <v>152</v>
      </c>
      <c r="T1225" s="189" t="s">
        <v>121</v>
      </c>
      <c r="V1225" s="189" t="s">
        <v>123</v>
      </c>
      <c r="W1225" s="189" t="s">
        <v>124</v>
      </c>
      <c r="X1225" s="189" t="s">
        <v>135</v>
      </c>
      <c r="Y1225" s="189" t="s">
        <v>2108</v>
      </c>
      <c r="Z1225" s="0" t="n">
        <v>1</v>
      </c>
      <c r="AA1225" s="189" t="s">
        <v>2245</v>
      </c>
    </row>
    <row r="1226" customFormat="false" ht="15" hidden="false" customHeight="false" outlineLevel="0" collapsed="false">
      <c r="A1226" s="0" t="n">
        <v>261</v>
      </c>
      <c r="B1226" s="191" t="n">
        <v>46175.1535770994</v>
      </c>
      <c r="C1226" s="191" t="n">
        <v>46175.1605215438</v>
      </c>
      <c r="D1226" s="189" t="s">
        <v>1802</v>
      </c>
      <c r="E1226" s="189" t="s">
        <v>1803</v>
      </c>
      <c r="F1226" s="189" t="s">
        <v>1803</v>
      </c>
      <c r="G1226" s="189" t="s">
        <v>1804</v>
      </c>
      <c r="H1226" s="191" t="n">
        <v>46162</v>
      </c>
      <c r="I1226" s="189" t="s">
        <v>113</v>
      </c>
      <c r="J1226" s="189" t="s">
        <v>108</v>
      </c>
      <c r="K1226" s="189" t="s">
        <v>257</v>
      </c>
      <c r="L1226" s="189" t="s">
        <v>346</v>
      </c>
      <c r="M1226" s="189" t="s">
        <v>130</v>
      </c>
      <c r="N1226" s="189" t="s">
        <v>606</v>
      </c>
      <c r="O1226" s="189" t="s">
        <v>157</v>
      </c>
      <c r="P1226" s="189" t="s">
        <v>111</v>
      </c>
      <c r="Q1226" s="189" t="s">
        <v>112</v>
      </c>
      <c r="R1226" s="189" t="s">
        <v>22</v>
      </c>
      <c r="S1226" s="189" t="s">
        <v>152</v>
      </c>
      <c r="T1226" s="189" t="s">
        <v>121</v>
      </c>
      <c r="V1226" s="189" t="s">
        <v>123</v>
      </c>
      <c r="W1226" s="189" t="s">
        <v>124</v>
      </c>
      <c r="X1226" s="189" t="s">
        <v>135</v>
      </c>
      <c r="Y1226" s="189" t="s">
        <v>2108</v>
      </c>
      <c r="Z1226" s="0" t="n">
        <v>2</v>
      </c>
      <c r="AA1226" s="189" t="s">
        <v>2246</v>
      </c>
    </row>
    <row r="1227" customFormat="false" ht="15" hidden="false" customHeight="false" outlineLevel="0" collapsed="false">
      <c r="A1227" s="0" t="n">
        <v>261</v>
      </c>
      <c r="B1227" s="191" t="n">
        <v>46175.1535770994</v>
      </c>
      <c r="C1227" s="191" t="n">
        <v>46175.1605215438</v>
      </c>
      <c r="D1227" s="189" t="s">
        <v>1802</v>
      </c>
      <c r="E1227" s="189" t="s">
        <v>1803</v>
      </c>
      <c r="F1227" s="189" t="s">
        <v>1803</v>
      </c>
      <c r="G1227" s="189" t="s">
        <v>1804</v>
      </c>
      <c r="H1227" s="191" t="n">
        <v>46162</v>
      </c>
      <c r="I1227" s="189" t="s">
        <v>113</v>
      </c>
      <c r="J1227" s="189" t="s">
        <v>108</v>
      </c>
      <c r="K1227" s="189" t="s">
        <v>257</v>
      </c>
      <c r="L1227" s="189" t="s">
        <v>346</v>
      </c>
      <c r="M1227" s="189" t="s">
        <v>130</v>
      </c>
      <c r="N1227" s="189" t="s">
        <v>606</v>
      </c>
      <c r="O1227" s="189" t="s">
        <v>157</v>
      </c>
      <c r="P1227" s="189" t="s">
        <v>111</v>
      </c>
      <c r="Q1227" s="189" t="s">
        <v>112</v>
      </c>
      <c r="R1227" s="189" t="s">
        <v>22</v>
      </c>
      <c r="S1227" s="189" t="s">
        <v>152</v>
      </c>
      <c r="T1227" s="189" t="s">
        <v>121</v>
      </c>
      <c r="V1227" s="189" t="s">
        <v>123</v>
      </c>
      <c r="W1227" s="189" t="s">
        <v>124</v>
      </c>
      <c r="X1227" s="189" t="s">
        <v>135</v>
      </c>
      <c r="Y1227" s="189" t="s">
        <v>2110</v>
      </c>
      <c r="Z1227" s="0" t="n">
        <v>1</v>
      </c>
      <c r="AA1227" s="189" t="s">
        <v>2228</v>
      </c>
    </row>
    <row r="1228" customFormat="false" ht="15" hidden="false" customHeight="false" outlineLevel="0" collapsed="false">
      <c r="A1228" s="0" t="n">
        <v>261</v>
      </c>
      <c r="B1228" s="191" t="n">
        <v>46175.1535770994</v>
      </c>
      <c r="C1228" s="191" t="n">
        <v>46175.1605215438</v>
      </c>
      <c r="D1228" s="189" t="s">
        <v>1802</v>
      </c>
      <c r="E1228" s="189" t="s">
        <v>1803</v>
      </c>
      <c r="F1228" s="189" t="s">
        <v>1803</v>
      </c>
      <c r="G1228" s="189" t="s">
        <v>1804</v>
      </c>
      <c r="H1228" s="191" t="n">
        <v>46162</v>
      </c>
      <c r="I1228" s="189" t="s">
        <v>113</v>
      </c>
      <c r="J1228" s="189" t="s">
        <v>108</v>
      </c>
      <c r="K1228" s="189" t="s">
        <v>257</v>
      </c>
      <c r="L1228" s="189" t="s">
        <v>346</v>
      </c>
      <c r="M1228" s="189" t="s">
        <v>130</v>
      </c>
      <c r="N1228" s="189" t="s">
        <v>606</v>
      </c>
      <c r="O1228" s="189" t="s">
        <v>157</v>
      </c>
      <c r="P1228" s="189" t="s">
        <v>111</v>
      </c>
      <c r="Q1228" s="189" t="s">
        <v>112</v>
      </c>
      <c r="R1228" s="189" t="s">
        <v>22</v>
      </c>
      <c r="S1228" s="189" t="s">
        <v>152</v>
      </c>
      <c r="T1228" s="189" t="s">
        <v>121</v>
      </c>
      <c r="V1228" s="189" t="s">
        <v>123</v>
      </c>
      <c r="W1228" s="189" t="s">
        <v>124</v>
      </c>
      <c r="X1228" s="189" t="s">
        <v>135</v>
      </c>
      <c r="Y1228" s="189" t="s">
        <v>2110</v>
      </c>
      <c r="Z1228" s="0" t="n">
        <v>2</v>
      </c>
      <c r="AA1228" s="189" t="s">
        <v>2323</v>
      </c>
    </row>
    <row r="1229" customFormat="false" ht="15" hidden="false" customHeight="false" outlineLevel="0" collapsed="false">
      <c r="A1229" s="0" t="n">
        <v>261</v>
      </c>
      <c r="B1229" s="191" t="n">
        <v>46175.1535770994</v>
      </c>
      <c r="C1229" s="191" t="n">
        <v>46175.1605215438</v>
      </c>
      <c r="D1229" s="189" t="s">
        <v>1802</v>
      </c>
      <c r="E1229" s="189" t="s">
        <v>1803</v>
      </c>
      <c r="F1229" s="189" t="s">
        <v>1803</v>
      </c>
      <c r="G1229" s="189" t="s">
        <v>1804</v>
      </c>
      <c r="H1229" s="191" t="n">
        <v>46162</v>
      </c>
      <c r="I1229" s="189" t="s">
        <v>113</v>
      </c>
      <c r="J1229" s="189" t="s">
        <v>108</v>
      </c>
      <c r="K1229" s="189" t="s">
        <v>257</v>
      </c>
      <c r="L1229" s="189" t="s">
        <v>346</v>
      </c>
      <c r="M1229" s="189" t="s">
        <v>130</v>
      </c>
      <c r="N1229" s="189" t="s">
        <v>606</v>
      </c>
      <c r="O1229" s="189" t="s">
        <v>157</v>
      </c>
      <c r="P1229" s="189" t="s">
        <v>111</v>
      </c>
      <c r="Q1229" s="189" t="s">
        <v>112</v>
      </c>
      <c r="R1229" s="189" t="s">
        <v>22</v>
      </c>
      <c r="S1229" s="189" t="s">
        <v>152</v>
      </c>
      <c r="T1229" s="189" t="s">
        <v>121</v>
      </c>
      <c r="V1229" s="189" t="s">
        <v>123</v>
      </c>
      <c r="W1229" s="189" t="s">
        <v>124</v>
      </c>
      <c r="X1229" s="189" t="s">
        <v>135</v>
      </c>
      <c r="Y1229" s="189" t="s">
        <v>2113</v>
      </c>
      <c r="Z1229" s="0" t="n">
        <v>1</v>
      </c>
      <c r="AA1229" s="189" t="s">
        <v>122</v>
      </c>
    </row>
    <row r="1230" customFormat="false" ht="15" hidden="false" customHeight="false" outlineLevel="0" collapsed="false">
      <c r="A1230" s="0" t="n">
        <v>261</v>
      </c>
      <c r="B1230" s="191" t="n">
        <v>46175.1535770994</v>
      </c>
      <c r="C1230" s="191" t="n">
        <v>46175.1605215438</v>
      </c>
      <c r="D1230" s="189" t="s">
        <v>1802</v>
      </c>
      <c r="E1230" s="189" t="s">
        <v>1803</v>
      </c>
      <c r="F1230" s="189" t="s">
        <v>1803</v>
      </c>
      <c r="G1230" s="189" t="s">
        <v>1804</v>
      </c>
      <c r="H1230" s="191" t="n">
        <v>46162</v>
      </c>
      <c r="I1230" s="189" t="s">
        <v>113</v>
      </c>
      <c r="J1230" s="189" t="s">
        <v>108</v>
      </c>
      <c r="K1230" s="189" t="s">
        <v>257</v>
      </c>
      <c r="L1230" s="189" t="s">
        <v>346</v>
      </c>
      <c r="M1230" s="189" t="s">
        <v>130</v>
      </c>
      <c r="N1230" s="189" t="s">
        <v>606</v>
      </c>
      <c r="O1230" s="189" t="s">
        <v>157</v>
      </c>
      <c r="P1230" s="189" t="s">
        <v>111</v>
      </c>
      <c r="Q1230" s="189" t="s">
        <v>112</v>
      </c>
      <c r="R1230" s="189" t="s">
        <v>22</v>
      </c>
      <c r="S1230" s="189" t="s">
        <v>152</v>
      </c>
      <c r="T1230" s="189" t="s">
        <v>121</v>
      </c>
      <c r="V1230" s="189" t="s">
        <v>123</v>
      </c>
      <c r="W1230" s="189" t="s">
        <v>124</v>
      </c>
      <c r="X1230" s="189" t="s">
        <v>135</v>
      </c>
      <c r="Y1230" s="189" t="s">
        <v>2113</v>
      </c>
      <c r="Z1230" s="0" t="n">
        <v>2</v>
      </c>
      <c r="AA1230" s="189" t="s">
        <v>2256</v>
      </c>
    </row>
    <row r="1231" customFormat="false" ht="15" hidden="false" customHeight="false" outlineLevel="0" collapsed="false">
      <c r="A1231" s="0" t="n">
        <v>262</v>
      </c>
      <c r="B1231" s="191" t="n">
        <v>46093.973420513</v>
      </c>
      <c r="C1231" s="191" t="n">
        <v>46093.9866959759</v>
      </c>
      <c r="D1231" s="189" t="s">
        <v>1808</v>
      </c>
      <c r="E1231" s="189" t="s">
        <v>1809</v>
      </c>
      <c r="F1231" s="189" t="s">
        <v>1809</v>
      </c>
      <c r="G1231" s="189" t="s">
        <v>1810</v>
      </c>
      <c r="H1231" s="191" t="n">
        <v>46091</v>
      </c>
      <c r="I1231" s="189" t="s">
        <v>113</v>
      </c>
      <c r="J1231" s="189" t="s">
        <v>128</v>
      </c>
      <c r="K1231" s="189" t="s">
        <v>1811</v>
      </c>
      <c r="L1231" s="189" t="s">
        <v>110</v>
      </c>
      <c r="M1231" s="189" t="s">
        <v>594</v>
      </c>
      <c r="N1231" s="189" t="s">
        <v>905</v>
      </c>
      <c r="O1231" s="189" t="s">
        <v>278</v>
      </c>
      <c r="P1231" s="189" t="s">
        <v>111</v>
      </c>
      <c r="Q1231" s="189" t="s">
        <v>112</v>
      </c>
      <c r="R1231" s="189" t="s">
        <v>22</v>
      </c>
      <c r="S1231" s="189" t="s">
        <v>152</v>
      </c>
      <c r="T1231" s="189" t="s">
        <v>121</v>
      </c>
      <c r="U1231" s="189" t="s">
        <v>1813</v>
      </c>
      <c r="V1231" s="189" t="s">
        <v>167</v>
      </c>
      <c r="W1231" s="189" t="s">
        <v>168</v>
      </c>
      <c r="X1231" s="189" t="s">
        <v>715</v>
      </c>
      <c r="Y1231" s="189" t="s">
        <v>2108</v>
      </c>
      <c r="Z1231" s="0" t="n">
        <v>1</v>
      </c>
      <c r="AA1231" s="189" t="s">
        <v>2268</v>
      </c>
    </row>
    <row r="1232" customFormat="false" ht="15" hidden="false" customHeight="false" outlineLevel="0" collapsed="false">
      <c r="A1232" s="0" t="n">
        <v>262</v>
      </c>
      <c r="B1232" s="191" t="n">
        <v>46093.973420513</v>
      </c>
      <c r="C1232" s="191" t="n">
        <v>46093.9866959759</v>
      </c>
      <c r="D1232" s="189" t="s">
        <v>1808</v>
      </c>
      <c r="E1232" s="189" t="s">
        <v>1809</v>
      </c>
      <c r="F1232" s="189" t="s">
        <v>1809</v>
      </c>
      <c r="G1232" s="189" t="s">
        <v>1810</v>
      </c>
      <c r="H1232" s="191" t="n">
        <v>46091</v>
      </c>
      <c r="I1232" s="189" t="s">
        <v>113</v>
      </c>
      <c r="J1232" s="189" t="s">
        <v>128</v>
      </c>
      <c r="K1232" s="189" t="s">
        <v>1811</v>
      </c>
      <c r="L1232" s="189" t="s">
        <v>110</v>
      </c>
      <c r="M1232" s="189" t="s">
        <v>594</v>
      </c>
      <c r="N1232" s="189" t="s">
        <v>905</v>
      </c>
      <c r="O1232" s="189" t="s">
        <v>278</v>
      </c>
      <c r="P1232" s="189" t="s">
        <v>111</v>
      </c>
      <c r="Q1232" s="189" t="s">
        <v>112</v>
      </c>
      <c r="R1232" s="189" t="s">
        <v>22</v>
      </c>
      <c r="S1232" s="189" t="s">
        <v>152</v>
      </c>
      <c r="T1232" s="189" t="s">
        <v>121</v>
      </c>
      <c r="U1232" s="189" t="s">
        <v>1813</v>
      </c>
      <c r="V1232" s="189" t="s">
        <v>167</v>
      </c>
      <c r="W1232" s="189" t="s">
        <v>168</v>
      </c>
      <c r="X1232" s="189" t="s">
        <v>715</v>
      </c>
      <c r="Y1232" s="189" t="s">
        <v>2110</v>
      </c>
      <c r="Z1232" s="0" t="n">
        <v>1</v>
      </c>
      <c r="AA1232" s="189" t="s">
        <v>2297</v>
      </c>
    </row>
    <row r="1233" customFormat="false" ht="15" hidden="false" customHeight="false" outlineLevel="0" collapsed="false">
      <c r="A1233" s="0" t="n">
        <v>262</v>
      </c>
      <c r="B1233" s="191" t="n">
        <v>46093.973420513</v>
      </c>
      <c r="C1233" s="191" t="n">
        <v>46093.9866959759</v>
      </c>
      <c r="D1233" s="189" t="s">
        <v>1808</v>
      </c>
      <c r="E1233" s="189" t="s">
        <v>1809</v>
      </c>
      <c r="F1233" s="189" t="s">
        <v>1809</v>
      </c>
      <c r="G1233" s="189" t="s">
        <v>1810</v>
      </c>
      <c r="H1233" s="191" t="n">
        <v>46091</v>
      </c>
      <c r="I1233" s="189" t="s">
        <v>113</v>
      </c>
      <c r="J1233" s="189" t="s">
        <v>128</v>
      </c>
      <c r="K1233" s="189" t="s">
        <v>1811</v>
      </c>
      <c r="L1233" s="189" t="s">
        <v>110</v>
      </c>
      <c r="M1233" s="189" t="s">
        <v>594</v>
      </c>
      <c r="N1233" s="189" t="s">
        <v>905</v>
      </c>
      <c r="O1233" s="189" t="s">
        <v>278</v>
      </c>
      <c r="P1233" s="189" t="s">
        <v>111</v>
      </c>
      <c r="Q1233" s="189" t="s">
        <v>112</v>
      </c>
      <c r="R1233" s="189" t="s">
        <v>22</v>
      </c>
      <c r="S1233" s="189" t="s">
        <v>152</v>
      </c>
      <c r="T1233" s="189" t="s">
        <v>121</v>
      </c>
      <c r="U1233" s="189" t="s">
        <v>1813</v>
      </c>
      <c r="V1233" s="189" t="s">
        <v>167</v>
      </c>
      <c r="W1233" s="189" t="s">
        <v>168</v>
      </c>
      <c r="X1233" s="189" t="s">
        <v>715</v>
      </c>
      <c r="Y1233" s="189" t="s">
        <v>2113</v>
      </c>
      <c r="Z1233" s="0" t="n">
        <v>1</v>
      </c>
      <c r="AA1233" s="189" t="s">
        <v>2298</v>
      </c>
    </row>
    <row r="1234" customFormat="false" ht="15" hidden="false" customHeight="false" outlineLevel="0" collapsed="false">
      <c r="A1234" s="0" t="n">
        <v>262</v>
      </c>
      <c r="B1234" s="191" t="n">
        <v>46093.973420513</v>
      </c>
      <c r="C1234" s="191" t="n">
        <v>46093.9866959759</v>
      </c>
      <c r="D1234" s="189" t="s">
        <v>1808</v>
      </c>
      <c r="E1234" s="189" t="s">
        <v>1809</v>
      </c>
      <c r="F1234" s="189" t="s">
        <v>1809</v>
      </c>
      <c r="G1234" s="189" t="s">
        <v>1810</v>
      </c>
      <c r="H1234" s="191" t="n">
        <v>46091</v>
      </c>
      <c r="I1234" s="189" t="s">
        <v>113</v>
      </c>
      <c r="J1234" s="189" t="s">
        <v>128</v>
      </c>
      <c r="K1234" s="189" t="s">
        <v>1811</v>
      </c>
      <c r="L1234" s="189" t="s">
        <v>110</v>
      </c>
      <c r="M1234" s="189" t="s">
        <v>594</v>
      </c>
      <c r="N1234" s="189" t="s">
        <v>905</v>
      </c>
      <c r="O1234" s="189" t="s">
        <v>278</v>
      </c>
      <c r="P1234" s="189" t="s">
        <v>111</v>
      </c>
      <c r="Q1234" s="189" t="s">
        <v>112</v>
      </c>
      <c r="R1234" s="189" t="s">
        <v>22</v>
      </c>
      <c r="S1234" s="189" t="s">
        <v>152</v>
      </c>
      <c r="T1234" s="189" t="s">
        <v>121</v>
      </c>
      <c r="U1234" s="189" t="s">
        <v>1813</v>
      </c>
      <c r="V1234" s="189" t="s">
        <v>167</v>
      </c>
      <c r="W1234" s="189" t="s">
        <v>168</v>
      </c>
      <c r="X1234" s="189" t="s">
        <v>715</v>
      </c>
      <c r="Y1234" s="189" t="s">
        <v>2113</v>
      </c>
      <c r="Z1234" s="0" t="n">
        <v>2</v>
      </c>
      <c r="AA1234" s="189" t="s">
        <v>2273</v>
      </c>
    </row>
    <row r="1235" customFormat="false" ht="15" hidden="false" customHeight="false" outlineLevel="0" collapsed="false">
      <c r="A1235" s="0" t="n">
        <v>263</v>
      </c>
      <c r="B1235" s="191" t="n">
        <v>46048.6740066379</v>
      </c>
      <c r="C1235" s="191" t="n">
        <v>46048.6789256194</v>
      </c>
      <c r="D1235" s="189" t="s">
        <v>1814</v>
      </c>
      <c r="E1235" s="189" t="s">
        <v>1815</v>
      </c>
      <c r="F1235" s="189" t="s">
        <v>1815</v>
      </c>
      <c r="G1235" s="189" t="s">
        <v>1816</v>
      </c>
      <c r="H1235" s="191" t="n">
        <v>46042</v>
      </c>
      <c r="I1235" s="189" t="s">
        <v>132</v>
      </c>
      <c r="J1235" s="189" t="s">
        <v>108</v>
      </c>
      <c r="K1235" s="189" t="s">
        <v>196</v>
      </c>
      <c r="L1235" s="189" t="s">
        <v>296</v>
      </c>
      <c r="M1235" s="189" t="s">
        <v>1074</v>
      </c>
      <c r="N1235" s="189" t="s">
        <v>552</v>
      </c>
      <c r="O1235" s="189" t="s">
        <v>172</v>
      </c>
      <c r="P1235" s="189" t="s">
        <v>111</v>
      </c>
      <c r="Q1235" s="189" t="s">
        <v>112</v>
      </c>
      <c r="R1235" s="189" t="s">
        <v>24</v>
      </c>
      <c r="S1235" s="189" t="s">
        <v>152</v>
      </c>
      <c r="T1235" s="189" t="s">
        <v>352</v>
      </c>
      <c r="U1235" s="189" t="s">
        <v>122</v>
      </c>
      <c r="V1235" s="189" t="s">
        <v>123</v>
      </c>
      <c r="W1235" s="189" t="s">
        <v>124</v>
      </c>
      <c r="X1235" s="189" t="s">
        <v>214</v>
      </c>
      <c r="Y1235" s="189" t="s">
        <v>2108</v>
      </c>
      <c r="Z1235" s="0" t="n">
        <v>1</v>
      </c>
      <c r="AA1235" s="189" t="s">
        <v>2139</v>
      </c>
    </row>
    <row r="1236" customFormat="false" ht="15" hidden="false" customHeight="false" outlineLevel="0" collapsed="false">
      <c r="A1236" s="0" t="n">
        <v>263</v>
      </c>
      <c r="B1236" s="191" t="n">
        <v>46048.6740066379</v>
      </c>
      <c r="C1236" s="191" t="n">
        <v>46048.6789256194</v>
      </c>
      <c r="D1236" s="189" t="s">
        <v>1814</v>
      </c>
      <c r="E1236" s="189" t="s">
        <v>1815</v>
      </c>
      <c r="F1236" s="189" t="s">
        <v>1815</v>
      </c>
      <c r="G1236" s="189" t="s">
        <v>1816</v>
      </c>
      <c r="H1236" s="191" t="n">
        <v>46042</v>
      </c>
      <c r="I1236" s="189" t="s">
        <v>132</v>
      </c>
      <c r="J1236" s="189" t="s">
        <v>108</v>
      </c>
      <c r="K1236" s="189" t="s">
        <v>196</v>
      </c>
      <c r="L1236" s="189" t="s">
        <v>296</v>
      </c>
      <c r="M1236" s="189" t="s">
        <v>1074</v>
      </c>
      <c r="N1236" s="189" t="s">
        <v>552</v>
      </c>
      <c r="O1236" s="189" t="s">
        <v>172</v>
      </c>
      <c r="P1236" s="189" t="s">
        <v>111</v>
      </c>
      <c r="Q1236" s="189" t="s">
        <v>112</v>
      </c>
      <c r="R1236" s="189" t="s">
        <v>24</v>
      </c>
      <c r="S1236" s="189" t="s">
        <v>152</v>
      </c>
      <c r="T1236" s="189" t="s">
        <v>352</v>
      </c>
      <c r="U1236" s="189" t="s">
        <v>122</v>
      </c>
      <c r="V1236" s="189" t="s">
        <v>123</v>
      </c>
      <c r="W1236" s="189" t="s">
        <v>124</v>
      </c>
      <c r="X1236" s="189" t="s">
        <v>214</v>
      </c>
      <c r="Y1236" s="189" t="s">
        <v>2110</v>
      </c>
      <c r="Z1236" s="0" t="n">
        <v>1</v>
      </c>
      <c r="AA1236" s="189" t="s">
        <v>2255</v>
      </c>
    </row>
    <row r="1237" customFormat="false" ht="15" hidden="false" customHeight="false" outlineLevel="0" collapsed="false">
      <c r="A1237" s="0" t="n">
        <v>263</v>
      </c>
      <c r="B1237" s="191" t="n">
        <v>46048.6740066379</v>
      </c>
      <c r="C1237" s="191" t="n">
        <v>46048.6789256194</v>
      </c>
      <c r="D1237" s="189" t="s">
        <v>1814</v>
      </c>
      <c r="E1237" s="189" t="s">
        <v>1815</v>
      </c>
      <c r="F1237" s="189" t="s">
        <v>1815</v>
      </c>
      <c r="G1237" s="189" t="s">
        <v>1816</v>
      </c>
      <c r="H1237" s="191" t="n">
        <v>46042</v>
      </c>
      <c r="I1237" s="189" t="s">
        <v>132</v>
      </c>
      <c r="J1237" s="189" t="s">
        <v>108</v>
      </c>
      <c r="K1237" s="189" t="s">
        <v>196</v>
      </c>
      <c r="L1237" s="189" t="s">
        <v>296</v>
      </c>
      <c r="M1237" s="189" t="s">
        <v>1074</v>
      </c>
      <c r="N1237" s="189" t="s">
        <v>552</v>
      </c>
      <c r="O1237" s="189" t="s">
        <v>172</v>
      </c>
      <c r="P1237" s="189" t="s">
        <v>111</v>
      </c>
      <c r="Q1237" s="189" t="s">
        <v>112</v>
      </c>
      <c r="R1237" s="189" t="s">
        <v>24</v>
      </c>
      <c r="S1237" s="189" t="s">
        <v>152</v>
      </c>
      <c r="T1237" s="189" t="s">
        <v>352</v>
      </c>
      <c r="U1237" s="189" t="s">
        <v>122</v>
      </c>
      <c r="V1237" s="189" t="s">
        <v>123</v>
      </c>
      <c r="W1237" s="189" t="s">
        <v>124</v>
      </c>
      <c r="X1237" s="189" t="s">
        <v>214</v>
      </c>
      <c r="Y1237" s="189" t="s">
        <v>2110</v>
      </c>
      <c r="Z1237" s="0" t="n">
        <v>2</v>
      </c>
      <c r="AA1237" s="189" t="s">
        <v>122</v>
      </c>
    </row>
    <row r="1238" customFormat="false" ht="15" hidden="false" customHeight="false" outlineLevel="0" collapsed="false">
      <c r="A1238" s="0" t="n">
        <v>263</v>
      </c>
      <c r="B1238" s="191" t="n">
        <v>46048.6740066379</v>
      </c>
      <c r="C1238" s="191" t="n">
        <v>46048.6789256194</v>
      </c>
      <c r="D1238" s="189" t="s">
        <v>1814</v>
      </c>
      <c r="E1238" s="189" t="s">
        <v>1815</v>
      </c>
      <c r="F1238" s="189" t="s">
        <v>1815</v>
      </c>
      <c r="G1238" s="189" t="s">
        <v>1816</v>
      </c>
      <c r="H1238" s="191" t="n">
        <v>46042</v>
      </c>
      <c r="I1238" s="189" t="s">
        <v>132</v>
      </c>
      <c r="J1238" s="189" t="s">
        <v>108</v>
      </c>
      <c r="K1238" s="189" t="s">
        <v>196</v>
      </c>
      <c r="L1238" s="189" t="s">
        <v>296</v>
      </c>
      <c r="M1238" s="189" t="s">
        <v>1074</v>
      </c>
      <c r="N1238" s="189" t="s">
        <v>552</v>
      </c>
      <c r="O1238" s="189" t="s">
        <v>172</v>
      </c>
      <c r="P1238" s="189" t="s">
        <v>111</v>
      </c>
      <c r="Q1238" s="189" t="s">
        <v>112</v>
      </c>
      <c r="R1238" s="189" t="s">
        <v>24</v>
      </c>
      <c r="S1238" s="189" t="s">
        <v>152</v>
      </c>
      <c r="T1238" s="189" t="s">
        <v>352</v>
      </c>
      <c r="U1238" s="189" t="s">
        <v>122</v>
      </c>
      <c r="V1238" s="189" t="s">
        <v>123</v>
      </c>
      <c r="W1238" s="189" t="s">
        <v>124</v>
      </c>
      <c r="X1238" s="189" t="s">
        <v>214</v>
      </c>
      <c r="Y1238" s="189" t="s">
        <v>2113</v>
      </c>
      <c r="Z1238" s="0" t="n">
        <v>1</v>
      </c>
      <c r="AA1238" s="189" t="s">
        <v>2114</v>
      </c>
    </row>
    <row r="1239" customFormat="false" ht="15" hidden="false" customHeight="false" outlineLevel="0" collapsed="false">
      <c r="A1239" s="0" t="n">
        <v>263</v>
      </c>
      <c r="B1239" s="191" t="n">
        <v>46048.6740066379</v>
      </c>
      <c r="C1239" s="191" t="n">
        <v>46048.6789256194</v>
      </c>
      <c r="D1239" s="189" t="s">
        <v>1814</v>
      </c>
      <c r="E1239" s="189" t="s">
        <v>1815</v>
      </c>
      <c r="F1239" s="189" t="s">
        <v>1815</v>
      </c>
      <c r="G1239" s="189" t="s">
        <v>1816</v>
      </c>
      <c r="H1239" s="191" t="n">
        <v>46042</v>
      </c>
      <c r="I1239" s="189" t="s">
        <v>132</v>
      </c>
      <c r="J1239" s="189" t="s">
        <v>108</v>
      </c>
      <c r="K1239" s="189" t="s">
        <v>196</v>
      </c>
      <c r="L1239" s="189" t="s">
        <v>296</v>
      </c>
      <c r="M1239" s="189" t="s">
        <v>1074</v>
      </c>
      <c r="N1239" s="189" t="s">
        <v>552</v>
      </c>
      <c r="O1239" s="189" t="s">
        <v>172</v>
      </c>
      <c r="P1239" s="189" t="s">
        <v>111</v>
      </c>
      <c r="Q1239" s="189" t="s">
        <v>112</v>
      </c>
      <c r="R1239" s="189" t="s">
        <v>24</v>
      </c>
      <c r="S1239" s="189" t="s">
        <v>152</v>
      </c>
      <c r="T1239" s="189" t="s">
        <v>352</v>
      </c>
      <c r="U1239" s="189" t="s">
        <v>122</v>
      </c>
      <c r="V1239" s="189" t="s">
        <v>123</v>
      </c>
      <c r="W1239" s="189" t="s">
        <v>124</v>
      </c>
      <c r="X1239" s="189" t="s">
        <v>214</v>
      </c>
      <c r="Y1239" s="189" t="s">
        <v>2113</v>
      </c>
      <c r="Z1239" s="0" t="n">
        <v>2</v>
      </c>
      <c r="AA1239" s="189" t="s">
        <v>2184</v>
      </c>
    </row>
    <row r="1240" customFormat="false" ht="15" hidden="false" customHeight="false" outlineLevel="0" collapsed="false">
      <c r="A1240" s="0" t="n">
        <v>264</v>
      </c>
      <c r="B1240" s="191" t="n">
        <v>46210.422230473</v>
      </c>
      <c r="C1240" s="191" t="n">
        <v>46210.4399851026</v>
      </c>
      <c r="D1240" s="189" t="s">
        <v>1818</v>
      </c>
      <c r="E1240" s="189" t="s">
        <v>1819</v>
      </c>
      <c r="F1240" s="189" t="s">
        <v>1819</v>
      </c>
      <c r="G1240" s="189" t="s">
        <v>1820</v>
      </c>
      <c r="H1240" s="191" t="n">
        <v>46192</v>
      </c>
      <c r="I1240" s="189" t="s">
        <v>305</v>
      </c>
      <c r="J1240" s="189" t="s">
        <v>295</v>
      </c>
      <c r="K1240" s="189" t="s">
        <v>364</v>
      </c>
      <c r="L1240" s="189" t="s">
        <v>144</v>
      </c>
      <c r="M1240" s="189" t="s">
        <v>133</v>
      </c>
      <c r="N1240" s="189" t="s">
        <v>1441</v>
      </c>
      <c r="O1240" s="189" t="s">
        <v>107</v>
      </c>
      <c r="P1240" s="189" t="s">
        <v>111</v>
      </c>
      <c r="Q1240" s="189" t="s">
        <v>145</v>
      </c>
      <c r="R1240" s="189" t="s">
        <v>25</v>
      </c>
      <c r="S1240" s="189" t="s">
        <v>152</v>
      </c>
      <c r="T1240" s="189" t="s">
        <v>121</v>
      </c>
      <c r="U1240" s="189" t="s">
        <v>1821</v>
      </c>
      <c r="V1240" s="189" t="s">
        <v>123</v>
      </c>
      <c r="W1240" s="189" t="s">
        <v>124</v>
      </c>
      <c r="X1240" s="189" t="s">
        <v>327</v>
      </c>
      <c r="Y1240" s="189" t="s">
        <v>2108</v>
      </c>
      <c r="Z1240" s="0" t="n">
        <v>1</v>
      </c>
      <c r="AA1240" s="189" t="s">
        <v>2125</v>
      </c>
    </row>
    <row r="1241" customFormat="false" ht="15" hidden="false" customHeight="false" outlineLevel="0" collapsed="false">
      <c r="A1241" s="0" t="n">
        <v>264</v>
      </c>
      <c r="B1241" s="191" t="n">
        <v>46210.422230473</v>
      </c>
      <c r="C1241" s="191" t="n">
        <v>46210.4399851026</v>
      </c>
      <c r="D1241" s="189" t="s">
        <v>1818</v>
      </c>
      <c r="E1241" s="189" t="s">
        <v>1819</v>
      </c>
      <c r="F1241" s="189" t="s">
        <v>1819</v>
      </c>
      <c r="G1241" s="189" t="s">
        <v>1820</v>
      </c>
      <c r="H1241" s="191" t="n">
        <v>46192</v>
      </c>
      <c r="I1241" s="189" t="s">
        <v>305</v>
      </c>
      <c r="J1241" s="189" t="s">
        <v>295</v>
      </c>
      <c r="K1241" s="189" t="s">
        <v>364</v>
      </c>
      <c r="L1241" s="189" t="s">
        <v>144</v>
      </c>
      <c r="M1241" s="189" t="s">
        <v>133</v>
      </c>
      <c r="N1241" s="189" t="s">
        <v>1441</v>
      </c>
      <c r="O1241" s="189" t="s">
        <v>107</v>
      </c>
      <c r="P1241" s="189" t="s">
        <v>111</v>
      </c>
      <c r="Q1241" s="189" t="s">
        <v>145</v>
      </c>
      <c r="R1241" s="189" t="s">
        <v>25</v>
      </c>
      <c r="S1241" s="189" t="s">
        <v>152</v>
      </c>
      <c r="T1241" s="189" t="s">
        <v>121</v>
      </c>
      <c r="U1241" s="189" t="s">
        <v>1821</v>
      </c>
      <c r="V1241" s="189" t="s">
        <v>123</v>
      </c>
      <c r="W1241" s="189" t="s">
        <v>124</v>
      </c>
      <c r="X1241" s="189" t="s">
        <v>327</v>
      </c>
      <c r="Y1241" s="189" t="s">
        <v>2108</v>
      </c>
      <c r="Z1241" s="0" t="n">
        <v>2</v>
      </c>
      <c r="AA1241" s="189" t="s">
        <v>2139</v>
      </c>
    </row>
    <row r="1242" customFormat="false" ht="15" hidden="false" customHeight="false" outlineLevel="0" collapsed="false">
      <c r="A1242" s="0" t="n">
        <v>264</v>
      </c>
      <c r="B1242" s="191" t="n">
        <v>46210.422230473</v>
      </c>
      <c r="C1242" s="191" t="n">
        <v>46210.4399851026</v>
      </c>
      <c r="D1242" s="189" t="s">
        <v>1818</v>
      </c>
      <c r="E1242" s="189" t="s">
        <v>1819</v>
      </c>
      <c r="F1242" s="189" t="s">
        <v>1819</v>
      </c>
      <c r="G1242" s="189" t="s">
        <v>1820</v>
      </c>
      <c r="H1242" s="191" t="n">
        <v>46192</v>
      </c>
      <c r="I1242" s="189" t="s">
        <v>305</v>
      </c>
      <c r="J1242" s="189" t="s">
        <v>295</v>
      </c>
      <c r="K1242" s="189" t="s">
        <v>364</v>
      </c>
      <c r="L1242" s="189" t="s">
        <v>144</v>
      </c>
      <c r="M1242" s="189" t="s">
        <v>133</v>
      </c>
      <c r="N1242" s="189" t="s">
        <v>1441</v>
      </c>
      <c r="O1242" s="189" t="s">
        <v>107</v>
      </c>
      <c r="P1242" s="189" t="s">
        <v>111</v>
      </c>
      <c r="Q1242" s="189" t="s">
        <v>145</v>
      </c>
      <c r="R1242" s="189" t="s">
        <v>25</v>
      </c>
      <c r="S1242" s="189" t="s">
        <v>152</v>
      </c>
      <c r="T1242" s="189" t="s">
        <v>121</v>
      </c>
      <c r="U1242" s="189" t="s">
        <v>1821</v>
      </c>
      <c r="V1242" s="189" t="s">
        <v>123</v>
      </c>
      <c r="W1242" s="189" t="s">
        <v>124</v>
      </c>
      <c r="X1242" s="189" t="s">
        <v>327</v>
      </c>
      <c r="Y1242" s="189" t="s">
        <v>2110</v>
      </c>
      <c r="Z1242" s="0" t="n">
        <v>1</v>
      </c>
      <c r="AA1242" s="189" t="s">
        <v>2112</v>
      </c>
    </row>
    <row r="1243" customFormat="false" ht="15" hidden="false" customHeight="false" outlineLevel="0" collapsed="false">
      <c r="A1243" s="0" t="n">
        <v>264</v>
      </c>
      <c r="B1243" s="191" t="n">
        <v>46210.422230473</v>
      </c>
      <c r="C1243" s="191" t="n">
        <v>46210.4399851026</v>
      </c>
      <c r="D1243" s="189" t="s">
        <v>1818</v>
      </c>
      <c r="E1243" s="189" t="s">
        <v>1819</v>
      </c>
      <c r="F1243" s="189" t="s">
        <v>1819</v>
      </c>
      <c r="G1243" s="189" t="s">
        <v>1820</v>
      </c>
      <c r="H1243" s="191" t="n">
        <v>46192</v>
      </c>
      <c r="I1243" s="189" t="s">
        <v>305</v>
      </c>
      <c r="J1243" s="189" t="s">
        <v>295</v>
      </c>
      <c r="K1243" s="189" t="s">
        <v>364</v>
      </c>
      <c r="L1243" s="189" t="s">
        <v>144</v>
      </c>
      <c r="M1243" s="189" t="s">
        <v>133</v>
      </c>
      <c r="N1243" s="189" t="s">
        <v>1441</v>
      </c>
      <c r="O1243" s="189" t="s">
        <v>107</v>
      </c>
      <c r="P1243" s="189" t="s">
        <v>111</v>
      </c>
      <c r="Q1243" s="189" t="s">
        <v>145</v>
      </c>
      <c r="R1243" s="189" t="s">
        <v>25</v>
      </c>
      <c r="S1243" s="189" t="s">
        <v>152</v>
      </c>
      <c r="T1243" s="189" t="s">
        <v>121</v>
      </c>
      <c r="U1243" s="189" t="s">
        <v>1821</v>
      </c>
      <c r="V1243" s="189" t="s">
        <v>123</v>
      </c>
      <c r="W1243" s="189" t="s">
        <v>124</v>
      </c>
      <c r="X1243" s="189" t="s">
        <v>327</v>
      </c>
      <c r="Y1243" s="189" t="s">
        <v>2113</v>
      </c>
      <c r="Z1243" s="0" t="n">
        <v>1</v>
      </c>
      <c r="AA1243" s="189" t="s">
        <v>2152</v>
      </c>
    </row>
    <row r="1244" customFormat="false" ht="15" hidden="false" customHeight="false" outlineLevel="0" collapsed="false">
      <c r="A1244" s="0" t="n">
        <v>265</v>
      </c>
      <c r="B1244" s="191" t="n">
        <v>46090.3031499801</v>
      </c>
      <c r="C1244" s="191" t="n">
        <v>46090.3051638689</v>
      </c>
      <c r="D1244" s="189" t="s">
        <v>1822</v>
      </c>
      <c r="E1244" s="189" t="s">
        <v>1823</v>
      </c>
      <c r="F1244" s="189" t="s">
        <v>1823</v>
      </c>
      <c r="G1244" s="189" t="s">
        <v>1824</v>
      </c>
      <c r="H1244" s="191" t="n">
        <v>46078</v>
      </c>
      <c r="I1244" s="189" t="s">
        <v>113</v>
      </c>
      <c r="J1244" s="189" t="s">
        <v>108</v>
      </c>
      <c r="K1244" s="189" t="s">
        <v>462</v>
      </c>
      <c r="L1244" s="189" t="s">
        <v>296</v>
      </c>
      <c r="M1244" s="189" t="s">
        <v>406</v>
      </c>
      <c r="N1244" s="189" t="s">
        <v>701</v>
      </c>
      <c r="O1244" s="189" t="s">
        <v>107</v>
      </c>
      <c r="P1244" s="189" t="s">
        <v>111</v>
      </c>
      <c r="Q1244" s="189" t="s">
        <v>112</v>
      </c>
      <c r="R1244" s="189" t="s">
        <v>22</v>
      </c>
      <c r="S1244" s="189" t="s">
        <v>120</v>
      </c>
      <c r="T1244" s="189" t="s">
        <v>121</v>
      </c>
      <c r="U1244" s="189" t="s">
        <v>1641</v>
      </c>
      <c r="V1244" s="189" t="s">
        <v>192</v>
      </c>
      <c r="W1244" s="189" t="s">
        <v>124</v>
      </c>
      <c r="X1244" s="189" t="s">
        <v>148</v>
      </c>
      <c r="Y1244" s="189" t="s">
        <v>2108</v>
      </c>
      <c r="Z1244" s="0" t="n">
        <v>1</v>
      </c>
      <c r="AA1244" s="189" t="s">
        <v>2120</v>
      </c>
    </row>
    <row r="1245" customFormat="false" ht="15" hidden="false" customHeight="false" outlineLevel="0" collapsed="false">
      <c r="A1245" s="0" t="n">
        <v>265</v>
      </c>
      <c r="B1245" s="191" t="n">
        <v>46090.3031499801</v>
      </c>
      <c r="C1245" s="191" t="n">
        <v>46090.3051638689</v>
      </c>
      <c r="D1245" s="189" t="s">
        <v>1822</v>
      </c>
      <c r="E1245" s="189" t="s">
        <v>1823</v>
      </c>
      <c r="F1245" s="189" t="s">
        <v>1823</v>
      </c>
      <c r="G1245" s="189" t="s">
        <v>1824</v>
      </c>
      <c r="H1245" s="191" t="n">
        <v>46078</v>
      </c>
      <c r="I1245" s="189" t="s">
        <v>113</v>
      </c>
      <c r="J1245" s="189" t="s">
        <v>108</v>
      </c>
      <c r="K1245" s="189" t="s">
        <v>462</v>
      </c>
      <c r="L1245" s="189" t="s">
        <v>296</v>
      </c>
      <c r="M1245" s="189" t="s">
        <v>406</v>
      </c>
      <c r="N1245" s="189" t="s">
        <v>701</v>
      </c>
      <c r="O1245" s="189" t="s">
        <v>107</v>
      </c>
      <c r="P1245" s="189" t="s">
        <v>111</v>
      </c>
      <c r="Q1245" s="189" t="s">
        <v>112</v>
      </c>
      <c r="R1245" s="189" t="s">
        <v>22</v>
      </c>
      <c r="S1245" s="189" t="s">
        <v>120</v>
      </c>
      <c r="T1245" s="189" t="s">
        <v>121</v>
      </c>
      <c r="U1245" s="189" t="s">
        <v>1641</v>
      </c>
      <c r="V1245" s="189" t="s">
        <v>192</v>
      </c>
      <c r="W1245" s="189" t="s">
        <v>124</v>
      </c>
      <c r="X1245" s="189" t="s">
        <v>148</v>
      </c>
      <c r="Y1245" s="189" t="s">
        <v>2110</v>
      </c>
      <c r="Z1245" s="0" t="n">
        <v>1</v>
      </c>
      <c r="AA1245" s="189" t="s">
        <v>2122</v>
      </c>
    </row>
    <row r="1246" customFormat="false" ht="15" hidden="false" customHeight="false" outlineLevel="0" collapsed="false">
      <c r="A1246" s="0" t="n">
        <v>265</v>
      </c>
      <c r="B1246" s="191" t="n">
        <v>46090.3031499801</v>
      </c>
      <c r="C1246" s="191" t="n">
        <v>46090.3051638689</v>
      </c>
      <c r="D1246" s="189" t="s">
        <v>1822</v>
      </c>
      <c r="E1246" s="189" t="s">
        <v>1823</v>
      </c>
      <c r="F1246" s="189" t="s">
        <v>1823</v>
      </c>
      <c r="G1246" s="189" t="s">
        <v>1824</v>
      </c>
      <c r="H1246" s="191" t="n">
        <v>46078</v>
      </c>
      <c r="I1246" s="189" t="s">
        <v>113</v>
      </c>
      <c r="J1246" s="189" t="s">
        <v>108</v>
      </c>
      <c r="K1246" s="189" t="s">
        <v>462</v>
      </c>
      <c r="L1246" s="189" t="s">
        <v>296</v>
      </c>
      <c r="M1246" s="189" t="s">
        <v>406</v>
      </c>
      <c r="N1246" s="189" t="s">
        <v>701</v>
      </c>
      <c r="O1246" s="189" t="s">
        <v>107</v>
      </c>
      <c r="P1246" s="189" t="s">
        <v>111</v>
      </c>
      <c r="Q1246" s="189" t="s">
        <v>112</v>
      </c>
      <c r="R1246" s="189" t="s">
        <v>22</v>
      </c>
      <c r="S1246" s="189" t="s">
        <v>120</v>
      </c>
      <c r="T1246" s="189" t="s">
        <v>121</v>
      </c>
      <c r="U1246" s="189" t="s">
        <v>1641</v>
      </c>
      <c r="V1246" s="189" t="s">
        <v>192</v>
      </c>
      <c r="W1246" s="189" t="s">
        <v>124</v>
      </c>
      <c r="X1246" s="189" t="s">
        <v>148</v>
      </c>
      <c r="Y1246" s="189" t="s">
        <v>2110</v>
      </c>
      <c r="Z1246" s="0" t="n">
        <v>2</v>
      </c>
      <c r="AA1246" s="189" t="s">
        <v>2328</v>
      </c>
    </row>
    <row r="1247" customFormat="false" ht="15" hidden="false" customHeight="false" outlineLevel="0" collapsed="false">
      <c r="A1247" s="0" t="n">
        <v>265</v>
      </c>
      <c r="B1247" s="191" t="n">
        <v>46090.3031499801</v>
      </c>
      <c r="C1247" s="191" t="n">
        <v>46090.3051638689</v>
      </c>
      <c r="D1247" s="189" t="s">
        <v>1822</v>
      </c>
      <c r="E1247" s="189" t="s">
        <v>1823</v>
      </c>
      <c r="F1247" s="189" t="s">
        <v>1823</v>
      </c>
      <c r="G1247" s="189" t="s">
        <v>1824</v>
      </c>
      <c r="H1247" s="191" t="n">
        <v>46078</v>
      </c>
      <c r="I1247" s="189" t="s">
        <v>113</v>
      </c>
      <c r="J1247" s="189" t="s">
        <v>108</v>
      </c>
      <c r="K1247" s="189" t="s">
        <v>462</v>
      </c>
      <c r="L1247" s="189" t="s">
        <v>296</v>
      </c>
      <c r="M1247" s="189" t="s">
        <v>406</v>
      </c>
      <c r="N1247" s="189" t="s">
        <v>701</v>
      </c>
      <c r="O1247" s="189" t="s">
        <v>107</v>
      </c>
      <c r="P1247" s="189" t="s">
        <v>111</v>
      </c>
      <c r="Q1247" s="189" t="s">
        <v>112</v>
      </c>
      <c r="R1247" s="189" t="s">
        <v>22</v>
      </c>
      <c r="S1247" s="189" t="s">
        <v>120</v>
      </c>
      <c r="T1247" s="189" t="s">
        <v>121</v>
      </c>
      <c r="U1247" s="189" t="s">
        <v>1641</v>
      </c>
      <c r="V1247" s="189" t="s">
        <v>192</v>
      </c>
      <c r="W1247" s="189" t="s">
        <v>124</v>
      </c>
      <c r="X1247" s="189" t="s">
        <v>148</v>
      </c>
      <c r="Y1247" s="189" t="s">
        <v>2113</v>
      </c>
      <c r="Z1247" s="0" t="n">
        <v>1</v>
      </c>
      <c r="AA1247" s="189" t="s">
        <v>2138</v>
      </c>
    </row>
    <row r="1248" customFormat="false" ht="15" hidden="false" customHeight="false" outlineLevel="0" collapsed="false">
      <c r="A1248" s="0" t="n">
        <v>265</v>
      </c>
      <c r="B1248" s="191" t="n">
        <v>46090.3031499801</v>
      </c>
      <c r="C1248" s="191" t="n">
        <v>46090.3051638689</v>
      </c>
      <c r="D1248" s="189" t="s">
        <v>1822</v>
      </c>
      <c r="E1248" s="189" t="s">
        <v>1823</v>
      </c>
      <c r="F1248" s="189" t="s">
        <v>1823</v>
      </c>
      <c r="G1248" s="189" t="s">
        <v>1824</v>
      </c>
      <c r="H1248" s="191" t="n">
        <v>46078</v>
      </c>
      <c r="I1248" s="189" t="s">
        <v>113</v>
      </c>
      <c r="J1248" s="189" t="s">
        <v>108</v>
      </c>
      <c r="K1248" s="189" t="s">
        <v>462</v>
      </c>
      <c r="L1248" s="189" t="s">
        <v>296</v>
      </c>
      <c r="M1248" s="189" t="s">
        <v>406</v>
      </c>
      <c r="N1248" s="189" t="s">
        <v>701</v>
      </c>
      <c r="O1248" s="189" t="s">
        <v>107</v>
      </c>
      <c r="P1248" s="189" t="s">
        <v>111</v>
      </c>
      <c r="Q1248" s="189" t="s">
        <v>112</v>
      </c>
      <c r="R1248" s="189" t="s">
        <v>22</v>
      </c>
      <c r="S1248" s="189" t="s">
        <v>120</v>
      </c>
      <c r="T1248" s="189" t="s">
        <v>121</v>
      </c>
      <c r="U1248" s="189" t="s">
        <v>1641</v>
      </c>
      <c r="V1248" s="189" t="s">
        <v>192</v>
      </c>
      <c r="W1248" s="189" t="s">
        <v>124</v>
      </c>
      <c r="X1248" s="189" t="s">
        <v>148</v>
      </c>
      <c r="Y1248" s="189" t="s">
        <v>2113</v>
      </c>
      <c r="Z1248" s="0" t="n">
        <v>2</v>
      </c>
      <c r="AA1248" s="189" t="s">
        <v>2123</v>
      </c>
    </row>
    <row r="1249" customFormat="false" ht="15" hidden="false" customHeight="false" outlineLevel="0" collapsed="false">
      <c r="A1249" s="0" t="n">
        <v>266</v>
      </c>
      <c r="B1249" s="191" t="n">
        <v>46156.1079092159</v>
      </c>
      <c r="C1249" s="191" t="n">
        <v>46156.1201661604</v>
      </c>
      <c r="D1249" s="189" t="s">
        <v>1827</v>
      </c>
      <c r="E1249" s="189" t="s">
        <v>1828</v>
      </c>
      <c r="F1249" s="189" t="s">
        <v>1828</v>
      </c>
      <c r="G1249" s="189" t="s">
        <v>1829</v>
      </c>
      <c r="H1249" s="191" t="n">
        <v>46152</v>
      </c>
      <c r="I1249" s="189" t="s">
        <v>113</v>
      </c>
      <c r="J1249" s="189" t="s">
        <v>295</v>
      </c>
      <c r="K1249" s="189" t="s">
        <v>143</v>
      </c>
      <c r="L1249" s="189" t="s">
        <v>233</v>
      </c>
      <c r="M1249" s="189" t="s">
        <v>160</v>
      </c>
      <c r="N1249" s="189" t="s">
        <v>1628</v>
      </c>
      <c r="O1249" s="189" t="s">
        <v>172</v>
      </c>
      <c r="P1249" s="189" t="s">
        <v>111</v>
      </c>
      <c r="Q1249" s="189" t="s">
        <v>112</v>
      </c>
      <c r="R1249" s="189" t="s">
        <v>21</v>
      </c>
      <c r="S1249" s="189" t="s">
        <v>152</v>
      </c>
      <c r="T1249" s="189" t="s">
        <v>264</v>
      </c>
      <c r="U1249" s="189" t="s">
        <v>1063</v>
      </c>
      <c r="V1249" s="189" t="s">
        <v>123</v>
      </c>
      <c r="W1249" s="189" t="s">
        <v>124</v>
      </c>
      <c r="X1249" s="189" t="s">
        <v>1830</v>
      </c>
      <c r="Y1249" s="189" t="s">
        <v>2108</v>
      </c>
      <c r="Z1249" s="0" t="n">
        <v>1</v>
      </c>
      <c r="AA1249" s="189" t="s">
        <v>2357</v>
      </c>
    </row>
    <row r="1250" customFormat="false" ht="15" hidden="false" customHeight="false" outlineLevel="0" collapsed="false">
      <c r="A1250" s="0" t="n">
        <v>266</v>
      </c>
      <c r="B1250" s="191" t="n">
        <v>46156.1079092159</v>
      </c>
      <c r="C1250" s="191" t="n">
        <v>46156.1201661604</v>
      </c>
      <c r="D1250" s="189" t="s">
        <v>1827</v>
      </c>
      <c r="E1250" s="189" t="s">
        <v>1828</v>
      </c>
      <c r="F1250" s="189" t="s">
        <v>1828</v>
      </c>
      <c r="G1250" s="189" t="s">
        <v>1829</v>
      </c>
      <c r="H1250" s="191" t="n">
        <v>46152</v>
      </c>
      <c r="I1250" s="189" t="s">
        <v>113</v>
      </c>
      <c r="J1250" s="189" t="s">
        <v>295</v>
      </c>
      <c r="K1250" s="189" t="s">
        <v>143</v>
      </c>
      <c r="L1250" s="189" t="s">
        <v>233</v>
      </c>
      <c r="M1250" s="189" t="s">
        <v>160</v>
      </c>
      <c r="N1250" s="189" t="s">
        <v>1628</v>
      </c>
      <c r="O1250" s="189" t="s">
        <v>172</v>
      </c>
      <c r="P1250" s="189" t="s">
        <v>111</v>
      </c>
      <c r="Q1250" s="189" t="s">
        <v>112</v>
      </c>
      <c r="R1250" s="189" t="s">
        <v>21</v>
      </c>
      <c r="S1250" s="189" t="s">
        <v>152</v>
      </c>
      <c r="T1250" s="189" t="s">
        <v>264</v>
      </c>
      <c r="U1250" s="189" t="s">
        <v>1063</v>
      </c>
      <c r="V1250" s="189" t="s">
        <v>123</v>
      </c>
      <c r="W1250" s="189" t="s">
        <v>124</v>
      </c>
      <c r="X1250" s="189" t="s">
        <v>1830</v>
      </c>
      <c r="Y1250" s="189" t="s">
        <v>2108</v>
      </c>
      <c r="Z1250" s="0" t="n">
        <v>2</v>
      </c>
      <c r="AA1250" s="189" t="s">
        <v>2358</v>
      </c>
    </row>
    <row r="1251" customFormat="false" ht="15" hidden="false" customHeight="false" outlineLevel="0" collapsed="false">
      <c r="A1251" s="0" t="n">
        <v>266</v>
      </c>
      <c r="B1251" s="191" t="n">
        <v>46156.1079092159</v>
      </c>
      <c r="C1251" s="191" t="n">
        <v>46156.1201661604</v>
      </c>
      <c r="D1251" s="189" t="s">
        <v>1827</v>
      </c>
      <c r="E1251" s="189" t="s">
        <v>1828</v>
      </c>
      <c r="F1251" s="189" t="s">
        <v>1828</v>
      </c>
      <c r="G1251" s="189" t="s">
        <v>1829</v>
      </c>
      <c r="H1251" s="191" t="n">
        <v>46152</v>
      </c>
      <c r="I1251" s="189" t="s">
        <v>113</v>
      </c>
      <c r="J1251" s="189" t="s">
        <v>295</v>
      </c>
      <c r="K1251" s="189" t="s">
        <v>143</v>
      </c>
      <c r="L1251" s="189" t="s">
        <v>233</v>
      </c>
      <c r="M1251" s="189" t="s">
        <v>160</v>
      </c>
      <c r="N1251" s="189" t="s">
        <v>1628</v>
      </c>
      <c r="O1251" s="189" t="s">
        <v>172</v>
      </c>
      <c r="P1251" s="189" t="s">
        <v>111</v>
      </c>
      <c r="Q1251" s="189" t="s">
        <v>112</v>
      </c>
      <c r="R1251" s="189" t="s">
        <v>21</v>
      </c>
      <c r="S1251" s="189" t="s">
        <v>152</v>
      </c>
      <c r="T1251" s="189" t="s">
        <v>264</v>
      </c>
      <c r="U1251" s="189" t="s">
        <v>1063</v>
      </c>
      <c r="V1251" s="189" t="s">
        <v>123</v>
      </c>
      <c r="W1251" s="189" t="s">
        <v>124</v>
      </c>
      <c r="X1251" s="189" t="s">
        <v>1830</v>
      </c>
      <c r="Y1251" s="189" t="s">
        <v>2110</v>
      </c>
      <c r="Z1251" s="0" t="n">
        <v>1</v>
      </c>
      <c r="AA1251" s="189" t="s">
        <v>2359</v>
      </c>
    </row>
    <row r="1252" customFormat="false" ht="15" hidden="false" customHeight="false" outlineLevel="0" collapsed="false">
      <c r="A1252" s="0" t="n">
        <v>266</v>
      </c>
      <c r="B1252" s="191" t="n">
        <v>46156.1079092159</v>
      </c>
      <c r="C1252" s="191" t="n">
        <v>46156.1201661604</v>
      </c>
      <c r="D1252" s="189" t="s">
        <v>1827</v>
      </c>
      <c r="E1252" s="189" t="s">
        <v>1828</v>
      </c>
      <c r="F1252" s="189" t="s">
        <v>1828</v>
      </c>
      <c r="G1252" s="189" t="s">
        <v>1829</v>
      </c>
      <c r="H1252" s="191" t="n">
        <v>46152</v>
      </c>
      <c r="I1252" s="189" t="s">
        <v>113</v>
      </c>
      <c r="J1252" s="189" t="s">
        <v>295</v>
      </c>
      <c r="K1252" s="189" t="s">
        <v>143</v>
      </c>
      <c r="L1252" s="189" t="s">
        <v>233</v>
      </c>
      <c r="M1252" s="189" t="s">
        <v>160</v>
      </c>
      <c r="N1252" s="189" t="s">
        <v>1628</v>
      </c>
      <c r="O1252" s="189" t="s">
        <v>172</v>
      </c>
      <c r="P1252" s="189" t="s">
        <v>111</v>
      </c>
      <c r="Q1252" s="189" t="s">
        <v>112</v>
      </c>
      <c r="R1252" s="189" t="s">
        <v>21</v>
      </c>
      <c r="S1252" s="189" t="s">
        <v>152</v>
      </c>
      <c r="T1252" s="189" t="s">
        <v>264</v>
      </c>
      <c r="U1252" s="189" t="s">
        <v>1063</v>
      </c>
      <c r="V1252" s="189" t="s">
        <v>123</v>
      </c>
      <c r="W1252" s="189" t="s">
        <v>124</v>
      </c>
      <c r="X1252" s="189" t="s">
        <v>1830</v>
      </c>
      <c r="Y1252" s="189" t="s">
        <v>2110</v>
      </c>
      <c r="Z1252" s="0" t="n">
        <v>2</v>
      </c>
      <c r="AA1252" s="189" t="s">
        <v>2360</v>
      </c>
    </row>
    <row r="1253" customFormat="false" ht="15" hidden="false" customHeight="false" outlineLevel="0" collapsed="false">
      <c r="A1253" s="0" t="n">
        <v>266</v>
      </c>
      <c r="B1253" s="191" t="n">
        <v>46156.1079092159</v>
      </c>
      <c r="C1253" s="191" t="n">
        <v>46156.1201661604</v>
      </c>
      <c r="D1253" s="189" t="s">
        <v>1827</v>
      </c>
      <c r="E1253" s="189" t="s">
        <v>1828</v>
      </c>
      <c r="F1253" s="189" t="s">
        <v>1828</v>
      </c>
      <c r="G1253" s="189" t="s">
        <v>1829</v>
      </c>
      <c r="H1253" s="191" t="n">
        <v>46152</v>
      </c>
      <c r="I1253" s="189" t="s">
        <v>113</v>
      </c>
      <c r="J1253" s="189" t="s">
        <v>295</v>
      </c>
      <c r="K1253" s="189" t="s">
        <v>143</v>
      </c>
      <c r="L1253" s="189" t="s">
        <v>233</v>
      </c>
      <c r="M1253" s="189" t="s">
        <v>160</v>
      </c>
      <c r="N1253" s="189" t="s">
        <v>1628</v>
      </c>
      <c r="O1253" s="189" t="s">
        <v>172</v>
      </c>
      <c r="P1253" s="189" t="s">
        <v>111</v>
      </c>
      <c r="Q1253" s="189" t="s">
        <v>112</v>
      </c>
      <c r="R1253" s="189" t="s">
        <v>21</v>
      </c>
      <c r="S1253" s="189" t="s">
        <v>152</v>
      </c>
      <c r="T1253" s="189" t="s">
        <v>264</v>
      </c>
      <c r="U1253" s="189" t="s">
        <v>1063</v>
      </c>
      <c r="V1253" s="189" t="s">
        <v>123</v>
      </c>
      <c r="W1253" s="189" t="s">
        <v>124</v>
      </c>
      <c r="X1253" s="189" t="s">
        <v>1830</v>
      </c>
      <c r="Y1253" s="189" t="s">
        <v>2113</v>
      </c>
      <c r="Z1253" s="0" t="n">
        <v>1</v>
      </c>
      <c r="AA1253" s="189" t="s">
        <v>2361</v>
      </c>
    </row>
    <row r="1254" customFormat="false" ht="15" hidden="false" customHeight="false" outlineLevel="0" collapsed="false">
      <c r="A1254" s="0" t="n">
        <v>267</v>
      </c>
      <c r="B1254" s="191" t="n">
        <v>46099.8391280341</v>
      </c>
      <c r="C1254" s="191" t="n">
        <v>46099.8415470156</v>
      </c>
      <c r="D1254" s="189" t="s">
        <v>1834</v>
      </c>
      <c r="E1254" s="189" t="s">
        <v>1835</v>
      </c>
      <c r="F1254" s="189" t="s">
        <v>1835</v>
      </c>
      <c r="G1254" s="189" t="s">
        <v>1836</v>
      </c>
      <c r="H1254" s="191" t="n">
        <v>46094</v>
      </c>
      <c r="I1254" s="189" t="s">
        <v>113</v>
      </c>
      <c r="J1254" s="189" t="s">
        <v>108</v>
      </c>
      <c r="K1254" s="189" t="s">
        <v>158</v>
      </c>
      <c r="L1254" s="189" t="s">
        <v>110</v>
      </c>
      <c r="M1254" s="189" t="s">
        <v>973</v>
      </c>
      <c r="N1254" s="189" t="s">
        <v>701</v>
      </c>
      <c r="O1254" s="189" t="s">
        <v>107</v>
      </c>
      <c r="P1254" s="189" t="s">
        <v>111</v>
      </c>
      <c r="Q1254" s="189" t="s">
        <v>145</v>
      </c>
      <c r="R1254" s="189" t="s">
        <v>25</v>
      </c>
      <c r="S1254" s="189" t="s">
        <v>152</v>
      </c>
      <c r="T1254" s="189" t="s">
        <v>121</v>
      </c>
      <c r="V1254" s="189" t="s">
        <v>192</v>
      </c>
      <c r="W1254" s="189" t="s">
        <v>124</v>
      </c>
      <c r="X1254" s="189" t="s">
        <v>1712</v>
      </c>
      <c r="Y1254" s="189" t="s">
        <v>2108</v>
      </c>
      <c r="Z1254" s="0" t="n">
        <v>1</v>
      </c>
      <c r="AA1254" s="189" t="s">
        <v>2351</v>
      </c>
    </row>
    <row r="1255" customFormat="false" ht="15" hidden="false" customHeight="false" outlineLevel="0" collapsed="false">
      <c r="A1255" s="0" t="n">
        <v>267</v>
      </c>
      <c r="B1255" s="191" t="n">
        <v>46099.8391280341</v>
      </c>
      <c r="C1255" s="191" t="n">
        <v>46099.8415470156</v>
      </c>
      <c r="D1255" s="189" t="s">
        <v>1834</v>
      </c>
      <c r="E1255" s="189" t="s">
        <v>1835</v>
      </c>
      <c r="F1255" s="189" t="s">
        <v>1835</v>
      </c>
      <c r="G1255" s="189" t="s">
        <v>1836</v>
      </c>
      <c r="H1255" s="191" t="n">
        <v>46094</v>
      </c>
      <c r="I1255" s="189" t="s">
        <v>113</v>
      </c>
      <c r="J1255" s="189" t="s">
        <v>108</v>
      </c>
      <c r="K1255" s="189" t="s">
        <v>158</v>
      </c>
      <c r="L1255" s="189" t="s">
        <v>110</v>
      </c>
      <c r="M1255" s="189" t="s">
        <v>973</v>
      </c>
      <c r="N1255" s="189" t="s">
        <v>701</v>
      </c>
      <c r="O1255" s="189" t="s">
        <v>107</v>
      </c>
      <c r="P1255" s="189" t="s">
        <v>111</v>
      </c>
      <c r="Q1255" s="189" t="s">
        <v>145</v>
      </c>
      <c r="R1255" s="189" t="s">
        <v>25</v>
      </c>
      <c r="S1255" s="189" t="s">
        <v>152</v>
      </c>
      <c r="T1255" s="189" t="s">
        <v>121</v>
      </c>
      <c r="V1255" s="189" t="s">
        <v>192</v>
      </c>
      <c r="W1255" s="189" t="s">
        <v>124</v>
      </c>
      <c r="X1255" s="189" t="s">
        <v>1712</v>
      </c>
      <c r="Y1255" s="189" t="s">
        <v>2110</v>
      </c>
      <c r="Z1255" s="0" t="n">
        <v>1</v>
      </c>
      <c r="AA1255" s="189" t="s">
        <v>2353</v>
      </c>
    </row>
    <row r="1256" customFormat="false" ht="15" hidden="false" customHeight="false" outlineLevel="0" collapsed="false">
      <c r="A1256" s="0" t="n">
        <v>267</v>
      </c>
      <c r="B1256" s="191" t="n">
        <v>46099.8391280341</v>
      </c>
      <c r="C1256" s="191" t="n">
        <v>46099.8415470156</v>
      </c>
      <c r="D1256" s="189" t="s">
        <v>1834</v>
      </c>
      <c r="E1256" s="189" t="s">
        <v>1835</v>
      </c>
      <c r="F1256" s="189" t="s">
        <v>1835</v>
      </c>
      <c r="G1256" s="189" t="s">
        <v>1836</v>
      </c>
      <c r="H1256" s="191" t="n">
        <v>46094</v>
      </c>
      <c r="I1256" s="189" t="s">
        <v>113</v>
      </c>
      <c r="J1256" s="189" t="s">
        <v>108</v>
      </c>
      <c r="K1256" s="189" t="s">
        <v>158</v>
      </c>
      <c r="L1256" s="189" t="s">
        <v>110</v>
      </c>
      <c r="M1256" s="189" t="s">
        <v>973</v>
      </c>
      <c r="N1256" s="189" t="s">
        <v>701</v>
      </c>
      <c r="O1256" s="189" t="s">
        <v>107</v>
      </c>
      <c r="P1256" s="189" t="s">
        <v>111</v>
      </c>
      <c r="Q1256" s="189" t="s">
        <v>145</v>
      </c>
      <c r="R1256" s="189" t="s">
        <v>25</v>
      </c>
      <c r="S1256" s="189" t="s">
        <v>152</v>
      </c>
      <c r="T1256" s="189" t="s">
        <v>121</v>
      </c>
      <c r="V1256" s="189" t="s">
        <v>192</v>
      </c>
      <c r="W1256" s="189" t="s">
        <v>124</v>
      </c>
      <c r="X1256" s="189" t="s">
        <v>1712</v>
      </c>
      <c r="Y1256" s="189" t="s">
        <v>2113</v>
      </c>
      <c r="Z1256" s="0" t="n">
        <v>1</v>
      </c>
      <c r="AA1256" s="189" t="s">
        <v>2355</v>
      </c>
    </row>
    <row r="1257" customFormat="false" ht="15" hidden="false" customHeight="false" outlineLevel="0" collapsed="false">
      <c r="A1257" s="0" t="n">
        <v>267</v>
      </c>
      <c r="B1257" s="191" t="n">
        <v>46099.8391280341</v>
      </c>
      <c r="C1257" s="191" t="n">
        <v>46099.8415470156</v>
      </c>
      <c r="D1257" s="189" t="s">
        <v>1834</v>
      </c>
      <c r="E1257" s="189" t="s">
        <v>1835</v>
      </c>
      <c r="F1257" s="189" t="s">
        <v>1835</v>
      </c>
      <c r="G1257" s="189" t="s">
        <v>1836</v>
      </c>
      <c r="H1257" s="191" t="n">
        <v>46094</v>
      </c>
      <c r="I1257" s="189" t="s">
        <v>113</v>
      </c>
      <c r="J1257" s="189" t="s">
        <v>108</v>
      </c>
      <c r="K1257" s="189" t="s">
        <v>158</v>
      </c>
      <c r="L1257" s="189" t="s">
        <v>110</v>
      </c>
      <c r="M1257" s="189" t="s">
        <v>973</v>
      </c>
      <c r="N1257" s="189" t="s">
        <v>701</v>
      </c>
      <c r="O1257" s="189" t="s">
        <v>107</v>
      </c>
      <c r="P1257" s="189" t="s">
        <v>111</v>
      </c>
      <c r="Q1257" s="189" t="s">
        <v>145</v>
      </c>
      <c r="R1257" s="189" t="s">
        <v>25</v>
      </c>
      <c r="S1257" s="189" t="s">
        <v>152</v>
      </c>
      <c r="T1257" s="189" t="s">
        <v>121</v>
      </c>
      <c r="V1257" s="189" t="s">
        <v>192</v>
      </c>
      <c r="W1257" s="189" t="s">
        <v>124</v>
      </c>
      <c r="X1257" s="189" t="s">
        <v>1712</v>
      </c>
      <c r="Y1257" s="189" t="s">
        <v>2113</v>
      </c>
      <c r="Z1257" s="0" t="n">
        <v>2</v>
      </c>
      <c r="AA1257" s="189" t="s">
        <v>2354</v>
      </c>
    </row>
    <row r="1258" customFormat="false" ht="15" hidden="false" customHeight="false" outlineLevel="0" collapsed="false">
      <c r="A1258" s="0" t="n">
        <v>268</v>
      </c>
      <c r="B1258" s="191" t="n">
        <v>46206.7666760793</v>
      </c>
      <c r="C1258" s="191" t="n">
        <v>46206.7726714496</v>
      </c>
      <c r="D1258" s="189" t="s">
        <v>1839</v>
      </c>
      <c r="E1258" s="189" t="s">
        <v>1840</v>
      </c>
      <c r="F1258" s="189" t="s">
        <v>1841</v>
      </c>
      <c r="G1258" s="189" t="s">
        <v>1842</v>
      </c>
      <c r="H1258" s="191" t="n">
        <v>46198</v>
      </c>
      <c r="I1258" s="189" t="s">
        <v>113</v>
      </c>
      <c r="J1258" s="189" t="s">
        <v>128</v>
      </c>
      <c r="K1258" s="189" t="s">
        <v>196</v>
      </c>
      <c r="L1258" s="189" t="s">
        <v>389</v>
      </c>
      <c r="M1258" s="189" t="s">
        <v>1380</v>
      </c>
      <c r="N1258" s="189" t="s">
        <v>1224</v>
      </c>
      <c r="O1258" s="189" t="s">
        <v>107</v>
      </c>
      <c r="P1258" s="189" t="s">
        <v>111</v>
      </c>
      <c r="Q1258" s="189" t="s">
        <v>112</v>
      </c>
      <c r="R1258" s="189" t="s">
        <v>22</v>
      </c>
      <c r="S1258" s="189" t="s">
        <v>152</v>
      </c>
      <c r="T1258" s="189" t="s">
        <v>121</v>
      </c>
      <c r="V1258" s="189" t="s">
        <v>192</v>
      </c>
      <c r="W1258" s="189" t="s">
        <v>124</v>
      </c>
      <c r="X1258" s="189" t="s">
        <v>715</v>
      </c>
      <c r="Y1258" s="189" t="s">
        <v>2108</v>
      </c>
      <c r="Z1258" s="0" t="n">
        <v>1</v>
      </c>
      <c r="AA1258" s="189" t="s">
        <v>2300</v>
      </c>
    </row>
    <row r="1259" customFormat="false" ht="15" hidden="false" customHeight="false" outlineLevel="0" collapsed="false">
      <c r="A1259" s="0" t="n">
        <v>268</v>
      </c>
      <c r="B1259" s="191" t="n">
        <v>46206.7666760793</v>
      </c>
      <c r="C1259" s="191" t="n">
        <v>46206.7726714496</v>
      </c>
      <c r="D1259" s="189" t="s">
        <v>1839</v>
      </c>
      <c r="E1259" s="189" t="s">
        <v>1840</v>
      </c>
      <c r="F1259" s="189" t="s">
        <v>1841</v>
      </c>
      <c r="G1259" s="189" t="s">
        <v>1842</v>
      </c>
      <c r="H1259" s="191" t="n">
        <v>46198</v>
      </c>
      <c r="I1259" s="189" t="s">
        <v>113</v>
      </c>
      <c r="J1259" s="189" t="s">
        <v>128</v>
      </c>
      <c r="K1259" s="189" t="s">
        <v>196</v>
      </c>
      <c r="L1259" s="189" t="s">
        <v>389</v>
      </c>
      <c r="M1259" s="189" t="s">
        <v>1380</v>
      </c>
      <c r="N1259" s="189" t="s">
        <v>1224</v>
      </c>
      <c r="O1259" s="189" t="s">
        <v>107</v>
      </c>
      <c r="P1259" s="189" t="s">
        <v>111</v>
      </c>
      <c r="Q1259" s="189" t="s">
        <v>112</v>
      </c>
      <c r="R1259" s="189" t="s">
        <v>22</v>
      </c>
      <c r="S1259" s="189" t="s">
        <v>152</v>
      </c>
      <c r="T1259" s="189" t="s">
        <v>121</v>
      </c>
      <c r="V1259" s="189" t="s">
        <v>192</v>
      </c>
      <c r="W1259" s="189" t="s">
        <v>124</v>
      </c>
      <c r="X1259" s="189" t="s">
        <v>715</v>
      </c>
      <c r="Y1259" s="189" t="s">
        <v>2110</v>
      </c>
      <c r="Z1259" s="0" t="n">
        <v>1</v>
      </c>
      <c r="AA1259" s="189" t="s">
        <v>2297</v>
      </c>
    </row>
    <row r="1260" customFormat="false" ht="15" hidden="false" customHeight="false" outlineLevel="0" collapsed="false">
      <c r="A1260" s="0" t="n">
        <v>268</v>
      </c>
      <c r="B1260" s="191" t="n">
        <v>46206.7666760793</v>
      </c>
      <c r="C1260" s="191" t="n">
        <v>46206.7726714496</v>
      </c>
      <c r="D1260" s="189" t="s">
        <v>1839</v>
      </c>
      <c r="E1260" s="189" t="s">
        <v>1840</v>
      </c>
      <c r="F1260" s="189" t="s">
        <v>1841</v>
      </c>
      <c r="G1260" s="189" t="s">
        <v>1842</v>
      </c>
      <c r="H1260" s="191" t="n">
        <v>46198</v>
      </c>
      <c r="I1260" s="189" t="s">
        <v>113</v>
      </c>
      <c r="J1260" s="189" t="s">
        <v>128</v>
      </c>
      <c r="K1260" s="189" t="s">
        <v>196</v>
      </c>
      <c r="L1260" s="189" t="s">
        <v>389</v>
      </c>
      <c r="M1260" s="189" t="s">
        <v>1380</v>
      </c>
      <c r="N1260" s="189" t="s">
        <v>1224</v>
      </c>
      <c r="O1260" s="189" t="s">
        <v>107</v>
      </c>
      <c r="P1260" s="189" t="s">
        <v>111</v>
      </c>
      <c r="Q1260" s="189" t="s">
        <v>112</v>
      </c>
      <c r="R1260" s="189" t="s">
        <v>22</v>
      </c>
      <c r="S1260" s="189" t="s">
        <v>152</v>
      </c>
      <c r="T1260" s="189" t="s">
        <v>121</v>
      </c>
      <c r="V1260" s="189" t="s">
        <v>192</v>
      </c>
      <c r="W1260" s="189" t="s">
        <v>124</v>
      </c>
      <c r="X1260" s="189" t="s">
        <v>715</v>
      </c>
      <c r="Y1260" s="189" t="s">
        <v>2113</v>
      </c>
      <c r="Z1260" s="0" t="n">
        <v>1</v>
      </c>
      <c r="AA1260" s="189" t="s">
        <v>2272</v>
      </c>
    </row>
    <row r="1261" customFormat="false" ht="15" hidden="false" customHeight="false" outlineLevel="0" collapsed="false">
      <c r="A1261" s="0" t="n">
        <v>269</v>
      </c>
      <c r="B1261" s="191" t="n">
        <v>46087.7862382829</v>
      </c>
      <c r="C1261" s="191" t="n">
        <v>46087.788437357</v>
      </c>
      <c r="D1261" s="189" t="s">
        <v>1845</v>
      </c>
      <c r="E1261" s="189" t="s">
        <v>1846</v>
      </c>
      <c r="F1261" s="189" t="s">
        <v>1846</v>
      </c>
      <c r="G1261" s="189" t="s">
        <v>1847</v>
      </c>
      <c r="H1261" s="191" t="n">
        <v>46073</v>
      </c>
      <c r="I1261" s="189" t="s">
        <v>113</v>
      </c>
      <c r="J1261" s="189" t="s">
        <v>295</v>
      </c>
      <c r="K1261" s="189" t="s">
        <v>462</v>
      </c>
      <c r="L1261" s="189" t="s">
        <v>210</v>
      </c>
      <c r="M1261" s="189" t="s">
        <v>686</v>
      </c>
      <c r="N1261" s="189" t="s">
        <v>552</v>
      </c>
      <c r="O1261" s="189" t="s">
        <v>244</v>
      </c>
      <c r="P1261" s="189" t="s">
        <v>111</v>
      </c>
      <c r="Q1261" s="189" t="s">
        <v>112</v>
      </c>
      <c r="R1261" s="189" t="s">
        <v>22</v>
      </c>
      <c r="S1261" s="189" t="s">
        <v>152</v>
      </c>
      <c r="T1261" s="189" t="s">
        <v>400</v>
      </c>
      <c r="V1261" s="189" t="s">
        <v>192</v>
      </c>
      <c r="W1261" s="189" t="s">
        <v>124</v>
      </c>
      <c r="X1261" s="189" t="s">
        <v>176</v>
      </c>
      <c r="Y1261" s="189" t="s">
        <v>2108</v>
      </c>
      <c r="Z1261" s="0" t="n">
        <v>1</v>
      </c>
      <c r="AA1261" s="189" t="s">
        <v>2130</v>
      </c>
    </row>
    <row r="1262" customFormat="false" ht="15" hidden="false" customHeight="false" outlineLevel="0" collapsed="false">
      <c r="A1262" s="0" t="n">
        <v>269</v>
      </c>
      <c r="B1262" s="191" t="n">
        <v>46087.7862382829</v>
      </c>
      <c r="C1262" s="191" t="n">
        <v>46087.788437357</v>
      </c>
      <c r="D1262" s="189" t="s">
        <v>1845</v>
      </c>
      <c r="E1262" s="189" t="s">
        <v>1846</v>
      </c>
      <c r="F1262" s="189" t="s">
        <v>1846</v>
      </c>
      <c r="G1262" s="189" t="s">
        <v>1847</v>
      </c>
      <c r="H1262" s="191" t="n">
        <v>46073</v>
      </c>
      <c r="I1262" s="189" t="s">
        <v>113</v>
      </c>
      <c r="J1262" s="189" t="s">
        <v>295</v>
      </c>
      <c r="K1262" s="189" t="s">
        <v>462</v>
      </c>
      <c r="L1262" s="189" t="s">
        <v>210</v>
      </c>
      <c r="M1262" s="189" t="s">
        <v>686</v>
      </c>
      <c r="N1262" s="189" t="s">
        <v>552</v>
      </c>
      <c r="O1262" s="189" t="s">
        <v>244</v>
      </c>
      <c r="P1262" s="189" t="s">
        <v>111</v>
      </c>
      <c r="Q1262" s="189" t="s">
        <v>112</v>
      </c>
      <c r="R1262" s="189" t="s">
        <v>22</v>
      </c>
      <c r="S1262" s="189" t="s">
        <v>152</v>
      </c>
      <c r="T1262" s="189" t="s">
        <v>400</v>
      </c>
      <c r="V1262" s="189" t="s">
        <v>192</v>
      </c>
      <c r="W1262" s="189" t="s">
        <v>124</v>
      </c>
      <c r="X1262" s="189" t="s">
        <v>176</v>
      </c>
      <c r="Y1262" s="189" t="s">
        <v>2110</v>
      </c>
      <c r="Z1262" s="0" t="n">
        <v>1</v>
      </c>
      <c r="AA1262" s="189" t="s">
        <v>2339</v>
      </c>
    </row>
    <row r="1263" customFormat="false" ht="15" hidden="false" customHeight="false" outlineLevel="0" collapsed="false">
      <c r="A1263" s="0" t="n">
        <v>269</v>
      </c>
      <c r="B1263" s="191" t="n">
        <v>46087.7862382829</v>
      </c>
      <c r="C1263" s="191" t="n">
        <v>46087.788437357</v>
      </c>
      <c r="D1263" s="189" t="s">
        <v>1845</v>
      </c>
      <c r="E1263" s="189" t="s">
        <v>1846</v>
      </c>
      <c r="F1263" s="189" t="s">
        <v>1846</v>
      </c>
      <c r="G1263" s="189" t="s">
        <v>1847</v>
      </c>
      <c r="H1263" s="191" t="n">
        <v>46073</v>
      </c>
      <c r="I1263" s="189" t="s">
        <v>113</v>
      </c>
      <c r="J1263" s="189" t="s">
        <v>295</v>
      </c>
      <c r="K1263" s="189" t="s">
        <v>462</v>
      </c>
      <c r="L1263" s="189" t="s">
        <v>210</v>
      </c>
      <c r="M1263" s="189" t="s">
        <v>686</v>
      </c>
      <c r="N1263" s="189" t="s">
        <v>552</v>
      </c>
      <c r="O1263" s="189" t="s">
        <v>244</v>
      </c>
      <c r="P1263" s="189" t="s">
        <v>111</v>
      </c>
      <c r="Q1263" s="189" t="s">
        <v>112</v>
      </c>
      <c r="R1263" s="189" t="s">
        <v>22</v>
      </c>
      <c r="S1263" s="189" t="s">
        <v>152</v>
      </c>
      <c r="T1263" s="189" t="s">
        <v>400</v>
      </c>
      <c r="V1263" s="189" t="s">
        <v>192</v>
      </c>
      <c r="W1263" s="189" t="s">
        <v>124</v>
      </c>
      <c r="X1263" s="189" t="s">
        <v>176</v>
      </c>
      <c r="Y1263" s="189" t="s">
        <v>2113</v>
      </c>
      <c r="Z1263" s="0" t="n">
        <v>1</v>
      </c>
      <c r="AA1263" s="189" t="s">
        <v>2128</v>
      </c>
    </row>
    <row r="1264" customFormat="false" ht="15" hidden="false" customHeight="false" outlineLevel="0" collapsed="false">
      <c r="A1264" s="0" t="n">
        <v>270</v>
      </c>
      <c r="B1264" s="191" t="n">
        <v>46186.2243346462</v>
      </c>
      <c r="C1264" s="191" t="n">
        <v>46186.2296934425</v>
      </c>
      <c r="D1264" s="189" t="s">
        <v>1850</v>
      </c>
      <c r="E1264" s="189" t="s">
        <v>1851</v>
      </c>
      <c r="F1264" s="189" t="s">
        <v>1851</v>
      </c>
      <c r="G1264" s="189" t="s">
        <v>1852</v>
      </c>
      <c r="H1264" s="191" t="n">
        <v>46173</v>
      </c>
      <c r="I1264" s="189" t="s">
        <v>113</v>
      </c>
      <c r="J1264" s="189" t="s">
        <v>295</v>
      </c>
      <c r="K1264" s="189" t="s">
        <v>143</v>
      </c>
      <c r="L1264" s="189" t="s">
        <v>286</v>
      </c>
      <c r="M1264" s="189" t="s">
        <v>114</v>
      </c>
      <c r="N1264" s="189" t="s">
        <v>625</v>
      </c>
      <c r="O1264" s="189" t="s">
        <v>244</v>
      </c>
      <c r="P1264" s="189" t="s">
        <v>211</v>
      </c>
      <c r="Q1264" s="189" t="s">
        <v>112</v>
      </c>
      <c r="R1264" s="189" t="s">
        <v>21</v>
      </c>
      <c r="S1264" s="189" t="s">
        <v>152</v>
      </c>
      <c r="T1264" s="189" t="s">
        <v>180</v>
      </c>
      <c r="U1264" s="189" t="s">
        <v>122</v>
      </c>
      <c r="V1264" s="189" t="s">
        <v>123</v>
      </c>
      <c r="W1264" s="189" t="s">
        <v>168</v>
      </c>
      <c r="X1264" s="189" t="s">
        <v>250</v>
      </c>
      <c r="Y1264" s="189" t="s">
        <v>2108</v>
      </c>
      <c r="Z1264" s="0" t="n">
        <v>1</v>
      </c>
      <c r="AA1264" s="189" t="s">
        <v>2125</v>
      </c>
    </row>
    <row r="1265" customFormat="false" ht="15" hidden="false" customHeight="false" outlineLevel="0" collapsed="false">
      <c r="A1265" s="0" t="n">
        <v>270</v>
      </c>
      <c r="B1265" s="191" t="n">
        <v>46186.2243346462</v>
      </c>
      <c r="C1265" s="191" t="n">
        <v>46186.2296934425</v>
      </c>
      <c r="D1265" s="189" t="s">
        <v>1850</v>
      </c>
      <c r="E1265" s="189" t="s">
        <v>1851</v>
      </c>
      <c r="F1265" s="189" t="s">
        <v>1851</v>
      </c>
      <c r="G1265" s="189" t="s">
        <v>1852</v>
      </c>
      <c r="H1265" s="191" t="n">
        <v>46173</v>
      </c>
      <c r="I1265" s="189" t="s">
        <v>113</v>
      </c>
      <c r="J1265" s="189" t="s">
        <v>295</v>
      </c>
      <c r="K1265" s="189" t="s">
        <v>143</v>
      </c>
      <c r="L1265" s="189" t="s">
        <v>286</v>
      </c>
      <c r="M1265" s="189" t="s">
        <v>114</v>
      </c>
      <c r="N1265" s="189" t="s">
        <v>625</v>
      </c>
      <c r="O1265" s="189" t="s">
        <v>244</v>
      </c>
      <c r="P1265" s="189" t="s">
        <v>211</v>
      </c>
      <c r="Q1265" s="189" t="s">
        <v>112</v>
      </c>
      <c r="R1265" s="189" t="s">
        <v>21</v>
      </c>
      <c r="S1265" s="189" t="s">
        <v>152</v>
      </c>
      <c r="T1265" s="189" t="s">
        <v>180</v>
      </c>
      <c r="U1265" s="189" t="s">
        <v>122</v>
      </c>
      <c r="V1265" s="189" t="s">
        <v>123</v>
      </c>
      <c r="W1265" s="189" t="s">
        <v>168</v>
      </c>
      <c r="X1265" s="189" t="s">
        <v>250</v>
      </c>
      <c r="Y1265" s="189" t="s">
        <v>2110</v>
      </c>
      <c r="Z1265" s="0" t="n">
        <v>1</v>
      </c>
      <c r="AA1265" s="189" t="s">
        <v>2126</v>
      </c>
    </row>
    <row r="1266" customFormat="false" ht="15" hidden="false" customHeight="false" outlineLevel="0" collapsed="false">
      <c r="A1266" s="0" t="n">
        <v>270</v>
      </c>
      <c r="B1266" s="191" t="n">
        <v>46186.2243346462</v>
      </c>
      <c r="C1266" s="191" t="n">
        <v>46186.2296934425</v>
      </c>
      <c r="D1266" s="189" t="s">
        <v>1850</v>
      </c>
      <c r="E1266" s="189" t="s">
        <v>1851</v>
      </c>
      <c r="F1266" s="189" t="s">
        <v>1851</v>
      </c>
      <c r="G1266" s="189" t="s">
        <v>1852</v>
      </c>
      <c r="H1266" s="191" t="n">
        <v>46173</v>
      </c>
      <c r="I1266" s="189" t="s">
        <v>113</v>
      </c>
      <c r="J1266" s="189" t="s">
        <v>295</v>
      </c>
      <c r="K1266" s="189" t="s">
        <v>143</v>
      </c>
      <c r="L1266" s="189" t="s">
        <v>286</v>
      </c>
      <c r="M1266" s="189" t="s">
        <v>114</v>
      </c>
      <c r="N1266" s="189" t="s">
        <v>625</v>
      </c>
      <c r="O1266" s="189" t="s">
        <v>244</v>
      </c>
      <c r="P1266" s="189" t="s">
        <v>211</v>
      </c>
      <c r="Q1266" s="189" t="s">
        <v>112</v>
      </c>
      <c r="R1266" s="189" t="s">
        <v>21</v>
      </c>
      <c r="S1266" s="189" t="s">
        <v>152</v>
      </c>
      <c r="T1266" s="189" t="s">
        <v>180</v>
      </c>
      <c r="U1266" s="189" t="s">
        <v>122</v>
      </c>
      <c r="V1266" s="189" t="s">
        <v>123</v>
      </c>
      <c r="W1266" s="189" t="s">
        <v>168</v>
      </c>
      <c r="X1266" s="189" t="s">
        <v>250</v>
      </c>
      <c r="Y1266" s="189" t="s">
        <v>2110</v>
      </c>
      <c r="Z1266" s="0" t="n">
        <v>2</v>
      </c>
      <c r="AA1266" s="189" t="s">
        <v>122</v>
      </c>
    </row>
    <row r="1267" customFormat="false" ht="15" hidden="false" customHeight="false" outlineLevel="0" collapsed="false">
      <c r="A1267" s="0" t="n">
        <v>270</v>
      </c>
      <c r="B1267" s="191" t="n">
        <v>46186.2243346462</v>
      </c>
      <c r="C1267" s="191" t="n">
        <v>46186.2296934425</v>
      </c>
      <c r="D1267" s="189" t="s">
        <v>1850</v>
      </c>
      <c r="E1267" s="189" t="s">
        <v>1851</v>
      </c>
      <c r="F1267" s="189" t="s">
        <v>1851</v>
      </c>
      <c r="G1267" s="189" t="s">
        <v>1852</v>
      </c>
      <c r="H1267" s="191" t="n">
        <v>46173</v>
      </c>
      <c r="I1267" s="189" t="s">
        <v>113</v>
      </c>
      <c r="J1267" s="189" t="s">
        <v>295</v>
      </c>
      <c r="K1267" s="189" t="s">
        <v>143</v>
      </c>
      <c r="L1267" s="189" t="s">
        <v>286</v>
      </c>
      <c r="M1267" s="189" t="s">
        <v>114</v>
      </c>
      <c r="N1267" s="189" t="s">
        <v>625</v>
      </c>
      <c r="O1267" s="189" t="s">
        <v>244</v>
      </c>
      <c r="P1267" s="189" t="s">
        <v>211</v>
      </c>
      <c r="Q1267" s="189" t="s">
        <v>112</v>
      </c>
      <c r="R1267" s="189" t="s">
        <v>21</v>
      </c>
      <c r="S1267" s="189" t="s">
        <v>152</v>
      </c>
      <c r="T1267" s="189" t="s">
        <v>180</v>
      </c>
      <c r="U1267" s="189" t="s">
        <v>122</v>
      </c>
      <c r="V1267" s="189" t="s">
        <v>123</v>
      </c>
      <c r="W1267" s="189" t="s">
        <v>168</v>
      </c>
      <c r="X1267" s="189" t="s">
        <v>250</v>
      </c>
      <c r="Y1267" s="189" t="s">
        <v>2113</v>
      </c>
      <c r="Z1267" s="0" t="n">
        <v>1</v>
      </c>
      <c r="AA1267" s="189" t="s">
        <v>2114</v>
      </c>
    </row>
    <row r="1268" customFormat="false" ht="15" hidden="false" customHeight="false" outlineLevel="0" collapsed="false">
      <c r="A1268" s="0" t="n">
        <v>270</v>
      </c>
      <c r="B1268" s="191" t="n">
        <v>46186.2243346462</v>
      </c>
      <c r="C1268" s="191" t="n">
        <v>46186.2296934425</v>
      </c>
      <c r="D1268" s="189" t="s">
        <v>1850</v>
      </c>
      <c r="E1268" s="189" t="s">
        <v>1851</v>
      </c>
      <c r="F1268" s="189" t="s">
        <v>1851</v>
      </c>
      <c r="G1268" s="189" t="s">
        <v>1852</v>
      </c>
      <c r="H1268" s="191" t="n">
        <v>46173</v>
      </c>
      <c r="I1268" s="189" t="s">
        <v>113</v>
      </c>
      <c r="J1268" s="189" t="s">
        <v>295</v>
      </c>
      <c r="K1268" s="189" t="s">
        <v>143</v>
      </c>
      <c r="L1268" s="189" t="s">
        <v>286</v>
      </c>
      <c r="M1268" s="189" t="s">
        <v>114</v>
      </c>
      <c r="N1268" s="189" t="s">
        <v>625</v>
      </c>
      <c r="O1268" s="189" t="s">
        <v>244</v>
      </c>
      <c r="P1268" s="189" t="s">
        <v>211</v>
      </c>
      <c r="Q1268" s="189" t="s">
        <v>112</v>
      </c>
      <c r="R1268" s="189" t="s">
        <v>21</v>
      </c>
      <c r="S1268" s="189" t="s">
        <v>152</v>
      </c>
      <c r="T1268" s="189" t="s">
        <v>180</v>
      </c>
      <c r="U1268" s="189" t="s">
        <v>122</v>
      </c>
      <c r="V1268" s="189" t="s">
        <v>123</v>
      </c>
      <c r="W1268" s="189" t="s">
        <v>168</v>
      </c>
      <c r="X1268" s="189" t="s">
        <v>250</v>
      </c>
      <c r="Y1268" s="189" t="s">
        <v>2113</v>
      </c>
      <c r="Z1268" s="0" t="n">
        <v>2</v>
      </c>
      <c r="AA1268" s="189" t="s">
        <v>2127</v>
      </c>
    </row>
    <row r="1269" customFormat="false" ht="15" hidden="false" customHeight="false" outlineLevel="0" collapsed="false">
      <c r="A1269" s="0" t="n">
        <v>271</v>
      </c>
      <c r="B1269" s="191" t="n">
        <v>46142.8076843133</v>
      </c>
      <c r="C1269" s="191" t="n">
        <v>46142.8114806096</v>
      </c>
      <c r="D1269" s="189" t="s">
        <v>1853</v>
      </c>
      <c r="E1269" s="189" t="s">
        <v>1854</v>
      </c>
      <c r="F1269" s="189" t="s">
        <v>1854</v>
      </c>
      <c r="G1269" s="189" t="s">
        <v>1855</v>
      </c>
      <c r="H1269" s="191" t="n">
        <v>46124</v>
      </c>
      <c r="I1269" s="189" t="s">
        <v>305</v>
      </c>
      <c r="J1269" s="189" t="s">
        <v>128</v>
      </c>
      <c r="K1269" s="189" t="s">
        <v>245</v>
      </c>
      <c r="L1269" s="189" t="s">
        <v>431</v>
      </c>
      <c r="M1269" s="189" t="s">
        <v>391</v>
      </c>
      <c r="N1269" s="189" t="s">
        <v>280</v>
      </c>
      <c r="O1269" s="189" t="s">
        <v>107</v>
      </c>
      <c r="P1269" s="189" t="s">
        <v>111</v>
      </c>
      <c r="Q1269" s="189" t="s">
        <v>112</v>
      </c>
      <c r="R1269" s="189" t="s">
        <v>22</v>
      </c>
      <c r="S1269" s="189" t="s">
        <v>152</v>
      </c>
      <c r="T1269" s="189" t="s">
        <v>352</v>
      </c>
      <c r="V1269" s="189" t="s">
        <v>123</v>
      </c>
      <c r="W1269" s="189" t="s">
        <v>124</v>
      </c>
      <c r="X1269" s="189" t="s">
        <v>271</v>
      </c>
      <c r="Y1269" s="189" t="s">
        <v>2108</v>
      </c>
      <c r="Z1269" s="0" t="n">
        <v>1</v>
      </c>
      <c r="AA1269" s="189" t="s">
        <v>2158</v>
      </c>
    </row>
    <row r="1270" customFormat="false" ht="15" hidden="false" customHeight="false" outlineLevel="0" collapsed="false">
      <c r="A1270" s="0" t="n">
        <v>271</v>
      </c>
      <c r="B1270" s="191" t="n">
        <v>46142.8076843133</v>
      </c>
      <c r="C1270" s="191" t="n">
        <v>46142.8114806096</v>
      </c>
      <c r="D1270" s="189" t="s">
        <v>1853</v>
      </c>
      <c r="E1270" s="189" t="s">
        <v>1854</v>
      </c>
      <c r="F1270" s="189" t="s">
        <v>1854</v>
      </c>
      <c r="G1270" s="189" t="s">
        <v>1855</v>
      </c>
      <c r="H1270" s="191" t="n">
        <v>46124</v>
      </c>
      <c r="I1270" s="189" t="s">
        <v>305</v>
      </c>
      <c r="J1270" s="189" t="s">
        <v>128</v>
      </c>
      <c r="K1270" s="189" t="s">
        <v>245</v>
      </c>
      <c r="L1270" s="189" t="s">
        <v>431</v>
      </c>
      <c r="M1270" s="189" t="s">
        <v>391</v>
      </c>
      <c r="N1270" s="189" t="s">
        <v>280</v>
      </c>
      <c r="O1270" s="189" t="s">
        <v>107</v>
      </c>
      <c r="P1270" s="189" t="s">
        <v>111</v>
      </c>
      <c r="Q1270" s="189" t="s">
        <v>112</v>
      </c>
      <c r="R1270" s="189" t="s">
        <v>22</v>
      </c>
      <c r="S1270" s="189" t="s">
        <v>152</v>
      </c>
      <c r="T1270" s="189" t="s">
        <v>352</v>
      </c>
      <c r="V1270" s="189" t="s">
        <v>123</v>
      </c>
      <c r="W1270" s="189" t="s">
        <v>124</v>
      </c>
      <c r="X1270" s="189" t="s">
        <v>271</v>
      </c>
      <c r="Y1270" s="189" t="s">
        <v>2110</v>
      </c>
      <c r="Z1270" s="0" t="n">
        <v>1</v>
      </c>
      <c r="AA1270" s="189" t="s">
        <v>2311</v>
      </c>
    </row>
    <row r="1271" customFormat="false" ht="15" hidden="false" customHeight="false" outlineLevel="0" collapsed="false">
      <c r="A1271" s="0" t="n">
        <v>271</v>
      </c>
      <c r="B1271" s="191" t="n">
        <v>46142.8076843133</v>
      </c>
      <c r="C1271" s="191" t="n">
        <v>46142.8114806096</v>
      </c>
      <c r="D1271" s="189" t="s">
        <v>1853</v>
      </c>
      <c r="E1271" s="189" t="s">
        <v>1854</v>
      </c>
      <c r="F1271" s="189" t="s">
        <v>1854</v>
      </c>
      <c r="G1271" s="189" t="s">
        <v>1855</v>
      </c>
      <c r="H1271" s="191" t="n">
        <v>46124</v>
      </c>
      <c r="I1271" s="189" t="s">
        <v>305</v>
      </c>
      <c r="J1271" s="189" t="s">
        <v>128</v>
      </c>
      <c r="K1271" s="189" t="s">
        <v>245</v>
      </c>
      <c r="L1271" s="189" t="s">
        <v>431</v>
      </c>
      <c r="M1271" s="189" t="s">
        <v>391</v>
      </c>
      <c r="N1271" s="189" t="s">
        <v>280</v>
      </c>
      <c r="O1271" s="189" t="s">
        <v>107</v>
      </c>
      <c r="P1271" s="189" t="s">
        <v>111</v>
      </c>
      <c r="Q1271" s="189" t="s">
        <v>112</v>
      </c>
      <c r="R1271" s="189" t="s">
        <v>22</v>
      </c>
      <c r="S1271" s="189" t="s">
        <v>152</v>
      </c>
      <c r="T1271" s="189" t="s">
        <v>352</v>
      </c>
      <c r="V1271" s="189" t="s">
        <v>123</v>
      </c>
      <c r="W1271" s="189" t="s">
        <v>124</v>
      </c>
      <c r="X1271" s="189" t="s">
        <v>271</v>
      </c>
      <c r="Y1271" s="189" t="s">
        <v>2110</v>
      </c>
      <c r="Z1271" s="0" t="n">
        <v>2</v>
      </c>
      <c r="AA1271" s="189" t="s">
        <v>2161</v>
      </c>
    </row>
    <row r="1272" customFormat="false" ht="15" hidden="false" customHeight="false" outlineLevel="0" collapsed="false">
      <c r="A1272" s="0" t="n">
        <v>271</v>
      </c>
      <c r="B1272" s="191" t="n">
        <v>46142.8076843133</v>
      </c>
      <c r="C1272" s="191" t="n">
        <v>46142.8114806096</v>
      </c>
      <c r="D1272" s="189" t="s">
        <v>1853</v>
      </c>
      <c r="E1272" s="189" t="s">
        <v>1854</v>
      </c>
      <c r="F1272" s="189" t="s">
        <v>1854</v>
      </c>
      <c r="G1272" s="189" t="s">
        <v>1855</v>
      </c>
      <c r="H1272" s="191" t="n">
        <v>46124</v>
      </c>
      <c r="I1272" s="189" t="s">
        <v>305</v>
      </c>
      <c r="J1272" s="189" t="s">
        <v>128</v>
      </c>
      <c r="K1272" s="189" t="s">
        <v>245</v>
      </c>
      <c r="L1272" s="189" t="s">
        <v>431</v>
      </c>
      <c r="M1272" s="189" t="s">
        <v>391</v>
      </c>
      <c r="N1272" s="189" t="s">
        <v>280</v>
      </c>
      <c r="O1272" s="189" t="s">
        <v>107</v>
      </c>
      <c r="P1272" s="189" t="s">
        <v>111</v>
      </c>
      <c r="Q1272" s="189" t="s">
        <v>112</v>
      </c>
      <c r="R1272" s="189" t="s">
        <v>22</v>
      </c>
      <c r="S1272" s="189" t="s">
        <v>152</v>
      </c>
      <c r="T1272" s="189" t="s">
        <v>352</v>
      </c>
      <c r="V1272" s="189" t="s">
        <v>123</v>
      </c>
      <c r="W1272" s="189" t="s">
        <v>124</v>
      </c>
      <c r="X1272" s="189" t="s">
        <v>271</v>
      </c>
      <c r="Y1272" s="189" t="s">
        <v>2113</v>
      </c>
      <c r="Z1272" s="0" t="n">
        <v>1</v>
      </c>
      <c r="AA1272" s="189" t="s">
        <v>2162</v>
      </c>
    </row>
    <row r="1273" customFormat="false" ht="15" hidden="false" customHeight="false" outlineLevel="0" collapsed="false">
      <c r="A1273" s="0" t="n">
        <v>272</v>
      </c>
      <c r="B1273" s="191" t="n">
        <v>46185.5353636358</v>
      </c>
      <c r="C1273" s="191" t="n">
        <v>46185.5415326173</v>
      </c>
      <c r="D1273" s="189" t="s">
        <v>1856</v>
      </c>
      <c r="E1273" s="189" t="s">
        <v>1857</v>
      </c>
      <c r="F1273" s="189" t="s">
        <v>1857</v>
      </c>
      <c r="G1273" s="189" t="s">
        <v>1858</v>
      </c>
      <c r="H1273" s="191" t="n">
        <v>46165</v>
      </c>
      <c r="I1273" s="189" t="s">
        <v>325</v>
      </c>
      <c r="J1273" s="189" t="s">
        <v>128</v>
      </c>
      <c r="K1273" s="189" t="s">
        <v>196</v>
      </c>
      <c r="L1273" s="189" t="s">
        <v>144</v>
      </c>
      <c r="M1273" s="189" t="s">
        <v>146</v>
      </c>
      <c r="N1273" s="189" t="s">
        <v>606</v>
      </c>
      <c r="O1273" s="189" t="s">
        <v>107</v>
      </c>
      <c r="P1273" s="189" t="s">
        <v>111</v>
      </c>
      <c r="Q1273" s="189" t="s">
        <v>112</v>
      </c>
      <c r="R1273" s="189" t="s">
        <v>24</v>
      </c>
      <c r="S1273" s="189" t="s">
        <v>152</v>
      </c>
      <c r="T1273" s="189" t="s">
        <v>228</v>
      </c>
      <c r="U1273" s="189" t="s">
        <v>369</v>
      </c>
      <c r="V1273" s="189" t="s">
        <v>192</v>
      </c>
      <c r="W1273" s="189" t="s">
        <v>124</v>
      </c>
      <c r="X1273" s="189" t="s">
        <v>214</v>
      </c>
      <c r="Y1273" s="189" t="s">
        <v>2108</v>
      </c>
      <c r="Z1273" s="0" t="n">
        <v>1</v>
      </c>
      <c r="AA1273" s="189" t="s">
        <v>2183</v>
      </c>
    </row>
    <row r="1274" customFormat="false" ht="15" hidden="false" customHeight="false" outlineLevel="0" collapsed="false">
      <c r="A1274" s="0" t="n">
        <v>272</v>
      </c>
      <c r="B1274" s="191" t="n">
        <v>46185.5353636358</v>
      </c>
      <c r="C1274" s="191" t="n">
        <v>46185.5415326173</v>
      </c>
      <c r="D1274" s="189" t="s">
        <v>1856</v>
      </c>
      <c r="E1274" s="189" t="s">
        <v>1857</v>
      </c>
      <c r="F1274" s="189" t="s">
        <v>1857</v>
      </c>
      <c r="G1274" s="189" t="s">
        <v>1858</v>
      </c>
      <c r="H1274" s="191" t="n">
        <v>46165</v>
      </c>
      <c r="I1274" s="189" t="s">
        <v>325</v>
      </c>
      <c r="J1274" s="189" t="s">
        <v>128</v>
      </c>
      <c r="K1274" s="189" t="s">
        <v>196</v>
      </c>
      <c r="L1274" s="189" t="s">
        <v>144</v>
      </c>
      <c r="M1274" s="189" t="s">
        <v>146</v>
      </c>
      <c r="N1274" s="189" t="s">
        <v>606</v>
      </c>
      <c r="O1274" s="189" t="s">
        <v>107</v>
      </c>
      <c r="P1274" s="189" t="s">
        <v>111</v>
      </c>
      <c r="Q1274" s="189" t="s">
        <v>112</v>
      </c>
      <c r="R1274" s="189" t="s">
        <v>24</v>
      </c>
      <c r="S1274" s="189" t="s">
        <v>152</v>
      </c>
      <c r="T1274" s="189" t="s">
        <v>228</v>
      </c>
      <c r="U1274" s="189" t="s">
        <v>369</v>
      </c>
      <c r="V1274" s="189" t="s">
        <v>192</v>
      </c>
      <c r="W1274" s="189" t="s">
        <v>124</v>
      </c>
      <c r="X1274" s="189" t="s">
        <v>214</v>
      </c>
      <c r="Y1274" s="189" t="s">
        <v>2108</v>
      </c>
      <c r="Z1274" s="0" t="n">
        <v>2</v>
      </c>
      <c r="AA1274" s="189" t="s">
        <v>2125</v>
      </c>
    </row>
    <row r="1275" customFormat="false" ht="15" hidden="false" customHeight="false" outlineLevel="0" collapsed="false">
      <c r="A1275" s="0" t="n">
        <v>272</v>
      </c>
      <c r="B1275" s="191" t="n">
        <v>46185.5353636358</v>
      </c>
      <c r="C1275" s="191" t="n">
        <v>46185.5415326173</v>
      </c>
      <c r="D1275" s="189" t="s">
        <v>1856</v>
      </c>
      <c r="E1275" s="189" t="s">
        <v>1857</v>
      </c>
      <c r="F1275" s="189" t="s">
        <v>1857</v>
      </c>
      <c r="G1275" s="189" t="s">
        <v>1858</v>
      </c>
      <c r="H1275" s="191" t="n">
        <v>46165</v>
      </c>
      <c r="I1275" s="189" t="s">
        <v>325</v>
      </c>
      <c r="J1275" s="189" t="s">
        <v>128</v>
      </c>
      <c r="K1275" s="189" t="s">
        <v>196</v>
      </c>
      <c r="L1275" s="189" t="s">
        <v>144</v>
      </c>
      <c r="M1275" s="189" t="s">
        <v>146</v>
      </c>
      <c r="N1275" s="189" t="s">
        <v>606</v>
      </c>
      <c r="O1275" s="189" t="s">
        <v>107</v>
      </c>
      <c r="P1275" s="189" t="s">
        <v>111</v>
      </c>
      <c r="Q1275" s="189" t="s">
        <v>112</v>
      </c>
      <c r="R1275" s="189" t="s">
        <v>24</v>
      </c>
      <c r="S1275" s="189" t="s">
        <v>152</v>
      </c>
      <c r="T1275" s="189" t="s">
        <v>228</v>
      </c>
      <c r="U1275" s="189" t="s">
        <v>369</v>
      </c>
      <c r="V1275" s="189" t="s">
        <v>192</v>
      </c>
      <c r="W1275" s="189" t="s">
        <v>124</v>
      </c>
      <c r="X1275" s="189" t="s">
        <v>214</v>
      </c>
      <c r="Y1275" s="189" t="s">
        <v>2108</v>
      </c>
      <c r="Z1275" s="0" t="n">
        <v>3</v>
      </c>
      <c r="AA1275" s="189" t="s">
        <v>2139</v>
      </c>
    </row>
    <row r="1276" customFormat="false" ht="15" hidden="false" customHeight="false" outlineLevel="0" collapsed="false">
      <c r="A1276" s="0" t="n">
        <v>272</v>
      </c>
      <c r="B1276" s="191" t="n">
        <v>46185.5353636358</v>
      </c>
      <c r="C1276" s="191" t="n">
        <v>46185.5415326173</v>
      </c>
      <c r="D1276" s="189" t="s">
        <v>1856</v>
      </c>
      <c r="E1276" s="189" t="s">
        <v>1857</v>
      </c>
      <c r="F1276" s="189" t="s">
        <v>1857</v>
      </c>
      <c r="G1276" s="189" t="s">
        <v>1858</v>
      </c>
      <c r="H1276" s="191" t="n">
        <v>46165</v>
      </c>
      <c r="I1276" s="189" t="s">
        <v>325</v>
      </c>
      <c r="J1276" s="189" t="s">
        <v>128</v>
      </c>
      <c r="K1276" s="189" t="s">
        <v>196</v>
      </c>
      <c r="L1276" s="189" t="s">
        <v>144</v>
      </c>
      <c r="M1276" s="189" t="s">
        <v>146</v>
      </c>
      <c r="N1276" s="189" t="s">
        <v>606</v>
      </c>
      <c r="O1276" s="189" t="s">
        <v>107</v>
      </c>
      <c r="P1276" s="189" t="s">
        <v>111</v>
      </c>
      <c r="Q1276" s="189" t="s">
        <v>112</v>
      </c>
      <c r="R1276" s="189" t="s">
        <v>24</v>
      </c>
      <c r="S1276" s="189" t="s">
        <v>152</v>
      </c>
      <c r="T1276" s="189" t="s">
        <v>228</v>
      </c>
      <c r="U1276" s="189" t="s">
        <v>369</v>
      </c>
      <c r="V1276" s="189" t="s">
        <v>192</v>
      </c>
      <c r="W1276" s="189" t="s">
        <v>124</v>
      </c>
      <c r="X1276" s="189" t="s">
        <v>214</v>
      </c>
      <c r="Y1276" s="189" t="s">
        <v>2110</v>
      </c>
      <c r="Z1276" s="0" t="n">
        <v>1</v>
      </c>
      <c r="AA1276" s="189" t="s">
        <v>2126</v>
      </c>
    </row>
    <row r="1277" customFormat="false" ht="15" hidden="false" customHeight="false" outlineLevel="0" collapsed="false">
      <c r="A1277" s="0" t="n">
        <v>272</v>
      </c>
      <c r="B1277" s="191" t="n">
        <v>46185.5353636358</v>
      </c>
      <c r="C1277" s="191" t="n">
        <v>46185.5415326173</v>
      </c>
      <c r="D1277" s="189" t="s">
        <v>1856</v>
      </c>
      <c r="E1277" s="189" t="s">
        <v>1857</v>
      </c>
      <c r="F1277" s="189" t="s">
        <v>1857</v>
      </c>
      <c r="G1277" s="189" t="s">
        <v>1858</v>
      </c>
      <c r="H1277" s="191" t="n">
        <v>46165</v>
      </c>
      <c r="I1277" s="189" t="s">
        <v>325</v>
      </c>
      <c r="J1277" s="189" t="s">
        <v>128</v>
      </c>
      <c r="K1277" s="189" t="s">
        <v>196</v>
      </c>
      <c r="L1277" s="189" t="s">
        <v>144</v>
      </c>
      <c r="M1277" s="189" t="s">
        <v>146</v>
      </c>
      <c r="N1277" s="189" t="s">
        <v>606</v>
      </c>
      <c r="O1277" s="189" t="s">
        <v>107</v>
      </c>
      <c r="P1277" s="189" t="s">
        <v>111</v>
      </c>
      <c r="Q1277" s="189" t="s">
        <v>112</v>
      </c>
      <c r="R1277" s="189" t="s">
        <v>24</v>
      </c>
      <c r="S1277" s="189" t="s">
        <v>152</v>
      </c>
      <c r="T1277" s="189" t="s">
        <v>228</v>
      </c>
      <c r="U1277" s="189" t="s">
        <v>369</v>
      </c>
      <c r="V1277" s="189" t="s">
        <v>192</v>
      </c>
      <c r="W1277" s="189" t="s">
        <v>124</v>
      </c>
      <c r="X1277" s="189" t="s">
        <v>214</v>
      </c>
      <c r="Y1277" s="189" t="s">
        <v>2110</v>
      </c>
      <c r="Z1277" s="0" t="n">
        <v>2</v>
      </c>
      <c r="AA1277" s="189" t="s">
        <v>2111</v>
      </c>
    </row>
    <row r="1278" customFormat="false" ht="15" hidden="false" customHeight="false" outlineLevel="0" collapsed="false">
      <c r="A1278" s="0" t="n">
        <v>272</v>
      </c>
      <c r="B1278" s="191" t="n">
        <v>46185.5353636358</v>
      </c>
      <c r="C1278" s="191" t="n">
        <v>46185.5415326173</v>
      </c>
      <c r="D1278" s="189" t="s">
        <v>1856</v>
      </c>
      <c r="E1278" s="189" t="s">
        <v>1857</v>
      </c>
      <c r="F1278" s="189" t="s">
        <v>1857</v>
      </c>
      <c r="G1278" s="189" t="s">
        <v>1858</v>
      </c>
      <c r="H1278" s="191" t="n">
        <v>46165</v>
      </c>
      <c r="I1278" s="189" t="s">
        <v>325</v>
      </c>
      <c r="J1278" s="189" t="s">
        <v>128</v>
      </c>
      <c r="K1278" s="189" t="s">
        <v>196</v>
      </c>
      <c r="L1278" s="189" t="s">
        <v>144</v>
      </c>
      <c r="M1278" s="189" t="s">
        <v>146</v>
      </c>
      <c r="N1278" s="189" t="s">
        <v>606</v>
      </c>
      <c r="O1278" s="189" t="s">
        <v>107</v>
      </c>
      <c r="P1278" s="189" t="s">
        <v>111</v>
      </c>
      <c r="Q1278" s="189" t="s">
        <v>112</v>
      </c>
      <c r="R1278" s="189" t="s">
        <v>24</v>
      </c>
      <c r="S1278" s="189" t="s">
        <v>152</v>
      </c>
      <c r="T1278" s="189" t="s">
        <v>228</v>
      </c>
      <c r="U1278" s="189" t="s">
        <v>369</v>
      </c>
      <c r="V1278" s="189" t="s">
        <v>192</v>
      </c>
      <c r="W1278" s="189" t="s">
        <v>124</v>
      </c>
      <c r="X1278" s="189" t="s">
        <v>214</v>
      </c>
      <c r="Y1278" s="189" t="s">
        <v>2113</v>
      </c>
      <c r="Z1278" s="0" t="n">
        <v>1</v>
      </c>
      <c r="AA1278" s="189" t="s">
        <v>2184</v>
      </c>
    </row>
    <row r="1279" customFormat="false" ht="15" hidden="false" customHeight="false" outlineLevel="0" collapsed="false">
      <c r="A1279" s="0" t="n">
        <v>273</v>
      </c>
      <c r="B1279" s="191" t="n">
        <v>46108.7881776592</v>
      </c>
      <c r="C1279" s="191" t="n">
        <v>46108.8012100667</v>
      </c>
      <c r="D1279" s="189" t="s">
        <v>1860</v>
      </c>
      <c r="E1279" s="189" t="s">
        <v>1861</v>
      </c>
      <c r="F1279" s="189" t="s">
        <v>1861</v>
      </c>
      <c r="G1279" s="189" t="s">
        <v>1862</v>
      </c>
      <c r="H1279" s="191" t="n">
        <v>46107</v>
      </c>
      <c r="I1279" s="189" t="s">
        <v>325</v>
      </c>
      <c r="J1279" s="189" t="s">
        <v>108</v>
      </c>
      <c r="K1279" s="189" t="s">
        <v>1863</v>
      </c>
      <c r="L1279" s="189" t="s">
        <v>110</v>
      </c>
      <c r="M1279" s="189" t="s">
        <v>507</v>
      </c>
      <c r="N1279" s="189" t="s">
        <v>1243</v>
      </c>
      <c r="O1279" s="189" t="s">
        <v>244</v>
      </c>
      <c r="P1279" s="189" t="s">
        <v>111</v>
      </c>
      <c r="Q1279" s="189" t="s">
        <v>112</v>
      </c>
      <c r="R1279" s="189" t="s">
        <v>22</v>
      </c>
      <c r="S1279" s="189" t="s">
        <v>152</v>
      </c>
      <c r="T1279" s="189" t="s">
        <v>121</v>
      </c>
      <c r="U1279" s="189" t="s">
        <v>122</v>
      </c>
      <c r="V1279" s="189" t="s">
        <v>123</v>
      </c>
      <c r="W1279" s="189" t="s">
        <v>168</v>
      </c>
      <c r="X1279" s="189" t="s">
        <v>339</v>
      </c>
      <c r="Y1279" s="189" t="s">
        <v>2108</v>
      </c>
      <c r="Z1279" s="0" t="n">
        <v>1</v>
      </c>
      <c r="AA1279" s="189" t="s">
        <v>2242</v>
      </c>
    </row>
    <row r="1280" customFormat="false" ht="15" hidden="false" customHeight="false" outlineLevel="0" collapsed="false">
      <c r="A1280" s="0" t="n">
        <v>273</v>
      </c>
      <c r="B1280" s="191" t="n">
        <v>46108.7881776592</v>
      </c>
      <c r="C1280" s="191" t="n">
        <v>46108.8012100667</v>
      </c>
      <c r="D1280" s="189" t="s">
        <v>1860</v>
      </c>
      <c r="E1280" s="189" t="s">
        <v>1861</v>
      </c>
      <c r="F1280" s="189" t="s">
        <v>1861</v>
      </c>
      <c r="G1280" s="189" t="s">
        <v>1862</v>
      </c>
      <c r="H1280" s="191" t="n">
        <v>46107</v>
      </c>
      <c r="I1280" s="189" t="s">
        <v>325</v>
      </c>
      <c r="J1280" s="189" t="s">
        <v>108</v>
      </c>
      <c r="K1280" s="189" t="s">
        <v>1863</v>
      </c>
      <c r="L1280" s="189" t="s">
        <v>110</v>
      </c>
      <c r="M1280" s="189" t="s">
        <v>507</v>
      </c>
      <c r="N1280" s="189" t="s">
        <v>1243</v>
      </c>
      <c r="O1280" s="189" t="s">
        <v>244</v>
      </c>
      <c r="P1280" s="189" t="s">
        <v>111</v>
      </c>
      <c r="Q1280" s="189" t="s">
        <v>112</v>
      </c>
      <c r="R1280" s="189" t="s">
        <v>22</v>
      </c>
      <c r="S1280" s="189" t="s">
        <v>152</v>
      </c>
      <c r="T1280" s="189" t="s">
        <v>121</v>
      </c>
      <c r="U1280" s="189" t="s">
        <v>122</v>
      </c>
      <c r="V1280" s="189" t="s">
        <v>123</v>
      </c>
      <c r="W1280" s="189" t="s">
        <v>168</v>
      </c>
      <c r="X1280" s="189" t="s">
        <v>339</v>
      </c>
      <c r="Y1280" s="189" t="s">
        <v>2108</v>
      </c>
      <c r="Z1280" s="0" t="n">
        <v>2</v>
      </c>
      <c r="AA1280" s="189" t="s">
        <v>2213</v>
      </c>
    </row>
    <row r="1281" customFormat="false" ht="15" hidden="false" customHeight="false" outlineLevel="0" collapsed="false">
      <c r="A1281" s="0" t="n">
        <v>273</v>
      </c>
      <c r="B1281" s="191" t="n">
        <v>46108.7881776592</v>
      </c>
      <c r="C1281" s="191" t="n">
        <v>46108.8012100667</v>
      </c>
      <c r="D1281" s="189" t="s">
        <v>1860</v>
      </c>
      <c r="E1281" s="189" t="s">
        <v>1861</v>
      </c>
      <c r="F1281" s="189" t="s">
        <v>1861</v>
      </c>
      <c r="G1281" s="189" t="s">
        <v>1862</v>
      </c>
      <c r="H1281" s="191" t="n">
        <v>46107</v>
      </c>
      <c r="I1281" s="189" t="s">
        <v>325</v>
      </c>
      <c r="J1281" s="189" t="s">
        <v>108</v>
      </c>
      <c r="K1281" s="189" t="s">
        <v>1863</v>
      </c>
      <c r="L1281" s="189" t="s">
        <v>110</v>
      </c>
      <c r="M1281" s="189" t="s">
        <v>507</v>
      </c>
      <c r="N1281" s="189" t="s">
        <v>1243</v>
      </c>
      <c r="O1281" s="189" t="s">
        <v>244</v>
      </c>
      <c r="P1281" s="189" t="s">
        <v>111</v>
      </c>
      <c r="Q1281" s="189" t="s">
        <v>112</v>
      </c>
      <c r="R1281" s="189" t="s">
        <v>22</v>
      </c>
      <c r="S1281" s="189" t="s">
        <v>152</v>
      </c>
      <c r="T1281" s="189" t="s">
        <v>121</v>
      </c>
      <c r="U1281" s="189" t="s">
        <v>122</v>
      </c>
      <c r="V1281" s="189" t="s">
        <v>123</v>
      </c>
      <c r="W1281" s="189" t="s">
        <v>168</v>
      </c>
      <c r="X1281" s="189" t="s">
        <v>339</v>
      </c>
      <c r="Y1281" s="189" t="s">
        <v>2108</v>
      </c>
      <c r="Z1281" s="0" t="n">
        <v>3</v>
      </c>
      <c r="AA1281" s="189" t="s">
        <v>2243</v>
      </c>
    </row>
    <row r="1282" customFormat="false" ht="15" hidden="false" customHeight="false" outlineLevel="0" collapsed="false">
      <c r="A1282" s="0" t="n">
        <v>273</v>
      </c>
      <c r="B1282" s="191" t="n">
        <v>46108.7881776592</v>
      </c>
      <c r="C1282" s="191" t="n">
        <v>46108.8012100667</v>
      </c>
      <c r="D1282" s="189" t="s">
        <v>1860</v>
      </c>
      <c r="E1282" s="189" t="s">
        <v>1861</v>
      </c>
      <c r="F1282" s="189" t="s">
        <v>1861</v>
      </c>
      <c r="G1282" s="189" t="s">
        <v>1862</v>
      </c>
      <c r="H1282" s="191" t="n">
        <v>46107</v>
      </c>
      <c r="I1282" s="189" t="s">
        <v>325</v>
      </c>
      <c r="J1282" s="189" t="s">
        <v>108</v>
      </c>
      <c r="K1282" s="189" t="s">
        <v>1863</v>
      </c>
      <c r="L1282" s="189" t="s">
        <v>110</v>
      </c>
      <c r="M1282" s="189" t="s">
        <v>507</v>
      </c>
      <c r="N1282" s="189" t="s">
        <v>1243</v>
      </c>
      <c r="O1282" s="189" t="s">
        <v>244</v>
      </c>
      <c r="P1282" s="189" t="s">
        <v>111</v>
      </c>
      <c r="Q1282" s="189" t="s">
        <v>112</v>
      </c>
      <c r="R1282" s="189" t="s">
        <v>22</v>
      </c>
      <c r="S1282" s="189" t="s">
        <v>152</v>
      </c>
      <c r="T1282" s="189" t="s">
        <v>121</v>
      </c>
      <c r="U1282" s="189" t="s">
        <v>122</v>
      </c>
      <c r="V1282" s="189" t="s">
        <v>123</v>
      </c>
      <c r="W1282" s="189" t="s">
        <v>168</v>
      </c>
      <c r="X1282" s="189" t="s">
        <v>339</v>
      </c>
      <c r="Y1282" s="189" t="s">
        <v>2110</v>
      </c>
      <c r="Z1282" s="0" t="n">
        <v>1</v>
      </c>
      <c r="AA1282" s="189" t="s">
        <v>2305</v>
      </c>
    </row>
    <row r="1283" customFormat="false" ht="15" hidden="false" customHeight="false" outlineLevel="0" collapsed="false">
      <c r="A1283" s="0" t="n">
        <v>273</v>
      </c>
      <c r="B1283" s="191" t="n">
        <v>46108.7881776592</v>
      </c>
      <c r="C1283" s="191" t="n">
        <v>46108.8012100667</v>
      </c>
      <c r="D1283" s="189" t="s">
        <v>1860</v>
      </c>
      <c r="E1283" s="189" t="s">
        <v>1861</v>
      </c>
      <c r="F1283" s="189" t="s">
        <v>1861</v>
      </c>
      <c r="G1283" s="189" t="s">
        <v>1862</v>
      </c>
      <c r="H1283" s="191" t="n">
        <v>46107</v>
      </c>
      <c r="I1283" s="189" t="s">
        <v>325</v>
      </c>
      <c r="J1283" s="189" t="s">
        <v>108</v>
      </c>
      <c r="K1283" s="189" t="s">
        <v>1863</v>
      </c>
      <c r="L1283" s="189" t="s">
        <v>110</v>
      </c>
      <c r="M1283" s="189" t="s">
        <v>507</v>
      </c>
      <c r="N1283" s="189" t="s">
        <v>1243</v>
      </c>
      <c r="O1283" s="189" t="s">
        <v>244</v>
      </c>
      <c r="P1283" s="189" t="s">
        <v>111</v>
      </c>
      <c r="Q1283" s="189" t="s">
        <v>112</v>
      </c>
      <c r="R1283" s="189" t="s">
        <v>22</v>
      </c>
      <c r="S1283" s="189" t="s">
        <v>152</v>
      </c>
      <c r="T1283" s="189" t="s">
        <v>121</v>
      </c>
      <c r="U1283" s="189" t="s">
        <v>122</v>
      </c>
      <c r="V1283" s="189" t="s">
        <v>123</v>
      </c>
      <c r="W1283" s="189" t="s">
        <v>168</v>
      </c>
      <c r="X1283" s="189" t="s">
        <v>339</v>
      </c>
      <c r="Y1283" s="189" t="s">
        <v>2113</v>
      </c>
      <c r="Z1283" s="0" t="n">
        <v>1</v>
      </c>
      <c r="AA1283" s="189" t="s">
        <v>2261</v>
      </c>
    </row>
    <row r="1284" customFormat="false" ht="15" hidden="false" customHeight="false" outlineLevel="0" collapsed="false">
      <c r="A1284" s="0" t="n">
        <v>273</v>
      </c>
      <c r="B1284" s="191" t="n">
        <v>46108.7881776592</v>
      </c>
      <c r="C1284" s="191" t="n">
        <v>46108.8012100667</v>
      </c>
      <c r="D1284" s="189" t="s">
        <v>1860</v>
      </c>
      <c r="E1284" s="189" t="s">
        <v>1861</v>
      </c>
      <c r="F1284" s="189" t="s">
        <v>1861</v>
      </c>
      <c r="G1284" s="189" t="s">
        <v>1862</v>
      </c>
      <c r="H1284" s="191" t="n">
        <v>46107</v>
      </c>
      <c r="I1284" s="189" t="s">
        <v>325</v>
      </c>
      <c r="J1284" s="189" t="s">
        <v>108</v>
      </c>
      <c r="K1284" s="189" t="s">
        <v>1863</v>
      </c>
      <c r="L1284" s="189" t="s">
        <v>110</v>
      </c>
      <c r="M1284" s="189" t="s">
        <v>507</v>
      </c>
      <c r="N1284" s="189" t="s">
        <v>1243</v>
      </c>
      <c r="O1284" s="189" t="s">
        <v>244</v>
      </c>
      <c r="P1284" s="189" t="s">
        <v>111</v>
      </c>
      <c r="Q1284" s="189" t="s">
        <v>112</v>
      </c>
      <c r="R1284" s="189" t="s">
        <v>22</v>
      </c>
      <c r="S1284" s="189" t="s">
        <v>152</v>
      </c>
      <c r="T1284" s="189" t="s">
        <v>121</v>
      </c>
      <c r="U1284" s="189" t="s">
        <v>122</v>
      </c>
      <c r="V1284" s="189" t="s">
        <v>123</v>
      </c>
      <c r="W1284" s="189" t="s">
        <v>168</v>
      </c>
      <c r="X1284" s="189" t="s">
        <v>339</v>
      </c>
      <c r="Y1284" s="189" t="s">
        <v>2113</v>
      </c>
      <c r="Z1284" s="0" t="n">
        <v>2</v>
      </c>
      <c r="AA1284" s="189" t="s">
        <v>122</v>
      </c>
    </row>
    <row r="1285" customFormat="false" ht="15" hidden="false" customHeight="false" outlineLevel="0" collapsed="false">
      <c r="A1285" s="0" t="n">
        <v>274</v>
      </c>
      <c r="B1285" s="191" t="n">
        <v>46131.2659789318</v>
      </c>
      <c r="C1285" s="191" t="n">
        <v>46131.2713377281</v>
      </c>
      <c r="D1285" s="189" t="s">
        <v>1867</v>
      </c>
      <c r="E1285" s="189" t="s">
        <v>1868</v>
      </c>
      <c r="F1285" s="189" t="s">
        <v>1868</v>
      </c>
      <c r="G1285" s="189" t="s">
        <v>1869</v>
      </c>
      <c r="H1285" s="191" t="n">
        <v>46115</v>
      </c>
      <c r="I1285" s="189" t="s">
        <v>132</v>
      </c>
      <c r="J1285" s="189" t="s">
        <v>108</v>
      </c>
      <c r="K1285" s="189" t="s">
        <v>1870</v>
      </c>
      <c r="L1285" s="189" t="s">
        <v>389</v>
      </c>
      <c r="M1285" s="189" t="s">
        <v>905</v>
      </c>
      <c r="N1285" s="189" t="s">
        <v>508</v>
      </c>
      <c r="O1285" s="189" t="s">
        <v>244</v>
      </c>
      <c r="P1285" s="189" t="s">
        <v>111</v>
      </c>
      <c r="Q1285" s="189" t="s">
        <v>112</v>
      </c>
      <c r="R1285" s="189" t="s">
        <v>22</v>
      </c>
      <c r="S1285" s="189" t="s">
        <v>152</v>
      </c>
      <c r="T1285" s="189" t="s">
        <v>121</v>
      </c>
      <c r="V1285" s="189" t="s">
        <v>123</v>
      </c>
      <c r="W1285" s="189" t="s">
        <v>124</v>
      </c>
      <c r="X1285" s="189" t="s">
        <v>298</v>
      </c>
      <c r="Y1285" s="189" t="s">
        <v>2108</v>
      </c>
      <c r="Z1285" s="0" t="n">
        <v>1</v>
      </c>
      <c r="AA1285" s="189" t="s">
        <v>2169</v>
      </c>
    </row>
    <row r="1286" customFormat="false" ht="15" hidden="false" customHeight="false" outlineLevel="0" collapsed="false">
      <c r="A1286" s="0" t="n">
        <v>274</v>
      </c>
      <c r="B1286" s="191" t="n">
        <v>46131.2659789318</v>
      </c>
      <c r="C1286" s="191" t="n">
        <v>46131.2713377281</v>
      </c>
      <c r="D1286" s="189" t="s">
        <v>1867</v>
      </c>
      <c r="E1286" s="189" t="s">
        <v>1868</v>
      </c>
      <c r="F1286" s="189" t="s">
        <v>1868</v>
      </c>
      <c r="G1286" s="189" t="s">
        <v>1869</v>
      </c>
      <c r="H1286" s="191" t="n">
        <v>46115</v>
      </c>
      <c r="I1286" s="189" t="s">
        <v>132</v>
      </c>
      <c r="J1286" s="189" t="s">
        <v>108</v>
      </c>
      <c r="K1286" s="189" t="s">
        <v>1870</v>
      </c>
      <c r="L1286" s="189" t="s">
        <v>389</v>
      </c>
      <c r="M1286" s="189" t="s">
        <v>905</v>
      </c>
      <c r="N1286" s="189" t="s">
        <v>508</v>
      </c>
      <c r="O1286" s="189" t="s">
        <v>244</v>
      </c>
      <c r="P1286" s="189" t="s">
        <v>111</v>
      </c>
      <c r="Q1286" s="189" t="s">
        <v>112</v>
      </c>
      <c r="R1286" s="189" t="s">
        <v>22</v>
      </c>
      <c r="S1286" s="189" t="s">
        <v>152</v>
      </c>
      <c r="T1286" s="189" t="s">
        <v>121</v>
      </c>
      <c r="V1286" s="189" t="s">
        <v>123</v>
      </c>
      <c r="W1286" s="189" t="s">
        <v>124</v>
      </c>
      <c r="X1286" s="189" t="s">
        <v>298</v>
      </c>
      <c r="Y1286" s="189" t="s">
        <v>2108</v>
      </c>
      <c r="Z1286" s="0" t="n">
        <v>2</v>
      </c>
      <c r="AA1286" s="189" t="s">
        <v>2238</v>
      </c>
    </row>
    <row r="1287" customFormat="false" ht="15" hidden="false" customHeight="false" outlineLevel="0" collapsed="false">
      <c r="A1287" s="0" t="n">
        <v>274</v>
      </c>
      <c r="B1287" s="191" t="n">
        <v>46131.2659789318</v>
      </c>
      <c r="C1287" s="191" t="n">
        <v>46131.2713377281</v>
      </c>
      <c r="D1287" s="189" t="s">
        <v>1867</v>
      </c>
      <c r="E1287" s="189" t="s">
        <v>1868</v>
      </c>
      <c r="F1287" s="189" t="s">
        <v>1868</v>
      </c>
      <c r="G1287" s="189" t="s">
        <v>1869</v>
      </c>
      <c r="H1287" s="191" t="n">
        <v>46115</v>
      </c>
      <c r="I1287" s="189" t="s">
        <v>132</v>
      </c>
      <c r="J1287" s="189" t="s">
        <v>108</v>
      </c>
      <c r="K1287" s="189" t="s">
        <v>1870</v>
      </c>
      <c r="L1287" s="189" t="s">
        <v>389</v>
      </c>
      <c r="M1287" s="189" t="s">
        <v>905</v>
      </c>
      <c r="N1287" s="189" t="s">
        <v>508</v>
      </c>
      <c r="O1287" s="189" t="s">
        <v>244</v>
      </c>
      <c r="P1287" s="189" t="s">
        <v>111</v>
      </c>
      <c r="Q1287" s="189" t="s">
        <v>112</v>
      </c>
      <c r="R1287" s="189" t="s">
        <v>22</v>
      </c>
      <c r="S1287" s="189" t="s">
        <v>152</v>
      </c>
      <c r="T1287" s="189" t="s">
        <v>121</v>
      </c>
      <c r="V1287" s="189" t="s">
        <v>123</v>
      </c>
      <c r="W1287" s="189" t="s">
        <v>124</v>
      </c>
      <c r="X1287" s="189" t="s">
        <v>298</v>
      </c>
      <c r="Y1287" s="189" t="s">
        <v>2108</v>
      </c>
      <c r="Z1287" s="0" t="n">
        <v>3</v>
      </c>
      <c r="AA1287" s="189" t="s">
        <v>2252</v>
      </c>
    </row>
    <row r="1288" customFormat="false" ht="15" hidden="false" customHeight="false" outlineLevel="0" collapsed="false">
      <c r="A1288" s="0" t="n">
        <v>274</v>
      </c>
      <c r="B1288" s="191" t="n">
        <v>46131.2659789318</v>
      </c>
      <c r="C1288" s="191" t="n">
        <v>46131.2713377281</v>
      </c>
      <c r="D1288" s="189" t="s">
        <v>1867</v>
      </c>
      <c r="E1288" s="189" t="s">
        <v>1868</v>
      </c>
      <c r="F1288" s="189" t="s">
        <v>1868</v>
      </c>
      <c r="G1288" s="189" t="s">
        <v>1869</v>
      </c>
      <c r="H1288" s="191" t="n">
        <v>46115</v>
      </c>
      <c r="I1288" s="189" t="s">
        <v>132</v>
      </c>
      <c r="J1288" s="189" t="s">
        <v>108</v>
      </c>
      <c r="K1288" s="189" t="s">
        <v>1870</v>
      </c>
      <c r="L1288" s="189" t="s">
        <v>389</v>
      </c>
      <c r="M1288" s="189" t="s">
        <v>905</v>
      </c>
      <c r="N1288" s="189" t="s">
        <v>508</v>
      </c>
      <c r="O1288" s="189" t="s">
        <v>244</v>
      </c>
      <c r="P1288" s="189" t="s">
        <v>111</v>
      </c>
      <c r="Q1288" s="189" t="s">
        <v>112</v>
      </c>
      <c r="R1288" s="189" t="s">
        <v>22</v>
      </c>
      <c r="S1288" s="189" t="s">
        <v>152</v>
      </c>
      <c r="T1288" s="189" t="s">
        <v>121</v>
      </c>
      <c r="V1288" s="189" t="s">
        <v>123</v>
      </c>
      <c r="W1288" s="189" t="s">
        <v>124</v>
      </c>
      <c r="X1288" s="189" t="s">
        <v>298</v>
      </c>
      <c r="Y1288" s="189" t="s">
        <v>2110</v>
      </c>
      <c r="Z1288" s="0" t="n">
        <v>1</v>
      </c>
      <c r="AA1288" s="189" t="s">
        <v>2281</v>
      </c>
    </row>
    <row r="1289" customFormat="false" ht="15" hidden="false" customHeight="false" outlineLevel="0" collapsed="false">
      <c r="A1289" s="0" t="n">
        <v>274</v>
      </c>
      <c r="B1289" s="191" t="n">
        <v>46131.2659789318</v>
      </c>
      <c r="C1289" s="191" t="n">
        <v>46131.2713377281</v>
      </c>
      <c r="D1289" s="189" t="s">
        <v>1867</v>
      </c>
      <c r="E1289" s="189" t="s">
        <v>1868</v>
      </c>
      <c r="F1289" s="189" t="s">
        <v>1868</v>
      </c>
      <c r="G1289" s="189" t="s">
        <v>1869</v>
      </c>
      <c r="H1289" s="191" t="n">
        <v>46115</v>
      </c>
      <c r="I1289" s="189" t="s">
        <v>132</v>
      </c>
      <c r="J1289" s="189" t="s">
        <v>108</v>
      </c>
      <c r="K1289" s="189" t="s">
        <v>1870</v>
      </c>
      <c r="L1289" s="189" t="s">
        <v>389</v>
      </c>
      <c r="M1289" s="189" t="s">
        <v>905</v>
      </c>
      <c r="N1289" s="189" t="s">
        <v>508</v>
      </c>
      <c r="O1289" s="189" t="s">
        <v>244</v>
      </c>
      <c r="P1289" s="189" t="s">
        <v>111</v>
      </c>
      <c r="Q1289" s="189" t="s">
        <v>112</v>
      </c>
      <c r="R1289" s="189" t="s">
        <v>22</v>
      </c>
      <c r="S1289" s="189" t="s">
        <v>152</v>
      </c>
      <c r="T1289" s="189" t="s">
        <v>121</v>
      </c>
      <c r="V1289" s="189" t="s">
        <v>123</v>
      </c>
      <c r="W1289" s="189" t="s">
        <v>124</v>
      </c>
      <c r="X1289" s="189" t="s">
        <v>298</v>
      </c>
      <c r="Y1289" s="189" t="s">
        <v>2110</v>
      </c>
      <c r="Z1289" s="0" t="n">
        <v>2</v>
      </c>
      <c r="AA1289" s="189" t="s">
        <v>2312</v>
      </c>
    </row>
    <row r="1290" customFormat="false" ht="15" hidden="false" customHeight="false" outlineLevel="0" collapsed="false">
      <c r="A1290" s="0" t="n">
        <v>274</v>
      </c>
      <c r="B1290" s="191" t="n">
        <v>46131.2659789318</v>
      </c>
      <c r="C1290" s="191" t="n">
        <v>46131.2713377281</v>
      </c>
      <c r="D1290" s="189" t="s">
        <v>1867</v>
      </c>
      <c r="E1290" s="189" t="s">
        <v>1868</v>
      </c>
      <c r="F1290" s="189" t="s">
        <v>1868</v>
      </c>
      <c r="G1290" s="189" t="s">
        <v>1869</v>
      </c>
      <c r="H1290" s="191" t="n">
        <v>46115</v>
      </c>
      <c r="I1290" s="189" t="s">
        <v>132</v>
      </c>
      <c r="J1290" s="189" t="s">
        <v>108</v>
      </c>
      <c r="K1290" s="189" t="s">
        <v>1870</v>
      </c>
      <c r="L1290" s="189" t="s">
        <v>389</v>
      </c>
      <c r="M1290" s="189" t="s">
        <v>905</v>
      </c>
      <c r="N1290" s="189" t="s">
        <v>508</v>
      </c>
      <c r="O1290" s="189" t="s">
        <v>244</v>
      </c>
      <c r="P1290" s="189" t="s">
        <v>111</v>
      </c>
      <c r="Q1290" s="189" t="s">
        <v>112</v>
      </c>
      <c r="R1290" s="189" t="s">
        <v>22</v>
      </c>
      <c r="S1290" s="189" t="s">
        <v>152</v>
      </c>
      <c r="T1290" s="189" t="s">
        <v>121</v>
      </c>
      <c r="V1290" s="189" t="s">
        <v>123</v>
      </c>
      <c r="W1290" s="189" t="s">
        <v>124</v>
      </c>
      <c r="X1290" s="189" t="s">
        <v>298</v>
      </c>
      <c r="Y1290" s="189" t="s">
        <v>2113</v>
      </c>
      <c r="Z1290" s="0" t="n">
        <v>1</v>
      </c>
      <c r="AA1290" s="189" t="s">
        <v>2254</v>
      </c>
    </row>
    <row r="1291" customFormat="false" ht="15" hidden="false" customHeight="false" outlineLevel="0" collapsed="false">
      <c r="A1291" s="0" t="n">
        <v>274</v>
      </c>
      <c r="B1291" s="191" t="n">
        <v>46131.2659789318</v>
      </c>
      <c r="C1291" s="191" t="n">
        <v>46131.2713377281</v>
      </c>
      <c r="D1291" s="189" t="s">
        <v>1867</v>
      </c>
      <c r="E1291" s="189" t="s">
        <v>1868</v>
      </c>
      <c r="F1291" s="189" t="s">
        <v>1868</v>
      </c>
      <c r="G1291" s="189" t="s">
        <v>1869</v>
      </c>
      <c r="H1291" s="191" t="n">
        <v>46115</v>
      </c>
      <c r="I1291" s="189" t="s">
        <v>132</v>
      </c>
      <c r="J1291" s="189" t="s">
        <v>108</v>
      </c>
      <c r="K1291" s="189" t="s">
        <v>1870</v>
      </c>
      <c r="L1291" s="189" t="s">
        <v>389</v>
      </c>
      <c r="M1291" s="189" t="s">
        <v>905</v>
      </c>
      <c r="N1291" s="189" t="s">
        <v>508</v>
      </c>
      <c r="O1291" s="189" t="s">
        <v>244</v>
      </c>
      <c r="P1291" s="189" t="s">
        <v>111</v>
      </c>
      <c r="Q1291" s="189" t="s">
        <v>112</v>
      </c>
      <c r="R1291" s="189" t="s">
        <v>22</v>
      </c>
      <c r="S1291" s="189" t="s">
        <v>152</v>
      </c>
      <c r="T1291" s="189" t="s">
        <v>121</v>
      </c>
      <c r="V1291" s="189" t="s">
        <v>123</v>
      </c>
      <c r="W1291" s="189" t="s">
        <v>124</v>
      </c>
      <c r="X1291" s="189" t="s">
        <v>298</v>
      </c>
      <c r="Y1291" s="189" t="s">
        <v>2113</v>
      </c>
      <c r="Z1291" s="0" t="n">
        <v>2</v>
      </c>
      <c r="AA1291" s="189" t="s">
        <v>2172</v>
      </c>
    </row>
    <row r="1292" customFormat="false" ht="15" hidden="false" customHeight="false" outlineLevel="0" collapsed="false">
      <c r="A1292" s="0" t="n">
        <v>275</v>
      </c>
      <c r="B1292" s="191" t="n">
        <v>46213.4782150043</v>
      </c>
      <c r="C1292" s="191" t="n">
        <v>46213.4912474117</v>
      </c>
      <c r="D1292" s="189" t="s">
        <v>1874</v>
      </c>
      <c r="E1292" s="189" t="s">
        <v>1875</v>
      </c>
      <c r="F1292" s="189" t="s">
        <v>1875</v>
      </c>
      <c r="G1292" s="189" t="s">
        <v>1876</v>
      </c>
      <c r="H1292" s="191" t="n">
        <v>46201</v>
      </c>
      <c r="I1292" s="189" t="s">
        <v>113</v>
      </c>
      <c r="J1292" s="189" t="s">
        <v>108</v>
      </c>
      <c r="K1292" s="189" t="s">
        <v>462</v>
      </c>
      <c r="L1292" s="189" t="s">
        <v>159</v>
      </c>
      <c r="M1292" s="189" t="s">
        <v>133</v>
      </c>
      <c r="N1292" s="189" t="s">
        <v>259</v>
      </c>
      <c r="O1292" s="189" t="s">
        <v>1506</v>
      </c>
      <c r="P1292" s="189" t="s">
        <v>131</v>
      </c>
      <c r="Q1292" s="189" t="s">
        <v>198</v>
      </c>
      <c r="R1292" s="189" t="s">
        <v>22</v>
      </c>
      <c r="S1292" s="189" t="s">
        <v>152</v>
      </c>
      <c r="T1292" s="189" t="s">
        <v>121</v>
      </c>
      <c r="V1292" s="189" t="s">
        <v>167</v>
      </c>
      <c r="W1292" s="189" t="s">
        <v>124</v>
      </c>
      <c r="X1292" s="189" t="s">
        <v>339</v>
      </c>
      <c r="Y1292" s="189" t="s">
        <v>2108</v>
      </c>
      <c r="Z1292" s="0" t="n">
        <v>1</v>
      </c>
      <c r="AA1292" s="189" t="s">
        <v>2185</v>
      </c>
    </row>
    <row r="1293" customFormat="false" ht="15" hidden="false" customHeight="false" outlineLevel="0" collapsed="false">
      <c r="A1293" s="0" t="n">
        <v>275</v>
      </c>
      <c r="B1293" s="191" t="n">
        <v>46213.4782150043</v>
      </c>
      <c r="C1293" s="191" t="n">
        <v>46213.4912474117</v>
      </c>
      <c r="D1293" s="189" t="s">
        <v>1874</v>
      </c>
      <c r="E1293" s="189" t="s">
        <v>1875</v>
      </c>
      <c r="F1293" s="189" t="s">
        <v>1875</v>
      </c>
      <c r="G1293" s="189" t="s">
        <v>1876</v>
      </c>
      <c r="H1293" s="191" t="n">
        <v>46201</v>
      </c>
      <c r="I1293" s="189" t="s">
        <v>113</v>
      </c>
      <c r="J1293" s="189" t="s">
        <v>108</v>
      </c>
      <c r="K1293" s="189" t="s">
        <v>462</v>
      </c>
      <c r="L1293" s="189" t="s">
        <v>159</v>
      </c>
      <c r="M1293" s="189" t="s">
        <v>133</v>
      </c>
      <c r="N1293" s="189" t="s">
        <v>259</v>
      </c>
      <c r="O1293" s="189" t="s">
        <v>1506</v>
      </c>
      <c r="P1293" s="189" t="s">
        <v>131</v>
      </c>
      <c r="Q1293" s="189" t="s">
        <v>198</v>
      </c>
      <c r="R1293" s="189" t="s">
        <v>22</v>
      </c>
      <c r="S1293" s="189" t="s">
        <v>152</v>
      </c>
      <c r="T1293" s="189" t="s">
        <v>121</v>
      </c>
      <c r="V1293" s="189" t="s">
        <v>167</v>
      </c>
      <c r="W1293" s="189" t="s">
        <v>124</v>
      </c>
      <c r="X1293" s="189" t="s">
        <v>339</v>
      </c>
      <c r="Y1293" s="189" t="s">
        <v>2108</v>
      </c>
      <c r="Z1293" s="0" t="n">
        <v>2</v>
      </c>
      <c r="AA1293" s="189" t="s">
        <v>2213</v>
      </c>
    </row>
    <row r="1294" customFormat="false" ht="15" hidden="false" customHeight="false" outlineLevel="0" collapsed="false">
      <c r="A1294" s="0" t="n">
        <v>275</v>
      </c>
      <c r="B1294" s="191" t="n">
        <v>46213.4782150043</v>
      </c>
      <c r="C1294" s="191" t="n">
        <v>46213.4912474117</v>
      </c>
      <c r="D1294" s="189" t="s">
        <v>1874</v>
      </c>
      <c r="E1294" s="189" t="s">
        <v>1875</v>
      </c>
      <c r="F1294" s="189" t="s">
        <v>1875</v>
      </c>
      <c r="G1294" s="189" t="s">
        <v>1876</v>
      </c>
      <c r="H1294" s="191" t="n">
        <v>46201</v>
      </c>
      <c r="I1294" s="189" t="s">
        <v>113</v>
      </c>
      <c r="J1294" s="189" t="s">
        <v>108</v>
      </c>
      <c r="K1294" s="189" t="s">
        <v>462</v>
      </c>
      <c r="L1294" s="189" t="s">
        <v>159</v>
      </c>
      <c r="M1294" s="189" t="s">
        <v>133</v>
      </c>
      <c r="N1294" s="189" t="s">
        <v>259</v>
      </c>
      <c r="O1294" s="189" t="s">
        <v>1506</v>
      </c>
      <c r="P1294" s="189" t="s">
        <v>131</v>
      </c>
      <c r="Q1294" s="189" t="s">
        <v>198</v>
      </c>
      <c r="R1294" s="189" t="s">
        <v>22</v>
      </c>
      <c r="S1294" s="189" t="s">
        <v>152</v>
      </c>
      <c r="T1294" s="189" t="s">
        <v>121</v>
      </c>
      <c r="V1294" s="189" t="s">
        <v>167</v>
      </c>
      <c r="W1294" s="189" t="s">
        <v>124</v>
      </c>
      <c r="X1294" s="189" t="s">
        <v>339</v>
      </c>
      <c r="Y1294" s="189" t="s">
        <v>2110</v>
      </c>
      <c r="Z1294" s="0" t="n">
        <v>1</v>
      </c>
      <c r="AA1294" s="189" t="s">
        <v>2187</v>
      </c>
    </row>
    <row r="1295" customFormat="false" ht="15" hidden="false" customHeight="false" outlineLevel="0" collapsed="false">
      <c r="A1295" s="0" t="n">
        <v>275</v>
      </c>
      <c r="B1295" s="191" t="n">
        <v>46213.4782150043</v>
      </c>
      <c r="C1295" s="191" t="n">
        <v>46213.4912474117</v>
      </c>
      <c r="D1295" s="189" t="s">
        <v>1874</v>
      </c>
      <c r="E1295" s="189" t="s">
        <v>1875</v>
      </c>
      <c r="F1295" s="189" t="s">
        <v>1875</v>
      </c>
      <c r="G1295" s="189" t="s">
        <v>1876</v>
      </c>
      <c r="H1295" s="191" t="n">
        <v>46201</v>
      </c>
      <c r="I1295" s="189" t="s">
        <v>113</v>
      </c>
      <c r="J1295" s="189" t="s">
        <v>108</v>
      </c>
      <c r="K1295" s="189" t="s">
        <v>462</v>
      </c>
      <c r="L1295" s="189" t="s">
        <v>159</v>
      </c>
      <c r="M1295" s="189" t="s">
        <v>133</v>
      </c>
      <c r="N1295" s="189" t="s">
        <v>259</v>
      </c>
      <c r="O1295" s="189" t="s">
        <v>1506</v>
      </c>
      <c r="P1295" s="189" t="s">
        <v>131</v>
      </c>
      <c r="Q1295" s="189" t="s">
        <v>198</v>
      </c>
      <c r="R1295" s="189" t="s">
        <v>22</v>
      </c>
      <c r="S1295" s="189" t="s">
        <v>152</v>
      </c>
      <c r="T1295" s="189" t="s">
        <v>121</v>
      </c>
      <c r="V1295" s="189" t="s">
        <v>167</v>
      </c>
      <c r="W1295" s="189" t="s">
        <v>124</v>
      </c>
      <c r="X1295" s="189" t="s">
        <v>339</v>
      </c>
      <c r="Y1295" s="189" t="s">
        <v>2110</v>
      </c>
      <c r="Z1295" s="0" t="n">
        <v>2</v>
      </c>
      <c r="AA1295" s="189" t="s">
        <v>122</v>
      </c>
    </row>
    <row r="1296" customFormat="false" ht="15" hidden="false" customHeight="false" outlineLevel="0" collapsed="false">
      <c r="A1296" s="0" t="n">
        <v>275</v>
      </c>
      <c r="B1296" s="191" t="n">
        <v>46213.4782150043</v>
      </c>
      <c r="C1296" s="191" t="n">
        <v>46213.4912474117</v>
      </c>
      <c r="D1296" s="189" t="s">
        <v>1874</v>
      </c>
      <c r="E1296" s="189" t="s">
        <v>1875</v>
      </c>
      <c r="F1296" s="189" t="s">
        <v>1875</v>
      </c>
      <c r="G1296" s="189" t="s">
        <v>1876</v>
      </c>
      <c r="H1296" s="191" t="n">
        <v>46201</v>
      </c>
      <c r="I1296" s="189" t="s">
        <v>113</v>
      </c>
      <c r="J1296" s="189" t="s">
        <v>108</v>
      </c>
      <c r="K1296" s="189" t="s">
        <v>462</v>
      </c>
      <c r="L1296" s="189" t="s">
        <v>159</v>
      </c>
      <c r="M1296" s="189" t="s">
        <v>133</v>
      </c>
      <c r="N1296" s="189" t="s">
        <v>259</v>
      </c>
      <c r="O1296" s="189" t="s">
        <v>1506</v>
      </c>
      <c r="P1296" s="189" t="s">
        <v>131</v>
      </c>
      <c r="Q1296" s="189" t="s">
        <v>198</v>
      </c>
      <c r="R1296" s="189" t="s">
        <v>22</v>
      </c>
      <c r="S1296" s="189" t="s">
        <v>152</v>
      </c>
      <c r="T1296" s="189" t="s">
        <v>121</v>
      </c>
      <c r="V1296" s="189" t="s">
        <v>167</v>
      </c>
      <c r="W1296" s="189" t="s">
        <v>124</v>
      </c>
      <c r="X1296" s="189" t="s">
        <v>339</v>
      </c>
      <c r="Y1296" s="189" t="s">
        <v>2113</v>
      </c>
      <c r="Z1296" s="0" t="n">
        <v>1</v>
      </c>
      <c r="AA1296" s="189" t="s">
        <v>2189</v>
      </c>
    </row>
    <row r="1297" customFormat="false" ht="15" hidden="false" customHeight="false" outlineLevel="0" collapsed="false">
      <c r="A1297" s="0" t="n">
        <v>276</v>
      </c>
      <c r="B1297" s="191" t="n">
        <v>46125.5887932192</v>
      </c>
      <c r="C1297" s="191" t="n">
        <v>46125.5936774785</v>
      </c>
      <c r="D1297" s="189" t="s">
        <v>1880</v>
      </c>
      <c r="E1297" s="189" t="s">
        <v>1881</v>
      </c>
      <c r="F1297" s="189" t="s">
        <v>1881</v>
      </c>
      <c r="G1297" s="189" t="s">
        <v>1882</v>
      </c>
      <c r="H1297" s="191" t="n">
        <v>46121</v>
      </c>
      <c r="I1297" s="189" t="s">
        <v>325</v>
      </c>
      <c r="J1297" s="189" t="s">
        <v>108</v>
      </c>
      <c r="K1297" s="189" t="s">
        <v>364</v>
      </c>
      <c r="L1297" s="189" t="s">
        <v>246</v>
      </c>
      <c r="M1297" s="189" t="s">
        <v>212</v>
      </c>
      <c r="N1297" s="189" t="s">
        <v>1441</v>
      </c>
      <c r="O1297" s="189" t="s">
        <v>107</v>
      </c>
      <c r="P1297" s="189" t="s">
        <v>111</v>
      </c>
      <c r="Q1297" s="189" t="s">
        <v>112</v>
      </c>
      <c r="R1297" s="189" t="s">
        <v>22</v>
      </c>
      <c r="S1297" s="189" t="s">
        <v>120</v>
      </c>
      <c r="T1297" s="189" t="s">
        <v>352</v>
      </c>
      <c r="U1297" s="189" t="s">
        <v>1821</v>
      </c>
      <c r="V1297" s="189" t="s">
        <v>123</v>
      </c>
      <c r="W1297" s="189" t="s">
        <v>124</v>
      </c>
      <c r="X1297" s="189" t="s">
        <v>148</v>
      </c>
      <c r="Y1297" s="189" t="s">
        <v>2108</v>
      </c>
      <c r="Z1297" s="0" t="n">
        <v>1</v>
      </c>
      <c r="AA1297" s="189" t="s">
        <v>2136</v>
      </c>
    </row>
    <row r="1298" customFormat="false" ht="15" hidden="false" customHeight="false" outlineLevel="0" collapsed="false">
      <c r="A1298" s="0" t="n">
        <v>276</v>
      </c>
      <c r="B1298" s="191" t="n">
        <v>46125.5887932192</v>
      </c>
      <c r="C1298" s="191" t="n">
        <v>46125.5936774785</v>
      </c>
      <c r="D1298" s="189" t="s">
        <v>1880</v>
      </c>
      <c r="E1298" s="189" t="s">
        <v>1881</v>
      </c>
      <c r="F1298" s="189" t="s">
        <v>1881</v>
      </c>
      <c r="G1298" s="189" t="s">
        <v>1882</v>
      </c>
      <c r="H1298" s="191" t="n">
        <v>46121</v>
      </c>
      <c r="I1298" s="189" t="s">
        <v>325</v>
      </c>
      <c r="J1298" s="189" t="s">
        <v>108</v>
      </c>
      <c r="K1298" s="189" t="s">
        <v>364</v>
      </c>
      <c r="L1298" s="189" t="s">
        <v>246</v>
      </c>
      <c r="M1298" s="189" t="s">
        <v>212</v>
      </c>
      <c r="N1298" s="189" t="s">
        <v>1441</v>
      </c>
      <c r="O1298" s="189" t="s">
        <v>107</v>
      </c>
      <c r="P1298" s="189" t="s">
        <v>111</v>
      </c>
      <c r="Q1298" s="189" t="s">
        <v>112</v>
      </c>
      <c r="R1298" s="189" t="s">
        <v>22</v>
      </c>
      <c r="S1298" s="189" t="s">
        <v>120</v>
      </c>
      <c r="T1298" s="189" t="s">
        <v>352</v>
      </c>
      <c r="U1298" s="189" t="s">
        <v>1821</v>
      </c>
      <c r="V1298" s="189" t="s">
        <v>123</v>
      </c>
      <c r="W1298" s="189" t="s">
        <v>124</v>
      </c>
      <c r="X1298" s="189" t="s">
        <v>148</v>
      </c>
      <c r="Y1298" s="189" t="s">
        <v>2108</v>
      </c>
      <c r="Z1298" s="0" t="n">
        <v>2</v>
      </c>
      <c r="AA1298" s="189" t="s">
        <v>2166</v>
      </c>
    </row>
    <row r="1299" customFormat="false" ht="15" hidden="false" customHeight="false" outlineLevel="0" collapsed="false">
      <c r="A1299" s="0" t="n">
        <v>276</v>
      </c>
      <c r="B1299" s="191" t="n">
        <v>46125.5887932192</v>
      </c>
      <c r="C1299" s="191" t="n">
        <v>46125.5936774785</v>
      </c>
      <c r="D1299" s="189" t="s">
        <v>1880</v>
      </c>
      <c r="E1299" s="189" t="s">
        <v>1881</v>
      </c>
      <c r="F1299" s="189" t="s">
        <v>1881</v>
      </c>
      <c r="G1299" s="189" t="s">
        <v>1882</v>
      </c>
      <c r="H1299" s="191" t="n">
        <v>46121</v>
      </c>
      <c r="I1299" s="189" t="s">
        <v>325</v>
      </c>
      <c r="J1299" s="189" t="s">
        <v>108</v>
      </c>
      <c r="K1299" s="189" t="s">
        <v>364</v>
      </c>
      <c r="L1299" s="189" t="s">
        <v>246</v>
      </c>
      <c r="M1299" s="189" t="s">
        <v>212</v>
      </c>
      <c r="N1299" s="189" t="s">
        <v>1441</v>
      </c>
      <c r="O1299" s="189" t="s">
        <v>107</v>
      </c>
      <c r="P1299" s="189" t="s">
        <v>111</v>
      </c>
      <c r="Q1299" s="189" t="s">
        <v>112</v>
      </c>
      <c r="R1299" s="189" t="s">
        <v>22</v>
      </c>
      <c r="S1299" s="189" t="s">
        <v>120</v>
      </c>
      <c r="T1299" s="189" t="s">
        <v>352</v>
      </c>
      <c r="U1299" s="189" t="s">
        <v>1821</v>
      </c>
      <c r="V1299" s="189" t="s">
        <v>123</v>
      </c>
      <c r="W1299" s="189" t="s">
        <v>124</v>
      </c>
      <c r="X1299" s="189" t="s">
        <v>148</v>
      </c>
      <c r="Y1299" s="189" t="s">
        <v>2108</v>
      </c>
      <c r="Z1299" s="0" t="n">
        <v>3</v>
      </c>
      <c r="AA1299" s="189" t="s">
        <v>2326</v>
      </c>
    </row>
    <row r="1300" customFormat="false" ht="15" hidden="false" customHeight="false" outlineLevel="0" collapsed="false">
      <c r="A1300" s="0" t="n">
        <v>276</v>
      </c>
      <c r="B1300" s="191" t="n">
        <v>46125.5887932192</v>
      </c>
      <c r="C1300" s="191" t="n">
        <v>46125.5936774785</v>
      </c>
      <c r="D1300" s="189" t="s">
        <v>1880</v>
      </c>
      <c r="E1300" s="189" t="s">
        <v>1881</v>
      </c>
      <c r="F1300" s="189" t="s">
        <v>1881</v>
      </c>
      <c r="G1300" s="189" t="s">
        <v>1882</v>
      </c>
      <c r="H1300" s="191" t="n">
        <v>46121</v>
      </c>
      <c r="I1300" s="189" t="s">
        <v>325</v>
      </c>
      <c r="J1300" s="189" t="s">
        <v>108</v>
      </c>
      <c r="K1300" s="189" t="s">
        <v>364</v>
      </c>
      <c r="L1300" s="189" t="s">
        <v>246</v>
      </c>
      <c r="M1300" s="189" t="s">
        <v>212</v>
      </c>
      <c r="N1300" s="189" t="s">
        <v>1441</v>
      </c>
      <c r="O1300" s="189" t="s">
        <v>107</v>
      </c>
      <c r="P1300" s="189" t="s">
        <v>111</v>
      </c>
      <c r="Q1300" s="189" t="s">
        <v>112</v>
      </c>
      <c r="R1300" s="189" t="s">
        <v>22</v>
      </c>
      <c r="S1300" s="189" t="s">
        <v>120</v>
      </c>
      <c r="T1300" s="189" t="s">
        <v>352</v>
      </c>
      <c r="U1300" s="189" t="s">
        <v>1821</v>
      </c>
      <c r="V1300" s="189" t="s">
        <v>123</v>
      </c>
      <c r="W1300" s="189" t="s">
        <v>124</v>
      </c>
      <c r="X1300" s="189" t="s">
        <v>148</v>
      </c>
      <c r="Y1300" s="189" t="s">
        <v>2110</v>
      </c>
      <c r="Z1300" s="0" t="n">
        <v>1</v>
      </c>
      <c r="AA1300" s="189" t="s">
        <v>2231</v>
      </c>
    </row>
    <row r="1301" customFormat="false" ht="15" hidden="false" customHeight="false" outlineLevel="0" collapsed="false">
      <c r="A1301" s="0" t="n">
        <v>276</v>
      </c>
      <c r="B1301" s="191" t="n">
        <v>46125.5887932192</v>
      </c>
      <c r="C1301" s="191" t="n">
        <v>46125.5936774785</v>
      </c>
      <c r="D1301" s="189" t="s">
        <v>1880</v>
      </c>
      <c r="E1301" s="189" t="s">
        <v>1881</v>
      </c>
      <c r="F1301" s="189" t="s">
        <v>1881</v>
      </c>
      <c r="G1301" s="189" t="s">
        <v>1882</v>
      </c>
      <c r="H1301" s="191" t="n">
        <v>46121</v>
      </c>
      <c r="I1301" s="189" t="s">
        <v>325</v>
      </c>
      <c r="J1301" s="189" t="s">
        <v>108</v>
      </c>
      <c r="K1301" s="189" t="s">
        <v>364</v>
      </c>
      <c r="L1301" s="189" t="s">
        <v>246</v>
      </c>
      <c r="M1301" s="189" t="s">
        <v>212</v>
      </c>
      <c r="N1301" s="189" t="s">
        <v>1441</v>
      </c>
      <c r="O1301" s="189" t="s">
        <v>107</v>
      </c>
      <c r="P1301" s="189" t="s">
        <v>111</v>
      </c>
      <c r="Q1301" s="189" t="s">
        <v>112</v>
      </c>
      <c r="R1301" s="189" t="s">
        <v>22</v>
      </c>
      <c r="S1301" s="189" t="s">
        <v>120</v>
      </c>
      <c r="T1301" s="189" t="s">
        <v>352</v>
      </c>
      <c r="U1301" s="189" t="s">
        <v>1821</v>
      </c>
      <c r="V1301" s="189" t="s">
        <v>123</v>
      </c>
      <c r="W1301" s="189" t="s">
        <v>124</v>
      </c>
      <c r="X1301" s="189" t="s">
        <v>148</v>
      </c>
      <c r="Y1301" s="189" t="s">
        <v>2110</v>
      </c>
      <c r="Z1301" s="0" t="n">
        <v>2</v>
      </c>
      <c r="AA1301" s="189" t="s">
        <v>122</v>
      </c>
    </row>
    <row r="1302" customFormat="false" ht="15" hidden="false" customHeight="false" outlineLevel="0" collapsed="false">
      <c r="A1302" s="0" t="n">
        <v>276</v>
      </c>
      <c r="B1302" s="191" t="n">
        <v>46125.5887932192</v>
      </c>
      <c r="C1302" s="191" t="n">
        <v>46125.5936774785</v>
      </c>
      <c r="D1302" s="189" t="s">
        <v>1880</v>
      </c>
      <c r="E1302" s="189" t="s">
        <v>1881</v>
      </c>
      <c r="F1302" s="189" t="s">
        <v>1881</v>
      </c>
      <c r="G1302" s="189" t="s">
        <v>1882</v>
      </c>
      <c r="H1302" s="191" t="n">
        <v>46121</v>
      </c>
      <c r="I1302" s="189" t="s">
        <v>325</v>
      </c>
      <c r="J1302" s="189" t="s">
        <v>108</v>
      </c>
      <c r="K1302" s="189" t="s">
        <v>364</v>
      </c>
      <c r="L1302" s="189" t="s">
        <v>246</v>
      </c>
      <c r="M1302" s="189" t="s">
        <v>212</v>
      </c>
      <c r="N1302" s="189" t="s">
        <v>1441</v>
      </c>
      <c r="O1302" s="189" t="s">
        <v>107</v>
      </c>
      <c r="P1302" s="189" t="s">
        <v>111</v>
      </c>
      <c r="Q1302" s="189" t="s">
        <v>112</v>
      </c>
      <c r="R1302" s="189" t="s">
        <v>22</v>
      </c>
      <c r="S1302" s="189" t="s">
        <v>120</v>
      </c>
      <c r="T1302" s="189" t="s">
        <v>352</v>
      </c>
      <c r="U1302" s="189" t="s">
        <v>1821</v>
      </c>
      <c r="V1302" s="189" t="s">
        <v>123</v>
      </c>
      <c r="W1302" s="189" t="s">
        <v>124</v>
      </c>
      <c r="X1302" s="189" t="s">
        <v>148</v>
      </c>
      <c r="Y1302" s="189" t="s">
        <v>2113</v>
      </c>
      <c r="Z1302" s="0" t="n">
        <v>1</v>
      </c>
      <c r="AA1302" s="189" t="s">
        <v>2327</v>
      </c>
    </row>
    <row r="1303" customFormat="false" ht="15" hidden="false" customHeight="false" outlineLevel="0" collapsed="false">
      <c r="A1303" s="0" t="n">
        <v>276</v>
      </c>
      <c r="B1303" s="191" t="n">
        <v>46125.5887932192</v>
      </c>
      <c r="C1303" s="191" t="n">
        <v>46125.5936774785</v>
      </c>
      <c r="D1303" s="189" t="s">
        <v>1880</v>
      </c>
      <c r="E1303" s="189" t="s">
        <v>1881</v>
      </c>
      <c r="F1303" s="189" t="s">
        <v>1881</v>
      </c>
      <c r="G1303" s="189" t="s">
        <v>1882</v>
      </c>
      <c r="H1303" s="191" t="n">
        <v>46121</v>
      </c>
      <c r="I1303" s="189" t="s">
        <v>325</v>
      </c>
      <c r="J1303" s="189" t="s">
        <v>108</v>
      </c>
      <c r="K1303" s="189" t="s">
        <v>364</v>
      </c>
      <c r="L1303" s="189" t="s">
        <v>246</v>
      </c>
      <c r="M1303" s="189" t="s">
        <v>212</v>
      </c>
      <c r="N1303" s="189" t="s">
        <v>1441</v>
      </c>
      <c r="O1303" s="189" t="s">
        <v>107</v>
      </c>
      <c r="P1303" s="189" t="s">
        <v>111</v>
      </c>
      <c r="Q1303" s="189" t="s">
        <v>112</v>
      </c>
      <c r="R1303" s="189" t="s">
        <v>22</v>
      </c>
      <c r="S1303" s="189" t="s">
        <v>120</v>
      </c>
      <c r="T1303" s="189" t="s">
        <v>352</v>
      </c>
      <c r="U1303" s="189" t="s">
        <v>1821</v>
      </c>
      <c r="V1303" s="189" t="s">
        <v>123</v>
      </c>
      <c r="W1303" s="189" t="s">
        <v>124</v>
      </c>
      <c r="X1303" s="189" t="s">
        <v>148</v>
      </c>
      <c r="Y1303" s="189" t="s">
        <v>2113</v>
      </c>
      <c r="Z1303" s="0" t="n">
        <v>2</v>
      </c>
      <c r="AA1303" s="189" t="s">
        <v>122</v>
      </c>
    </row>
    <row r="1304" customFormat="false" ht="15" hidden="false" customHeight="false" outlineLevel="0" collapsed="false">
      <c r="A1304" s="0" t="n">
        <v>277</v>
      </c>
      <c r="B1304" s="191" t="n">
        <v>46180.044097481</v>
      </c>
      <c r="C1304" s="191" t="n">
        <v>46180.0504516477</v>
      </c>
      <c r="D1304" s="189" t="s">
        <v>1885</v>
      </c>
      <c r="E1304" s="189" t="s">
        <v>1886</v>
      </c>
      <c r="F1304" s="189" t="s">
        <v>1886</v>
      </c>
      <c r="G1304" s="189" t="s">
        <v>1887</v>
      </c>
      <c r="H1304" s="191" t="n">
        <v>46171</v>
      </c>
      <c r="I1304" s="189" t="s">
        <v>113</v>
      </c>
      <c r="J1304" s="189" t="s">
        <v>108</v>
      </c>
      <c r="K1304" s="189" t="s">
        <v>462</v>
      </c>
      <c r="L1304" s="189" t="s">
        <v>110</v>
      </c>
      <c r="M1304" s="189" t="s">
        <v>652</v>
      </c>
      <c r="N1304" s="189" t="s">
        <v>200</v>
      </c>
      <c r="O1304" s="189" t="s">
        <v>107</v>
      </c>
      <c r="P1304" s="189" t="s">
        <v>111</v>
      </c>
      <c r="Q1304" s="189" t="s">
        <v>112</v>
      </c>
      <c r="R1304" s="189" t="s">
        <v>22</v>
      </c>
      <c r="S1304" s="189" t="s">
        <v>227</v>
      </c>
      <c r="T1304" s="189" t="s">
        <v>121</v>
      </c>
      <c r="U1304" s="189" t="s">
        <v>1002</v>
      </c>
      <c r="V1304" s="189" t="s">
        <v>123</v>
      </c>
      <c r="W1304" s="189" t="s">
        <v>124</v>
      </c>
      <c r="X1304" s="189" t="s">
        <v>298</v>
      </c>
      <c r="Y1304" s="189" t="s">
        <v>2108</v>
      </c>
      <c r="Z1304" s="0" t="n">
        <v>1</v>
      </c>
      <c r="AA1304" s="189" t="s">
        <v>2169</v>
      </c>
    </row>
    <row r="1305" customFormat="false" ht="15" hidden="false" customHeight="false" outlineLevel="0" collapsed="false">
      <c r="A1305" s="0" t="n">
        <v>277</v>
      </c>
      <c r="B1305" s="191" t="n">
        <v>46180.044097481</v>
      </c>
      <c r="C1305" s="191" t="n">
        <v>46180.0504516477</v>
      </c>
      <c r="D1305" s="189" t="s">
        <v>1885</v>
      </c>
      <c r="E1305" s="189" t="s">
        <v>1886</v>
      </c>
      <c r="F1305" s="189" t="s">
        <v>1886</v>
      </c>
      <c r="G1305" s="189" t="s">
        <v>1887</v>
      </c>
      <c r="H1305" s="191" t="n">
        <v>46171</v>
      </c>
      <c r="I1305" s="189" t="s">
        <v>113</v>
      </c>
      <c r="J1305" s="189" t="s">
        <v>108</v>
      </c>
      <c r="K1305" s="189" t="s">
        <v>462</v>
      </c>
      <c r="L1305" s="189" t="s">
        <v>110</v>
      </c>
      <c r="M1305" s="189" t="s">
        <v>652</v>
      </c>
      <c r="N1305" s="189" t="s">
        <v>200</v>
      </c>
      <c r="O1305" s="189" t="s">
        <v>107</v>
      </c>
      <c r="P1305" s="189" t="s">
        <v>111</v>
      </c>
      <c r="Q1305" s="189" t="s">
        <v>112</v>
      </c>
      <c r="R1305" s="189" t="s">
        <v>22</v>
      </c>
      <c r="S1305" s="189" t="s">
        <v>227</v>
      </c>
      <c r="T1305" s="189" t="s">
        <v>121</v>
      </c>
      <c r="U1305" s="189" t="s">
        <v>1002</v>
      </c>
      <c r="V1305" s="189" t="s">
        <v>123</v>
      </c>
      <c r="W1305" s="189" t="s">
        <v>124</v>
      </c>
      <c r="X1305" s="189" t="s">
        <v>298</v>
      </c>
      <c r="Y1305" s="189" t="s">
        <v>2108</v>
      </c>
      <c r="Z1305" s="0" t="n">
        <v>2</v>
      </c>
      <c r="AA1305" s="189" t="s">
        <v>2168</v>
      </c>
    </row>
    <row r="1306" customFormat="false" ht="15" hidden="false" customHeight="false" outlineLevel="0" collapsed="false">
      <c r="A1306" s="0" t="n">
        <v>277</v>
      </c>
      <c r="B1306" s="191" t="n">
        <v>46180.044097481</v>
      </c>
      <c r="C1306" s="191" t="n">
        <v>46180.0504516477</v>
      </c>
      <c r="D1306" s="189" t="s">
        <v>1885</v>
      </c>
      <c r="E1306" s="189" t="s">
        <v>1886</v>
      </c>
      <c r="F1306" s="189" t="s">
        <v>1886</v>
      </c>
      <c r="G1306" s="189" t="s">
        <v>1887</v>
      </c>
      <c r="H1306" s="191" t="n">
        <v>46171</v>
      </c>
      <c r="I1306" s="189" t="s">
        <v>113</v>
      </c>
      <c r="J1306" s="189" t="s">
        <v>108</v>
      </c>
      <c r="K1306" s="189" t="s">
        <v>462</v>
      </c>
      <c r="L1306" s="189" t="s">
        <v>110</v>
      </c>
      <c r="M1306" s="189" t="s">
        <v>652</v>
      </c>
      <c r="N1306" s="189" t="s">
        <v>200</v>
      </c>
      <c r="O1306" s="189" t="s">
        <v>107</v>
      </c>
      <c r="P1306" s="189" t="s">
        <v>111</v>
      </c>
      <c r="Q1306" s="189" t="s">
        <v>112</v>
      </c>
      <c r="R1306" s="189" t="s">
        <v>22</v>
      </c>
      <c r="S1306" s="189" t="s">
        <v>227</v>
      </c>
      <c r="T1306" s="189" t="s">
        <v>121</v>
      </c>
      <c r="U1306" s="189" t="s">
        <v>1002</v>
      </c>
      <c r="V1306" s="189" t="s">
        <v>123</v>
      </c>
      <c r="W1306" s="189" t="s">
        <v>124</v>
      </c>
      <c r="X1306" s="189" t="s">
        <v>298</v>
      </c>
      <c r="Y1306" s="189" t="s">
        <v>2110</v>
      </c>
      <c r="Z1306" s="0" t="n">
        <v>1</v>
      </c>
      <c r="AA1306" s="189" t="s">
        <v>2312</v>
      </c>
    </row>
    <row r="1307" customFormat="false" ht="15" hidden="false" customHeight="false" outlineLevel="0" collapsed="false">
      <c r="A1307" s="0" t="n">
        <v>277</v>
      </c>
      <c r="B1307" s="191" t="n">
        <v>46180.044097481</v>
      </c>
      <c r="C1307" s="191" t="n">
        <v>46180.0504516477</v>
      </c>
      <c r="D1307" s="189" t="s">
        <v>1885</v>
      </c>
      <c r="E1307" s="189" t="s">
        <v>1886</v>
      </c>
      <c r="F1307" s="189" t="s">
        <v>1886</v>
      </c>
      <c r="G1307" s="189" t="s">
        <v>1887</v>
      </c>
      <c r="H1307" s="191" t="n">
        <v>46171</v>
      </c>
      <c r="I1307" s="189" t="s">
        <v>113</v>
      </c>
      <c r="J1307" s="189" t="s">
        <v>108</v>
      </c>
      <c r="K1307" s="189" t="s">
        <v>462</v>
      </c>
      <c r="L1307" s="189" t="s">
        <v>110</v>
      </c>
      <c r="M1307" s="189" t="s">
        <v>652</v>
      </c>
      <c r="N1307" s="189" t="s">
        <v>200</v>
      </c>
      <c r="O1307" s="189" t="s">
        <v>107</v>
      </c>
      <c r="P1307" s="189" t="s">
        <v>111</v>
      </c>
      <c r="Q1307" s="189" t="s">
        <v>112</v>
      </c>
      <c r="R1307" s="189" t="s">
        <v>22</v>
      </c>
      <c r="S1307" s="189" t="s">
        <v>227</v>
      </c>
      <c r="T1307" s="189" t="s">
        <v>121</v>
      </c>
      <c r="U1307" s="189" t="s">
        <v>1002</v>
      </c>
      <c r="V1307" s="189" t="s">
        <v>123</v>
      </c>
      <c r="W1307" s="189" t="s">
        <v>124</v>
      </c>
      <c r="X1307" s="189" t="s">
        <v>298</v>
      </c>
      <c r="Y1307" s="189" t="s">
        <v>2113</v>
      </c>
      <c r="Z1307" s="0" t="n">
        <v>1</v>
      </c>
      <c r="AA1307" s="189" t="s">
        <v>2172</v>
      </c>
    </row>
    <row r="1308" customFormat="false" ht="15" hidden="false" customHeight="false" outlineLevel="0" collapsed="false">
      <c r="A1308" s="0" t="n">
        <v>278</v>
      </c>
      <c r="B1308" s="191" t="n">
        <v>46150.8262615769</v>
      </c>
      <c r="C1308" s="191" t="n">
        <v>46150.8373379658</v>
      </c>
      <c r="D1308" s="189" t="s">
        <v>1889</v>
      </c>
      <c r="E1308" s="189" t="s">
        <v>1890</v>
      </c>
      <c r="F1308" s="189" t="s">
        <v>1890</v>
      </c>
      <c r="G1308" s="189" t="s">
        <v>1891</v>
      </c>
      <c r="H1308" s="191" t="n">
        <v>46131</v>
      </c>
      <c r="I1308" s="189" t="s">
        <v>113</v>
      </c>
      <c r="J1308" s="189" t="s">
        <v>295</v>
      </c>
      <c r="K1308" s="189" t="s">
        <v>1892</v>
      </c>
      <c r="L1308" s="189" t="s">
        <v>110</v>
      </c>
      <c r="M1308" s="189" t="s">
        <v>185</v>
      </c>
      <c r="N1308" s="189" t="s">
        <v>1243</v>
      </c>
      <c r="O1308" s="189" t="s">
        <v>107</v>
      </c>
      <c r="P1308" s="189" t="s">
        <v>111</v>
      </c>
      <c r="Q1308" s="189" t="s">
        <v>112</v>
      </c>
      <c r="R1308" s="189" t="s">
        <v>22</v>
      </c>
      <c r="S1308" s="189" t="s">
        <v>152</v>
      </c>
      <c r="T1308" s="189" t="s">
        <v>352</v>
      </c>
      <c r="U1308" s="189" t="s">
        <v>122</v>
      </c>
      <c r="V1308" s="189" t="s">
        <v>167</v>
      </c>
      <c r="W1308" s="189" t="s">
        <v>124</v>
      </c>
      <c r="X1308" s="189" t="s">
        <v>148</v>
      </c>
      <c r="Y1308" s="189" t="s">
        <v>2108</v>
      </c>
      <c r="Z1308" s="0" t="n">
        <v>1</v>
      </c>
      <c r="AA1308" s="189" t="s">
        <v>2326</v>
      </c>
    </row>
    <row r="1309" customFormat="false" ht="15" hidden="false" customHeight="false" outlineLevel="0" collapsed="false">
      <c r="A1309" s="0" t="n">
        <v>278</v>
      </c>
      <c r="B1309" s="191" t="n">
        <v>46150.8262615769</v>
      </c>
      <c r="C1309" s="191" t="n">
        <v>46150.8373379658</v>
      </c>
      <c r="D1309" s="189" t="s">
        <v>1889</v>
      </c>
      <c r="E1309" s="189" t="s">
        <v>1890</v>
      </c>
      <c r="F1309" s="189" t="s">
        <v>1890</v>
      </c>
      <c r="G1309" s="189" t="s">
        <v>1891</v>
      </c>
      <c r="H1309" s="191" t="n">
        <v>46131</v>
      </c>
      <c r="I1309" s="189" t="s">
        <v>113</v>
      </c>
      <c r="J1309" s="189" t="s">
        <v>295</v>
      </c>
      <c r="K1309" s="189" t="s">
        <v>1892</v>
      </c>
      <c r="L1309" s="189" t="s">
        <v>110</v>
      </c>
      <c r="M1309" s="189" t="s">
        <v>185</v>
      </c>
      <c r="N1309" s="189" t="s">
        <v>1243</v>
      </c>
      <c r="O1309" s="189" t="s">
        <v>107</v>
      </c>
      <c r="P1309" s="189" t="s">
        <v>111</v>
      </c>
      <c r="Q1309" s="189" t="s">
        <v>112</v>
      </c>
      <c r="R1309" s="189" t="s">
        <v>22</v>
      </c>
      <c r="S1309" s="189" t="s">
        <v>152</v>
      </c>
      <c r="T1309" s="189" t="s">
        <v>352</v>
      </c>
      <c r="U1309" s="189" t="s">
        <v>122</v>
      </c>
      <c r="V1309" s="189" t="s">
        <v>167</v>
      </c>
      <c r="W1309" s="189" t="s">
        <v>124</v>
      </c>
      <c r="X1309" s="189" t="s">
        <v>148</v>
      </c>
      <c r="Y1309" s="189" t="s">
        <v>2110</v>
      </c>
      <c r="Z1309" s="0" t="n">
        <v>1</v>
      </c>
      <c r="AA1309" s="189" t="s">
        <v>2328</v>
      </c>
    </row>
    <row r="1310" customFormat="false" ht="15" hidden="false" customHeight="false" outlineLevel="0" collapsed="false">
      <c r="A1310" s="0" t="n">
        <v>278</v>
      </c>
      <c r="B1310" s="191" t="n">
        <v>46150.8262615769</v>
      </c>
      <c r="C1310" s="191" t="n">
        <v>46150.8373379658</v>
      </c>
      <c r="D1310" s="189" t="s">
        <v>1889</v>
      </c>
      <c r="E1310" s="189" t="s">
        <v>1890</v>
      </c>
      <c r="F1310" s="189" t="s">
        <v>1890</v>
      </c>
      <c r="G1310" s="189" t="s">
        <v>1891</v>
      </c>
      <c r="H1310" s="191" t="n">
        <v>46131</v>
      </c>
      <c r="I1310" s="189" t="s">
        <v>113</v>
      </c>
      <c r="J1310" s="189" t="s">
        <v>295</v>
      </c>
      <c r="K1310" s="189" t="s">
        <v>1892</v>
      </c>
      <c r="L1310" s="189" t="s">
        <v>110</v>
      </c>
      <c r="M1310" s="189" t="s">
        <v>185</v>
      </c>
      <c r="N1310" s="189" t="s">
        <v>1243</v>
      </c>
      <c r="O1310" s="189" t="s">
        <v>107</v>
      </c>
      <c r="P1310" s="189" t="s">
        <v>111</v>
      </c>
      <c r="Q1310" s="189" t="s">
        <v>112</v>
      </c>
      <c r="R1310" s="189" t="s">
        <v>22</v>
      </c>
      <c r="S1310" s="189" t="s">
        <v>152</v>
      </c>
      <c r="T1310" s="189" t="s">
        <v>352</v>
      </c>
      <c r="U1310" s="189" t="s">
        <v>122</v>
      </c>
      <c r="V1310" s="189" t="s">
        <v>167</v>
      </c>
      <c r="W1310" s="189" t="s">
        <v>124</v>
      </c>
      <c r="X1310" s="189" t="s">
        <v>148</v>
      </c>
      <c r="Y1310" s="189" t="s">
        <v>2110</v>
      </c>
      <c r="Z1310" s="0" t="n">
        <v>2</v>
      </c>
      <c r="AA1310" s="189" t="s">
        <v>2137</v>
      </c>
    </row>
    <row r="1311" customFormat="false" ht="15" hidden="false" customHeight="false" outlineLevel="0" collapsed="false">
      <c r="A1311" s="0" t="n">
        <v>278</v>
      </c>
      <c r="B1311" s="191" t="n">
        <v>46150.8262615769</v>
      </c>
      <c r="C1311" s="191" t="n">
        <v>46150.8373379658</v>
      </c>
      <c r="D1311" s="189" t="s">
        <v>1889</v>
      </c>
      <c r="E1311" s="189" t="s">
        <v>1890</v>
      </c>
      <c r="F1311" s="189" t="s">
        <v>1890</v>
      </c>
      <c r="G1311" s="189" t="s">
        <v>1891</v>
      </c>
      <c r="H1311" s="191" t="n">
        <v>46131</v>
      </c>
      <c r="I1311" s="189" t="s">
        <v>113</v>
      </c>
      <c r="J1311" s="189" t="s">
        <v>295</v>
      </c>
      <c r="K1311" s="189" t="s">
        <v>1892</v>
      </c>
      <c r="L1311" s="189" t="s">
        <v>110</v>
      </c>
      <c r="M1311" s="189" t="s">
        <v>185</v>
      </c>
      <c r="N1311" s="189" t="s">
        <v>1243</v>
      </c>
      <c r="O1311" s="189" t="s">
        <v>107</v>
      </c>
      <c r="P1311" s="189" t="s">
        <v>111</v>
      </c>
      <c r="Q1311" s="189" t="s">
        <v>112</v>
      </c>
      <c r="R1311" s="189" t="s">
        <v>22</v>
      </c>
      <c r="S1311" s="189" t="s">
        <v>152</v>
      </c>
      <c r="T1311" s="189" t="s">
        <v>352</v>
      </c>
      <c r="U1311" s="189" t="s">
        <v>122</v>
      </c>
      <c r="V1311" s="189" t="s">
        <v>167</v>
      </c>
      <c r="W1311" s="189" t="s">
        <v>124</v>
      </c>
      <c r="X1311" s="189" t="s">
        <v>148</v>
      </c>
      <c r="Y1311" s="189" t="s">
        <v>2113</v>
      </c>
      <c r="Z1311" s="0" t="n">
        <v>1</v>
      </c>
      <c r="AA1311" s="189" t="s">
        <v>2232</v>
      </c>
    </row>
    <row r="1312" customFormat="false" ht="15" hidden="false" customHeight="false" outlineLevel="0" collapsed="false">
      <c r="A1312" s="0" t="n">
        <v>279</v>
      </c>
      <c r="B1312" s="191" t="n">
        <v>46049.1071517718</v>
      </c>
      <c r="C1312" s="191" t="n">
        <v>46049.1165151977</v>
      </c>
      <c r="D1312" s="189" t="s">
        <v>1894</v>
      </c>
      <c r="E1312" s="189" t="s">
        <v>1895</v>
      </c>
      <c r="F1312" s="189" t="s">
        <v>1895</v>
      </c>
      <c r="G1312" s="189" t="s">
        <v>1896</v>
      </c>
      <c r="H1312" s="191" t="n">
        <v>46039</v>
      </c>
      <c r="I1312" s="189" t="s">
        <v>305</v>
      </c>
      <c r="J1312" s="189" t="s">
        <v>295</v>
      </c>
      <c r="K1312" s="189" t="s">
        <v>245</v>
      </c>
      <c r="L1312" s="189" t="s">
        <v>210</v>
      </c>
      <c r="M1312" s="189" t="s">
        <v>864</v>
      </c>
      <c r="N1312" s="189" t="s">
        <v>849</v>
      </c>
      <c r="O1312" s="189" t="s">
        <v>1897</v>
      </c>
      <c r="P1312" s="189" t="s">
        <v>111</v>
      </c>
      <c r="Q1312" s="189" t="s">
        <v>247</v>
      </c>
      <c r="R1312" s="189" t="s">
        <v>21</v>
      </c>
      <c r="S1312" s="189" t="s">
        <v>152</v>
      </c>
      <c r="T1312" s="189" t="s">
        <v>180</v>
      </c>
      <c r="U1312" s="189" t="s">
        <v>1489</v>
      </c>
      <c r="V1312" s="189" t="s">
        <v>123</v>
      </c>
      <c r="W1312" s="189" t="s">
        <v>124</v>
      </c>
      <c r="X1312" s="189" t="s">
        <v>307</v>
      </c>
      <c r="Y1312" s="189" t="s">
        <v>2108</v>
      </c>
      <c r="Z1312" s="0" t="n">
        <v>1</v>
      </c>
      <c r="AA1312" s="189" t="s">
        <v>2173</v>
      </c>
    </row>
    <row r="1313" customFormat="false" ht="15" hidden="false" customHeight="false" outlineLevel="0" collapsed="false">
      <c r="A1313" s="0" t="n">
        <v>279</v>
      </c>
      <c r="B1313" s="191" t="n">
        <v>46049.1071517718</v>
      </c>
      <c r="C1313" s="191" t="n">
        <v>46049.1165151977</v>
      </c>
      <c r="D1313" s="189" t="s">
        <v>1894</v>
      </c>
      <c r="E1313" s="189" t="s">
        <v>1895</v>
      </c>
      <c r="F1313" s="189" t="s">
        <v>1895</v>
      </c>
      <c r="G1313" s="189" t="s">
        <v>1896</v>
      </c>
      <c r="H1313" s="191" t="n">
        <v>46039</v>
      </c>
      <c r="I1313" s="189" t="s">
        <v>305</v>
      </c>
      <c r="J1313" s="189" t="s">
        <v>295</v>
      </c>
      <c r="K1313" s="189" t="s">
        <v>245</v>
      </c>
      <c r="L1313" s="189" t="s">
        <v>210</v>
      </c>
      <c r="M1313" s="189" t="s">
        <v>864</v>
      </c>
      <c r="N1313" s="189" t="s">
        <v>849</v>
      </c>
      <c r="O1313" s="189" t="s">
        <v>1897</v>
      </c>
      <c r="P1313" s="189" t="s">
        <v>111</v>
      </c>
      <c r="Q1313" s="189" t="s">
        <v>247</v>
      </c>
      <c r="R1313" s="189" t="s">
        <v>21</v>
      </c>
      <c r="S1313" s="189" t="s">
        <v>152</v>
      </c>
      <c r="T1313" s="189" t="s">
        <v>180</v>
      </c>
      <c r="U1313" s="189" t="s">
        <v>1489</v>
      </c>
      <c r="V1313" s="189" t="s">
        <v>123</v>
      </c>
      <c r="W1313" s="189" t="s">
        <v>124</v>
      </c>
      <c r="X1313" s="189" t="s">
        <v>307</v>
      </c>
      <c r="Y1313" s="189" t="s">
        <v>2108</v>
      </c>
      <c r="Z1313" s="0" t="n">
        <v>2</v>
      </c>
      <c r="AA1313" s="189" t="s">
        <v>2175</v>
      </c>
    </row>
    <row r="1314" customFormat="false" ht="15" hidden="false" customHeight="false" outlineLevel="0" collapsed="false">
      <c r="A1314" s="0" t="n">
        <v>279</v>
      </c>
      <c r="B1314" s="191" t="n">
        <v>46049.1071517718</v>
      </c>
      <c r="C1314" s="191" t="n">
        <v>46049.1165151977</v>
      </c>
      <c r="D1314" s="189" t="s">
        <v>1894</v>
      </c>
      <c r="E1314" s="189" t="s">
        <v>1895</v>
      </c>
      <c r="F1314" s="189" t="s">
        <v>1895</v>
      </c>
      <c r="G1314" s="189" t="s">
        <v>1896</v>
      </c>
      <c r="H1314" s="191" t="n">
        <v>46039</v>
      </c>
      <c r="I1314" s="189" t="s">
        <v>305</v>
      </c>
      <c r="J1314" s="189" t="s">
        <v>295</v>
      </c>
      <c r="K1314" s="189" t="s">
        <v>245</v>
      </c>
      <c r="L1314" s="189" t="s">
        <v>210</v>
      </c>
      <c r="M1314" s="189" t="s">
        <v>864</v>
      </c>
      <c r="N1314" s="189" t="s">
        <v>849</v>
      </c>
      <c r="O1314" s="189" t="s">
        <v>1897</v>
      </c>
      <c r="P1314" s="189" t="s">
        <v>111</v>
      </c>
      <c r="Q1314" s="189" t="s">
        <v>247</v>
      </c>
      <c r="R1314" s="189" t="s">
        <v>21</v>
      </c>
      <c r="S1314" s="189" t="s">
        <v>152</v>
      </c>
      <c r="T1314" s="189" t="s">
        <v>180</v>
      </c>
      <c r="U1314" s="189" t="s">
        <v>1489</v>
      </c>
      <c r="V1314" s="189" t="s">
        <v>123</v>
      </c>
      <c r="W1314" s="189" t="s">
        <v>124</v>
      </c>
      <c r="X1314" s="189" t="s">
        <v>307</v>
      </c>
      <c r="Y1314" s="189" t="s">
        <v>2108</v>
      </c>
      <c r="Z1314" s="0" t="n">
        <v>3</v>
      </c>
      <c r="AA1314" s="189" t="s">
        <v>2174</v>
      </c>
    </row>
    <row r="1315" customFormat="false" ht="15" hidden="false" customHeight="false" outlineLevel="0" collapsed="false">
      <c r="A1315" s="0" t="n">
        <v>279</v>
      </c>
      <c r="B1315" s="191" t="n">
        <v>46049.1071517718</v>
      </c>
      <c r="C1315" s="191" t="n">
        <v>46049.1165151977</v>
      </c>
      <c r="D1315" s="189" t="s">
        <v>1894</v>
      </c>
      <c r="E1315" s="189" t="s">
        <v>1895</v>
      </c>
      <c r="F1315" s="189" t="s">
        <v>1895</v>
      </c>
      <c r="G1315" s="189" t="s">
        <v>1896</v>
      </c>
      <c r="H1315" s="191" t="n">
        <v>46039</v>
      </c>
      <c r="I1315" s="189" t="s">
        <v>305</v>
      </c>
      <c r="J1315" s="189" t="s">
        <v>295</v>
      </c>
      <c r="K1315" s="189" t="s">
        <v>245</v>
      </c>
      <c r="L1315" s="189" t="s">
        <v>210</v>
      </c>
      <c r="M1315" s="189" t="s">
        <v>864</v>
      </c>
      <c r="N1315" s="189" t="s">
        <v>849</v>
      </c>
      <c r="O1315" s="189" t="s">
        <v>1897</v>
      </c>
      <c r="P1315" s="189" t="s">
        <v>111</v>
      </c>
      <c r="Q1315" s="189" t="s">
        <v>247</v>
      </c>
      <c r="R1315" s="189" t="s">
        <v>21</v>
      </c>
      <c r="S1315" s="189" t="s">
        <v>152</v>
      </c>
      <c r="T1315" s="189" t="s">
        <v>180</v>
      </c>
      <c r="U1315" s="189" t="s">
        <v>1489</v>
      </c>
      <c r="V1315" s="189" t="s">
        <v>123</v>
      </c>
      <c r="W1315" s="189" t="s">
        <v>124</v>
      </c>
      <c r="X1315" s="189" t="s">
        <v>307</v>
      </c>
      <c r="Y1315" s="189" t="s">
        <v>2110</v>
      </c>
      <c r="Z1315" s="0" t="n">
        <v>1</v>
      </c>
      <c r="AA1315" s="189" t="s">
        <v>1174</v>
      </c>
    </row>
    <row r="1316" customFormat="false" ht="15" hidden="false" customHeight="false" outlineLevel="0" collapsed="false">
      <c r="A1316" s="0" t="n">
        <v>279</v>
      </c>
      <c r="B1316" s="191" t="n">
        <v>46049.1071517718</v>
      </c>
      <c r="C1316" s="191" t="n">
        <v>46049.1165151977</v>
      </c>
      <c r="D1316" s="189" t="s">
        <v>1894</v>
      </c>
      <c r="E1316" s="189" t="s">
        <v>1895</v>
      </c>
      <c r="F1316" s="189" t="s">
        <v>1895</v>
      </c>
      <c r="G1316" s="189" t="s">
        <v>1896</v>
      </c>
      <c r="H1316" s="191" t="n">
        <v>46039</v>
      </c>
      <c r="I1316" s="189" t="s">
        <v>305</v>
      </c>
      <c r="J1316" s="189" t="s">
        <v>295</v>
      </c>
      <c r="K1316" s="189" t="s">
        <v>245</v>
      </c>
      <c r="L1316" s="189" t="s">
        <v>210</v>
      </c>
      <c r="M1316" s="189" t="s">
        <v>864</v>
      </c>
      <c r="N1316" s="189" t="s">
        <v>849</v>
      </c>
      <c r="O1316" s="189" t="s">
        <v>1897</v>
      </c>
      <c r="P1316" s="189" t="s">
        <v>111</v>
      </c>
      <c r="Q1316" s="189" t="s">
        <v>247</v>
      </c>
      <c r="R1316" s="189" t="s">
        <v>21</v>
      </c>
      <c r="S1316" s="189" t="s">
        <v>152</v>
      </c>
      <c r="T1316" s="189" t="s">
        <v>180</v>
      </c>
      <c r="U1316" s="189" t="s">
        <v>1489</v>
      </c>
      <c r="V1316" s="189" t="s">
        <v>123</v>
      </c>
      <c r="W1316" s="189" t="s">
        <v>124</v>
      </c>
      <c r="X1316" s="189" t="s">
        <v>307</v>
      </c>
      <c r="Y1316" s="189" t="s">
        <v>2113</v>
      </c>
      <c r="Z1316" s="0" t="n">
        <v>1</v>
      </c>
      <c r="AA1316" s="189" t="s">
        <v>2177</v>
      </c>
    </row>
    <row r="1317" customFormat="false" ht="15" hidden="false" customHeight="false" outlineLevel="0" collapsed="false">
      <c r="A1317" s="0" t="n">
        <v>279</v>
      </c>
      <c r="B1317" s="191" t="n">
        <v>46049.1071517718</v>
      </c>
      <c r="C1317" s="191" t="n">
        <v>46049.1165151977</v>
      </c>
      <c r="D1317" s="189" t="s">
        <v>1894</v>
      </c>
      <c r="E1317" s="189" t="s">
        <v>1895</v>
      </c>
      <c r="F1317" s="189" t="s">
        <v>1895</v>
      </c>
      <c r="G1317" s="189" t="s">
        <v>1896</v>
      </c>
      <c r="H1317" s="191" t="n">
        <v>46039</v>
      </c>
      <c r="I1317" s="189" t="s">
        <v>305</v>
      </c>
      <c r="J1317" s="189" t="s">
        <v>295</v>
      </c>
      <c r="K1317" s="189" t="s">
        <v>245</v>
      </c>
      <c r="L1317" s="189" t="s">
        <v>210</v>
      </c>
      <c r="M1317" s="189" t="s">
        <v>864</v>
      </c>
      <c r="N1317" s="189" t="s">
        <v>849</v>
      </c>
      <c r="O1317" s="189" t="s">
        <v>1897</v>
      </c>
      <c r="P1317" s="189" t="s">
        <v>111</v>
      </c>
      <c r="Q1317" s="189" t="s">
        <v>247</v>
      </c>
      <c r="R1317" s="189" t="s">
        <v>21</v>
      </c>
      <c r="S1317" s="189" t="s">
        <v>152</v>
      </c>
      <c r="T1317" s="189" t="s">
        <v>180</v>
      </c>
      <c r="U1317" s="189" t="s">
        <v>1489</v>
      </c>
      <c r="V1317" s="189" t="s">
        <v>123</v>
      </c>
      <c r="W1317" s="189" t="s">
        <v>124</v>
      </c>
      <c r="X1317" s="189" t="s">
        <v>307</v>
      </c>
      <c r="Y1317" s="189" t="s">
        <v>2113</v>
      </c>
      <c r="Z1317" s="0" t="n">
        <v>2</v>
      </c>
      <c r="AA1317" s="189" t="s">
        <v>2178</v>
      </c>
    </row>
    <row r="1318" customFormat="false" ht="15" hidden="false" customHeight="false" outlineLevel="0" collapsed="false">
      <c r="A1318" s="0" t="n">
        <v>280</v>
      </c>
      <c r="B1318" s="191" t="n">
        <v>46199.0347531516</v>
      </c>
      <c r="C1318" s="191" t="n">
        <v>46199.0372184294</v>
      </c>
      <c r="D1318" s="189" t="s">
        <v>1899</v>
      </c>
      <c r="E1318" s="189" t="s">
        <v>1900</v>
      </c>
      <c r="F1318" s="189" t="s">
        <v>1900</v>
      </c>
      <c r="G1318" s="189" t="s">
        <v>1901</v>
      </c>
      <c r="H1318" s="191" t="n">
        <v>46185</v>
      </c>
      <c r="I1318" s="189" t="s">
        <v>863</v>
      </c>
      <c r="J1318" s="189" t="s">
        <v>108</v>
      </c>
      <c r="K1318" s="189" t="s">
        <v>462</v>
      </c>
      <c r="L1318" s="189" t="s">
        <v>491</v>
      </c>
      <c r="M1318" s="189" t="s">
        <v>234</v>
      </c>
      <c r="N1318" s="189" t="s">
        <v>306</v>
      </c>
      <c r="O1318" s="189" t="s">
        <v>107</v>
      </c>
      <c r="P1318" s="189" t="s">
        <v>111</v>
      </c>
      <c r="Q1318" s="189" t="s">
        <v>247</v>
      </c>
      <c r="R1318" s="189" t="s">
        <v>24</v>
      </c>
      <c r="S1318" s="189" t="s">
        <v>152</v>
      </c>
      <c r="T1318" s="189" t="s">
        <v>121</v>
      </c>
      <c r="U1318" s="189" t="s">
        <v>1902</v>
      </c>
      <c r="V1318" s="189" t="s">
        <v>167</v>
      </c>
      <c r="W1318" s="189" t="s">
        <v>124</v>
      </c>
      <c r="X1318" s="189" t="s">
        <v>214</v>
      </c>
      <c r="Y1318" s="189" t="s">
        <v>2108</v>
      </c>
      <c r="Z1318" s="0" t="n">
        <v>1</v>
      </c>
      <c r="AA1318" s="189" t="s">
        <v>2109</v>
      </c>
    </row>
    <row r="1319" customFormat="false" ht="15" hidden="false" customHeight="false" outlineLevel="0" collapsed="false">
      <c r="A1319" s="0" t="n">
        <v>280</v>
      </c>
      <c r="B1319" s="191" t="n">
        <v>46199.0347531516</v>
      </c>
      <c r="C1319" s="191" t="n">
        <v>46199.0372184294</v>
      </c>
      <c r="D1319" s="189" t="s">
        <v>1899</v>
      </c>
      <c r="E1319" s="189" t="s">
        <v>1900</v>
      </c>
      <c r="F1319" s="189" t="s">
        <v>1900</v>
      </c>
      <c r="G1319" s="189" t="s">
        <v>1901</v>
      </c>
      <c r="H1319" s="191" t="n">
        <v>46185</v>
      </c>
      <c r="I1319" s="189" t="s">
        <v>863</v>
      </c>
      <c r="J1319" s="189" t="s">
        <v>108</v>
      </c>
      <c r="K1319" s="189" t="s">
        <v>462</v>
      </c>
      <c r="L1319" s="189" t="s">
        <v>491</v>
      </c>
      <c r="M1319" s="189" t="s">
        <v>234</v>
      </c>
      <c r="N1319" s="189" t="s">
        <v>306</v>
      </c>
      <c r="O1319" s="189" t="s">
        <v>107</v>
      </c>
      <c r="P1319" s="189" t="s">
        <v>111</v>
      </c>
      <c r="Q1319" s="189" t="s">
        <v>247</v>
      </c>
      <c r="R1319" s="189" t="s">
        <v>24</v>
      </c>
      <c r="S1319" s="189" t="s">
        <v>152</v>
      </c>
      <c r="T1319" s="189" t="s">
        <v>121</v>
      </c>
      <c r="U1319" s="189" t="s">
        <v>1902</v>
      </c>
      <c r="V1319" s="189" t="s">
        <v>167</v>
      </c>
      <c r="W1319" s="189" t="s">
        <v>124</v>
      </c>
      <c r="X1319" s="189" t="s">
        <v>214</v>
      </c>
      <c r="Y1319" s="189" t="s">
        <v>2108</v>
      </c>
      <c r="Z1319" s="0" t="n">
        <v>2</v>
      </c>
      <c r="AA1319" s="189" t="s">
        <v>2151</v>
      </c>
    </row>
    <row r="1320" customFormat="false" ht="15" hidden="false" customHeight="false" outlineLevel="0" collapsed="false">
      <c r="A1320" s="0" t="n">
        <v>280</v>
      </c>
      <c r="B1320" s="191" t="n">
        <v>46199.0347531516</v>
      </c>
      <c r="C1320" s="191" t="n">
        <v>46199.0372184294</v>
      </c>
      <c r="D1320" s="189" t="s">
        <v>1899</v>
      </c>
      <c r="E1320" s="189" t="s">
        <v>1900</v>
      </c>
      <c r="F1320" s="189" t="s">
        <v>1900</v>
      </c>
      <c r="G1320" s="189" t="s">
        <v>1901</v>
      </c>
      <c r="H1320" s="191" t="n">
        <v>46185</v>
      </c>
      <c r="I1320" s="189" t="s">
        <v>863</v>
      </c>
      <c r="J1320" s="189" t="s">
        <v>108</v>
      </c>
      <c r="K1320" s="189" t="s">
        <v>462</v>
      </c>
      <c r="L1320" s="189" t="s">
        <v>491</v>
      </c>
      <c r="M1320" s="189" t="s">
        <v>234</v>
      </c>
      <c r="N1320" s="189" t="s">
        <v>306</v>
      </c>
      <c r="O1320" s="189" t="s">
        <v>107</v>
      </c>
      <c r="P1320" s="189" t="s">
        <v>111</v>
      </c>
      <c r="Q1320" s="189" t="s">
        <v>247</v>
      </c>
      <c r="R1320" s="189" t="s">
        <v>24</v>
      </c>
      <c r="S1320" s="189" t="s">
        <v>152</v>
      </c>
      <c r="T1320" s="189" t="s">
        <v>121</v>
      </c>
      <c r="U1320" s="189" t="s">
        <v>1902</v>
      </c>
      <c r="V1320" s="189" t="s">
        <v>167</v>
      </c>
      <c r="W1320" s="189" t="s">
        <v>124</v>
      </c>
      <c r="X1320" s="189" t="s">
        <v>214</v>
      </c>
      <c r="Y1320" s="189" t="s">
        <v>2110</v>
      </c>
      <c r="Z1320" s="0" t="n">
        <v>1</v>
      </c>
      <c r="AA1320" s="189" t="s">
        <v>2255</v>
      </c>
    </row>
    <row r="1321" customFormat="false" ht="15" hidden="false" customHeight="false" outlineLevel="0" collapsed="false">
      <c r="A1321" s="0" t="n">
        <v>280</v>
      </c>
      <c r="B1321" s="191" t="n">
        <v>46199.0347531516</v>
      </c>
      <c r="C1321" s="191" t="n">
        <v>46199.0372184294</v>
      </c>
      <c r="D1321" s="189" t="s">
        <v>1899</v>
      </c>
      <c r="E1321" s="189" t="s">
        <v>1900</v>
      </c>
      <c r="F1321" s="189" t="s">
        <v>1900</v>
      </c>
      <c r="G1321" s="189" t="s">
        <v>1901</v>
      </c>
      <c r="H1321" s="191" t="n">
        <v>46185</v>
      </c>
      <c r="I1321" s="189" t="s">
        <v>863</v>
      </c>
      <c r="J1321" s="189" t="s">
        <v>108</v>
      </c>
      <c r="K1321" s="189" t="s">
        <v>462</v>
      </c>
      <c r="L1321" s="189" t="s">
        <v>491</v>
      </c>
      <c r="M1321" s="189" t="s">
        <v>234</v>
      </c>
      <c r="N1321" s="189" t="s">
        <v>306</v>
      </c>
      <c r="O1321" s="189" t="s">
        <v>107</v>
      </c>
      <c r="P1321" s="189" t="s">
        <v>111</v>
      </c>
      <c r="Q1321" s="189" t="s">
        <v>247</v>
      </c>
      <c r="R1321" s="189" t="s">
        <v>24</v>
      </c>
      <c r="S1321" s="189" t="s">
        <v>152</v>
      </c>
      <c r="T1321" s="189" t="s">
        <v>121</v>
      </c>
      <c r="U1321" s="189" t="s">
        <v>1902</v>
      </c>
      <c r="V1321" s="189" t="s">
        <v>167</v>
      </c>
      <c r="W1321" s="189" t="s">
        <v>124</v>
      </c>
      <c r="X1321" s="189" t="s">
        <v>214</v>
      </c>
      <c r="Y1321" s="189" t="s">
        <v>2113</v>
      </c>
      <c r="Z1321" s="0" t="n">
        <v>1</v>
      </c>
      <c r="AA1321" s="189" t="s">
        <v>2114</v>
      </c>
    </row>
    <row r="1322" customFormat="false" ht="15" hidden="false" customHeight="false" outlineLevel="0" collapsed="false">
      <c r="A1322" s="0" t="n">
        <v>281</v>
      </c>
      <c r="B1322" s="191" t="n">
        <v>46206.5376126538</v>
      </c>
      <c r="C1322" s="191" t="n">
        <v>46206.5518140427</v>
      </c>
      <c r="D1322" s="189" t="s">
        <v>1903</v>
      </c>
      <c r="E1322" s="189" t="s">
        <v>1904</v>
      </c>
      <c r="F1322" s="189" t="s">
        <v>1904</v>
      </c>
      <c r="G1322" s="189" t="s">
        <v>1905</v>
      </c>
      <c r="H1322" s="191" t="n">
        <v>46201</v>
      </c>
      <c r="I1322" s="189" t="s">
        <v>863</v>
      </c>
      <c r="J1322" s="189" t="s">
        <v>295</v>
      </c>
      <c r="K1322" s="189" t="s">
        <v>1906</v>
      </c>
      <c r="L1322" s="189" t="s">
        <v>159</v>
      </c>
      <c r="M1322" s="189" t="s">
        <v>391</v>
      </c>
      <c r="N1322" s="189" t="s">
        <v>743</v>
      </c>
      <c r="O1322" s="189" t="s">
        <v>278</v>
      </c>
      <c r="P1322" s="189" t="s">
        <v>390</v>
      </c>
      <c r="Q1322" s="189" t="s">
        <v>112</v>
      </c>
      <c r="R1322" s="189" t="s">
        <v>23</v>
      </c>
      <c r="S1322" s="189" t="s">
        <v>120</v>
      </c>
      <c r="T1322" s="189" t="s">
        <v>165</v>
      </c>
      <c r="U1322" s="189" t="s">
        <v>1641</v>
      </c>
      <c r="V1322" s="189" t="s">
        <v>123</v>
      </c>
      <c r="W1322" s="189" t="s">
        <v>124</v>
      </c>
      <c r="X1322" s="189" t="s">
        <v>442</v>
      </c>
      <c r="Y1322" s="189" t="s">
        <v>2216</v>
      </c>
      <c r="Z1322" s="0" t="n">
        <v>1</v>
      </c>
      <c r="AA1322" s="189" t="s">
        <v>441</v>
      </c>
    </row>
    <row r="1323" customFormat="false" ht="15" hidden="false" customHeight="false" outlineLevel="0" collapsed="false">
      <c r="A1323" s="0" t="n">
        <v>282</v>
      </c>
      <c r="B1323" s="191" t="n">
        <v>46043.5187109354</v>
      </c>
      <c r="C1323" s="191" t="n">
        <v>46043.5254007502</v>
      </c>
      <c r="D1323" s="189" t="s">
        <v>1907</v>
      </c>
      <c r="E1323" s="189" t="s">
        <v>1908</v>
      </c>
      <c r="F1323" s="189" t="s">
        <v>1908</v>
      </c>
      <c r="G1323" s="189" t="s">
        <v>1909</v>
      </c>
      <c r="H1323" s="191" t="n">
        <v>46024</v>
      </c>
      <c r="I1323" s="189" t="s">
        <v>113</v>
      </c>
      <c r="J1323" s="189" t="s">
        <v>108</v>
      </c>
      <c r="K1323" s="189" t="s">
        <v>245</v>
      </c>
      <c r="L1323" s="189" t="s">
        <v>159</v>
      </c>
      <c r="M1323" s="189" t="s">
        <v>1120</v>
      </c>
      <c r="N1323" s="189" t="s">
        <v>810</v>
      </c>
      <c r="O1323" s="189" t="s">
        <v>107</v>
      </c>
      <c r="P1323" s="189" t="s">
        <v>131</v>
      </c>
      <c r="Q1323" s="189" t="s">
        <v>112</v>
      </c>
      <c r="R1323" s="189" t="s">
        <v>21</v>
      </c>
      <c r="S1323" s="189" t="s">
        <v>227</v>
      </c>
      <c r="T1323" s="189" t="s">
        <v>180</v>
      </c>
      <c r="V1323" s="189" t="s">
        <v>192</v>
      </c>
      <c r="W1323" s="189" t="s">
        <v>168</v>
      </c>
      <c r="X1323" s="189" t="s">
        <v>187</v>
      </c>
      <c r="Y1323" s="189" t="s">
        <v>2108</v>
      </c>
      <c r="Z1323" s="0" t="n">
        <v>1</v>
      </c>
      <c r="AA1323" s="189" t="s">
        <v>2133</v>
      </c>
    </row>
    <row r="1324" customFormat="false" ht="15" hidden="false" customHeight="false" outlineLevel="0" collapsed="false">
      <c r="A1324" s="0" t="n">
        <v>282</v>
      </c>
      <c r="B1324" s="191" t="n">
        <v>46043.5187109354</v>
      </c>
      <c r="C1324" s="191" t="n">
        <v>46043.5254007502</v>
      </c>
      <c r="D1324" s="189" t="s">
        <v>1907</v>
      </c>
      <c r="E1324" s="189" t="s">
        <v>1908</v>
      </c>
      <c r="F1324" s="189" t="s">
        <v>1908</v>
      </c>
      <c r="G1324" s="189" t="s">
        <v>1909</v>
      </c>
      <c r="H1324" s="191" t="n">
        <v>46024</v>
      </c>
      <c r="I1324" s="189" t="s">
        <v>113</v>
      </c>
      <c r="J1324" s="189" t="s">
        <v>108</v>
      </c>
      <c r="K1324" s="189" t="s">
        <v>245</v>
      </c>
      <c r="L1324" s="189" t="s">
        <v>159</v>
      </c>
      <c r="M1324" s="189" t="s">
        <v>1120</v>
      </c>
      <c r="N1324" s="189" t="s">
        <v>810</v>
      </c>
      <c r="O1324" s="189" t="s">
        <v>107</v>
      </c>
      <c r="P1324" s="189" t="s">
        <v>131</v>
      </c>
      <c r="Q1324" s="189" t="s">
        <v>112</v>
      </c>
      <c r="R1324" s="189" t="s">
        <v>21</v>
      </c>
      <c r="S1324" s="189" t="s">
        <v>227</v>
      </c>
      <c r="T1324" s="189" t="s">
        <v>180</v>
      </c>
      <c r="V1324" s="189" t="s">
        <v>192</v>
      </c>
      <c r="W1324" s="189" t="s">
        <v>168</v>
      </c>
      <c r="X1324" s="189" t="s">
        <v>187</v>
      </c>
      <c r="Y1324" s="189" t="s">
        <v>2110</v>
      </c>
      <c r="Z1324" s="0" t="n">
        <v>1</v>
      </c>
      <c r="AA1324" s="189" t="s">
        <v>2211</v>
      </c>
    </row>
    <row r="1325" customFormat="false" ht="15" hidden="false" customHeight="false" outlineLevel="0" collapsed="false">
      <c r="A1325" s="0" t="n">
        <v>282</v>
      </c>
      <c r="B1325" s="191" t="n">
        <v>46043.5187109354</v>
      </c>
      <c r="C1325" s="191" t="n">
        <v>46043.5254007502</v>
      </c>
      <c r="D1325" s="189" t="s">
        <v>1907</v>
      </c>
      <c r="E1325" s="189" t="s">
        <v>1908</v>
      </c>
      <c r="F1325" s="189" t="s">
        <v>1908</v>
      </c>
      <c r="G1325" s="189" t="s">
        <v>1909</v>
      </c>
      <c r="H1325" s="191" t="n">
        <v>46024</v>
      </c>
      <c r="I1325" s="189" t="s">
        <v>113</v>
      </c>
      <c r="J1325" s="189" t="s">
        <v>108</v>
      </c>
      <c r="K1325" s="189" t="s">
        <v>245</v>
      </c>
      <c r="L1325" s="189" t="s">
        <v>159</v>
      </c>
      <c r="M1325" s="189" t="s">
        <v>1120</v>
      </c>
      <c r="N1325" s="189" t="s">
        <v>810</v>
      </c>
      <c r="O1325" s="189" t="s">
        <v>107</v>
      </c>
      <c r="P1325" s="189" t="s">
        <v>131</v>
      </c>
      <c r="Q1325" s="189" t="s">
        <v>112</v>
      </c>
      <c r="R1325" s="189" t="s">
        <v>21</v>
      </c>
      <c r="S1325" s="189" t="s">
        <v>227</v>
      </c>
      <c r="T1325" s="189" t="s">
        <v>180</v>
      </c>
      <c r="V1325" s="189" t="s">
        <v>192</v>
      </c>
      <c r="W1325" s="189" t="s">
        <v>168</v>
      </c>
      <c r="X1325" s="189" t="s">
        <v>187</v>
      </c>
      <c r="Y1325" s="189" t="s">
        <v>2113</v>
      </c>
      <c r="Z1325" s="0" t="n">
        <v>1</v>
      </c>
      <c r="AA1325" s="189" t="s">
        <v>2135</v>
      </c>
    </row>
    <row r="1326" customFormat="false" ht="15" hidden="false" customHeight="false" outlineLevel="0" collapsed="false">
      <c r="A1326" s="0" t="n">
        <v>283</v>
      </c>
      <c r="B1326" s="191" t="n">
        <v>46215.3190309969</v>
      </c>
      <c r="C1326" s="191" t="n">
        <v>46215.3392972006</v>
      </c>
      <c r="D1326" s="189" t="s">
        <v>1910</v>
      </c>
      <c r="E1326" s="189" t="s">
        <v>1911</v>
      </c>
      <c r="F1326" s="189" t="s">
        <v>1911</v>
      </c>
      <c r="G1326" s="189" t="s">
        <v>1912</v>
      </c>
      <c r="H1326" s="191" t="n">
        <v>46196</v>
      </c>
      <c r="I1326" s="189" t="s">
        <v>113</v>
      </c>
      <c r="J1326" s="189" t="s">
        <v>108</v>
      </c>
      <c r="K1326" s="189" t="s">
        <v>1913</v>
      </c>
      <c r="L1326" s="189" t="s">
        <v>296</v>
      </c>
      <c r="M1326" s="189" t="s">
        <v>114</v>
      </c>
      <c r="N1326" s="189" t="s">
        <v>567</v>
      </c>
      <c r="O1326" s="189" t="s">
        <v>244</v>
      </c>
      <c r="P1326" s="189" t="s">
        <v>111</v>
      </c>
      <c r="Q1326" s="189" t="s">
        <v>145</v>
      </c>
      <c r="R1326" s="189" t="s">
        <v>22</v>
      </c>
      <c r="S1326" s="189" t="s">
        <v>320</v>
      </c>
      <c r="T1326" s="189" t="s">
        <v>121</v>
      </c>
      <c r="U1326" s="189" t="s">
        <v>1376</v>
      </c>
      <c r="V1326" s="189" t="s">
        <v>192</v>
      </c>
      <c r="W1326" s="189" t="s">
        <v>168</v>
      </c>
      <c r="X1326" s="189" t="s">
        <v>298</v>
      </c>
      <c r="Y1326" s="189" t="s">
        <v>2108</v>
      </c>
      <c r="Z1326" s="0" t="n">
        <v>1</v>
      </c>
      <c r="AA1326" s="189" t="s">
        <v>2238</v>
      </c>
    </row>
    <row r="1327" customFormat="false" ht="15" hidden="false" customHeight="false" outlineLevel="0" collapsed="false">
      <c r="A1327" s="0" t="n">
        <v>283</v>
      </c>
      <c r="B1327" s="191" t="n">
        <v>46215.3190309969</v>
      </c>
      <c r="C1327" s="191" t="n">
        <v>46215.3392972006</v>
      </c>
      <c r="D1327" s="189" t="s">
        <v>1910</v>
      </c>
      <c r="E1327" s="189" t="s">
        <v>1911</v>
      </c>
      <c r="F1327" s="189" t="s">
        <v>1911</v>
      </c>
      <c r="G1327" s="189" t="s">
        <v>1912</v>
      </c>
      <c r="H1327" s="191" t="n">
        <v>46196</v>
      </c>
      <c r="I1327" s="189" t="s">
        <v>113</v>
      </c>
      <c r="J1327" s="189" t="s">
        <v>108</v>
      </c>
      <c r="K1327" s="189" t="s">
        <v>1913</v>
      </c>
      <c r="L1327" s="189" t="s">
        <v>296</v>
      </c>
      <c r="M1327" s="189" t="s">
        <v>114</v>
      </c>
      <c r="N1327" s="189" t="s">
        <v>567</v>
      </c>
      <c r="O1327" s="189" t="s">
        <v>244</v>
      </c>
      <c r="P1327" s="189" t="s">
        <v>111</v>
      </c>
      <c r="Q1327" s="189" t="s">
        <v>145</v>
      </c>
      <c r="R1327" s="189" t="s">
        <v>22</v>
      </c>
      <c r="S1327" s="189" t="s">
        <v>320</v>
      </c>
      <c r="T1327" s="189" t="s">
        <v>121</v>
      </c>
      <c r="U1327" s="189" t="s">
        <v>1376</v>
      </c>
      <c r="V1327" s="189" t="s">
        <v>192</v>
      </c>
      <c r="W1327" s="189" t="s">
        <v>168</v>
      </c>
      <c r="X1327" s="189" t="s">
        <v>298</v>
      </c>
      <c r="Y1327" s="189" t="s">
        <v>2108</v>
      </c>
      <c r="Z1327" s="0" t="n">
        <v>2</v>
      </c>
      <c r="AA1327" s="189" t="s">
        <v>2169</v>
      </c>
    </row>
    <row r="1328" customFormat="false" ht="15" hidden="false" customHeight="false" outlineLevel="0" collapsed="false">
      <c r="A1328" s="0" t="n">
        <v>283</v>
      </c>
      <c r="B1328" s="191" t="n">
        <v>46215.3190309969</v>
      </c>
      <c r="C1328" s="191" t="n">
        <v>46215.3392972006</v>
      </c>
      <c r="D1328" s="189" t="s">
        <v>1910</v>
      </c>
      <c r="E1328" s="189" t="s">
        <v>1911</v>
      </c>
      <c r="F1328" s="189" t="s">
        <v>1911</v>
      </c>
      <c r="G1328" s="189" t="s">
        <v>1912</v>
      </c>
      <c r="H1328" s="191" t="n">
        <v>46196</v>
      </c>
      <c r="I1328" s="189" t="s">
        <v>113</v>
      </c>
      <c r="J1328" s="189" t="s">
        <v>108</v>
      </c>
      <c r="K1328" s="189" t="s">
        <v>1913</v>
      </c>
      <c r="L1328" s="189" t="s">
        <v>296</v>
      </c>
      <c r="M1328" s="189" t="s">
        <v>114</v>
      </c>
      <c r="N1328" s="189" t="s">
        <v>567</v>
      </c>
      <c r="O1328" s="189" t="s">
        <v>244</v>
      </c>
      <c r="P1328" s="189" t="s">
        <v>111</v>
      </c>
      <c r="Q1328" s="189" t="s">
        <v>145</v>
      </c>
      <c r="R1328" s="189" t="s">
        <v>22</v>
      </c>
      <c r="S1328" s="189" t="s">
        <v>320</v>
      </c>
      <c r="T1328" s="189" t="s">
        <v>121</v>
      </c>
      <c r="U1328" s="189" t="s">
        <v>1376</v>
      </c>
      <c r="V1328" s="189" t="s">
        <v>192</v>
      </c>
      <c r="W1328" s="189" t="s">
        <v>168</v>
      </c>
      <c r="X1328" s="189" t="s">
        <v>298</v>
      </c>
      <c r="Y1328" s="189" t="s">
        <v>2108</v>
      </c>
      <c r="Z1328" s="0" t="n">
        <v>3</v>
      </c>
      <c r="AA1328" s="189" t="s">
        <v>2251</v>
      </c>
    </row>
    <row r="1329" customFormat="false" ht="15" hidden="false" customHeight="false" outlineLevel="0" collapsed="false">
      <c r="A1329" s="0" t="n">
        <v>283</v>
      </c>
      <c r="B1329" s="191" t="n">
        <v>46215.3190309969</v>
      </c>
      <c r="C1329" s="191" t="n">
        <v>46215.3392972006</v>
      </c>
      <c r="D1329" s="189" t="s">
        <v>1910</v>
      </c>
      <c r="E1329" s="189" t="s">
        <v>1911</v>
      </c>
      <c r="F1329" s="189" t="s">
        <v>1911</v>
      </c>
      <c r="G1329" s="189" t="s">
        <v>1912</v>
      </c>
      <c r="H1329" s="191" t="n">
        <v>46196</v>
      </c>
      <c r="I1329" s="189" t="s">
        <v>113</v>
      </c>
      <c r="J1329" s="189" t="s">
        <v>108</v>
      </c>
      <c r="K1329" s="189" t="s">
        <v>1913</v>
      </c>
      <c r="L1329" s="189" t="s">
        <v>296</v>
      </c>
      <c r="M1329" s="189" t="s">
        <v>114</v>
      </c>
      <c r="N1329" s="189" t="s">
        <v>567</v>
      </c>
      <c r="O1329" s="189" t="s">
        <v>244</v>
      </c>
      <c r="P1329" s="189" t="s">
        <v>111</v>
      </c>
      <c r="Q1329" s="189" t="s">
        <v>145</v>
      </c>
      <c r="R1329" s="189" t="s">
        <v>22</v>
      </c>
      <c r="S1329" s="189" t="s">
        <v>320</v>
      </c>
      <c r="T1329" s="189" t="s">
        <v>121</v>
      </c>
      <c r="U1329" s="189" t="s">
        <v>1376</v>
      </c>
      <c r="V1329" s="189" t="s">
        <v>192</v>
      </c>
      <c r="W1329" s="189" t="s">
        <v>168</v>
      </c>
      <c r="X1329" s="189" t="s">
        <v>298</v>
      </c>
      <c r="Y1329" s="189" t="s">
        <v>2110</v>
      </c>
      <c r="Z1329" s="0" t="n">
        <v>1</v>
      </c>
      <c r="AA1329" s="189" t="s">
        <v>2240</v>
      </c>
    </row>
    <row r="1330" customFormat="false" ht="15" hidden="false" customHeight="false" outlineLevel="0" collapsed="false">
      <c r="A1330" s="0" t="n">
        <v>283</v>
      </c>
      <c r="B1330" s="191" t="n">
        <v>46215.3190309969</v>
      </c>
      <c r="C1330" s="191" t="n">
        <v>46215.3392972006</v>
      </c>
      <c r="D1330" s="189" t="s">
        <v>1910</v>
      </c>
      <c r="E1330" s="189" t="s">
        <v>1911</v>
      </c>
      <c r="F1330" s="189" t="s">
        <v>1911</v>
      </c>
      <c r="G1330" s="189" t="s">
        <v>1912</v>
      </c>
      <c r="H1330" s="191" t="n">
        <v>46196</v>
      </c>
      <c r="I1330" s="189" t="s">
        <v>113</v>
      </c>
      <c r="J1330" s="189" t="s">
        <v>108</v>
      </c>
      <c r="K1330" s="189" t="s">
        <v>1913</v>
      </c>
      <c r="L1330" s="189" t="s">
        <v>296</v>
      </c>
      <c r="M1330" s="189" t="s">
        <v>114</v>
      </c>
      <c r="N1330" s="189" t="s">
        <v>567</v>
      </c>
      <c r="O1330" s="189" t="s">
        <v>244</v>
      </c>
      <c r="P1330" s="189" t="s">
        <v>111</v>
      </c>
      <c r="Q1330" s="189" t="s">
        <v>145</v>
      </c>
      <c r="R1330" s="189" t="s">
        <v>22</v>
      </c>
      <c r="S1330" s="189" t="s">
        <v>320</v>
      </c>
      <c r="T1330" s="189" t="s">
        <v>121</v>
      </c>
      <c r="U1330" s="189" t="s">
        <v>1376</v>
      </c>
      <c r="V1330" s="189" t="s">
        <v>192</v>
      </c>
      <c r="W1330" s="189" t="s">
        <v>168</v>
      </c>
      <c r="X1330" s="189" t="s">
        <v>298</v>
      </c>
      <c r="Y1330" s="189" t="s">
        <v>2113</v>
      </c>
      <c r="Z1330" s="0" t="n">
        <v>1</v>
      </c>
      <c r="AA1330" s="189" t="s">
        <v>2241</v>
      </c>
    </row>
    <row r="1331" customFormat="false" ht="15" hidden="false" customHeight="false" outlineLevel="0" collapsed="false">
      <c r="A1331" s="0" t="n">
        <v>283</v>
      </c>
      <c r="B1331" s="191" t="n">
        <v>46215.3190309969</v>
      </c>
      <c r="C1331" s="191" t="n">
        <v>46215.3392972006</v>
      </c>
      <c r="D1331" s="189" t="s">
        <v>1910</v>
      </c>
      <c r="E1331" s="189" t="s">
        <v>1911</v>
      </c>
      <c r="F1331" s="189" t="s">
        <v>1911</v>
      </c>
      <c r="G1331" s="189" t="s">
        <v>1912</v>
      </c>
      <c r="H1331" s="191" t="n">
        <v>46196</v>
      </c>
      <c r="I1331" s="189" t="s">
        <v>113</v>
      </c>
      <c r="J1331" s="189" t="s">
        <v>108</v>
      </c>
      <c r="K1331" s="189" t="s">
        <v>1913</v>
      </c>
      <c r="L1331" s="189" t="s">
        <v>296</v>
      </c>
      <c r="M1331" s="189" t="s">
        <v>114</v>
      </c>
      <c r="N1331" s="189" t="s">
        <v>567</v>
      </c>
      <c r="O1331" s="189" t="s">
        <v>244</v>
      </c>
      <c r="P1331" s="189" t="s">
        <v>111</v>
      </c>
      <c r="Q1331" s="189" t="s">
        <v>145</v>
      </c>
      <c r="R1331" s="189" t="s">
        <v>22</v>
      </c>
      <c r="S1331" s="189" t="s">
        <v>320</v>
      </c>
      <c r="T1331" s="189" t="s">
        <v>121</v>
      </c>
      <c r="U1331" s="189" t="s">
        <v>1376</v>
      </c>
      <c r="V1331" s="189" t="s">
        <v>192</v>
      </c>
      <c r="W1331" s="189" t="s">
        <v>168</v>
      </c>
      <c r="X1331" s="189" t="s">
        <v>298</v>
      </c>
      <c r="Y1331" s="189" t="s">
        <v>2113</v>
      </c>
      <c r="Z1331" s="0" t="n">
        <v>2</v>
      </c>
      <c r="AA1331" s="189" t="s">
        <v>2172</v>
      </c>
    </row>
    <row r="1332" customFormat="false" ht="15" hidden="false" customHeight="false" outlineLevel="0" collapsed="false">
      <c r="A1332" s="0" t="n">
        <v>284</v>
      </c>
      <c r="B1332" s="191" t="n">
        <v>46186.9647199038</v>
      </c>
      <c r="C1332" s="191" t="n">
        <v>46186.9853101815</v>
      </c>
      <c r="D1332" s="189" t="s">
        <v>1916</v>
      </c>
      <c r="E1332" s="189" t="s">
        <v>1917</v>
      </c>
      <c r="F1332" s="189" t="s">
        <v>1917</v>
      </c>
      <c r="G1332" s="189" t="s">
        <v>1918</v>
      </c>
      <c r="H1332" s="191" t="n">
        <v>46180</v>
      </c>
      <c r="I1332" s="189" t="s">
        <v>132</v>
      </c>
      <c r="J1332" s="189" t="s">
        <v>128</v>
      </c>
      <c r="K1332" s="189" t="s">
        <v>1919</v>
      </c>
      <c r="L1332" s="189" t="s">
        <v>197</v>
      </c>
      <c r="M1332" s="189" t="s">
        <v>885</v>
      </c>
      <c r="N1332" s="189" t="s">
        <v>1441</v>
      </c>
      <c r="O1332" s="189" t="s">
        <v>157</v>
      </c>
      <c r="P1332" s="189" t="s">
        <v>211</v>
      </c>
      <c r="Q1332" s="189" t="s">
        <v>145</v>
      </c>
      <c r="R1332" s="189" t="s">
        <v>22</v>
      </c>
      <c r="S1332" s="189" t="s">
        <v>152</v>
      </c>
      <c r="T1332" s="189" t="s">
        <v>121</v>
      </c>
      <c r="U1332" s="189" t="s">
        <v>122</v>
      </c>
      <c r="V1332" s="189" t="s">
        <v>123</v>
      </c>
      <c r="W1332" s="189" t="s">
        <v>168</v>
      </c>
      <c r="X1332" s="189" t="s">
        <v>298</v>
      </c>
      <c r="Y1332" s="189" t="s">
        <v>2108</v>
      </c>
      <c r="Z1332" s="0" t="n">
        <v>1</v>
      </c>
      <c r="AA1332" s="189" t="s">
        <v>2168</v>
      </c>
    </row>
    <row r="1333" customFormat="false" ht="15" hidden="false" customHeight="false" outlineLevel="0" collapsed="false">
      <c r="A1333" s="0" t="n">
        <v>284</v>
      </c>
      <c r="B1333" s="191" t="n">
        <v>46186.9647199038</v>
      </c>
      <c r="C1333" s="191" t="n">
        <v>46186.9853101815</v>
      </c>
      <c r="D1333" s="189" t="s">
        <v>1916</v>
      </c>
      <c r="E1333" s="189" t="s">
        <v>1917</v>
      </c>
      <c r="F1333" s="189" t="s">
        <v>1917</v>
      </c>
      <c r="G1333" s="189" t="s">
        <v>1918</v>
      </c>
      <c r="H1333" s="191" t="n">
        <v>46180</v>
      </c>
      <c r="I1333" s="189" t="s">
        <v>132</v>
      </c>
      <c r="J1333" s="189" t="s">
        <v>128</v>
      </c>
      <c r="K1333" s="189" t="s">
        <v>1919</v>
      </c>
      <c r="L1333" s="189" t="s">
        <v>197</v>
      </c>
      <c r="M1333" s="189" t="s">
        <v>885</v>
      </c>
      <c r="N1333" s="189" t="s">
        <v>1441</v>
      </c>
      <c r="O1333" s="189" t="s">
        <v>157</v>
      </c>
      <c r="P1333" s="189" t="s">
        <v>211</v>
      </c>
      <c r="Q1333" s="189" t="s">
        <v>145</v>
      </c>
      <c r="R1333" s="189" t="s">
        <v>22</v>
      </c>
      <c r="S1333" s="189" t="s">
        <v>152</v>
      </c>
      <c r="T1333" s="189" t="s">
        <v>121</v>
      </c>
      <c r="U1333" s="189" t="s">
        <v>122</v>
      </c>
      <c r="V1333" s="189" t="s">
        <v>123</v>
      </c>
      <c r="W1333" s="189" t="s">
        <v>168</v>
      </c>
      <c r="X1333" s="189" t="s">
        <v>298</v>
      </c>
      <c r="Y1333" s="189" t="s">
        <v>2110</v>
      </c>
      <c r="Z1333" s="0" t="n">
        <v>1</v>
      </c>
      <c r="AA1333" s="189" t="s">
        <v>2290</v>
      </c>
    </row>
    <row r="1334" customFormat="false" ht="15" hidden="false" customHeight="false" outlineLevel="0" collapsed="false">
      <c r="A1334" s="0" t="n">
        <v>284</v>
      </c>
      <c r="B1334" s="191" t="n">
        <v>46186.9647199038</v>
      </c>
      <c r="C1334" s="191" t="n">
        <v>46186.9853101815</v>
      </c>
      <c r="D1334" s="189" t="s">
        <v>1916</v>
      </c>
      <c r="E1334" s="189" t="s">
        <v>1917</v>
      </c>
      <c r="F1334" s="189" t="s">
        <v>1917</v>
      </c>
      <c r="G1334" s="189" t="s">
        <v>1918</v>
      </c>
      <c r="H1334" s="191" t="n">
        <v>46180</v>
      </c>
      <c r="I1334" s="189" t="s">
        <v>132</v>
      </c>
      <c r="J1334" s="189" t="s">
        <v>128</v>
      </c>
      <c r="K1334" s="189" t="s">
        <v>1919</v>
      </c>
      <c r="L1334" s="189" t="s">
        <v>197</v>
      </c>
      <c r="M1334" s="189" t="s">
        <v>885</v>
      </c>
      <c r="N1334" s="189" t="s">
        <v>1441</v>
      </c>
      <c r="O1334" s="189" t="s">
        <v>157</v>
      </c>
      <c r="P1334" s="189" t="s">
        <v>211</v>
      </c>
      <c r="Q1334" s="189" t="s">
        <v>145</v>
      </c>
      <c r="R1334" s="189" t="s">
        <v>22</v>
      </c>
      <c r="S1334" s="189" t="s">
        <v>152</v>
      </c>
      <c r="T1334" s="189" t="s">
        <v>121</v>
      </c>
      <c r="U1334" s="189" t="s">
        <v>122</v>
      </c>
      <c r="V1334" s="189" t="s">
        <v>123</v>
      </c>
      <c r="W1334" s="189" t="s">
        <v>168</v>
      </c>
      <c r="X1334" s="189" t="s">
        <v>298</v>
      </c>
      <c r="Y1334" s="189" t="s">
        <v>2110</v>
      </c>
      <c r="Z1334" s="0" t="n">
        <v>2</v>
      </c>
      <c r="AA1334" s="189" t="s">
        <v>2319</v>
      </c>
    </row>
    <row r="1335" customFormat="false" ht="15" hidden="false" customHeight="false" outlineLevel="0" collapsed="false">
      <c r="A1335" s="0" t="n">
        <v>284</v>
      </c>
      <c r="B1335" s="191" t="n">
        <v>46186.9647199038</v>
      </c>
      <c r="C1335" s="191" t="n">
        <v>46186.9853101815</v>
      </c>
      <c r="D1335" s="189" t="s">
        <v>1916</v>
      </c>
      <c r="E1335" s="189" t="s">
        <v>1917</v>
      </c>
      <c r="F1335" s="189" t="s">
        <v>1917</v>
      </c>
      <c r="G1335" s="189" t="s">
        <v>1918</v>
      </c>
      <c r="H1335" s="191" t="n">
        <v>46180</v>
      </c>
      <c r="I1335" s="189" t="s">
        <v>132</v>
      </c>
      <c r="J1335" s="189" t="s">
        <v>128</v>
      </c>
      <c r="K1335" s="189" t="s">
        <v>1919</v>
      </c>
      <c r="L1335" s="189" t="s">
        <v>197</v>
      </c>
      <c r="M1335" s="189" t="s">
        <v>885</v>
      </c>
      <c r="N1335" s="189" t="s">
        <v>1441</v>
      </c>
      <c r="O1335" s="189" t="s">
        <v>157</v>
      </c>
      <c r="P1335" s="189" t="s">
        <v>211</v>
      </c>
      <c r="Q1335" s="189" t="s">
        <v>145</v>
      </c>
      <c r="R1335" s="189" t="s">
        <v>22</v>
      </c>
      <c r="S1335" s="189" t="s">
        <v>152</v>
      </c>
      <c r="T1335" s="189" t="s">
        <v>121</v>
      </c>
      <c r="U1335" s="189" t="s">
        <v>122</v>
      </c>
      <c r="V1335" s="189" t="s">
        <v>123</v>
      </c>
      <c r="W1335" s="189" t="s">
        <v>168</v>
      </c>
      <c r="X1335" s="189" t="s">
        <v>298</v>
      </c>
      <c r="Y1335" s="189" t="s">
        <v>2113</v>
      </c>
      <c r="Z1335" s="0" t="n">
        <v>1</v>
      </c>
      <c r="AA1335" s="189" t="s">
        <v>2341</v>
      </c>
    </row>
    <row r="1336" customFormat="false" ht="15" hidden="false" customHeight="false" outlineLevel="0" collapsed="false">
      <c r="A1336" s="0" t="n">
        <v>284</v>
      </c>
      <c r="B1336" s="191" t="n">
        <v>46186.9647199038</v>
      </c>
      <c r="C1336" s="191" t="n">
        <v>46186.9853101815</v>
      </c>
      <c r="D1336" s="189" t="s">
        <v>1916</v>
      </c>
      <c r="E1336" s="189" t="s">
        <v>1917</v>
      </c>
      <c r="F1336" s="189" t="s">
        <v>1917</v>
      </c>
      <c r="G1336" s="189" t="s">
        <v>1918</v>
      </c>
      <c r="H1336" s="191" t="n">
        <v>46180</v>
      </c>
      <c r="I1336" s="189" t="s">
        <v>132</v>
      </c>
      <c r="J1336" s="189" t="s">
        <v>128</v>
      </c>
      <c r="K1336" s="189" t="s">
        <v>1919</v>
      </c>
      <c r="L1336" s="189" t="s">
        <v>197</v>
      </c>
      <c r="M1336" s="189" t="s">
        <v>885</v>
      </c>
      <c r="N1336" s="189" t="s">
        <v>1441</v>
      </c>
      <c r="O1336" s="189" t="s">
        <v>157</v>
      </c>
      <c r="P1336" s="189" t="s">
        <v>211</v>
      </c>
      <c r="Q1336" s="189" t="s">
        <v>145</v>
      </c>
      <c r="R1336" s="189" t="s">
        <v>22</v>
      </c>
      <c r="S1336" s="189" t="s">
        <v>152</v>
      </c>
      <c r="T1336" s="189" t="s">
        <v>121</v>
      </c>
      <c r="U1336" s="189" t="s">
        <v>122</v>
      </c>
      <c r="V1336" s="189" t="s">
        <v>123</v>
      </c>
      <c r="W1336" s="189" t="s">
        <v>168</v>
      </c>
      <c r="X1336" s="189" t="s">
        <v>298</v>
      </c>
      <c r="Y1336" s="189" t="s">
        <v>2113</v>
      </c>
      <c r="Z1336" s="0" t="n">
        <v>2</v>
      </c>
      <c r="AA1336" s="189" t="s">
        <v>2254</v>
      </c>
    </row>
    <row r="1337" customFormat="false" ht="68.65" hidden="false" customHeight="false" outlineLevel="0" collapsed="false">
      <c r="A1337" s="0" t="n">
        <v>285</v>
      </c>
      <c r="B1337" s="191" t="n">
        <v>46201.2414131316</v>
      </c>
      <c r="C1337" s="191" t="n">
        <v>46201.2565520205</v>
      </c>
      <c r="D1337" s="189" t="s">
        <v>1922</v>
      </c>
      <c r="E1337" s="189" t="s">
        <v>1923</v>
      </c>
      <c r="F1337" s="189" t="s">
        <v>1924</v>
      </c>
      <c r="G1337" s="189" t="s">
        <v>1925</v>
      </c>
      <c r="H1337" s="191" t="n">
        <v>46192</v>
      </c>
      <c r="I1337" s="189" t="s">
        <v>113</v>
      </c>
      <c r="J1337" s="189" t="s">
        <v>108</v>
      </c>
      <c r="K1337" s="189" t="s">
        <v>1926</v>
      </c>
      <c r="L1337" s="189" t="s">
        <v>389</v>
      </c>
      <c r="M1337" s="189" t="s">
        <v>357</v>
      </c>
      <c r="N1337" s="189" t="s">
        <v>1573</v>
      </c>
      <c r="O1337" s="189" t="s">
        <v>172</v>
      </c>
      <c r="P1337" s="189" t="s">
        <v>111</v>
      </c>
      <c r="Q1337" s="189" t="s">
        <v>112</v>
      </c>
      <c r="R1337" s="189" t="s">
        <v>23</v>
      </c>
      <c r="S1337" s="189" t="s">
        <v>120</v>
      </c>
      <c r="T1337" s="189" t="s">
        <v>180</v>
      </c>
      <c r="U1337" s="132" t="s">
        <v>641</v>
      </c>
      <c r="V1337" s="189" t="s">
        <v>123</v>
      </c>
      <c r="W1337" s="189" t="s">
        <v>139</v>
      </c>
      <c r="X1337" s="189" t="s">
        <v>503</v>
      </c>
      <c r="Y1337" s="189" t="s">
        <v>2216</v>
      </c>
      <c r="Z1337" s="0" t="n">
        <v>1</v>
      </c>
      <c r="AA1337" s="189" t="s">
        <v>871</v>
      </c>
    </row>
    <row r="1338" customFormat="false" ht="15" hidden="false" customHeight="false" outlineLevel="0" collapsed="false">
      <c r="A1338" s="0" t="n">
        <v>286</v>
      </c>
      <c r="B1338" s="191" t="n">
        <v>46073.1595678492</v>
      </c>
      <c r="C1338" s="191" t="n">
        <v>46073.1693826641</v>
      </c>
      <c r="D1338" s="189" t="s">
        <v>1927</v>
      </c>
      <c r="E1338" s="189" t="s">
        <v>1928</v>
      </c>
      <c r="F1338" s="189" t="s">
        <v>1928</v>
      </c>
      <c r="G1338" s="189" t="s">
        <v>1929</v>
      </c>
      <c r="H1338" s="191" t="n">
        <v>46072</v>
      </c>
      <c r="I1338" s="189" t="s">
        <v>113</v>
      </c>
      <c r="J1338" s="189" t="s">
        <v>108</v>
      </c>
      <c r="K1338" s="189" t="s">
        <v>245</v>
      </c>
      <c r="L1338" s="189" t="s">
        <v>431</v>
      </c>
      <c r="M1338" s="189" t="s">
        <v>286</v>
      </c>
      <c r="N1338" s="189" t="s">
        <v>1441</v>
      </c>
      <c r="O1338" s="189" t="s">
        <v>107</v>
      </c>
      <c r="P1338" s="189" t="s">
        <v>111</v>
      </c>
      <c r="Q1338" s="189" t="s">
        <v>112</v>
      </c>
      <c r="R1338" s="189" t="s">
        <v>22</v>
      </c>
      <c r="S1338" s="189" t="s">
        <v>152</v>
      </c>
      <c r="T1338" s="189" t="s">
        <v>121</v>
      </c>
      <c r="V1338" s="189" t="s">
        <v>192</v>
      </c>
      <c r="W1338" s="189" t="s">
        <v>168</v>
      </c>
      <c r="X1338" s="189" t="s">
        <v>298</v>
      </c>
      <c r="Y1338" s="189" t="s">
        <v>2108</v>
      </c>
      <c r="Z1338" s="0" t="n">
        <v>1</v>
      </c>
      <c r="AA1338" s="189" t="s">
        <v>2239</v>
      </c>
    </row>
    <row r="1339" customFormat="false" ht="15" hidden="false" customHeight="false" outlineLevel="0" collapsed="false">
      <c r="A1339" s="0" t="n">
        <v>286</v>
      </c>
      <c r="B1339" s="191" t="n">
        <v>46073.1595678492</v>
      </c>
      <c r="C1339" s="191" t="n">
        <v>46073.1693826641</v>
      </c>
      <c r="D1339" s="189" t="s">
        <v>1927</v>
      </c>
      <c r="E1339" s="189" t="s">
        <v>1928</v>
      </c>
      <c r="F1339" s="189" t="s">
        <v>1928</v>
      </c>
      <c r="G1339" s="189" t="s">
        <v>1929</v>
      </c>
      <c r="H1339" s="191" t="n">
        <v>46072</v>
      </c>
      <c r="I1339" s="189" t="s">
        <v>113</v>
      </c>
      <c r="J1339" s="189" t="s">
        <v>108</v>
      </c>
      <c r="K1339" s="189" t="s">
        <v>245</v>
      </c>
      <c r="L1339" s="189" t="s">
        <v>431</v>
      </c>
      <c r="M1339" s="189" t="s">
        <v>286</v>
      </c>
      <c r="N1339" s="189" t="s">
        <v>1441</v>
      </c>
      <c r="O1339" s="189" t="s">
        <v>107</v>
      </c>
      <c r="P1339" s="189" t="s">
        <v>111</v>
      </c>
      <c r="Q1339" s="189" t="s">
        <v>112</v>
      </c>
      <c r="R1339" s="189" t="s">
        <v>22</v>
      </c>
      <c r="S1339" s="189" t="s">
        <v>152</v>
      </c>
      <c r="T1339" s="189" t="s">
        <v>121</v>
      </c>
      <c r="V1339" s="189" t="s">
        <v>192</v>
      </c>
      <c r="W1339" s="189" t="s">
        <v>168</v>
      </c>
      <c r="X1339" s="189" t="s">
        <v>298</v>
      </c>
      <c r="Y1339" s="189" t="s">
        <v>2108</v>
      </c>
      <c r="Z1339" s="0" t="n">
        <v>2</v>
      </c>
      <c r="AA1339" s="189" t="s">
        <v>2280</v>
      </c>
    </row>
    <row r="1340" customFormat="false" ht="15" hidden="false" customHeight="false" outlineLevel="0" collapsed="false">
      <c r="A1340" s="0" t="n">
        <v>286</v>
      </c>
      <c r="B1340" s="191" t="n">
        <v>46073.1595678492</v>
      </c>
      <c r="C1340" s="191" t="n">
        <v>46073.1693826641</v>
      </c>
      <c r="D1340" s="189" t="s">
        <v>1927</v>
      </c>
      <c r="E1340" s="189" t="s">
        <v>1928</v>
      </c>
      <c r="F1340" s="189" t="s">
        <v>1928</v>
      </c>
      <c r="G1340" s="189" t="s">
        <v>1929</v>
      </c>
      <c r="H1340" s="191" t="n">
        <v>46072</v>
      </c>
      <c r="I1340" s="189" t="s">
        <v>113</v>
      </c>
      <c r="J1340" s="189" t="s">
        <v>108</v>
      </c>
      <c r="K1340" s="189" t="s">
        <v>245</v>
      </c>
      <c r="L1340" s="189" t="s">
        <v>431</v>
      </c>
      <c r="M1340" s="189" t="s">
        <v>286</v>
      </c>
      <c r="N1340" s="189" t="s">
        <v>1441</v>
      </c>
      <c r="O1340" s="189" t="s">
        <v>107</v>
      </c>
      <c r="P1340" s="189" t="s">
        <v>111</v>
      </c>
      <c r="Q1340" s="189" t="s">
        <v>112</v>
      </c>
      <c r="R1340" s="189" t="s">
        <v>22</v>
      </c>
      <c r="S1340" s="189" t="s">
        <v>152</v>
      </c>
      <c r="T1340" s="189" t="s">
        <v>121</v>
      </c>
      <c r="V1340" s="189" t="s">
        <v>192</v>
      </c>
      <c r="W1340" s="189" t="s">
        <v>168</v>
      </c>
      <c r="X1340" s="189" t="s">
        <v>298</v>
      </c>
      <c r="Y1340" s="189" t="s">
        <v>2108</v>
      </c>
      <c r="Z1340" s="0" t="n">
        <v>3</v>
      </c>
      <c r="AA1340" s="189" t="s">
        <v>2168</v>
      </c>
    </row>
    <row r="1341" customFormat="false" ht="15" hidden="false" customHeight="false" outlineLevel="0" collapsed="false">
      <c r="A1341" s="0" t="n">
        <v>286</v>
      </c>
      <c r="B1341" s="191" t="n">
        <v>46073.1595678492</v>
      </c>
      <c r="C1341" s="191" t="n">
        <v>46073.1693826641</v>
      </c>
      <c r="D1341" s="189" t="s">
        <v>1927</v>
      </c>
      <c r="E1341" s="189" t="s">
        <v>1928</v>
      </c>
      <c r="F1341" s="189" t="s">
        <v>1928</v>
      </c>
      <c r="G1341" s="189" t="s">
        <v>1929</v>
      </c>
      <c r="H1341" s="191" t="n">
        <v>46072</v>
      </c>
      <c r="I1341" s="189" t="s">
        <v>113</v>
      </c>
      <c r="J1341" s="189" t="s">
        <v>108</v>
      </c>
      <c r="K1341" s="189" t="s">
        <v>245</v>
      </c>
      <c r="L1341" s="189" t="s">
        <v>431</v>
      </c>
      <c r="M1341" s="189" t="s">
        <v>286</v>
      </c>
      <c r="N1341" s="189" t="s">
        <v>1441</v>
      </c>
      <c r="O1341" s="189" t="s">
        <v>107</v>
      </c>
      <c r="P1341" s="189" t="s">
        <v>111</v>
      </c>
      <c r="Q1341" s="189" t="s">
        <v>112</v>
      </c>
      <c r="R1341" s="189" t="s">
        <v>22</v>
      </c>
      <c r="S1341" s="189" t="s">
        <v>152</v>
      </c>
      <c r="T1341" s="189" t="s">
        <v>121</v>
      </c>
      <c r="V1341" s="189" t="s">
        <v>192</v>
      </c>
      <c r="W1341" s="189" t="s">
        <v>168</v>
      </c>
      <c r="X1341" s="189" t="s">
        <v>298</v>
      </c>
      <c r="Y1341" s="189" t="s">
        <v>2110</v>
      </c>
      <c r="Z1341" s="0" t="n">
        <v>1</v>
      </c>
      <c r="AA1341" s="189" t="s">
        <v>2170</v>
      </c>
    </row>
    <row r="1342" customFormat="false" ht="15" hidden="false" customHeight="false" outlineLevel="0" collapsed="false">
      <c r="A1342" s="0" t="n">
        <v>286</v>
      </c>
      <c r="B1342" s="191" t="n">
        <v>46073.1595678492</v>
      </c>
      <c r="C1342" s="191" t="n">
        <v>46073.1693826641</v>
      </c>
      <c r="D1342" s="189" t="s">
        <v>1927</v>
      </c>
      <c r="E1342" s="189" t="s">
        <v>1928</v>
      </c>
      <c r="F1342" s="189" t="s">
        <v>1928</v>
      </c>
      <c r="G1342" s="189" t="s">
        <v>1929</v>
      </c>
      <c r="H1342" s="191" t="n">
        <v>46072</v>
      </c>
      <c r="I1342" s="189" t="s">
        <v>113</v>
      </c>
      <c r="J1342" s="189" t="s">
        <v>108</v>
      </c>
      <c r="K1342" s="189" t="s">
        <v>245</v>
      </c>
      <c r="L1342" s="189" t="s">
        <v>431</v>
      </c>
      <c r="M1342" s="189" t="s">
        <v>286</v>
      </c>
      <c r="N1342" s="189" t="s">
        <v>1441</v>
      </c>
      <c r="O1342" s="189" t="s">
        <v>107</v>
      </c>
      <c r="P1342" s="189" t="s">
        <v>111</v>
      </c>
      <c r="Q1342" s="189" t="s">
        <v>112</v>
      </c>
      <c r="R1342" s="189" t="s">
        <v>22</v>
      </c>
      <c r="S1342" s="189" t="s">
        <v>152</v>
      </c>
      <c r="T1342" s="189" t="s">
        <v>121</v>
      </c>
      <c r="V1342" s="189" t="s">
        <v>192</v>
      </c>
      <c r="W1342" s="189" t="s">
        <v>168</v>
      </c>
      <c r="X1342" s="189" t="s">
        <v>298</v>
      </c>
      <c r="Y1342" s="189" t="s">
        <v>2110</v>
      </c>
      <c r="Z1342" s="0" t="n">
        <v>2</v>
      </c>
      <c r="AA1342" s="189" t="s">
        <v>2319</v>
      </c>
    </row>
    <row r="1343" customFormat="false" ht="15" hidden="false" customHeight="false" outlineLevel="0" collapsed="false">
      <c r="A1343" s="0" t="n">
        <v>286</v>
      </c>
      <c r="B1343" s="191" t="n">
        <v>46073.1595678492</v>
      </c>
      <c r="C1343" s="191" t="n">
        <v>46073.1693826641</v>
      </c>
      <c r="D1343" s="189" t="s">
        <v>1927</v>
      </c>
      <c r="E1343" s="189" t="s">
        <v>1928</v>
      </c>
      <c r="F1343" s="189" t="s">
        <v>1928</v>
      </c>
      <c r="G1343" s="189" t="s">
        <v>1929</v>
      </c>
      <c r="H1343" s="191" t="n">
        <v>46072</v>
      </c>
      <c r="I1343" s="189" t="s">
        <v>113</v>
      </c>
      <c r="J1343" s="189" t="s">
        <v>108</v>
      </c>
      <c r="K1343" s="189" t="s">
        <v>245</v>
      </c>
      <c r="L1343" s="189" t="s">
        <v>431</v>
      </c>
      <c r="M1343" s="189" t="s">
        <v>286</v>
      </c>
      <c r="N1343" s="189" t="s">
        <v>1441</v>
      </c>
      <c r="O1343" s="189" t="s">
        <v>107</v>
      </c>
      <c r="P1343" s="189" t="s">
        <v>111</v>
      </c>
      <c r="Q1343" s="189" t="s">
        <v>112</v>
      </c>
      <c r="R1343" s="189" t="s">
        <v>22</v>
      </c>
      <c r="S1343" s="189" t="s">
        <v>152</v>
      </c>
      <c r="T1343" s="189" t="s">
        <v>121</v>
      </c>
      <c r="V1343" s="189" t="s">
        <v>192</v>
      </c>
      <c r="W1343" s="189" t="s">
        <v>168</v>
      </c>
      <c r="X1343" s="189" t="s">
        <v>298</v>
      </c>
      <c r="Y1343" s="189" t="s">
        <v>2113</v>
      </c>
      <c r="Z1343" s="0" t="n">
        <v>1</v>
      </c>
      <c r="AA1343" s="189" t="s">
        <v>2320</v>
      </c>
    </row>
    <row r="1344" customFormat="false" ht="15" hidden="false" customHeight="false" outlineLevel="0" collapsed="false">
      <c r="A1344" s="0" t="n">
        <v>286</v>
      </c>
      <c r="B1344" s="191" t="n">
        <v>46073.1595678492</v>
      </c>
      <c r="C1344" s="191" t="n">
        <v>46073.1693826641</v>
      </c>
      <c r="D1344" s="189" t="s">
        <v>1927</v>
      </c>
      <c r="E1344" s="189" t="s">
        <v>1928</v>
      </c>
      <c r="F1344" s="189" t="s">
        <v>1928</v>
      </c>
      <c r="G1344" s="189" t="s">
        <v>1929</v>
      </c>
      <c r="H1344" s="191" t="n">
        <v>46072</v>
      </c>
      <c r="I1344" s="189" t="s">
        <v>113</v>
      </c>
      <c r="J1344" s="189" t="s">
        <v>108</v>
      </c>
      <c r="K1344" s="189" t="s">
        <v>245</v>
      </c>
      <c r="L1344" s="189" t="s">
        <v>431</v>
      </c>
      <c r="M1344" s="189" t="s">
        <v>286</v>
      </c>
      <c r="N1344" s="189" t="s">
        <v>1441</v>
      </c>
      <c r="O1344" s="189" t="s">
        <v>107</v>
      </c>
      <c r="P1344" s="189" t="s">
        <v>111</v>
      </c>
      <c r="Q1344" s="189" t="s">
        <v>112</v>
      </c>
      <c r="R1344" s="189" t="s">
        <v>22</v>
      </c>
      <c r="S1344" s="189" t="s">
        <v>152</v>
      </c>
      <c r="T1344" s="189" t="s">
        <v>121</v>
      </c>
      <c r="V1344" s="189" t="s">
        <v>192</v>
      </c>
      <c r="W1344" s="189" t="s">
        <v>168</v>
      </c>
      <c r="X1344" s="189" t="s">
        <v>298</v>
      </c>
      <c r="Y1344" s="189" t="s">
        <v>2113</v>
      </c>
      <c r="Z1344" s="0" t="n">
        <v>2</v>
      </c>
      <c r="AA1344" s="189" t="s">
        <v>2171</v>
      </c>
    </row>
    <row r="1345" customFormat="false" ht="15" hidden="false" customHeight="false" outlineLevel="0" collapsed="false">
      <c r="A1345" s="0" t="n">
        <v>287</v>
      </c>
      <c r="B1345" s="191" t="n">
        <v>46175.4652927975</v>
      </c>
      <c r="C1345" s="191" t="n">
        <v>46175.4780474271</v>
      </c>
      <c r="D1345" s="189" t="s">
        <v>1933</v>
      </c>
      <c r="E1345" s="189" t="s">
        <v>1018</v>
      </c>
      <c r="F1345" s="189" t="s">
        <v>1018</v>
      </c>
      <c r="G1345" s="189" t="s">
        <v>1934</v>
      </c>
      <c r="H1345" s="191" t="n">
        <v>46172</v>
      </c>
      <c r="I1345" s="189" t="s">
        <v>113</v>
      </c>
      <c r="J1345" s="189" t="s">
        <v>108</v>
      </c>
      <c r="K1345" s="189" t="s">
        <v>245</v>
      </c>
      <c r="L1345" s="189" t="s">
        <v>130</v>
      </c>
      <c r="M1345" s="189" t="s">
        <v>406</v>
      </c>
      <c r="N1345" s="189" t="s">
        <v>414</v>
      </c>
      <c r="O1345" s="189" t="s">
        <v>278</v>
      </c>
      <c r="P1345" s="189" t="s">
        <v>111</v>
      </c>
      <c r="Q1345" s="189" t="s">
        <v>112</v>
      </c>
      <c r="R1345" s="189" t="s">
        <v>22</v>
      </c>
      <c r="S1345" s="189" t="s">
        <v>227</v>
      </c>
      <c r="T1345" s="189" t="s">
        <v>264</v>
      </c>
      <c r="U1345" s="189" t="s">
        <v>122</v>
      </c>
      <c r="V1345" s="189" t="s">
        <v>123</v>
      </c>
      <c r="W1345" s="189" t="s">
        <v>124</v>
      </c>
      <c r="X1345" s="189" t="s">
        <v>339</v>
      </c>
      <c r="Y1345" s="189" t="s">
        <v>2108</v>
      </c>
      <c r="Z1345" s="0" t="n">
        <v>1</v>
      </c>
      <c r="AA1345" s="189" t="s">
        <v>2260</v>
      </c>
    </row>
    <row r="1346" customFormat="false" ht="15" hidden="false" customHeight="false" outlineLevel="0" collapsed="false">
      <c r="A1346" s="0" t="n">
        <v>287</v>
      </c>
      <c r="B1346" s="191" t="n">
        <v>46175.4652927975</v>
      </c>
      <c r="C1346" s="191" t="n">
        <v>46175.4780474271</v>
      </c>
      <c r="D1346" s="189" t="s">
        <v>1933</v>
      </c>
      <c r="E1346" s="189" t="s">
        <v>1018</v>
      </c>
      <c r="F1346" s="189" t="s">
        <v>1018</v>
      </c>
      <c r="G1346" s="189" t="s">
        <v>1934</v>
      </c>
      <c r="H1346" s="191" t="n">
        <v>46172</v>
      </c>
      <c r="I1346" s="189" t="s">
        <v>113</v>
      </c>
      <c r="J1346" s="189" t="s">
        <v>108</v>
      </c>
      <c r="K1346" s="189" t="s">
        <v>245</v>
      </c>
      <c r="L1346" s="189" t="s">
        <v>130</v>
      </c>
      <c r="M1346" s="189" t="s">
        <v>406</v>
      </c>
      <c r="N1346" s="189" t="s">
        <v>414</v>
      </c>
      <c r="O1346" s="189" t="s">
        <v>278</v>
      </c>
      <c r="P1346" s="189" t="s">
        <v>111</v>
      </c>
      <c r="Q1346" s="189" t="s">
        <v>112</v>
      </c>
      <c r="R1346" s="189" t="s">
        <v>22</v>
      </c>
      <c r="S1346" s="189" t="s">
        <v>227</v>
      </c>
      <c r="T1346" s="189" t="s">
        <v>264</v>
      </c>
      <c r="U1346" s="189" t="s">
        <v>122</v>
      </c>
      <c r="V1346" s="189" t="s">
        <v>123</v>
      </c>
      <c r="W1346" s="189" t="s">
        <v>124</v>
      </c>
      <c r="X1346" s="189" t="s">
        <v>339</v>
      </c>
      <c r="Y1346" s="189" t="s">
        <v>2108</v>
      </c>
      <c r="Z1346" s="0" t="n">
        <v>2</v>
      </c>
      <c r="AA1346" s="189" t="s">
        <v>2242</v>
      </c>
    </row>
    <row r="1347" customFormat="false" ht="15" hidden="false" customHeight="false" outlineLevel="0" collapsed="false">
      <c r="A1347" s="0" t="n">
        <v>287</v>
      </c>
      <c r="B1347" s="191" t="n">
        <v>46175.4652927975</v>
      </c>
      <c r="C1347" s="191" t="n">
        <v>46175.4780474271</v>
      </c>
      <c r="D1347" s="189" t="s">
        <v>1933</v>
      </c>
      <c r="E1347" s="189" t="s">
        <v>1018</v>
      </c>
      <c r="F1347" s="189" t="s">
        <v>1018</v>
      </c>
      <c r="G1347" s="189" t="s">
        <v>1934</v>
      </c>
      <c r="H1347" s="191" t="n">
        <v>46172</v>
      </c>
      <c r="I1347" s="189" t="s">
        <v>113</v>
      </c>
      <c r="J1347" s="189" t="s">
        <v>108</v>
      </c>
      <c r="K1347" s="189" t="s">
        <v>245</v>
      </c>
      <c r="L1347" s="189" t="s">
        <v>130</v>
      </c>
      <c r="M1347" s="189" t="s">
        <v>406</v>
      </c>
      <c r="N1347" s="189" t="s">
        <v>414</v>
      </c>
      <c r="O1347" s="189" t="s">
        <v>278</v>
      </c>
      <c r="P1347" s="189" t="s">
        <v>111</v>
      </c>
      <c r="Q1347" s="189" t="s">
        <v>112</v>
      </c>
      <c r="R1347" s="189" t="s">
        <v>22</v>
      </c>
      <c r="S1347" s="189" t="s">
        <v>227</v>
      </c>
      <c r="T1347" s="189" t="s">
        <v>264</v>
      </c>
      <c r="U1347" s="189" t="s">
        <v>122</v>
      </c>
      <c r="V1347" s="189" t="s">
        <v>123</v>
      </c>
      <c r="W1347" s="189" t="s">
        <v>124</v>
      </c>
      <c r="X1347" s="189" t="s">
        <v>339</v>
      </c>
      <c r="Y1347" s="189" t="s">
        <v>2108</v>
      </c>
      <c r="Z1347" s="0" t="n">
        <v>3</v>
      </c>
      <c r="AA1347" s="189" t="s">
        <v>2212</v>
      </c>
    </row>
    <row r="1348" customFormat="false" ht="15" hidden="false" customHeight="false" outlineLevel="0" collapsed="false">
      <c r="A1348" s="0" t="n">
        <v>287</v>
      </c>
      <c r="B1348" s="191" t="n">
        <v>46175.4652927975</v>
      </c>
      <c r="C1348" s="191" t="n">
        <v>46175.4780474271</v>
      </c>
      <c r="D1348" s="189" t="s">
        <v>1933</v>
      </c>
      <c r="E1348" s="189" t="s">
        <v>1018</v>
      </c>
      <c r="F1348" s="189" t="s">
        <v>1018</v>
      </c>
      <c r="G1348" s="189" t="s">
        <v>1934</v>
      </c>
      <c r="H1348" s="191" t="n">
        <v>46172</v>
      </c>
      <c r="I1348" s="189" t="s">
        <v>113</v>
      </c>
      <c r="J1348" s="189" t="s">
        <v>108</v>
      </c>
      <c r="K1348" s="189" t="s">
        <v>245</v>
      </c>
      <c r="L1348" s="189" t="s">
        <v>130</v>
      </c>
      <c r="M1348" s="189" t="s">
        <v>406</v>
      </c>
      <c r="N1348" s="189" t="s">
        <v>414</v>
      </c>
      <c r="O1348" s="189" t="s">
        <v>278</v>
      </c>
      <c r="P1348" s="189" t="s">
        <v>111</v>
      </c>
      <c r="Q1348" s="189" t="s">
        <v>112</v>
      </c>
      <c r="R1348" s="189" t="s">
        <v>22</v>
      </c>
      <c r="S1348" s="189" t="s">
        <v>227</v>
      </c>
      <c r="T1348" s="189" t="s">
        <v>264</v>
      </c>
      <c r="U1348" s="189" t="s">
        <v>122</v>
      </c>
      <c r="V1348" s="189" t="s">
        <v>123</v>
      </c>
      <c r="W1348" s="189" t="s">
        <v>124</v>
      </c>
      <c r="X1348" s="189" t="s">
        <v>339</v>
      </c>
      <c r="Y1348" s="189" t="s">
        <v>2110</v>
      </c>
      <c r="Z1348" s="0" t="n">
        <v>1</v>
      </c>
      <c r="AA1348" s="189" t="s">
        <v>2186</v>
      </c>
    </row>
    <row r="1349" customFormat="false" ht="15" hidden="false" customHeight="false" outlineLevel="0" collapsed="false">
      <c r="A1349" s="0" t="n">
        <v>287</v>
      </c>
      <c r="B1349" s="191" t="n">
        <v>46175.4652927975</v>
      </c>
      <c r="C1349" s="191" t="n">
        <v>46175.4780474271</v>
      </c>
      <c r="D1349" s="189" t="s">
        <v>1933</v>
      </c>
      <c r="E1349" s="189" t="s">
        <v>1018</v>
      </c>
      <c r="F1349" s="189" t="s">
        <v>1018</v>
      </c>
      <c r="G1349" s="189" t="s">
        <v>1934</v>
      </c>
      <c r="H1349" s="191" t="n">
        <v>46172</v>
      </c>
      <c r="I1349" s="189" t="s">
        <v>113</v>
      </c>
      <c r="J1349" s="189" t="s">
        <v>108</v>
      </c>
      <c r="K1349" s="189" t="s">
        <v>245</v>
      </c>
      <c r="L1349" s="189" t="s">
        <v>130</v>
      </c>
      <c r="M1349" s="189" t="s">
        <v>406</v>
      </c>
      <c r="N1349" s="189" t="s">
        <v>414</v>
      </c>
      <c r="O1349" s="189" t="s">
        <v>278</v>
      </c>
      <c r="P1349" s="189" t="s">
        <v>111</v>
      </c>
      <c r="Q1349" s="189" t="s">
        <v>112</v>
      </c>
      <c r="R1349" s="189" t="s">
        <v>22</v>
      </c>
      <c r="S1349" s="189" t="s">
        <v>227</v>
      </c>
      <c r="T1349" s="189" t="s">
        <v>264</v>
      </c>
      <c r="U1349" s="189" t="s">
        <v>122</v>
      </c>
      <c r="V1349" s="189" t="s">
        <v>123</v>
      </c>
      <c r="W1349" s="189" t="s">
        <v>124</v>
      </c>
      <c r="X1349" s="189" t="s">
        <v>339</v>
      </c>
      <c r="Y1349" s="189" t="s">
        <v>2113</v>
      </c>
      <c r="Z1349" s="0" t="n">
        <v>1</v>
      </c>
      <c r="AA1349" s="189" t="s">
        <v>2261</v>
      </c>
    </row>
    <row r="1350" customFormat="false" ht="15" hidden="false" customHeight="false" outlineLevel="0" collapsed="false">
      <c r="A1350" s="0" t="n">
        <v>288</v>
      </c>
      <c r="B1350" s="191" t="n">
        <v>46042.5134928858</v>
      </c>
      <c r="C1350" s="191" t="n">
        <v>46042.5197660339</v>
      </c>
      <c r="D1350" s="189" t="s">
        <v>1936</v>
      </c>
      <c r="E1350" s="189" t="s">
        <v>1937</v>
      </c>
      <c r="F1350" s="189" t="s">
        <v>1937</v>
      </c>
      <c r="G1350" s="189" t="s">
        <v>1938</v>
      </c>
      <c r="H1350" s="191" t="n">
        <v>46025</v>
      </c>
      <c r="I1350" s="189" t="s">
        <v>113</v>
      </c>
      <c r="J1350" s="189" t="s">
        <v>295</v>
      </c>
      <c r="K1350" s="189" t="s">
        <v>1939</v>
      </c>
      <c r="L1350" s="189" t="s">
        <v>114</v>
      </c>
      <c r="M1350" s="189" t="s">
        <v>1074</v>
      </c>
      <c r="N1350" s="189" t="s">
        <v>775</v>
      </c>
      <c r="O1350" s="189" t="s">
        <v>107</v>
      </c>
      <c r="P1350" s="189" t="s">
        <v>111</v>
      </c>
      <c r="Q1350" s="189" t="s">
        <v>112</v>
      </c>
      <c r="R1350" s="189" t="s">
        <v>21</v>
      </c>
      <c r="S1350" s="189" t="s">
        <v>152</v>
      </c>
      <c r="T1350" s="189" t="s">
        <v>121</v>
      </c>
      <c r="U1350" s="189" t="s">
        <v>1940</v>
      </c>
      <c r="V1350" s="189" t="s">
        <v>192</v>
      </c>
      <c r="W1350" s="189" t="s">
        <v>124</v>
      </c>
      <c r="X1350" s="189" t="s">
        <v>250</v>
      </c>
      <c r="Y1350" s="189" t="s">
        <v>2108</v>
      </c>
      <c r="Z1350" s="0" t="n">
        <v>1</v>
      </c>
      <c r="AA1350" s="189" t="s">
        <v>2109</v>
      </c>
    </row>
    <row r="1351" customFormat="false" ht="15" hidden="false" customHeight="false" outlineLevel="0" collapsed="false">
      <c r="A1351" s="0" t="n">
        <v>288</v>
      </c>
      <c r="B1351" s="191" t="n">
        <v>46042.5134928858</v>
      </c>
      <c r="C1351" s="191" t="n">
        <v>46042.5197660339</v>
      </c>
      <c r="D1351" s="189" t="s">
        <v>1936</v>
      </c>
      <c r="E1351" s="189" t="s">
        <v>1937</v>
      </c>
      <c r="F1351" s="189" t="s">
        <v>1937</v>
      </c>
      <c r="G1351" s="189" t="s">
        <v>1938</v>
      </c>
      <c r="H1351" s="191" t="n">
        <v>46025</v>
      </c>
      <c r="I1351" s="189" t="s">
        <v>113</v>
      </c>
      <c r="J1351" s="189" t="s">
        <v>295</v>
      </c>
      <c r="K1351" s="189" t="s">
        <v>1939</v>
      </c>
      <c r="L1351" s="189" t="s">
        <v>114</v>
      </c>
      <c r="M1351" s="189" t="s">
        <v>1074</v>
      </c>
      <c r="N1351" s="189" t="s">
        <v>775</v>
      </c>
      <c r="O1351" s="189" t="s">
        <v>107</v>
      </c>
      <c r="P1351" s="189" t="s">
        <v>111</v>
      </c>
      <c r="Q1351" s="189" t="s">
        <v>112</v>
      </c>
      <c r="R1351" s="189" t="s">
        <v>21</v>
      </c>
      <c r="S1351" s="189" t="s">
        <v>152</v>
      </c>
      <c r="T1351" s="189" t="s">
        <v>121</v>
      </c>
      <c r="U1351" s="189" t="s">
        <v>1940</v>
      </c>
      <c r="V1351" s="189" t="s">
        <v>192</v>
      </c>
      <c r="W1351" s="189" t="s">
        <v>124</v>
      </c>
      <c r="X1351" s="189" t="s">
        <v>250</v>
      </c>
      <c r="Y1351" s="189" t="s">
        <v>2110</v>
      </c>
      <c r="Z1351" s="0" t="n">
        <v>1</v>
      </c>
      <c r="AA1351" s="189" t="s">
        <v>2255</v>
      </c>
    </row>
    <row r="1352" customFormat="false" ht="15" hidden="false" customHeight="false" outlineLevel="0" collapsed="false">
      <c r="A1352" s="0" t="n">
        <v>288</v>
      </c>
      <c r="B1352" s="191" t="n">
        <v>46042.5134928858</v>
      </c>
      <c r="C1352" s="191" t="n">
        <v>46042.5197660339</v>
      </c>
      <c r="D1352" s="189" t="s">
        <v>1936</v>
      </c>
      <c r="E1352" s="189" t="s">
        <v>1937</v>
      </c>
      <c r="F1352" s="189" t="s">
        <v>1937</v>
      </c>
      <c r="G1352" s="189" t="s">
        <v>1938</v>
      </c>
      <c r="H1352" s="191" t="n">
        <v>46025</v>
      </c>
      <c r="I1352" s="189" t="s">
        <v>113</v>
      </c>
      <c r="J1352" s="189" t="s">
        <v>295</v>
      </c>
      <c r="K1352" s="189" t="s">
        <v>1939</v>
      </c>
      <c r="L1352" s="189" t="s">
        <v>114</v>
      </c>
      <c r="M1352" s="189" t="s">
        <v>1074</v>
      </c>
      <c r="N1352" s="189" t="s">
        <v>775</v>
      </c>
      <c r="O1352" s="189" t="s">
        <v>107</v>
      </c>
      <c r="P1352" s="189" t="s">
        <v>111</v>
      </c>
      <c r="Q1352" s="189" t="s">
        <v>112</v>
      </c>
      <c r="R1352" s="189" t="s">
        <v>21</v>
      </c>
      <c r="S1352" s="189" t="s">
        <v>152</v>
      </c>
      <c r="T1352" s="189" t="s">
        <v>121</v>
      </c>
      <c r="U1352" s="189" t="s">
        <v>1940</v>
      </c>
      <c r="V1352" s="189" t="s">
        <v>192</v>
      </c>
      <c r="W1352" s="189" t="s">
        <v>124</v>
      </c>
      <c r="X1352" s="189" t="s">
        <v>250</v>
      </c>
      <c r="Y1352" s="189" t="s">
        <v>2110</v>
      </c>
      <c r="Z1352" s="0" t="n">
        <v>2</v>
      </c>
      <c r="AA1352" s="189" t="s">
        <v>2112</v>
      </c>
    </row>
    <row r="1353" customFormat="false" ht="15" hidden="false" customHeight="false" outlineLevel="0" collapsed="false">
      <c r="A1353" s="0" t="n">
        <v>288</v>
      </c>
      <c r="B1353" s="191" t="n">
        <v>46042.5134928858</v>
      </c>
      <c r="C1353" s="191" t="n">
        <v>46042.5197660339</v>
      </c>
      <c r="D1353" s="189" t="s">
        <v>1936</v>
      </c>
      <c r="E1353" s="189" t="s">
        <v>1937</v>
      </c>
      <c r="F1353" s="189" t="s">
        <v>1937</v>
      </c>
      <c r="G1353" s="189" t="s">
        <v>1938</v>
      </c>
      <c r="H1353" s="191" t="n">
        <v>46025</v>
      </c>
      <c r="I1353" s="189" t="s">
        <v>113</v>
      </c>
      <c r="J1353" s="189" t="s">
        <v>295</v>
      </c>
      <c r="K1353" s="189" t="s">
        <v>1939</v>
      </c>
      <c r="L1353" s="189" t="s">
        <v>114</v>
      </c>
      <c r="M1353" s="189" t="s">
        <v>1074</v>
      </c>
      <c r="N1353" s="189" t="s">
        <v>775</v>
      </c>
      <c r="O1353" s="189" t="s">
        <v>107</v>
      </c>
      <c r="P1353" s="189" t="s">
        <v>111</v>
      </c>
      <c r="Q1353" s="189" t="s">
        <v>112</v>
      </c>
      <c r="R1353" s="189" t="s">
        <v>21</v>
      </c>
      <c r="S1353" s="189" t="s">
        <v>152</v>
      </c>
      <c r="T1353" s="189" t="s">
        <v>121</v>
      </c>
      <c r="U1353" s="189" t="s">
        <v>1940</v>
      </c>
      <c r="V1353" s="189" t="s">
        <v>192</v>
      </c>
      <c r="W1353" s="189" t="s">
        <v>124</v>
      </c>
      <c r="X1353" s="189" t="s">
        <v>250</v>
      </c>
      <c r="Y1353" s="189" t="s">
        <v>2113</v>
      </c>
      <c r="Z1353" s="0" t="n">
        <v>1</v>
      </c>
      <c r="AA1353" s="189" t="s">
        <v>2184</v>
      </c>
    </row>
    <row r="1354" customFormat="false" ht="15" hidden="false" customHeight="false" outlineLevel="0" collapsed="false">
      <c r="A1354" s="0" t="n">
        <v>289</v>
      </c>
      <c r="B1354" s="191" t="n">
        <v>46142.7150739842</v>
      </c>
      <c r="C1354" s="191" t="n">
        <v>46142.7173309286</v>
      </c>
      <c r="D1354" s="189" t="s">
        <v>1941</v>
      </c>
      <c r="E1354" s="189" t="s">
        <v>1942</v>
      </c>
      <c r="F1354" s="189" t="s">
        <v>1943</v>
      </c>
      <c r="G1354" s="189" t="s">
        <v>1944</v>
      </c>
      <c r="H1354" s="191" t="n">
        <v>46136</v>
      </c>
      <c r="I1354" s="189" t="s">
        <v>113</v>
      </c>
      <c r="J1354" s="189" t="s">
        <v>108</v>
      </c>
      <c r="K1354" s="189" t="s">
        <v>1572</v>
      </c>
      <c r="L1354" s="189" t="s">
        <v>491</v>
      </c>
      <c r="M1354" s="189" t="s">
        <v>757</v>
      </c>
      <c r="N1354" s="189" t="s">
        <v>1028</v>
      </c>
      <c r="O1354" s="189" t="s">
        <v>260</v>
      </c>
      <c r="P1354" s="189" t="s">
        <v>111</v>
      </c>
      <c r="Q1354" s="189" t="s">
        <v>145</v>
      </c>
      <c r="R1354" s="189" t="s">
        <v>22</v>
      </c>
      <c r="S1354" s="189" t="s">
        <v>152</v>
      </c>
      <c r="T1354" s="189" t="s">
        <v>180</v>
      </c>
      <c r="U1354" s="189" t="s">
        <v>122</v>
      </c>
      <c r="V1354" s="189" t="s">
        <v>192</v>
      </c>
      <c r="W1354" s="189" t="s">
        <v>124</v>
      </c>
      <c r="X1354" s="189" t="s">
        <v>298</v>
      </c>
      <c r="Y1354" s="189" t="s">
        <v>2108</v>
      </c>
      <c r="Z1354" s="0" t="n">
        <v>1</v>
      </c>
      <c r="AA1354" s="189" t="s">
        <v>2167</v>
      </c>
    </row>
    <row r="1355" customFormat="false" ht="15" hidden="false" customHeight="false" outlineLevel="0" collapsed="false">
      <c r="A1355" s="0" t="n">
        <v>289</v>
      </c>
      <c r="B1355" s="191" t="n">
        <v>46142.7150739842</v>
      </c>
      <c r="C1355" s="191" t="n">
        <v>46142.7173309286</v>
      </c>
      <c r="D1355" s="189" t="s">
        <v>1941</v>
      </c>
      <c r="E1355" s="189" t="s">
        <v>1942</v>
      </c>
      <c r="F1355" s="189" t="s">
        <v>1943</v>
      </c>
      <c r="G1355" s="189" t="s">
        <v>1944</v>
      </c>
      <c r="H1355" s="191" t="n">
        <v>46136</v>
      </c>
      <c r="I1355" s="189" t="s">
        <v>113</v>
      </c>
      <c r="J1355" s="189" t="s">
        <v>108</v>
      </c>
      <c r="K1355" s="189" t="s">
        <v>1572</v>
      </c>
      <c r="L1355" s="189" t="s">
        <v>491</v>
      </c>
      <c r="M1355" s="189" t="s">
        <v>757</v>
      </c>
      <c r="N1355" s="189" t="s">
        <v>1028</v>
      </c>
      <c r="O1355" s="189" t="s">
        <v>260</v>
      </c>
      <c r="P1355" s="189" t="s">
        <v>111</v>
      </c>
      <c r="Q1355" s="189" t="s">
        <v>145</v>
      </c>
      <c r="R1355" s="189" t="s">
        <v>22</v>
      </c>
      <c r="S1355" s="189" t="s">
        <v>152</v>
      </c>
      <c r="T1355" s="189" t="s">
        <v>180</v>
      </c>
      <c r="U1355" s="189" t="s">
        <v>122</v>
      </c>
      <c r="V1355" s="189" t="s">
        <v>192</v>
      </c>
      <c r="W1355" s="189" t="s">
        <v>124</v>
      </c>
      <c r="X1355" s="189" t="s">
        <v>298</v>
      </c>
      <c r="Y1355" s="189" t="s">
        <v>2108</v>
      </c>
      <c r="Z1355" s="0" t="n">
        <v>2</v>
      </c>
      <c r="AA1355" s="189" t="s">
        <v>2280</v>
      </c>
    </row>
    <row r="1356" customFormat="false" ht="15" hidden="false" customHeight="false" outlineLevel="0" collapsed="false">
      <c r="A1356" s="0" t="n">
        <v>289</v>
      </c>
      <c r="B1356" s="191" t="n">
        <v>46142.7150739842</v>
      </c>
      <c r="C1356" s="191" t="n">
        <v>46142.7173309286</v>
      </c>
      <c r="D1356" s="189" t="s">
        <v>1941</v>
      </c>
      <c r="E1356" s="189" t="s">
        <v>1942</v>
      </c>
      <c r="F1356" s="189" t="s">
        <v>1943</v>
      </c>
      <c r="G1356" s="189" t="s">
        <v>1944</v>
      </c>
      <c r="H1356" s="191" t="n">
        <v>46136</v>
      </c>
      <c r="I1356" s="189" t="s">
        <v>113</v>
      </c>
      <c r="J1356" s="189" t="s">
        <v>108</v>
      </c>
      <c r="K1356" s="189" t="s">
        <v>1572</v>
      </c>
      <c r="L1356" s="189" t="s">
        <v>491</v>
      </c>
      <c r="M1356" s="189" t="s">
        <v>757</v>
      </c>
      <c r="N1356" s="189" t="s">
        <v>1028</v>
      </c>
      <c r="O1356" s="189" t="s">
        <v>260</v>
      </c>
      <c r="P1356" s="189" t="s">
        <v>111</v>
      </c>
      <c r="Q1356" s="189" t="s">
        <v>145</v>
      </c>
      <c r="R1356" s="189" t="s">
        <v>22</v>
      </c>
      <c r="S1356" s="189" t="s">
        <v>152</v>
      </c>
      <c r="T1356" s="189" t="s">
        <v>180</v>
      </c>
      <c r="U1356" s="189" t="s">
        <v>122</v>
      </c>
      <c r="V1356" s="189" t="s">
        <v>192</v>
      </c>
      <c r="W1356" s="189" t="s">
        <v>124</v>
      </c>
      <c r="X1356" s="189" t="s">
        <v>298</v>
      </c>
      <c r="Y1356" s="189" t="s">
        <v>2110</v>
      </c>
      <c r="Z1356" s="0" t="n">
        <v>1</v>
      </c>
      <c r="AA1356" s="189" t="s">
        <v>2170</v>
      </c>
    </row>
    <row r="1357" customFormat="false" ht="15" hidden="false" customHeight="false" outlineLevel="0" collapsed="false">
      <c r="A1357" s="0" t="n">
        <v>289</v>
      </c>
      <c r="B1357" s="191" t="n">
        <v>46142.7150739842</v>
      </c>
      <c r="C1357" s="191" t="n">
        <v>46142.7173309286</v>
      </c>
      <c r="D1357" s="189" t="s">
        <v>1941</v>
      </c>
      <c r="E1357" s="189" t="s">
        <v>1942</v>
      </c>
      <c r="F1357" s="189" t="s">
        <v>1943</v>
      </c>
      <c r="G1357" s="189" t="s">
        <v>1944</v>
      </c>
      <c r="H1357" s="191" t="n">
        <v>46136</v>
      </c>
      <c r="I1357" s="189" t="s">
        <v>113</v>
      </c>
      <c r="J1357" s="189" t="s">
        <v>108</v>
      </c>
      <c r="K1357" s="189" t="s">
        <v>1572</v>
      </c>
      <c r="L1357" s="189" t="s">
        <v>491</v>
      </c>
      <c r="M1357" s="189" t="s">
        <v>757</v>
      </c>
      <c r="N1357" s="189" t="s">
        <v>1028</v>
      </c>
      <c r="O1357" s="189" t="s">
        <v>260</v>
      </c>
      <c r="P1357" s="189" t="s">
        <v>111</v>
      </c>
      <c r="Q1357" s="189" t="s">
        <v>145</v>
      </c>
      <c r="R1357" s="189" t="s">
        <v>22</v>
      </c>
      <c r="S1357" s="189" t="s">
        <v>152</v>
      </c>
      <c r="T1357" s="189" t="s">
        <v>180</v>
      </c>
      <c r="U1357" s="189" t="s">
        <v>122</v>
      </c>
      <c r="V1357" s="189" t="s">
        <v>192</v>
      </c>
      <c r="W1357" s="189" t="s">
        <v>124</v>
      </c>
      <c r="X1357" s="189" t="s">
        <v>298</v>
      </c>
      <c r="Y1357" s="189" t="s">
        <v>2110</v>
      </c>
      <c r="Z1357" s="0" t="n">
        <v>2</v>
      </c>
      <c r="AA1357" s="189" t="s">
        <v>2319</v>
      </c>
    </row>
    <row r="1358" customFormat="false" ht="15" hidden="false" customHeight="false" outlineLevel="0" collapsed="false">
      <c r="A1358" s="0" t="n">
        <v>289</v>
      </c>
      <c r="B1358" s="191" t="n">
        <v>46142.7150739842</v>
      </c>
      <c r="C1358" s="191" t="n">
        <v>46142.7173309286</v>
      </c>
      <c r="D1358" s="189" t="s">
        <v>1941</v>
      </c>
      <c r="E1358" s="189" t="s">
        <v>1942</v>
      </c>
      <c r="F1358" s="189" t="s">
        <v>1943</v>
      </c>
      <c r="G1358" s="189" t="s">
        <v>1944</v>
      </c>
      <c r="H1358" s="191" t="n">
        <v>46136</v>
      </c>
      <c r="I1358" s="189" t="s">
        <v>113</v>
      </c>
      <c r="J1358" s="189" t="s">
        <v>108</v>
      </c>
      <c r="K1358" s="189" t="s">
        <v>1572</v>
      </c>
      <c r="L1358" s="189" t="s">
        <v>491</v>
      </c>
      <c r="M1358" s="189" t="s">
        <v>757</v>
      </c>
      <c r="N1358" s="189" t="s">
        <v>1028</v>
      </c>
      <c r="O1358" s="189" t="s">
        <v>260</v>
      </c>
      <c r="P1358" s="189" t="s">
        <v>111</v>
      </c>
      <c r="Q1358" s="189" t="s">
        <v>145</v>
      </c>
      <c r="R1358" s="189" t="s">
        <v>22</v>
      </c>
      <c r="S1358" s="189" t="s">
        <v>152</v>
      </c>
      <c r="T1358" s="189" t="s">
        <v>180</v>
      </c>
      <c r="U1358" s="189" t="s">
        <v>122</v>
      </c>
      <c r="V1358" s="189" t="s">
        <v>192</v>
      </c>
      <c r="W1358" s="189" t="s">
        <v>124</v>
      </c>
      <c r="X1358" s="189" t="s">
        <v>298</v>
      </c>
      <c r="Y1358" s="189" t="s">
        <v>2113</v>
      </c>
      <c r="Z1358" s="0" t="n">
        <v>1</v>
      </c>
      <c r="AA1358" s="189" t="s">
        <v>2172</v>
      </c>
    </row>
    <row r="1359" customFormat="false" ht="15" hidden="false" customHeight="false" outlineLevel="0" collapsed="false">
      <c r="A1359" s="0" t="n">
        <v>290</v>
      </c>
      <c r="B1359" s="191" t="n">
        <v>46098.1942474414</v>
      </c>
      <c r="C1359" s="191" t="n">
        <v>46098.1995136451</v>
      </c>
      <c r="D1359" s="189" t="s">
        <v>1946</v>
      </c>
      <c r="E1359" s="189" t="s">
        <v>1947</v>
      </c>
      <c r="F1359" s="189" t="s">
        <v>1947</v>
      </c>
      <c r="G1359" s="189" t="s">
        <v>1948</v>
      </c>
      <c r="H1359" s="191" t="n">
        <v>46088</v>
      </c>
      <c r="I1359" s="189" t="s">
        <v>113</v>
      </c>
      <c r="J1359" s="189" t="s">
        <v>108</v>
      </c>
      <c r="K1359" s="189" t="s">
        <v>1762</v>
      </c>
      <c r="L1359" s="189" t="s">
        <v>184</v>
      </c>
      <c r="M1359" s="189" t="s">
        <v>757</v>
      </c>
      <c r="N1359" s="189" t="s">
        <v>701</v>
      </c>
      <c r="O1359" s="189" t="s">
        <v>1949</v>
      </c>
      <c r="P1359" s="189" t="s">
        <v>111</v>
      </c>
      <c r="Q1359" s="189" t="s">
        <v>112</v>
      </c>
      <c r="R1359" s="189" t="s">
        <v>21</v>
      </c>
      <c r="S1359" s="189" t="s">
        <v>152</v>
      </c>
      <c r="T1359" s="189" t="s">
        <v>121</v>
      </c>
      <c r="U1359" s="189" t="s">
        <v>1950</v>
      </c>
      <c r="V1359" s="189" t="s">
        <v>167</v>
      </c>
      <c r="W1359" s="189" t="s">
        <v>168</v>
      </c>
      <c r="X1359" s="189" t="s">
        <v>187</v>
      </c>
      <c r="Y1359" s="189" t="s">
        <v>2108</v>
      </c>
      <c r="Z1359" s="0" t="n">
        <v>1</v>
      </c>
      <c r="AA1359" s="189" t="s">
        <v>2133</v>
      </c>
    </row>
    <row r="1360" customFormat="false" ht="15" hidden="false" customHeight="false" outlineLevel="0" collapsed="false">
      <c r="A1360" s="0" t="n">
        <v>290</v>
      </c>
      <c r="B1360" s="191" t="n">
        <v>46098.1942474414</v>
      </c>
      <c r="C1360" s="191" t="n">
        <v>46098.1995136451</v>
      </c>
      <c r="D1360" s="189" t="s">
        <v>1946</v>
      </c>
      <c r="E1360" s="189" t="s">
        <v>1947</v>
      </c>
      <c r="F1360" s="189" t="s">
        <v>1947</v>
      </c>
      <c r="G1360" s="189" t="s">
        <v>1948</v>
      </c>
      <c r="H1360" s="191" t="n">
        <v>46088</v>
      </c>
      <c r="I1360" s="189" t="s">
        <v>113</v>
      </c>
      <c r="J1360" s="189" t="s">
        <v>108</v>
      </c>
      <c r="K1360" s="189" t="s">
        <v>1762</v>
      </c>
      <c r="L1360" s="189" t="s">
        <v>184</v>
      </c>
      <c r="M1360" s="189" t="s">
        <v>757</v>
      </c>
      <c r="N1360" s="189" t="s">
        <v>701</v>
      </c>
      <c r="O1360" s="189" t="s">
        <v>1949</v>
      </c>
      <c r="P1360" s="189" t="s">
        <v>111</v>
      </c>
      <c r="Q1360" s="189" t="s">
        <v>112</v>
      </c>
      <c r="R1360" s="189" t="s">
        <v>21</v>
      </c>
      <c r="S1360" s="189" t="s">
        <v>152</v>
      </c>
      <c r="T1360" s="189" t="s">
        <v>121</v>
      </c>
      <c r="U1360" s="189" t="s">
        <v>1950</v>
      </c>
      <c r="V1360" s="189" t="s">
        <v>167</v>
      </c>
      <c r="W1360" s="189" t="s">
        <v>168</v>
      </c>
      <c r="X1360" s="189" t="s">
        <v>187</v>
      </c>
      <c r="Y1360" s="189" t="s">
        <v>2110</v>
      </c>
      <c r="Z1360" s="0" t="n">
        <v>1</v>
      </c>
      <c r="AA1360" s="189" t="s">
        <v>2211</v>
      </c>
    </row>
    <row r="1361" customFormat="false" ht="15" hidden="false" customHeight="false" outlineLevel="0" collapsed="false">
      <c r="A1361" s="0" t="n">
        <v>290</v>
      </c>
      <c r="B1361" s="191" t="n">
        <v>46098.1942474414</v>
      </c>
      <c r="C1361" s="191" t="n">
        <v>46098.1995136451</v>
      </c>
      <c r="D1361" s="189" t="s">
        <v>1946</v>
      </c>
      <c r="E1361" s="189" t="s">
        <v>1947</v>
      </c>
      <c r="F1361" s="189" t="s">
        <v>1947</v>
      </c>
      <c r="G1361" s="189" t="s">
        <v>1948</v>
      </c>
      <c r="H1361" s="191" t="n">
        <v>46088</v>
      </c>
      <c r="I1361" s="189" t="s">
        <v>113</v>
      </c>
      <c r="J1361" s="189" t="s">
        <v>108</v>
      </c>
      <c r="K1361" s="189" t="s">
        <v>1762</v>
      </c>
      <c r="L1361" s="189" t="s">
        <v>184</v>
      </c>
      <c r="M1361" s="189" t="s">
        <v>757</v>
      </c>
      <c r="N1361" s="189" t="s">
        <v>701</v>
      </c>
      <c r="O1361" s="189" t="s">
        <v>1949</v>
      </c>
      <c r="P1361" s="189" t="s">
        <v>111</v>
      </c>
      <c r="Q1361" s="189" t="s">
        <v>112</v>
      </c>
      <c r="R1361" s="189" t="s">
        <v>21</v>
      </c>
      <c r="S1361" s="189" t="s">
        <v>152</v>
      </c>
      <c r="T1361" s="189" t="s">
        <v>121</v>
      </c>
      <c r="U1361" s="189" t="s">
        <v>1950</v>
      </c>
      <c r="V1361" s="189" t="s">
        <v>167</v>
      </c>
      <c r="W1361" s="189" t="s">
        <v>168</v>
      </c>
      <c r="X1361" s="189" t="s">
        <v>187</v>
      </c>
      <c r="Y1361" s="189" t="s">
        <v>2110</v>
      </c>
      <c r="Z1361" s="0" t="n">
        <v>2</v>
      </c>
      <c r="AA1361" s="189" t="s">
        <v>2134</v>
      </c>
    </row>
    <row r="1362" customFormat="false" ht="15" hidden="false" customHeight="false" outlineLevel="0" collapsed="false">
      <c r="A1362" s="0" t="n">
        <v>290</v>
      </c>
      <c r="B1362" s="191" t="n">
        <v>46098.1942474414</v>
      </c>
      <c r="C1362" s="191" t="n">
        <v>46098.1995136451</v>
      </c>
      <c r="D1362" s="189" t="s">
        <v>1946</v>
      </c>
      <c r="E1362" s="189" t="s">
        <v>1947</v>
      </c>
      <c r="F1362" s="189" t="s">
        <v>1947</v>
      </c>
      <c r="G1362" s="189" t="s">
        <v>1948</v>
      </c>
      <c r="H1362" s="191" t="n">
        <v>46088</v>
      </c>
      <c r="I1362" s="189" t="s">
        <v>113</v>
      </c>
      <c r="J1362" s="189" t="s">
        <v>108</v>
      </c>
      <c r="K1362" s="189" t="s">
        <v>1762</v>
      </c>
      <c r="L1362" s="189" t="s">
        <v>184</v>
      </c>
      <c r="M1362" s="189" t="s">
        <v>757</v>
      </c>
      <c r="N1362" s="189" t="s">
        <v>701</v>
      </c>
      <c r="O1362" s="189" t="s">
        <v>1949</v>
      </c>
      <c r="P1362" s="189" t="s">
        <v>111</v>
      </c>
      <c r="Q1362" s="189" t="s">
        <v>112</v>
      </c>
      <c r="R1362" s="189" t="s">
        <v>21</v>
      </c>
      <c r="S1362" s="189" t="s">
        <v>152</v>
      </c>
      <c r="T1362" s="189" t="s">
        <v>121</v>
      </c>
      <c r="U1362" s="189" t="s">
        <v>1950</v>
      </c>
      <c r="V1362" s="189" t="s">
        <v>167</v>
      </c>
      <c r="W1362" s="189" t="s">
        <v>168</v>
      </c>
      <c r="X1362" s="189" t="s">
        <v>187</v>
      </c>
      <c r="Y1362" s="189" t="s">
        <v>2113</v>
      </c>
      <c r="Z1362" s="0" t="n">
        <v>1</v>
      </c>
      <c r="AA1362" s="189" t="s">
        <v>2135</v>
      </c>
    </row>
    <row r="1363" customFormat="false" ht="15" hidden="false" customHeight="false" outlineLevel="0" collapsed="false">
      <c r="A1363" s="0" t="n">
        <v>291</v>
      </c>
      <c r="B1363" s="191" t="n">
        <v>46207.8135031948</v>
      </c>
      <c r="C1363" s="191" t="n">
        <v>46207.828838843</v>
      </c>
      <c r="D1363" s="189" t="s">
        <v>1951</v>
      </c>
      <c r="E1363" s="189" t="s">
        <v>1952</v>
      </c>
      <c r="F1363" s="189" t="s">
        <v>1952</v>
      </c>
      <c r="G1363" s="189" t="s">
        <v>1953</v>
      </c>
      <c r="H1363" s="191" t="n">
        <v>46204</v>
      </c>
      <c r="I1363" s="189" t="s">
        <v>336</v>
      </c>
      <c r="J1363" s="189" t="s">
        <v>295</v>
      </c>
      <c r="K1363" s="189" t="s">
        <v>232</v>
      </c>
      <c r="L1363" s="189" t="s">
        <v>114</v>
      </c>
      <c r="M1363" s="189" t="s">
        <v>212</v>
      </c>
      <c r="N1363" s="189" t="s">
        <v>1255</v>
      </c>
      <c r="O1363" s="189" t="s">
        <v>244</v>
      </c>
      <c r="P1363" s="189" t="s">
        <v>131</v>
      </c>
      <c r="Q1363" s="189" t="s">
        <v>112</v>
      </c>
      <c r="R1363" s="189" t="s">
        <v>22</v>
      </c>
      <c r="S1363" s="189" t="s">
        <v>120</v>
      </c>
      <c r="T1363" s="189" t="s">
        <v>180</v>
      </c>
      <c r="U1363" s="189" t="s">
        <v>122</v>
      </c>
      <c r="V1363" s="189" t="s">
        <v>123</v>
      </c>
      <c r="W1363" s="189" t="s">
        <v>139</v>
      </c>
      <c r="X1363" s="189" t="s">
        <v>116</v>
      </c>
      <c r="Y1363" s="189" t="s">
        <v>2108</v>
      </c>
      <c r="Z1363" s="0" t="n">
        <v>1</v>
      </c>
      <c r="AA1363" s="189" t="s">
        <v>2109</v>
      </c>
    </row>
    <row r="1364" customFormat="false" ht="15" hidden="false" customHeight="false" outlineLevel="0" collapsed="false">
      <c r="A1364" s="0" t="n">
        <v>291</v>
      </c>
      <c r="B1364" s="191" t="n">
        <v>46207.8135031948</v>
      </c>
      <c r="C1364" s="191" t="n">
        <v>46207.828838843</v>
      </c>
      <c r="D1364" s="189" t="s">
        <v>1951</v>
      </c>
      <c r="E1364" s="189" t="s">
        <v>1952</v>
      </c>
      <c r="F1364" s="189" t="s">
        <v>1952</v>
      </c>
      <c r="G1364" s="189" t="s">
        <v>1953</v>
      </c>
      <c r="H1364" s="191" t="n">
        <v>46204</v>
      </c>
      <c r="I1364" s="189" t="s">
        <v>336</v>
      </c>
      <c r="J1364" s="189" t="s">
        <v>295</v>
      </c>
      <c r="K1364" s="189" t="s">
        <v>232</v>
      </c>
      <c r="L1364" s="189" t="s">
        <v>114</v>
      </c>
      <c r="M1364" s="189" t="s">
        <v>212</v>
      </c>
      <c r="N1364" s="189" t="s">
        <v>1255</v>
      </c>
      <c r="O1364" s="189" t="s">
        <v>244</v>
      </c>
      <c r="P1364" s="189" t="s">
        <v>131</v>
      </c>
      <c r="Q1364" s="189" t="s">
        <v>112</v>
      </c>
      <c r="R1364" s="189" t="s">
        <v>22</v>
      </c>
      <c r="S1364" s="189" t="s">
        <v>120</v>
      </c>
      <c r="T1364" s="189" t="s">
        <v>180</v>
      </c>
      <c r="U1364" s="189" t="s">
        <v>122</v>
      </c>
      <c r="V1364" s="189" t="s">
        <v>123</v>
      </c>
      <c r="W1364" s="189" t="s">
        <v>139</v>
      </c>
      <c r="X1364" s="189" t="s">
        <v>116</v>
      </c>
      <c r="Y1364" s="189" t="s">
        <v>2108</v>
      </c>
      <c r="Z1364" s="0" t="n">
        <v>2</v>
      </c>
      <c r="AA1364" s="189" t="s">
        <v>2139</v>
      </c>
    </row>
    <row r="1365" customFormat="false" ht="15" hidden="false" customHeight="false" outlineLevel="0" collapsed="false">
      <c r="A1365" s="0" t="n">
        <v>291</v>
      </c>
      <c r="B1365" s="191" t="n">
        <v>46207.8135031948</v>
      </c>
      <c r="C1365" s="191" t="n">
        <v>46207.828838843</v>
      </c>
      <c r="D1365" s="189" t="s">
        <v>1951</v>
      </c>
      <c r="E1365" s="189" t="s">
        <v>1952</v>
      </c>
      <c r="F1365" s="189" t="s">
        <v>1952</v>
      </c>
      <c r="G1365" s="189" t="s">
        <v>1953</v>
      </c>
      <c r="H1365" s="191" t="n">
        <v>46204</v>
      </c>
      <c r="I1365" s="189" t="s">
        <v>336</v>
      </c>
      <c r="J1365" s="189" t="s">
        <v>295</v>
      </c>
      <c r="K1365" s="189" t="s">
        <v>232</v>
      </c>
      <c r="L1365" s="189" t="s">
        <v>114</v>
      </c>
      <c r="M1365" s="189" t="s">
        <v>212</v>
      </c>
      <c r="N1365" s="189" t="s">
        <v>1255</v>
      </c>
      <c r="O1365" s="189" t="s">
        <v>244</v>
      </c>
      <c r="P1365" s="189" t="s">
        <v>131</v>
      </c>
      <c r="Q1365" s="189" t="s">
        <v>112</v>
      </c>
      <c r="R1365" s="189" t="s">
        <v>22</v>
      </c>
      <c r="S1365" s="189" t="s">
        <v>120</v>
      </c>
      <c r="T1365" s="189" t="s">
        <v>180</v>
      </c>
      <c r="U1365" s="189" t="s">
        <v>122</v>
      </c>
      <c r="V1365" s="189" t="s">
        <v>123</v>
      </c>
      <c r="W1365" s="189" t="s">
        <v>139</v>
      </c>
      <c r="X1365" s="189" t="s">
        <v>116</v>
      </c>
      <c r="Y1365" s="189" t="s">
        <v>2108</v>
      </c>
      <c r="Z1365" s="0" t="n">
        <v>3</v>
      </c>
      <c r="AA1365" s="189" t="s">
        <v>2151</v>
      </c>
    </row>
    <row r="1366" customFormat="false" ht="15" hidden="false" customHeight="false" outlineLevel="0" collapsed="false">
      <c r="A1366" s="0" t="n">
        <v>291</v>
      </c>
      <c r="B1366" s="191" t="n">
        <v>46207.8135031948</v>
      </c>
      <c r="C1366" s="191" t="n">
        <v>46207.828838843</v>
      </c>
      <c r="D1366" s="189" t="s">
        <v>1951</v>
      </c>
      <c r="E1366" s="189" t="s">
        <v>1952</v>
      </c>
      <c r="F1366" s="189" t="s">
        <v>1952</v>
      </c>
      <c r="G1366" s="189" t="s">
        <v>1953</v>
      </c>
      <c r="H1366" s="191" t="n">
        <v>46204</v>
      </c>
      <c r="I1366" s="189" t="s">
        <v>336</v>
      </c>
      <c r="J1366" s="189" t="s">
        <v>295</v>
      </c>
      <c r="K1366" s="189" t="s">
        <v>232</v>
      </c>
      <c r="L1366" s="189" t="s">
        <v>114</v>
      </c>
      <c r="M1366" s="189" t="s">
        <v>212</v>
      </c>
      <c r="N1366" s="189" t="s">
        <v>1255</v>
      </c>
      <c r="O1366" s="189" t="s">
        <v>244</v>
      </c>
      <c r="P1366" s="189" t="s">
        <v>131</v>
      </c>
      <c r="Q1366" s="189" t="s">
        <v>112</v>
      </c>
      <c r="R1366" s="189" t="s">
        <v>22</v>
      </c>
      <c r="S1366" s="189" t="s">
        <v>120</v>
      </c>
      <c r="T1366" s="189" t="s">
        <v>180</v>
      </c>
      <c r="U1366" s="189" t="s">
        <v>122</v>
      </c>
      <c r="V1366" s="189" t="s">
        <v>123</v>
      </c>
      <c r="W1366" s="189" t="s">
        <v>139</v>
      </c>
      <c r="X1366" s="189" t="s">
        <v>116</v>
      </c>
      <c r="Y1366" s="189" t="s">
        <v>2110</v>
      </c>
      <c r="Z1366" s="0" t="n">
        <v>1</v>
      </c>
      <c r="AA1366" s="189" t="s">
        <v>2126</v>
      </c>
    </row>
    <row r="1367" customFormat="false" ht="15" hidden="false" customHeight="false" outlineLevel="0" collapsed="false">
      <c r="A1367" s="0" t="n">
        <v>291</v>
      </c>
      <c r="B1367" s="191" t="n">
        <v>46207.8135031948</v>
      </c>
      <c r="C1367" s="191" t="n">
        <v>46207.828838843</v>
      </c>
      <c r="D1367" s="189" t="s">
        <v>1951</v>
      </c>
      <c r="E1367" s="189" t="s">
        <v>1952</v>
      </c>
      <c r="F1367" s="189" t="s">
        <v>1952</v>
      </c>
      <c r="G1367" s="189" t="s">
        <v>1953</v>
      </c>
      <c r="H1367" s="191" t="n">
        <v>46204</v>
      </c>
      <c r="I1367" s="189" t="s">
        <v>336</v>
      </c>
      <c r="J1367" s="189" t="s">
        <v>295</v>
      </c>
      <c r="K1367" s="189" t="s">
        <v>232</v>
      </c>
      <c r="L1367" s="189" t="s">
        <v>114</v>
      </c>
      <c r="M1367" s="189" t="s">
        <v>212</v>
      </c>
      <c r="N1367" s="189" t="s">
        <v>1255</v>
      </c>
      <c r="O1367" s="189" t="s">
        <v>244</v>
      </c>
      <c r="P1367" s="189" t="s">
        <v>131</v>
      </c>
      <c r="Q1367" s="189" t="s">
        <v>112</v>
      </c>
      <c r="R1367" s="189" t="s">
        <v>22</v>
      </c>
      <c r="S1367" s="189" t="s">
        <v>120</v>
      </c>
      <c r="T1367" s="189" t="s">
        <v>180</v>
      </c>
      <c r="U1367" s="189" t="s">
        <v>122</v>
      </c>
      <c r="V1367" s="189" t="s">
        <v>123</v>
      </c>
      <c r="W1367" s="189" t="s">
        <v>139</v>
      </c>
      <c r="X1367" s="189" t="s">
        <v>116</v>
      </c>
      <c r="Y1367" s="189" t="s">
        <v>2113</v>
      </c>
      <c r="Z1367" s="0" t="n">
        <v>1</v>
      </c>
      <c r="AA1367" s="189" t="s">
        <v>2184</v>
      </c>
    </row>
    <row r="1368" customFormat="false" ht="15" hidden="false" customHeight="false" outlineLevel="0" collapsed="false">
      <c r="A1368" s="0" t="n">
        <v>292</v>
      </c>
      <c r="B1368" s="191" t="n">
        <v>46041.7441671703</v>
      </c>
      <c r="C1368" s="191" t="n">
        <v>46041.761620874</v>
      </c>
      <c r="D1368" s="189" t="s">
        <v>1955</v>
      </c>
      <c r="E1368" s="189" t="s">
        <v>1956</v>
      </c>
      <c r="F1368" s="189" t="s">
        <v>1956</v>
      </c>
      <c r="G1368" s="189" t="s">
        <v>1957</v>
      </c>
      <c r="H1368" s="191" t="n">
        <v>46027</v>
      </c>
      <c r="I1368" s="189" t="s">
        <v>325</v>
      </c>
      <c r="J1368" s="189" t="s">
        <v>128</v>
      </c>
      <c r="K1368" s="189" t="s">
        <v>232</v>
      </c>
      <c r="L1368" s="189" t="s">
        <v>346</v>
      </c>
      <c r="M1368" s="189" t="s">
        <v>484</v>
      </c>
      <c r="N1368" s="189" t="s">
        <v>1958</v>
      </c>
      <c r="O1368" s="189" t="s">
        <v>107</v>
      </c>
      <c r="P1368" s="189" t="s">
        <v>211</v>
      </c>
      <c r="Q1368" s="189" t="s">
        <v>112</v>
      </c>
      <c r="R1368" s="189" t="s">
        <v>22</v>
      </c>
      <c r="S1368" s="189" t="s">
        <v>120</v>
      </c>
      <c r="T1368" s="189" t="s">
        <v>228</v>
      </c>
      <c r="V1368" s="189" t="s">
        <v>192</v>
      </c>
      <c r="W1368" s="189" t="s">
        <v>124</v>
      </c>
      <c r="X1368" s="189" t="s">
        <v>148</v>
      </c>
      <c r="Y1368" s="189" t="s">
        <v>2108</v>
      </c>
      <c r="Z1368" s="0" t="n">
        <v>1</v>
      </c>
      <c r="AA1368" s="189" t="s">
        <v>2166</v>
      </c>
    </row>
    <row r="1369" customFormat="false" ht="15" hidden="false" customHeight="false" outlineLevel="0" collapsed="false">
      <c r="A1369" s="0" t="n">
        <v>292</v>
      </c>
      <c r="B1369" s="191" t="n">
        <v>46041.7441671703</v>
      </c>
      <c r="C1369" s="191" t="n">
        <v>46041.761620874</v>
      </c>
      <c r="D1369" s="189" t="s">
        <v>1955</v>
      </c>
      <c r="E1369" s="189" t="s">
        <v>1956</v>
      </c>
      <c r="F1369" s="189" t="s">
        <v>1956</v>
      </c>
      <c r="G1369" s="189" t="s">
        <v>1957</v>
      </c>
      <c r="H1369" s="191" t="n">
        <v>46027</v>
      </c>
      <c r="I1369" s="189" t="s">
        <v>325</v>
      </c>
      <c r="J1369" s="189" t="s">
        <v>128</v>
      </c>
      <c r="K1369" s="189" t="s">
        <v>232</v>
      </c>
      <c r="L1369" s="189" t="s">
        <v>346</v>
      </c>
      <c r="M1369" s="189" t="s">
        <v>484</v>
      </c>
      <c r="N1369" s="189" t="s">
        <v>1958</v>
      </c>
      <c r="O1369" s="189" t="s">
        <v>107</v>
      </c>
      <c r="P1369" s="189" t="s">
        <v>211</v>
      </c>
      <c r="Q1369" s="189" t="s">
        <v>112</v>
      </c>
      <c r="R1369" s="189" t="s">
        <v>22</v>
      </c>
      <c r="S1369" s="189" t="s">
        <v>120</v>
      </c>
      <c r="T1369" s="189" t="s">
        <v>228</v>
      </c>
      <c r="V1369" s="189" t="s">
        <v>192</v>
      </c>
      <c r="W1369" s="189" t="s">
        <v>124</v>
      </c>
      <c r="X1369" s="189" t="s">
        <v>148</v>
      </c>
      <c r="Y1369" s="189" t="s">
        <v>2108</v>
      </c>
      <c r="Z1369" s="0" t="n">
        <v>2</v>
      </c>
      <c r="AA1369" s="189" t="s">
        <v>2230</v>
      </c>
    </row>
    <row r="1370" customFormat="false" ht="15" hidden="false" customHeight="false" outlineLevel="0" collapsed="false">
      <c r="A1370" s="0" t="n">
        <v>292</v>
      </c>
      <c r="B1370" s="191" t="n">
        <v>46041.7441671703</v>
      </c>
      <c r="C1370" s="191" t="n">
        <v>46041.761620874</v>
      </c>
      <c r="D1370" s="189" t="s">
        <v>1955</v>
      </c>
      <c r="E1370" s="189" t="s">
        <v>1956</v>
      </c>
      <c r="F1370" s="189" t="s">
        <v>1956</v>
      </c>
      <c r="G1370" s="189" t="s">
        <v>1957</v>
      </c>
      <c r="H1370" s="191" t="n">
        <v>46027</v>
      </c>
      <c r="I1370" s="189" t="s">
        <v>325</v>
      </c>
      <c r="J1370" s="189" t="s">
        <v>128</v>
      </c>
      <c r="K1370" s="189" t="s">
        <v>232</v>
      </c>
      <c r="L1370" s="189" t="s">
        <v>346</v>
      </c>
      <c r="M1370" s="189" t="s">
        <v>484</v>
      </c>
      <c r="N1370" s="189" t="s">
        <v>1958</v>
      </c>
      <c r="O1370" s="189" t="s">
        <v>107</v>
      </c>
      <c r="P1370" s="189" t="s">
        <v>211</v>
      </c>
      <c r="Q1370" s="189" t="s">
        <v>112</v>
      </c>
      <c r="R1370" s="189" t="s">
        <v>22</v>
      </c>
      <c r="S1370" s="189" t="s">
        <v>120</v>
      </c>
      <c r="T1370" s="189" t="s">
        <v>228</v>
      </c>
      <c r="V1370" s="189" t="s">
        <v>192</v>
      </c>
      <c r="W1370" s="189" t="s">
        <v>124</v>
      </c>
      <c r="X1370" s="189" t="s">
        <v>148</v>
      </c>
      <c r="Y1370" s="189" t="s">
        <v>2110</v>
      </c>
      <c r="Z1370" s="0" t="n">
        <v>1</v>
      </c>
      <c r="AA1370" s="189" t="s">
        <v>122</v>
      </c>
    </row>
    <row r="1371" customFormat="false" ht="15" hidden="false" customHeight="false" outlineLevel="0" collapsed="false">
      <c r="A1371" s="0" t="n">
        <v>292</v>
      </c>
      <c r="B1371" s="191" t="n">
        <v>46041.7441671703</v>
      </c>
      <c r="C1371" s="191" t="n">
        <v>46041.761620874</v>
      </c>
      <c r="D1371" s="189" t="s">
        <v>1955</v>
      </c>
      <c r="E1371" s="189" t="s">
        <v>1956</v>
      </c>
      <c r="F1371" s="189" t="s">
        <v>1956</v>
      </c>
      <c r="G1371" s="189" t="s">
        <v>1957</v>
      </c>
      <c r="H1371" s="191" t="n">
        <v>46027</v>
      </c>
      <c r="I1371" s="189" t="s">
        <v>325</v>
      </c>
      <c r="J1371" s="189" t="s">
        <v>128</v>
      </c>
      <c r="K1371" s="189" t="s">
        <v>232</v>
      </c>
      <c r="L1371" s="189" t="s">
        <v>346</v>
      </c>
      <c r="M1371" s="189" t="s">
        <v>484</v>
      </c>
      <c r="N1371" s="189" t="s">
        <v>1958</v>
      </c>
      <c r="O1371" s="189" t="s">
        <v>107</v>
      </c>
      <c r="P1371" s="189" t="s">
        <v>211</v>
      </c>
      <c r="Q1371" s="189" t="s">
        <v>112</v>
      </c>
      <c r="R1371" s="189" t="s">
        <v>22</v>
      </c>
      <c r="S1371" s="189" t="s">
        <v>120</v>
      </c>
      <c r="T1371" s="189" t="s">
        <v>228</v>
      </c>
      <c r="V1371" s="189" t="s">
        <v>192</v>
      </c>
      <c r="W1371" s="189" t="s">
        <v>124</v>
      </c>
      <c r="X1371" s="189" t="s">
        <v>148</v>
      </c>
      <c r="Y1371" s="189" t="s">
        <v>2113</v>
      </c>
      <c r="Z1371" s="0" t="n">
        <v>1</v>
      </c>
      <c r="AA1371" s="189" t="s">
        <v>2232</v>
      </c>
    </row>
    <row r="1372" customFormat="false" ht="15" hidden="false" customHeight="false" outlineLevel="0" collapsed="false">
      <c r="A1372" s="0" t="n">
        <v>293</v>
      </c>
      <c r="B1372" s="191" t="n">
        <v>46170.1984881809</v>
      </c>
      <c r="C1372" s="191" t="n">
        <v>46170.2099233661</v>
      </c>
      <c r="D1372" s="189" t="s">
        <v>1959</v>
      </c>
      <c r="E1372" s="189" t="s">
        <v>1960</v>
      </c>
      <c r="F1372" s="189" t="s">
        <v>1960</v>
      </c>
      <c r="G1372" s="189" t="s">
        <v>1961</v>
      </c>
      <c r="H1372" s="191" t="n">
        <v>46166</v>
      </c>
      <c r="I1372" s="189" t="s">
        <v>132</v>
      </c>
      <c r="J1372" s="189" t="s">
        <v>108</v>
      </c>
      <c r="K1372" s="189" t="s">
        <v>462</v>
      </c>
      <c r="L1372" s="189" t="s">
        <v>210</v>
      </c>
      <c r="M1372" s="189" t="s">
        <v>736</v>
      </c>
      <c r="N1372" s="189" t="s">
        <v>653</v>
      </c>
      <c r="O1372" s="189" t="s">
        <v>172</v>
      </c>
      <c r="P1372" s="189" t="s">
        <v>111</v>
      </c>
      <c r="Q1372" s="189" t="s">
        <v>112</v>
      </c>
      <c r="R1372" s="189" t="s">
        <v>22</v>
      </c>
      <c r="S1372" s="189" t="s">
        <v>152</v>
      </c>
      <c r="T1372" s="189" t="s">
        <v>121</v>
      </c>
      <c r="V1372" s="189" t="s">
        <v>123</v>
      </c>
      <c r="W1372" s="189" t="s">
        <v>124</v>
      </c>
      <c r="X1372" s="189" t="s">
        <v>116</v>
      </c>
      <c r="Y1372" s="189" t="s">
        <v>2108</v>
      </c>
      <c r="Z1372" s="0" t="n">
        <v>1</v>
      </c>
      <c r="AA1372" s="189" t="s">
        <v>2183</v>
      </c>
    </row>
    <row r="1373" customFormat="false" ht="15" hidden="false" customHeight="false" outlineLevel="0" collapsed="false">
      <c r="A1373" s="0" t="n">
        <v>293</v>
      </c>
      <c r="B1373" s="191" t="n">
        <v>46170.1984881809</v>
      </c>
      <c r="C1373" s="191" t="n">
        <v>46170.2099233661</v>
      </c>
      <c r="D1373" s="189" t="s">
        <v>1959</v>
      </c>
      <c r="E1373" s="189" t="s">
        <v>1960</v>
      </c>
      <c r="F1373" s="189" t="s">
        <v>1960</v>
      </c>
      <c r="G1373" s="189" t="s">
        <v>1961</v>
      </c>
      <c r="H1373" s="191" t="n">
        <v>46166</v>
      </c>
      <c r="I1373" s="189" t="s">
        <v>132</v>
      </c>
      <c r="J1373" s="189" t="s">
        <v>108</v>
      </c>
      <c r="K1373" s="189" t="s">
        <v>462</v>
      </c>
      <c r="L1373" s="189" t="s">
        <v>210</v>
      </c>
      <c r="M1373" s="189" t="s">
        <v>736</v>
      </c>
      <c r="N1373" s="189" t="s">
        <v>653</v>
      </c>
      <c r="O1373" s="189" t="s">
        <v>172</v>
      </c>
      <c r="P1373" s="189" t="s">
        <v>111</v>
      </c>
      <c r="Q1373" s="189" t="s">
        <v>112</v>
      </c>
      <c r="R1373" s="189" t="s">
        <v>22</v>
      </c>
      <c r="S1373" s="189" t="s">
        <v>152</v>
      </c>
      <c r="T1373" s="189" t="s">
        <v>121</v>
      </c>
      <c r="V1373" s="189" t="s">
        <v>123</v>
      </c>
      <c r="W1373" s="189" t="s">
        <v>124</v>
      </c>
      <c r="X1373" s="189" t="s">
        <v>116</v>
      </c>
      <c r="Y1373" s="189" t="s">
        <v>2108</v>
      </c>
      <c r="Z1373" s="0" t="n">
        <v>2</v>
      </c>
      <c r="AA1373" s="189" t="s">
        <v>2151</v>
      </c>
    </row>
    <row r="1374" customFormat="false" ht="15" hidden="false" customHeight="false" outlineLevel="0" collapsed="false">
      <c r="A1374" s="0" t="n">
        <v>293</v>
      </c>
      <c r="B1374" s="191" t="n">
        <v>46170.1984881809</v>
      </c>
      <c r="C1374" s="191" t="n">
        <v>46170.2099233661</v>
      </c>
      <c r="D1374" s="189" t="s">
        <v>1959</v>
      </c>
      <c r="E1374" s="189" t="s">
        <v>1960</v>
      </c>
      <c r="F1374" s="189" t="s">
        <v>1960</v>
      </c>
      <c r="G1374" s="189" t="s">
        <v>1961</v>
      </c>
      <c r="H1374" s="191" t="n">
        <v>46166</v>
      </c>
      <c r="I1374" s="189" t="s">
        <v>132</v>
      </c>
      <c r="J1374" s="189" t="s">
        <v>108</v>
      </c>
      <c r="K1374" s="189" t="s">
        <v>462</v>
      </c>
      <c r="L1374" s="189" t="s">
        <v>210</v>
      </c>
      <c r="M1374" s="189" t="s">
        <v>736</v>
      </c>
      <c r="N1374" s="189" t="s">
        <v>653</v>
      </c>
      <c r="O1374" s="189" t="s">
        <v>172</v>
      </c>
      <c r="P1374" s="189" t="s">
        <v>111</v>
      </c>
      <c r="Q1374" s="189" t="s">
        <v>112</v>
      </c>
      <c r="R1374" s="189" t="s">
        <v>22</v>
      </c>
      <c r="S1374" s="189" t="s">
        <v>152</v>
      </c>
      <c r="T1374" s="189" t="s">
        <v>121</v>
      </c>
      <c r="V1374" s="189" t="s">
        <v>123</v>
      </c>
      <c r="W1374" s="189" t="s">
        <v>124</v>
      </c>
      <c r="X1374" s="189" t="s">
        <v>116</v>
      </c>
      <c r="Y1374" s="189" t="s">
        <v>2108</v>
      </c>
      <c r="Z1374" s="0" t="n">
        <v>3</v>
      </c>
      <c r="AA1374" s="189" t="s">
        <v>2109</v>
      </c>
    </row>
    <row r="1375" customFormat="false" ht="15" hidden="false" customHeight="false" outlineLevel="0" collapsed="false">
      <c r="A1375" s="0" t="n">
        <v>293</v>
      </c>
      <c r="B1375" s="191" t="n">
        <v>46170.1984881809</v>
      </c>
      <c r="C1375" s="191" t="n">
        <v>46170.2099233661</v>
      </c>
      <c r="D1375" s="189" t="s">
        <v>1959</v>
      </c>
      <c r="E1375" s="189" t="s">
        <v>1960</v>
      </c>
      <c r="F1375" s="189" t="s">
        <v>1960</v>
      </c>
      <c r="G1375" s="189" t="s">
        <v>1961</v>
      </c>
      <c r="H1375" s="191" t="n">
        <v>46166</v>
      </c>
      <c r="I1375" s="189" t="s">
        <v>132</v>
      </c>
      <c r="J1375" s="189" t="s">
        <v>108</v>
      </c>
      <c r="K1375" s="189" t="s">
        <v>462</v>
      </c>
      <c r="L1375" s="189" t="s">
        <v>210</v>
      </c>
      <c r="M1375" s="189" t="s">
        <v>736</v>
      </c>
      <c r="N1375" s="189" t="s">
        <v>653</v>
      </c>
      <c r="O1375" s="189" t="s">
        <v>172</v>
      </c>
      <c r="P1375" s="189" t="s">
        <v>111</v>
      </c>
      <c r="Q1375" s="189" t="s">
        <v>112</v>
      </c>
      <c r="R1375" s="189" t="s">
        <v>22</v>
      </c>
      <c r="S1375" s="189" t="s">
        <v>152</v>
      </c>
      <c r="T1375" s="189" t="s">
        <v>121</v>
      </c>
      <c r="V1375" s="189" t="s">
        <v>123</v>
      </c>
      <c r="W1375" s="189" t="s">
        <v>124</v>
      </c>
      <c r="X1375" s="189" t="s">
        <v>116</v>
      </c>
      <c r="Y1375" s="189" t="s">
        <v>2110</v>
      </c>
      <c r="Z1375" s="0" t="n">
        <v>1</v>
      </c>
      <c r="AA1375" s="189" t="s">
        <v>2255</v>
      </c>
    </row>
    <row r="1376" customFormat="false" ht="15" hidden="false" customHeight="false" outlineLevel="0" collapsed="false">
      <c r="A1376" s="0" t="n">
        <v>293</v>
      </c>
      <c r="B1376" s="191" t="n">
        <v>46170.1984881809</v>
      </c>
      <c r="C1376" s="191" t="n">
        <v>46170.2099233661</v>
      </c>
      <c r="D1376" s="189" t="s">
        <v>1959</v>
      </c>
      <c r="E1376" s="189" t="s">
        <v>1960</v>
      </c>
      <c r="F1376" s="189" t="s">
        <v>1960</v>
      </c>
      <c r="G1376" s="189" t="s">
        <v>1961</v>
      </c>
      <c r="H1376" s="191" t="n">
        <v>46166</v>
      </c>
      <c r="I1376" s="189" t="s">
        <v>132</v>
      </c>
      <c r="J1376" s="189" t="s">
        <v>108</v>
      </c>
      <c r="K1376" s="189" t="s">
        <v>462</v>
      </c>
      <c r="L1376" s="189" t="s">
        <v>210</v>
      </c>
      <c r="M1376" s="189" t="s">
        <v>736</v>
      </c>
      <c r="N1376" s="189" t="s">
        <v>653</v>
      </c>
      <c r="O1376" s="189" t="s">
        <v>172</v>
      </c>
      <c r="P1376" s="189" t="s">
        <v>111</v>
      </c>
      <c r="Q1376" s="189" t="s">
        <v>112</v>
      </c>
      <c r="R1376" s="189" t="s">
        <v>22</v>
      </c>
      <c r="S1376" s="189" t="s">
        <v>152</v>
      </c>
      <c r="T1376" s="189" t="s">
        <v>121</v>
      </c>
      <c r="V1376" s="189" t="s">
        <v>123</v>
      </c>
      <c r="W1376" s="189" t="s">
        <v>124</v>
      </c>
      <c r="X1376" s="189" t="s">
        <v>116</v>
      </c>
      <c r="Y1376" s="189" t="s">
        <v>2113</v>
      </c>
      <c r="Z1376" s="0" t="n">
        <v>1</v>
      </c>
      <c r="AA1376" s="189" t="s">
        <v>2114</v>
      </c>
    </row>
    <row r="1377" customFormat="false" ht="15" hidden="false" customHeight="false" outlineLevel="0" collapsed="false">
      <c r="A1377" s="0" t="n">
        <v>293</v>
      </c>
      <c r="B1377" s="191" t="n">
        <v>46170.1984881809</v>
      </c>
      <c r="C1377" s="191" t="n">
        <v>46170.2099233661</v>
      </c>
      <c r="D1377" s="189" t="s">
        <v>1959</v>
      </c>
      <c r="E1377" s="189" t="s">
        <v>1960</v>
      </c>
      <c r="F1377" s="189" t="s">
        <v>1960</v>
      </c>
      <c r="G1377" s="189" t="s">
        <v>1961</v>
      </c>
      <c r="H1377" s="191" t="n">
        <v>46166</v>
      </c>
      <c r="I1377" s="189" t="s">
        <v>132</v>
      </c>
      <c r="J1377" s="189" t="s">
        <v>108</v>
      </c>
      <c r="K1377" s="189" t="s">
        <v>462</v>
      </c>
      <c r="L1377" s="189" t="s">
        <v>210</v>
      </c>
      <c r="M1377" s="189" t="s">
        <v>736</v>
      </c>
      <c r="N1377" s="189" t="s">
        <v>653</v>
      </c>
      <c r="O1377" s="189" t="s">
        <v>172</v>
      </c>
      <c r="P1377" s="189" t="s">
        <v>111</v>
      </c>
      <c r="Q1377" s="189" t="s">
        <v>112</v>
      </c>
      <c r="R1377" s="189" t="s">
        <v>22</v>
      </c>
      <c r="S1377" s="189" t="s">
        <v>152</v>
      </c>
      <c r="T1377" s="189" t="s">
        <v>121</v>
      </c>
      <c r="V1377" s="189" t="s">
        <v>123</v>
      </c>
      <c r="W1377" s="189" t="s">
        <v>124</v>
      </c>
      <c r="X1377" s="189" t="s">
        <v>116</v>
      </c>
      <c r="Y1377" s="189" t="s">
        <v>2113</v>
      </c>
      <c r="Z1377" s="0" t="n">
        <v>2</v>
      </c>
      <c r="AA1377" s="189" t="s">
        <v>2184</v>
      </c>
    </row>
    <row r="1378" customFormat="false" ht="15" hidden="false" customHeight="false" outlineLevel="0" collapsed="false">
      <c r="A1378" s="0" t="n">
        <v>294</v>
      </c>
      <c r="B1378" s="191" t="n">
        <v>46077.8085676078</v>
      </c>
      <c r="C1378" s="191" t="n">
        <v>46077.8260444596</v>
      </c>
      <c r="D1378" s="189" t="s">
        <v>1963</v>
      </c>
      <c r="E1378" s="189" t="s">
        <v>1964</v>
      </c>
      <c r="F1378" s="189" t="s">
        <v>1964</v>
      </c>
      <c r="G1378" s="189" t="s">
        <v>1965</v>
      </c>
      <c r="H1378" s="191" t="n">
        <v>46074</v>
      </c>
      <c r="I1378" s="189" t="s">
        <v>113</v>
      </c>
      <c r="J1378" s="189" t="s">
        <v>108</v>
      </c>
      <c r="K1378" s="189" t="s">
        <v>1966</v>
      </c>
      <c r="L1378" s="189" t="s">
        <v>246</v>
      </c>
      <c r="M1378" s="189" t="s">
        <v>477</v>
      </c>
      <c r="N1378" s="189" t="s">
        <v>665</v>
      </c>
      <c r="O1378" s="189" t="s">
        <v>172</v>
      </c>
      <c r="P1378" s="189" t="s">
        <v>111</v>
      </c>
      <c r="Q1378" s="189" t="s">
        <v>112</v>
      </c>
      <c r="R1378" s="189" t="s">
        <v>22</v>
      </c>
      <c r="S1378" s="189" t="s">
        <v>152</v>
      </c>
      <c r="T1378" s="189" t="s">
        <v>121</v>
      </c>
      <c r="V1378" s="189" t="s">
        <v>192</v>
      </c>
      <c r="W1378" s="189" t="s">
        <v>124</v>
      </c>
      <c r="X1378" s="189" t="s">
        <v>135</v>
      </c>
      <c r="Y1378" s="189" t="s">
        <v>2108</v>
      </c>
      <c r="Z1378" s="0" t="n">
        <v>1</v>
      </c>
      <c r="AA1378" s="189" t="s">
        <v>2245</v>
      </c>
    </row>
    <row r="1379" customFormat="false" ht="15" hidden="false" customHeight="false" outlineLevel="0" collapsed="false">
      <c r="A1379" s="0" t="n">
        <v>294</v>
      </c>
      <c r="B1379" s="191" t="n">
        <v>46077.8085676078</v>
      </c>
      <c r="C1379" s="191" t="n">
        <v>46077.8260444596</v>
      </c>
      <c r="D1379" s="189" t="s">
        <v>1963</v>
      </c>
      <c r="E1379" s="189" t="s">
        <v>1964</v>
      </c>
      <c r="F1379" s="189" t="s">
        <v>1964</v>
      </c>
      <c r="G1379" s="189" t="s">
        <v>1965</v>
      </c>
      <c r="H1379" s="191" t="n">
        <v>46074</v>
      </c>
      <c r="I1379" s="189" t="s">
        <v>113</v>
      </c>
      <c r="J1379" s="189" t="s">
        <v>108</v>
      </c>
      <c r="K1379" s="189" t="s">
        <v>1966</v>
      </c>
      <c r="L1379" s="189" t="s">
        <v>246</v>
      </c>
      <c r="M1379" s="189" t="s">
        <v>477</v>
      </c>
      <c r="N1379" s="189" t="s">
        <v>665</v>
      </c>
      <c r="O1379" s="189" t="s">
        <v>172</v>
      </c>
      <c r="P1379" s="189" t="s">
        <v>111</v>
      </c>
      <c r="Q1379" s="189" t="s">
        <v>112</v>
      </c>
      <c r="R1379" s="189" t="s">
        <v>22</v>
      </c>
      <c r="S1379" s="189" t="s">
        <v>152</v>
      </c>
      <c r="T1379" s="189" t="s">
        <v>121</v>
      </c>
      <c r="V1379" s="189" t="s">
        <v>192</v>
      </c>
      <c r="W1379" s="189" t="s">
        <v>124</v>
      </c>
      <c r="X1379" s="189" t="s">
        <v>135</v>
      </c>
      <c r="Y1379" s="189" t="s">
        <v>2108</v>
      </c>
      <c r="Z1379" s="0" t="n">
        <v>2</v>
      </c>
      <c r="AA1379" s="189" t="s">
        <v>2227</v>
      </c>
    </row>
    <row r="1380" customFormat="false" ht="15" hidden="false" customHeight="false" outlineLevel="0" collapsed="false">
      <c r="A1380" s="0" t="n">
        <v>294</v>
      </c>
      <c r="B1380" s="191" t="n">
        <v>46077.8085676078</v>
      </c>
      <c r="C1380" s="191" t="n">
        <v>46077.8260444596</v>
      </c>
      <c r="D1380" s="189" t="s">
        <v>1963</v>
      </c>
      <c r="E1380" s="189" t="s">
        <v>1964</v>
      </c>
      <c r="F1380" s="189" t="s">
        <v>1964</v>
      </c>
      <c r="G1380" s="189" t="s">
        <v>1965</v>
      </c>
      <c r="H1380" s="191" t="n">
        <v>46074</v>
      </c>
      <c r="I1380" s="189" t="s">
        <v>113</v>
      </c>
      <c r="J1380" s="189" t="s">
        <v>108</v>
      </c>
      <c r="K1380" s="189" t="s">
        <v>1966</v>
      </c>
      <c r="L1380" s="189" t="s">
        <v>246</v>
      </c>
      <c r="M1380" s="189" t="s">
        <v>477</v>
      </c>
      <c r="N1380" s="189" t="s">
        <v>665</v>
      </c>
      <c r="O1380" s="189" t="s">
        <v>172</v>
      </c>
      <c r="P1380" s="189" t="s">
        <v>111</v>
      </c>
      <c r="Q1380" s="189" t="s">
        <v>112</v>
      </c>
      <c r="R1380" s="189" t="s">
        <v>22</v>
      </c>
      <c r="S1380" s="189" t="s">
        <v>152</v>
      </c>
      <c r="T1380" s="189" t="s">
        <v>121</v>
      </c>
      <c r="V1380" s="189" t="s">
        <v>192</v>
      </c>
      <c r="W1380" s="189" t="s">
        <v>124</v>
      </c>
      <c r="X1380" s="189" t="s">
        <v>135</v>
      </c>
      <c r="Y1380" s="189" t="s">
        <v>2110</v>
      </c>
      <c r="Z1380" s="0" t="n">
        <v>1</v>
      </c>
      <c r="AA1380" s="189" t="s">
        <v>2229</v>
      </c>
    </row>
    <row r="1381" customFormat="false" ht="15" hidden="false" customHeight="false" outlineLevel="0" collapsed="false">
      <c r="A1381" s="0" t="n">
        <v>294</v>
      </c>
      <c r="B1381" s="191" t="n">
        <v>46077.8085676078</v>
      </c>
      <c r="C1381" s="191" t="n">
        <v>46077.8260444596</v>
      </c>
      <c r="D1381" s="189" t="s">
        <v>1963</v>
      </c>
      <c r="E1381" s="189" t="s">
        <v>1964</v>
      </c>
      <c r="F1381" s="189" t="s">
        <v>1964</v>
      </c>
      <c r="G1381" s="189" t="s">
        <v>1965</v>
      </c>
      <c r="H1381" s="191" t="n">
        <v>46074</v>
      </c>
      <c r="I1381" s="189" t="s">
        <v>113</v>
      </c>
      <c r="J1381" s="189" t="s">
        <v>108</v>
      </c>
      <c r="K1381" s="189" t="s">
        <v>1966</v>
      </c>
      <c r="L1381" s="189" t="s">
        <v>246</v>
      </c>
      <c r="M1381" s="189" t="s">
        <v>477</v>
      </c>
      <c r="N1381" s="189" t="s">
        <v>665</v>
      </c>
      <c r="O1381" s="189" t="s">
        <v>172</v>
      </c>
      <c r="P1381" s="189" t="s">
        <v>111</v>
      </c>
      <c r="Q1381" s="189" t="s">
        <v>112</v>
      </c>
      <c r="R1381" s="189" t="s">
        <v>22</v>
      </c>
      <c r="S1381" s="189" t="s">
        <v>152</v>
      </c>
      <c r="T1381" s="189" t="s">
        <v>121</v>
      </c>
      <c r="V1381" s="189" t="s">
        <v>192</v>
      </c>
      <c r="W1381" s="189" t="s">
        <v>124</v>
      </c>
      <c r="X1381" s="189" t="s">
        <v>135</v>
      </c>
      <c r="Y1381" s="189" t="s">
        <v>2113</v>
      </c>
      <c r="Z1381" s="0" t="n">
        <v>1</v>
      </c>
      <c r="AA1381" s="189" t="s">
        <v>2196</v>
      </c>
    </row>
    <row r="1382" customFormat="false" ht="15" hidden="false" customHeight="false" outlineLevel="0" collapsed="false">
      <c r="A1382" s="0" t="n">
        <v>295</v>
      </c>
      <c r="B1382" s="191" t="n">
        <v>46133.4566926642</v>
      </c>
      <c r="C1382" s="191" t="n">
        <v>46133.4706162753</v>
      </c>
      <c r="D1382" s="189" t="s">
        <v>1969</v>
      </c>
      <c r="E1382" s="189" t="s">
        <v>1970</v>
      </c>
      <c r="F1382" s="189" t="s">
        <v>1970</v>
      </c>
      <c r="G1382" s="189" t="s">
        <v>1971</v>
      </c>
      <c r="H1382" s="191" t="n">
        <v>46120</v>
      </c>
      <c r="I1382" s="189" t="s">
        <v>113</v>
      </c>
      <c r="J1382" s="189" t="s">
        <v>108</v>
      </c>
      <c r="K1382" s="189" t="s">
        <v>1972</v>
      </c>
      <c r="L1382" s="189" t="s">
        <v>346</v>
      </c>
      <c r="M1382" s="189" t="s">
        <v>1074</v>
      </c>
      <c r="N1382" s="189" t="s">
        <v>1255</v>
      </c>
      <c r="O1382" s="189" t="s">
        <v>107</v>
      </c>
      <c r="P1382" s="189" t="s">
        <v>111</v>
      </c>
      <c r="Q1382" s="189" t="s">
        <v>112</v>
      </c>
      <c r="R1382" s="189" t="s">
        <v>22</v>
      </c>
      <c r="S1382" s="189" t="s">
        <v>152</v>
      </c>
      <c r="T1382" s="189" t="s">
        <v>264</v>
      </c>
      <c r="U1382" s="189" t="s">
        <v>785</v>
      </c>
      <c r="V1382" s="189" t="s">
        <v>123</v>
      </c>
      <c r="W1382" s="189" t="s">
        <v>124</v>
      </c>
      <c r="X1382" s="189" t="s">
        <v>715</v>
      </c>
      <c r="Y1382" s="189" t="s">
        <v>2108</v>
      </c>
      <c r="Z1382" s="0" t="n">
        <v>1</v>
      </c>
      <c r="AA1382" s="189" t="s">
        <v>2269</v>
      </c>
    </row>
    <row r="1383" customFormat="false" ht="15" hidden="false" customHeight="false" outlineLevel="0" collapsed="false">
      <c r="A1383" s="0" t="n">
        <v>295</v>
      </c>
      <c r="B1383" s="191" t="n">
        <v>46133.4566926642</v>
      </c>
      <c r="C1383" s="191" t="n">
        <v>46133.4706162753</v>
      </c>
      <c r="D1383" s="189" t="s">
        <v>1969</v>
      </c>
      <c r="E1383" s="189" t="s">
        <v>1970</v>
      </c>
      <c r="F1383" s="189" t="s">
        <v>1970</v>
      </c>
      <c r="G1383" s="189" t="s">
        <v>1971</v>
      </c>
      <c r="H1383" s="191" t="n">
        <v>46120</v>
      </c>
      <c r="I1383" s="189" t="s">
        <v>113</v>
      </c>
      <c r="J1383" s="189" t="s">
        <v>108</v>
      </c>
      <c r="K1383" s="189" t="s">
        <v>1972</v>
      </c>
      <c r="L1383" s="189" t="s">
        <v>346</v>
      </c>
      <c r="M1383" s="189" t="s">
        <v>1074</v>
      </c>
      <c r="N1383" s="189" t="s">
        <v>1255</v>
      </c>
      <c r="O1383" s="189" t="s">
        <v>107</v>
      </c>
      <c r="P1383" s="189" t="s">
        <v>111</v>
      </c>
      <c r="Q1383" s="189" t="s">
        <v>112</v>
      </c>
      <c r="R1383" s="189" t="s">
        <v>22</v>
      </c>
      <c r="S1383" s="189" t="s">
        <v>152</v>
      </c>
      <c r="T1383" s="189" t="s">
        <v>264</v>
      </c>
      <c r="U1383" s="189" t="s">
        <v>785</v>
      </c>
      <c r="V1383" s="189" t="s">
        <v>123</v>
      </c>
      <c r="W1383" s="189" t="s">
        <v>124</v>
      </c>
      <c r="X1383" s="189" t="s">
        <v>715</v>
      </c>
      <c r="Y1383" s="189" t="s">
        <v>2110</v>
      </c>
      <c r="Z1383" s="0" t="n">
        <v>1</v>
      </c>
      <c r="AA1383" s="189" t="s">
        <v>2275</v>
      </c>
    </row>
    <row r="1384" customFormat="false" ht="15" hidden="false" customHeight="false" outlineLevel="0" collapsed="false">
      <c r="A1384" s="0" t="n">
        <v>295</v>
      </c>
      <c r="B1384" s="191" t="n">
        <v>46133.4566926642</v>
      </c>
      <c r="C1384" s="191" t="n">
        <v>46133.4706162753</v>
      </c>
      <c r="D1384" s="189" t="s">
        <v>1969</v>
      </c>
      <c r="E1384" s="189" t="s">
        <v>1970</v>
      </c>
      <c r="F1384" s="189" t="s">
        <v>1970</v>
      </c>
      <c r="G1384" s="189" t="s">
        <v>1971</v>
      </c>
      <c r="H1384" s="191" t="n">
        <v>46120</v>
      </c>
      <c r="I1384" s="189" t="s">
        <v>113</v>
      </c>
      <c r="J1384" s="189" t="s">
        <v>108</v>
      </c>
      <c r="K1384" s="189" t="s">
        <v>1972</v>
      </c>
      <c r="L1384" s="189" t="s">
        <v>346</v>
      </c>
      <c r="M1384" s="189" t="s">
        <v>1074</v>
      </c>
      <c r="N1384" s="189" t="s">
        <v>1255</v>
      </c>
      <c r="O1384" s="189" t="s">
        <v>107</v>
      </c>
      <c r="P1384" s="189" t="s">
        <v>111</v>
      </c>
      <c r="Q1384" s="189" t="s">
        <v>112</v>
      </c>
      <c r="R1384" s="189" t="s">
        <v>22</v>
      </c>
      <c r="S1384" s="189" t="s">
        <v>152</v>
      </c>
      <c r="T1384" s="189" t="s">
        <v>264</v>
      </c>
      <c r="U1384" s="189" t="s">
        <v>785</v>
      </c>
      <c r="V1384" s="189" t="s">
        <v>123</v>
      </c>
      <c r="W1384" s="189" t="s">
        <v>124</v>
      </c>
      <c r="X1384" s="189" t="s">
        <v>715</v>
      </c>
      <c r="Y1384" s="189" t="s">
        <v>2110</v>
      </c>
      <c r="Z1384" s="0" t="n">
        <v>2</v>
      </c>
      <c r="AA1384" s="189" t="s">
        <v>2297</v>
      </c>
    </row>
    <row r="1385" customFormat="false" ht="15" hidden="false" customHeight="false" outlineLevel="0" collapsed="false">
      <c r="A1385" s="0" t="n">
        <v>295</v>
      </c>
      <c r="B1385" s="191" t="n">
        <v>46133.4566926642</v>
      </c>
      <c r="C1385" s="191" t="n">
        <v>46133.4706162753</v>
      </c>
      <c r="D1385" s="189" t="s">
        <v>1969</v>
      </c>
      <c r="E1385" s="189" t="s">
        <v>1970</v>
      </c>
      <c r="F1385" s="189" t="s">
        <v>1970</v>
      </c>
      <c r="G1385" s="189" t="s">
        <v>1971</v>
      </c>
      <c r="H1385" s="191" t="n">
        <v>46120</v>
      </c>
      <c r="I1385" s="189" t="s">
        <v>113</v>
      </c>
      <c r="J1385" s="189" t="s">
        <v>108</v>
      </c>
      <c r="K1385" s="189" t="s">
        <v>1972</v>
      </c>
      <c r="L1385" s="189" t="s">
        <v>346</v>
      </c>
      <c r="M1385" s="189" t="s">
        <v>1074</v>
      </c>
      <c r="N1385" s="189" t="s">
        <v>1255</v>
      </c>
      <c r="O1385" s="189" t="s">
        <v>107</v>
      </c>
      <c r="P1385" s="189" t="s">
        <v>111</v>
      </c>
      <c r="Q1385" s="189" t="s">
        <v>112</v>
      </c>
      <c r="R1385" s="189" t="s">
        <v>22</v>
      </c>
      <c r="S1385" s="189" t="s">
        <v>152</v>
      </c>
      <c r="T1385" s="189" t="s">
        <v>264</v>
      </c>
      <c r="U1385" s="189" t="s">
        <v>785</v>
      </c>
      <c r="V1385" s="189" t="s">
        <v>123</v>
      </c>
      <c r="W1385" s="189" t="s">
        <v>124</v>
      </c>
      <c r="X1385" s="189" t="s">
        <v>715</v>
      </c>
      <c r="Y1385" s="189" t="s">
        <v>2113</v>
      </c>
      <c r="Z1385" s="0" t="n">
        <v>1</v>
      </c>
      <c r="AA1385" s="189" t="s">
        <v>2301</v>
      </c>
    </row>
    <row r="1386" customFormat="false" ht="15" hidden="false" customHeight="false" outlineLevel="0" collapsed="false">
      <c r="A1386" s="0" t="n">
        <v>295</v>
      </c>
      <c r="B1386" s="191" t="n">
        <v>46133.4566926642</v>
      </c>
      <c r="C1386" s="191" t="n">
        <v>46133.4706162753</v>
      </c>
      <c r="D1386" s="189" t="s">
        <v>1969</v>
      </c>
      <c r="E1386" s="189" t="s">
        <v>1970</v>
      </c>
      <c r="F1386" s="189" t="s">
        <v>1970</v>
      </c>
      <c r="G1386" s="189" t="s">
        <v>1971</v>
      </c>
      <c r="H1386" s="191" t="n">
        <v>46120</v>
      </c>
      <c r="I1386" s="189" t="s">
        <v>113</v>
      </c>
      <c r="J1386" s="189" t="s">
        <v>108</v>
      </c>
      <c r="K1386" s="189" t="s">
        <v>1972</v>
      </c>
      <c r="L1386" s="189" t="s">
        <v>346</v>
      </c>
      <c r="M1386" s="189" t="s">
        <v>1074</v>
      </c>
      <c r="N1386" s="189" t="s">
        <v>1255</v>
      </c>
      <c r="O1386" s="189" t="s">
        <v>107</v>
      </c>
      <c r="P1386" s="189" t="s">
        <v>111</v>
      </c>
      <c r="Q1386" s="189" t="s">
        <v>112</v>
      </c>
      <c r="R1386" s="189" t="s">
        <v>22</v>
      </c>
      <c r="S1386" s="189" t="s">
        <v>152</v>
      </c>
      <c r="T1386" s="189" t="s">
        <v>264</v>
      </c>
      <c r="U1386" s="189" t="s">
        <v>785</v>
      </c>
      <c r="V1386" s="189" t="s">
        <v>123</v>
      </c>
      <c r="W1386" s="189" t="s">
        <v>124</v>
      </c>
      <c r="X1386" s="189" t="s">
        <v>715</v>
      </c>
      <c r="Y1386" s="189" t="s">
        <v>2113</v>
      </c>
      <c r="Z1386" s="0" t="n">
        <v>2</v>
      </c>
      <c r="AA1386" s="189" t="s">
        <v>2331</v>
      </c>
    </row>
    <row r="1387" customFormat="false" ht="15" hidden="false" customHeight="false" outlineLevel="0" collapsed="false">
      <c r="A1387" s="0" t="n">
        <v>297</v>
      </c>
      <c r="B1387" s="191" t="n">
        <v>46178.1915174875</v>
      </c>
      <c r="C1387" s="191" t="n">
        <v>46178.1932188764</v>
      </c>
      <c r="D1387" s="189" t="s">
        <v>1981</v>
      </c>
      <c r="E1387" s="189" t="s">
        <v>1982</v>
      </c>
      <c r="F1387" s="189" t="s">
        <v>1982</v>
      </c>
      <c r="G1387" s="189" t="s">
        <v>1983</v>
      </c>
      <c r="H1387" s="191" t="n">
        <v>46177</v>
      </c>
      <c r="I1387" s="189" t="s">
        <v>113</v>
      </c>
      <c r="J1387" s="189" t="s">
        <v>108</v>
      </c>
      <c r="K1387" s="189" t="s">
        <v>173</v>
      </c>
      <c r="L1387" s="189" t="s">
        <v>159</v>
      </c>
      <c r="M1387" s="189" t="s">
        <v>1074</v>
      </c>
      <c r="N1387" s="189" t="s">
        <v>758</v>
      </c>
      <c r="O1387" s="189" t="s">
        <v>244</v>
      </c>
      <c r="P1387" s="189" t="s">
        <v>111</v>
      </c>
      <c r="Q1387" s="189" t="s">
        <v>112</v>
      </c>
      <c r="R1387" s="189" t="s">
        <v>22</v>
      </c>
      <c r="S1387" s="189" t="s">
        <v>152</v>
      </c>
      <c r="T1387" s="189" t="s">
        <v>352</v>
      </c>
      <c r="U1387" s="189" t="s">
        <v>239</v>
      </c>
      <c r="V1387" s="189" t="s">
        <v>192</v>
      </c>
      <c r="W1387" s="189" t="s">
        <v>124</v>
      </c>
      <c r="X1387" s="189" t="s">
        <v>116</v>
      </c>
      <c r="Y1387" s="189" t="s">
        <v>2108</v>
      </c>
      <c r="Z1387" s="0" t="n">
        <v>1</v>
      </c>
      <c r="AA1387" s="189" t="s">
        <v>2151</v>
      </c>
    </row>
    <row r="1388" customFormat="false" ht="15" hidden="false" customHeight="false" outlineLevel="0" collapsed="false">
      <c r="A1388" s="0" t="n">
        <v>297</v>
      </c>
      <c r="B1388" s="191" t="n">
        <v>46178.1915174875</v>
      </c>
      <c r="C1388" s="191" t="n">
        <v>46178.1932188764</v>
      </c>
      <c r="D1388" s="189" t="s">
        <v>1981</v>
      </c>
      <c r="E1388" s="189" t="s">
        <v>1982</v>
      </c>
      <c r="F1388" s="189" t="s">
        <v>1982</v>
      </c>
      <c r="G1388" s="189" t="s">
        <v>1983</v>
      </c>
      <c r="H1388" s="191" t="n">
        <v>46177</v>
      </c>
      <c r="I1388" s="189" t="s">
        <v>113</v>
      </c>
      <c r="J1388" s="189" t="s">
        <v>108</v>
      </c>
      <c r="K1388" s="189" t="s">
        <v>173</v>
      </c>
      <c r="L1388" s="189" t="s">
        <v>159</v>
      </c>
      <c r="M1388" s="189" t="s">
        <v>1074</v>
      </c>
      <c r="N1388" s="189" t="s">
        <v>758</v>
      </c>
      <c r="O1388" s="189" t="s">
        <v>244</v>
      </c>
      <c r="P1388" s="189" t="s">
        <v>111</v>
      </c>
      <c r="Q1388" s="189" t="s">
        <v>112</v>
      </c>
      <c r="R1388" s="189" t="s">
        <v>22</v>
      </c>
      <c r="S1388" s="189" t="s">
        <v>152</v>
      </c>
      <c r="T1388" s="189" t="s">
        <v>352</v>
      </c>
      <c r="U1388" s="189" t="s">
        <v>239</v>
      </c>
      <c r="V1388" s="189" t="s">
        <v>192</v>
      </c>
      <c r="W1388" s="189" t="s">
        <v>124</v>
      </c>
      <c r="X1388" s="189" t="s">
        <v>116</v>
      </c>
      <c r="Y1388" s="189" t="s">
        <v>2110</v>
      </c>
      <c r="Z1388" s="0" t="n">
        <v>1</v>
      </c>
      <c r="AA1388" s="189" t="s">
        <v>122</v>
      </c>
    </row>
    <row r="1389" customFormat="false" ht="15" hidden="false" customHeight="false" outlineLevel="0" collapsed="false">
      <c r="A1389" s="0" t="n">
        <v>297</v>
      </c>
      <c r="B1389" s="191" t="n">
        <v>46178.1915174875</v>
      </c>
      <c r="C1389" s="191" t="n">
        <v>46178.1932188764</v>
      </c>
      <c r="D1389" s="189" t="s">
        <v>1981</v>
      </c>
      <c r="E1389" s="189" t="s">
        <v>1982</v>
      </c>
      <c r="F1389" s="189" t="s">
        <v>1982</v>
      </c>
      <c r="G1389" s="189" t="s">
        <v>1983</v>
      </c>
      <c r="H1389" s="191" t="n">
        <v>46177</v>
      </c>
      <c r="I1389" s="189" t="s">
        <v>113</v>
      </c>
      <c r="J1389" s="189" t="s">
        <v>108</v>
      </c>
      <c r="K1389" s="189" t="s">
        <v>173</v>
      </c>
      <c r="L1389" s="189" t="s">
        <v>159</v>
      </c>
      <c r="M1389" s="189" t="s">
        <v>1074</v>
      </c>
      <c r="N1389" s="189" t="s">
        <v>758</v>
      </c>
      <c r="O1389" s="189" t="s">
        <v>244</v>
      </c>
      <c r="P1389" s="189" t="s">
        <v>111</v>
      </c>
      <c r="Q1389" s="189" t="s">
        <v>112</v>
      </c>
      <c r="R1389" s="189" t="s">
        <v>22</v>
      </c>
      <c r="S1389" s="189" t="s">
        <v>152</v>
      </c>
      <c r="T1389" s="189" t="s">
        <v>352</v>
      </c>
      <c r="U1389" s="189" t="s">
        <v>239</v>
      </c>
      <c r="V1389" s="189" t="s">
        <v>192</v>
      </c>
      <c r="W1389" s="189" t="s">
        <v>124</v>
      </c>
      <c r="X1389" s="189" t="s">
        <v>116</v>
      </c>
      <c r="Y1389" s="189" t="s">
        <v>2110</v>
      </c>
      <c r="Z1389" s="0" t="n">
        <v>2</v>
      </c>
      <c r="AA1389" s="189" t="s">
        <v>2126</v>
      </c>
    </row>
    <row r="1390" customFormat="false" ht="15" hidden="false" customHeight="false" outlineLevel="0" collapsed="false">
      <c r="A1390" s="0" t="n">
        <v>297</v>
      </c>
      <c r="B1390" s="191" t="n">
        <v>46178.1915174875</v>
      </c>
      <c r="C1390" s="191" t="n">
        <v>46178.1932188764</v>
      </c>
      <c r="D1390" s="189" t="s">
        <v>1981</v>
      </c>
      <c r="E1390" s="189" t="s">
        <v>1982</v>
      </c>
      <c r="F1390" s="189" t="s">
        <v>1982</v>
      </c>
      <c r="G1390" s="189" t="s">
        <v>1983</v>
      </c>
      <c r="H1390" s="191" t="n">
        <v>46177</v>
      </c>
      <c r="I1390" s="189" t="s">
        <v>113</v>
      </c>
      <c r="J1390" s="189" t="s">
        <v>108</v>
      </c>
      <c r="K1390" s="189" t="s">
        <v>173</v>
      </c>
      <c r="L1390" s="189" t="s">
        <v>159</v>
      </c>
      <c r="M1390" s="189" t="s">
        <v>1074</v>
      </c>
      <c r="N1390" s="189" t="s">
        <v>758</v>
      </c>
      <c r="O1390" s="189" t="s">
        <v>244</v>
      </c>
      <c r="P1390" s="189" t="s">
        <v>111</v>
      </c>
      <c r="Q1390" s="189" t="s">
        <v>112</v>
      </c>
      <c r="R1390" s="189" t="s">
        <v>22</v>
      </c>
      <c r="S1390" s="189" t="s">
        <v>152</v>
      </c>
      <c r="T1390" s="189" t="s">
        <v>352</v>
      </c>
      <c r="U1390" s="189" t="s">
        <v>239</v>
      </c>
      <c r="V1390" s="189" t="s">
        <v>192</v>
      </c>
      <c r="W1390" s="189" t="s">
        <v>124</v>
      </c>
      <c r="X1390" s="189" t="s">
        <v>116</v>
      </c>
      <c r="Y1390" s="189" t="s">
        <v>2113</v>
      </c>
      <c r="Z1390" s="0" t="n">
        <v>1</v>
      </c>
      <c r="AA1390" s="189" t="s">
        <v>2127</v>
      </c>
    </row>
    <row r="1391" customFormat="false" ht="15" hidden="false" customHeight="false" outlineLevel="0" collapsed="false">
      <c r="A1391" s="0" t="n">
        <v>298</v>
      </c>
      <c r="B1391" s="191" t="n">
        <v>46127.8660765996</v>
      </c>
      <c r="C1391" s="191" t="n">
        <v>46127.8703127107</v>
      </c>
      <c r="D1391" s="189" t="s">
        <v>1985</v>
      </c>
      <c r="E1391" s="189" t="s">
        <v>1986</v>
      </c>
      <c r="F1391" s="189" t="s">
        <v>1986</v>
      </c>
      <c r="G1391" s="189" t="s">
        <v>1987</v>
      </c>
      <c r="H1391" s="191" t="n">
        <v>46119</v>
      </c>
      <c r="I1391" s="189" t="s">
        <v>113</v>
      </c>
      <c r="J1391" s="189" t="s">
        <v>128</v>
      </c>
      <c r="K1391" s="189" t="s">
        <v>143</v>
      </c>
      <c r="L1391" s="189" t="s">
        <v>110</v>
      </c>
      <c r="M1391" s="189" t="s">
        <v>397</v>
      </c>
      <c r="N1391" s="189" t="s">
        <v>990</v>
      </c>
      <c r="O1391" s="189" t="s">
        <v>1949</v>
      </c>
      <c r="P1391" s="189" t="s">
        <v>131</v>
      </c>
      <c r="Q1391" s="189" t="s">
        <v>112</v>
      </c>
      <c r="R1391" s="189" t="s">
        <v>25</v>
      </c>
      <c r="S1391" s="189" t="s">
        <v>152</v>
      </c>
      <c r="T1391" s="189" t="s">
        <v>121</v>
      </c>
      <c r="U1391" s="189" t="s">
        <v>1032</v>
      </c>
      <c r="V1391" s="189" t="s">
        <v>123</v>
      </c>
      <c r="W1391" s="189" t="s">
        <v>168</v>
      </c>
      <c r="X1391" s="189" t="s">
        <v>327</v>
      </c>
      <c r="Y1391" s="189" t="s">
        <v>2108</v>
      </c>
      <c r="Z1391" s="0" t="n">
        <v>1</v>
      </c>
      <c r="AA1391" s="189" t="s">
        <v>2139</v>
      </c>
    </row>
    <row r="1392" customFormat="false" ht="15" hidden="false" customHeight="false" outlineLevel="0" collapsed="false">
      <c r="A1392" s="0" t="n">
        <v>298</v>
      </c>
      <c r="B1392" s="191" t="n">
        <v>46127.8660765996</v>
      </c>
      <c r="C1392" s="191" t="n">
        <v>46127.8703127107</v>
      </c>
      <c r="D1392" s="189" t="s">
        <v>1985</v>
      </c>
      <c r="E1392" s="189" t="s">
        <v>1986</v>
      </c>
      <c r="F1392" s="189" t="s">
        <v>1986</v>
      </c>
      <c r="G1392" s="189" t="s">
        <v>1987</v>
      </c>
      <c r="H1392" s="191" t="n">
        <v>46119</v>
      </c>
      <c r="I1392" s="189" t="s">
        <v>113</v>
      </c>
      <c r="J1392" s="189" t="s">
        <v>128</v>
      </c>
      <c r="K1392" s="189" t="s">
        <v>143</v>
      </c>
      <c r="L1392" s="189" t="s">
        <v>110</v>
      </c>
      <c r="M1392" s="189" t="s">
        <v>397</v>
      </c>
      <c r="N1392" s="189" t="s">
        <v>990</v>
      </c>
      <c r="O1392" s="189" t="s">
        <v>1949</v>
      </c>
      <c r="P1392" s="189" t="s">
        <v>131</v>
      </c>
      <c r="Q1392" s="189" t="s">
        <v>112</v>
      </c>
      <c r="R1392" s="189" t="s">
        <v>25</v>
      </c>
      <c r="S1392" s="189" t="s">
        <v>152</v>
      </c>
      <c r="T1392" s="189" t="s">
        <v>121</v>
      </c>
      <c r="U1392" s="189" t="s">
        <v>1032</v>
      </c>
      <c r="V1392" s="189" t="s">
        <v>123</v>
      </c>
      <c r="W1392" s="189" t="s">
        <v>168</v>
      </c>
      <c r="X1392" s="189" t="s">
        <v>327</v>
      </c>
      <c r="Y1392" s="189" t="s">
        <v>2108</v>
      </c>
      <c r="Z1392" s="0" t="n">
        <v>2</v>
      </c>
      <c r="AA1392" s="189" t="s">
        <v>2109</v>
      </c>
    </row>
    <row r="1393" customFormat="false" ht="15" hidden="false" customHeight="false" outlineLevel="0" collapsed="false">
      <c r="A1393" s="0" t="n">
        <v>298</v>
      </c>
      <c r="B1393" s="191" t="n">
        <v>46127.8660765996</v>
      </c>
      <c r="C1393" s="191" t="n">
        <v>46127.8703127107</v>
      </c>
      <c r="D1393" s="189" t="s">
        <v>1985</v>
      </c>
      <c r="E1393" s="189" t="s">
        <v>1986</v>
      </c>
      <c r="F1393" s="189" t="s">
        <v>1986</v>
      </c>
      <c r="G1393" s="189" t="s">
        <v>1987</v>
      </c>
      <c r="H1393" s="191" t="n">
        <v>46119</v>
      </c>
      <c r="I1393" s="189" t="s">
        <v>113</v>
      </c>
      <c r="J1393" s="189" t="s">
        <v>128</v>
      </c>
      <c r="K1393" s="189" t="s">
        <v>143</v>
      </c>
      <c r="L1393" s="189" t="s">
        <v>110</v>
      </c>
      <c r="M1393" s="189" t="s">
        <v>397</v>
      </c>
      <c r="N1393" s="189" t="s">
        <v>990</v>
      </c>
      <c r="O1393" s="189" t="s">
        <v>1949</v>
      </c>
      <c r="P1393" s="189" t="s">
        <v>131</v>
      </c>
      <c r="Q1393" s="189" t="s">
        <v>112</v>
      </c>
      <c r="R1393" s="189" t="s">
        <v>25</v>
      </c>
      <c r="S1393" s="189" t="s">
        <v>152</v>
      </c>
      <c r="T1393" s="189" t="s">
        <v>121</v>
      </c>
      <c r="U1393" s="189" t="s">
        <v>1032</v>
      </c>
      <c r="V1393" s="189" t="s">
        <v>123</v>
      </c>
      <c r="W1393" s="189" t="s">
        <v>168</v>
      </c>
      <c r="X1393" s="189" t="s">
        <v>327</v>
      </c>
      <c r="Y1393" s="189" t="s">
        <v>2110</v>
      </c>
      <c r="Z1393" s="0" t="n">
        <v>1</v>
      </c>
      <c r="AA1393" s="189" t="s">
        <v>2255</v>
      </c>
    </row>
    <row r="1394" customFormat="false" ht="15" hidden="false" customHeight="false" outlineLevel="0" collapsed="false">
      <c r="A1394" s="0" t="n">
        <v>298</v>
      </c>
      <c r="B1394" s="191" t="n">
        <v>46127.8660765996</v>
      </c>
      <c r="C1394" s="191" t="n">
        <v>46127.8703127107</v>
      </c>
      <c r="D1394" s="189" t="s">
        <v>1985</v>
      </c>
      <c r="E1394" s="189" t="s">
        <v>1986</v>
      </c>
      <c r="F1394" s="189" t="s">
        <v>1986</v>
      </c>
      <c r="G1394" s="189" t="s">
        <v>1987</v>
      </c>
      <c r="H1394" s="191" t="n">
        <v>46119</v>
      </c>
      <c r="I1394" s="189" t="s">
        <v>113</v>
      </c>
      <c r="J1394" s="189" t="s">
        <v>128</v>
      </c>
      <c r="K1394" s="189" t="s">
        <v>143</v>
      </c>
      <c r="L1394" s="189" t="s">
        <v>110</v>
      </c>
      <c r="M1394" s="189" t="s">
        <v>397</v>
      </c>
      <c r="N1394" s="189" t="s">
        <v>990</v>
      </c>
      <c r="O1394" s="189" t="s">
        <v>1949</v>
      </c>
      <c r="P1394" s="189" t="s">
        <v>131</v>
      </c>
      <c r="Q1394" s="189" t="s">
        <v>112</v>
      </c>
      <c r="R1394" s="189" t="s">
        <v>25</v>
      </c>
      <c r="S1394" s="189" t="s">
        <v>152</v>
      </c>
      <c r="T1394" s="189" t="s">
        <v>121</v>
      </c>
      <c r="U1394" s="189" t="s">
        <v>1032</v>
      </c>
      <c r="V1394" s="189" t="s">
        <v>123</v>
      </c>
      <c r="W1394" s="189" t="s">
        <v>168</v>
      </c>
      <c r="X1394" s="189" t="s">
        <v>327</v>
      </c>
      <c r="Y1394" s="189" t="s">
        <v>2113</v>
      </c>
      <c r="Z1394" s="0" t="n">
        <v>1</v>
      </c>
      <c r="AA1394" s="189" t="s">
        <v>122</v>
      </c>
    </row>
    <row r="1395" customFormat="false" ht="15" hidden="false" customHeight="false" outlineLevel="0" collapsed="false">
      <c r="A1395" s="0" t="n">
        <v>298</v>
      </c>
      <c r="B1395" s="191" t="n">
        <v>46127.8660765996</v>
      </c>
      <c r="C1395" s="191" t="n">
        <v>46127.8703127107</v>
      </c>
      <c r="D1395" s="189" t="s">
        <v>1985</v>
      </c>
      <c r="E1395" s="189" t="s">
        <v>1986</v>
      </c>
      <c r="F1395" s="189" t="s">
        <v>1986</v>
      </c>
      <c r="G1395" s="189" t="s">
        <v>1987</v>
      </c>
      <c r="H1395" s="191" t="n">
        <v>46119</v>
      </c>
      <c r="I1395" s="189" t="s">
        <v>113</v>
      </c>
      <c r="J1395" s="189" t="s">
        <v>128</v>
      </c>
      <c r="K1395" s="189" t="s">
        <v>143</v>
      </c>
      <c r="L1395" s="189" t="s">
        <v>110</v>
      </c>
      <c r="M1395" s="189" t="s">
        <v>397</v>
      </c>
      <c r="N1395" s="189" t="s">
        <v>990</v>
      </c>
      <c r="O1395" s="189" t="s">
        <v>1949</v>
      </c>
      <c r="P1395" s="189" t="s">
        <v>131</v>
      </c>
      <c r="Q1395" s="189" t="s">
        <v>112</v>
      </c>
      <c r="R1395" s="189" t="s">
        <v>25</v>
      </c>
      <c r="S1395" s="189" t="s">
        <v>152</v>
      </c>
      <c r="T1395" s="189" t="s">
        <v>121</v>
      </c>
      <c r="U1395" s="189" t="s">
        <v>1032</v>
      </c>
      <c r="V1395" s="189" t="s">
        <v>123</v>
      </c>
      <c r="W1395" s="189" t="s">
        <v>168</v>
      </c>
      <c r="X1395" s="189" t="s">
        <v>327</v>
      </c>
      <c r="Y1395" s="189" t="s">
        <v>2113</v>
      </c>
      <c r="Z1395" s="0" t="n">
        <v>2</v>
      </c>
      <c r="AA1395" s="189" t="s">
        <v>2152</v>
      </c>
    </row>
    <row r="1396" customFormat="false" ht="15" hidden="false" customHeight="false" outlineLevel="0" collapsed="false">
      <c r="A1396" s="0" t="n">
        <v>299</v>
      </c>
      <c r="B1396" s="191" t="n">
        <v>46171.2889223917</v>
      </c>
      <c r="C1396" s="191" t="n">
        <v>46171.2979270213</v>
      </c>
      <c r="D1396" s="189" t="s">
        <v>1988</v>
      </c>
      <c r="E1396" s="189" t="s">
        <v>1989</v>
      </c>
      <c r="F1396" s="189" t="s">
        <v>1989</v>
      </c>
      <c r="G1396" s="189" t="s">
        <v>1990</v>
      </c>
      <c r="H1396" s="191" t="n">
        <v>46163</v>
      </c>
      <c r="I1396" s="189" t="s">
        <v>113</v>
      </c>
      <c r="J1396" s="189" t="s">
        <v>108</v>
      </c>
      <c r="K1396" s="189" t="s">
        <v>446</v>
      </c>
      <c r="L1396" s="189" t="s">
        <v>389</v>
      </c>
      <c r="M1396" s="189" t="s">
        <v>736</v>
      </c>
      <c r="N1396" s="189" t="s">
        <v>422</v>
      </c>
      <c r="O1396" s="189" t="s">
        <v>713</v>
      </c>
      <c r="P1396" s="189" t="s">
        <v>111</v>
      </c>
      <c r="Q1396" s="189" t="s">
        <v>112</v>
      </c>
      <c r="R1396" s="189" t="s">
        <v>22</v>
      </c>
      <c r="S1396" s="189" t="s">
        <v>152</v>
      </c>
      <c r="T1396" s="189" t="s">
        <v>264</v>
      </c>
      <c r="U1396" s="189" t="s">
        <v>122</v>
      </c>
      <c r="V1396" s="189" t="s">
        <v>123</v>
      </c>
      <c r="W1396" s="189" t="s">
        <v>124</v>
      </c>
      <c r="X1396" s="189" t="s">
        <v>298</v>
      </c>
      <c r="Y1396" s="189" t="s">
        <v>2108</v>
      </c>
      <c r="Z1396" s="0" t="n">
        <v>1</v>
      </c>
      <c r="AA1396" s="189" t="s">
        <v>2251</v>
      </c>
    </row>
    <row r="1397" customFormat="false" ht="15" hidden="false" customHeight="false" outlineLevel="0" collapsed="false">
      <c r="A1397" s="0" t="n">
        <v>299</v>
      </c>
      <c r="B1397" s="191" t="n">
        <v>46171.2889223917</v>
      </c>
      <c r="C1397" s="191" t="n">
        <v>46171.2979270213</v>
      </c>
      <c r="D1397" s="189" t="s">
        <v>1988</v>
      </c>
      <c r="E1397" s="189" t="s">
        <v>1989</v>
      </c>
      <c r="F1397" s="189" t="s">
        <v>1989</v>
      </c>
      <c r="G1397" s="189" t="s">
        <v>1990</v>
      </c>
      <c r="H1397" s="191" t="n">
        <v>46163</v>
      </c>
      <c r="I1397" s="189" t="s">
        <v>113</v>
      </c>
      <c r="J1397" s="189" t="s">
        <v>108</v>
      </c>
      <c r="K1397" s="189" t="s">
        <v>446</v>
      </c>
      <c r="L1397" s="189" t="s">
        <v>389</v>
      </c>
      <c r="M1397" s="189" t="s">
        <v>736</v>
      </c>
      <c r="N1397" s="189" t="s">
        <v>422</v>
      </c>
      <c r="O1397" s="189" t="s">
        <v>713</v>
      </c>
      <c r="P1397" s="189" t="s">
        <v>111</v>
      </c>
      <c r="Q1397" s="189" t="s">
        <v>112</v>
      </c>
      <c r="R1397" s="189" t="s">
        <v>22</v>
      </c>
      <c r="S1397" s="189" t="s">
        <v>152</v>
      </c>
      <c r="T1397" s="189" t="s">
        <v>264</v>
      </c>
      <c r="U1397" s="189" t="s">
        <v>122</v>
      </c>
      <c r="V1397" s="189" t="s">
        <v>123</v>
      </c>
      <c r="W1397" s="189" t="s">
        <v>124</v>
      </c>
      <c r="X1397" s="189" t="s">
        <v>298</v>
      </c>
      <c r="Y1397" s="189" t="s">
        <v>2108</v>
      </c>
      <c r="Z1397" s="0" t="n">
        <v>2</v>
      </c>
      <c r="AA1397" s="189" t="s">
        <v>2168</v>
      </c>
    </row>
    <row r="1398" customFormat="false" ht="15" hidden="false" customHeight="false" outlineLevel="0" collapsed="false">
      <c r="A1398" s="0" t="n">
        <v>299</v>
      </c>
      <c r="B1398" s="191" t="n">
        <v>46171.2889223917</v>
      </c>
      <c r="C1398" s="191" t="n">
        <v>46171.2979270213</v>
      </c>
      <c r="D1398" s="189" t="s">
        <v>1988</v>
      </c>
      <c r="E1398" s="189" t="s">
        <v>1989</v>
      </c>
      <c r="F1398" s="189" t="s">
        <v>1989</v>
      </c>
      <c r="G1398" s="189" t="s">
        <v>1990</v>
      </c>
      <c r="H1398" s="191" t="n">
        <v>46163</v>
      </c>
      <c r="I1398" s="189" t="s">
        <v>113</v>
      </c>
      <c r="J1398" s="189" t="s">
        <v>108</v>
      </c>
      <c r="K1398" s="189" t="s">
        <v>446</v>
      </c>
      <c r="L1398" s="189" t="s">
        <v>389</v>
      </c>
      <c r="M1398" s="189" t="s">
        <v>736</v>
      </c>
      <c r="N1398" s="189" t="s">
        <v>422</v>
      </c>
      <c r="O1398" s="189" t="s">
        <v>713</v>
      </c>
      <c r="P1398" s="189" t="s">
        <v>111</v>
      </c>
      <c r="Q1398" s="189" t="s">
        <v>112</v>
      </c>
      <c r="R1398" s="189" t="s">
        <v>22</v>
      </c>
      <c r="S1398" s="189" t="s">
        <v>152</v>
      </c>
      <c r="T1398" s="189" t="s">
        <v>264</v>
      </c>
      <c r="U1398" s="189" t="s">
        <v>122</v>
      </c>
      <c r="V1398" s="189" t="s">
        <v>123</v>
      </c>
      <c r="W1398" s="189" t="s">
        <v>124</v>
      </c>
      <c r="X1398" s="189" t="s">
        <v>298</v>
      </c>
      <c r="Y1398" s="189" t="s">
        <v>2110</v>
      </c>
      <c r="Z1398" s="0" t="n">
        <v>1</v>
      </c>
      <c r="AA1398" s="189" t="s">
        <v>2362</v>
      </c>
    </row>
    <row r="1399" customFormat="false" ht="15" hidden="false" customHeight="false" outlineLevel="0" collapsed="false">
      <c r="A1399" s="0" t="n">
        <v>299</v>
      </c>
      <c r="B1399" s="191" t="n">
        <v>46171.2889223917</v>
      </c>
      <c r="C1399" s="191" t="n">
        <v>46171.2979270213</v>
      </c>
      <c r="D1399" s="189" t="s">
        <v>1988</v>
      </c>
      <c r="E1399" s="189" t="s">
        <v>1989</v>
      </c>
      <c r="F1399" s="189" t="s">
        <v>1989</v>
      </c>
      <c r="G1399" s="189" t="s">
        <v>1990</v>
      </c>
      <c r="H1399" s="191" t="n">
        <v>46163</v>
      </c>
      <c r="I1399" s="189" t="s">
        <v>113</v>
      </c>
      <c r="J1399" s="189" t="s">
        <v>108</v>
      </c>
      <c r="K1399" s="189" t="s">
        <v>446</v>
      </c>
      <c r="L1399" s="189" t="s">
        <v>389</v>
      </c>
      <c r="M1399" s="189" t="s">
        <v>736</v>
      </c>
      <c r="N1399" s="189" t="s">
        <v>422</v>
      </c>
      <c r="O1399" s="189" t="s">
        <v>713</v>
      </c>
      <c r="P1399" s="189" t="s">
        <v>111</v>
      </c>
      <c r="Q1399" s="189" t="s">
        <v>112</v>
      </c>
      <c r="R1399" s="189" t="s">
        <v>22</v>
      </c>
      <c r="S1399" s="189" t="s">
        <v>152</v>
      </c>
      <c r="T1399" s="189" t="s">
        <v>264</v>
      </c>
      <c r="U1399" s="189" t="s">
        <v>122</v>
      </c>
      <c r="V1399" s="189" t="s">
        <v>123</v>
      </c>
      <c r="W1399" s="189" t="s">
        <v>124</v>
      </c>
      <c r="X1399" s="189" t="s">
        <v>298</v>
      </c>
      <c r="Y1399" s="189" t="s">
        <v>2110</v>
      </c>
      <c r="Z1399" s="0" t="n">
        <v>2</v>
      </c>
      <c r="AA1399" s="189" t="s">
        <v>2170</v>
      </c>
    </row>
    <row r="1400" customFormat="false" ht="15" hidden="false" customHeight="false" outlineLevel="0" collapsed="false">
      <c r="A1400" s="0" t="n">
        <v>299</v>
      </c>
      <c r="B1400" s="191" t="n">
        <v>46171.2889223917</v>
      </c>
      <c r="C1400" s="191" t="n">
        <v>46171.2979270213</v>
      </c>
      <c r="D1400" s="189" t="s">
        <v>1988</v>
      </c>
      <c r="E1400" s="189" t="s">
        <v>1989</v>
      </c>
      <c r="F1400" s="189" t="s">
        <v>1989</v>
      </c>
      <c r="G1400" s="189" t="s">
        <v>1990</v>
      </c>
      <c r="H1400" s="191" t="n">
        <v>46163</v>
      </c>
      <c r="I1400" s="189" t="s">
        <v>113</v>
      </c>
      <c r="J1400" s="189" t="s">
        <v>108</v>
      </c>
      <c r="K1400" s="189" t="s">
        <v>446</v>
      </c>
      <c r="L1400" s="189" t="s">
        <v>389</v>
      </c>
      <c r="M1400" s="189" t="s">
        <v>736</v>
      </c>
      <c r="N1400" s="189" t="s">
        <v>422</v>
      </c>
      <c r="O1400" s="189" t="s">
        <v>713</v>
      </c>
      <c r="P1400" s="189" t="s">
        <v>111</v>
      </c>
      <c r="Q1400" s="189" t="s">
        <v>112</v>
      </c>
      <c r="R1400" s="189" t="s">
        <v>22</v>
      </c>
      <c r="S1400" s="189" t="s">
        <v>152</v>
      </c>
      <c r="T1400" s="189" t="s">
        <v>264</v>
      </c>
      <c r="U1400" s="189" t="s">
        <v>122</v>
      </c>
      <c r="V1400" s="189" t="s">
        <v>123</v>
      </c>
      <c r="W1400" s="189" t="s">
        <v>124</v>
      </c>
      <c r="X1400" s="189" t="s">
        <v>298</v>
      </c>
      <c r="Y1400" s="189" t="s">
        <v>2113</v>
      </c>
      <c r="Z1400" s="0" t="n">
        <v>1</v>
      </c>
      <c r="AA1400" s="189" t="s">
        <v>2292</v>
      </c>
    </row>
    <row r="1401" customFormat="false" ht="15" hidden="false" customHeight="false" outlineLevel="0" collapsed="false">
      <c r="A1401" s="0" t="n">
        <v>299</v>
      </c>
      <c r="B1401" s="191" t="n">
        <v>46171.2889223917</v>
      </c>
      <c r="C1401" s="191" t="n">
        <v>46171.2979270213</v>
      </c>
      <c r="D1401" s="189" t="s">
        <v>1988</v>
      </c>
      <c r="E1401" s="189" t="s">
        <v>1989</v>
      </c>
      <c r="F1401" s="189" t="s">
        <v>1989</v>
      </c>
      <c r="G1401" s="189" t="s">
        <v>1990</v>
      </c>
      <c r="H1401" s="191" t="n">
        <v>46163</v>
      </c>
      <c r="I1401" s="189" t="s">
        <v>113</v>
      </c>
      <c r="J1401" s="189" t="s">
        <v>108</v>
      </c>
      <c r="K1401" s="189" t="s">
        <v>446</v>
      </c>
      <c r="L1401" s="189" t="s">
        <v>389</v>
      </c>
      <c r="M1401" s="189" t="s">
        <v>736</v>
      </c>
      <c r="N1401" s="189" t="s">
        <v>422</v>
      </c>
      <c r="O1401" s="189" t="s">
        <v>713</v>
      </c>
      <c r="P1401" s="189" t="s">
        <v>111</v>
      </c>
      <c r="Q1401" s="189" t="s">
        <v>112</v>
      </c>
      <c r="R1401" s="189" t="s">
        <v>22</v>
      </c>
      <c r="S1401" s="189" t="s">
        <v>152</v>
      </c>
      <c r="T1401" s="189" t="s">
        <v>264</v>
      </c>
      <c r="U1401" s="189" t="s">
        <v>122</v>
      </c>
      <c r="V1401" s="189" t="s">
        <v>123</v>
      </c>
      <c r="W1401" s="189" t="s">
        <v>124</v>
      </c>
      <c r="X1401" s="189" t="s">
        <v>298</v>
      </c>
      <c r="Y1401" s="189" t="s">
        <v>2113</v>
      </c>
      <c r="Z1401" s="0" t="n">
        <v>2</v>
      </c>
      <c r="AA1401" s="189" t="s">
        <v>122</v>
      </c>
    </row>
    <row r="1402" customFormat="false" ht="15" hidden="false" customHeight="false" outlineLevel="0" collapsed="false">
      <c r="A1402" s="0" t="n">
        <v>300</v>
      </c>
      <c r="B1402" s="191" t="n">
        <v>46083.6657588368</v>
      </c>
      <c r="C1402" s="191" t="n">
        <v>46083.6777032812</v>
      </c>
      <c r="D1402" s="189" t="s">
        <v>1993</v>
      </c>
      <c r="E1402" s="189" t="s">
        <v>1994</v>
      </c>
      <c r="F1402" s="189" t="s">
        <v>1995</v>
      </c>
      <c r="G1402" s="189" t="s">
        <v>1996</v>
      </c>
      <c r="H1402" s="191" t="n">
        <v>46066</v>
      </c>
      <c r="I1402" s="189" t="s">
        <v>113</v>
      </c>
      <c r="J1402" s="189" t="s">
        <v>108</v>
      </c>
      <c r="K1402" s="189" t="s">
        <v>143</v>
      </c>
      <c r="L1402" s="189" t="s">
        <v>431</v>
      </c>
      <c r="M1402" s="189" t="s">
        <v>774</v>
      </c>
      <c r="N1402" s="189" t="s">
        <v>1381</v>
      </c>
      <c r="O1402" s="189" t="s">
        <v>244</v>
      </c>
      <c r="P1402" s="189" t="s">
        <v>111</v>
      </c>
      <c r="Q1402" s="189" t="s">
        <v>112</v>
      </c>
      <c r="R1402" s="189" t="s">
        <v>24</v>
      </c>
      <c r="S1402" s="189" t="s">
        <v>120</v>
      </c>
      <c r="T1402" s="189" t="s">
        <v>121</v>
      </c>
      <c r="U1402" s="189" t="s">
        <v>961</v>
      </c>
      <c r="V1402" s="189" t="s">
        <v>123</v>
      </c>
      <c r="W1402" s="189" t="s">
        <v>124</v>
      </c>
      <c r="X1402" s="189" t="s">
        <v>19</v>
      </c>
      <c r="Y1402" s="189" t="s">
        <v>2216</v>
      </c>
      <c r="Z1402" s="0" t="n">
        <v>1</v>
      </c>
      <c r="AA1402" s="189" t="s">
        <v>880</v>
      </c>
    </row>
    <row r="4990" customFormat="false" ht="22.5" hidden="false" customHeight="true" outlineLevel="0" collapsed="false"/>
    <row r="4991" customFormat="false" ht="9.75" hidden="false" customHeight="true" outlineLevel="0" collapsed="false"/>
    <row r="4992" customFormat="false" ht="10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1048576"/>
  <sheetViews>
    <sheetView showFormulas="false" showGridLines="true" showRowColHeaders="true" showZeros="true" rightToLeft="false" tabSelected="false" showOutlineSymbols="true" defaultGridColor="true" view="normal" topLeftCell="A148" colorId="64" zoomScale="100" zoomScaleNormal="100" zoomScalePageLayoutView="100" workbookViewId="0">
      <selection pane="topLeft" activeCell="A168" activeCellId="0" sqref="A168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185" width="13.15"/>
    <col collapsed="false" customWidth="true" hidden="false" outlineLevel="0" max="3" min="3" style="185" width="14.29"/>
    <col collapsed="false" customWidth="true" hidden="false" outlineLevel="0" max="4" min="4" style="0" width="30"/>
    <col collapsed="false" customWidth="true" hidden="false" outlineLevel="0" max="6" min="5" style="0" width="25"/>
    <col collapsed="false" customWidth="true" hidden="false" outlineLevel="0" max="7" min="7" style="0" width="17"/>
    <col collapsed="false" customWidth="true" hidden="false" outlineLevel="0" max="8" min="8" style="185" width="12.86"/>
    <col collapsed="false" customWidth="true" hidden="false" outlineLevel="0" max="9" min="9" style="0" width="31"/>
    <col collapsed="false" customWidth="true" hidden="false" outlineLevel="0" max="10" min="10" style="0" width="40"/>
    <col collapsed="false" customWidth="true" hidden="false" outlineLevel="0" max="11" min="11" style="0" width="20"/>
    <col collapsed="false" customWidth="true" hidden="false" outlineLevel="0" max="12" min="12" style="0" width="37"/>
    <col collapsed="false" customWidth="true" hidden="false" outlineLevel="0" max="13" min="13" style="0" width="25"/>
    <col collapsed="false" customWidth="true" hidden="false" outlineLevel="0" max="14" min="14" style="0" width="45"/>
    <col collapsed="false" customWidth="true" hidden="false" outlineLevel="0" max="15" min="15" style="0" width="31"/>
    <col collapsed="false" customWidth="true" hidden="false" outlineLevel="0" max="16" min="16" style="0" width="12"/>
    <col collapsed="false" customWidth="true" hidden="false" outlineLevel="0" max="17" min="17" style="0" width="27"/>
    <col collapsed="false" customWidth="true" hidden="false" outlineLevel="0" max="18" min="18" style="0" width="17"/>
    <col collapsed="false" customWidth="true" hidden="false" outlineLevel="0" max="19" min="19" style="0" width="19"/>
    <col collapsed="false" customWidth="true" hidden="false" outlineLevel="0" max="21" min="20" style="0" width="45"/>
    <col collapsed="false" customWidth="true" hidden="false" outlineLevel="0" max="22" min="22" style="0" width="12"/>
    <col collapsed="false" customWidth="true" hidden="false" outlineLevel="0" max="23" min="23" style="0" width="13"/>
    <col collapsed="false" customWidth="true" hidden="false" outlineLevel="0" max="25" min="24" style="0" width="30"/>
    <col collapsed="false" customWidth="true" hidden="false" outlineLevel="0" max="26" min="26" style="0" width="63.42"/>
    <col collapsed="false" customWidth="true" hidden="false" outlineLevel="0" max="28" min="27" style="0" width="24.42"/>
    <col collapsed="false" customWidth="true" hidden="false" outlineLevel="0" max="29" min="29" style="0" width="46.42"/>
    <col collapsed="false" customWidth="true" hidden="false" outlineLevel="0" max="31" min="30" style="0" width="56.29"/>
    <col collapsed="false" customWidth="true" hidden="false" outlineLevel="0" max="32" min="32" style="0" width="56"/>
    <col collapsed="false" customWidth="true" hidden="false" outlineLevel="0" max="33" min="33" style="0" width="94.42"/>
    <col collapsed="false" customWidth="true" hidden="false" outlineLevel="0" max="34" min="34" style="0" width="37.29"/>
    <col collapsed="false" customWidth="true" hidden="false" outlineLevel="0" max="35" min="35" style="0" width="64.85"/>
    <col collapsed="false" customWidth="true" hidden="false" outlineLevel="0" max="36" min="36" style="0" width="58.14"/>
    <col collapsed="false" customWidth="true" hidden="false" outlineLevel="0" max="37" min="37" style="0" width="45"/>
  </cols>
  <sheetData>
    <row r="1" customFormat="false" ht="30.75" hidden="false" customHeight="true" outlineLevel="0" collapsed="false">
      <c r="A1" s="192" t="s">
        <v>0</v>
      </c>
      <c r="B1" s="193" t="s">
        <v>1</v>
      </c>
      <c r="C1" s="193" t="s">
        <v>2</v>
      </c>
      <c r="D1" s="194" t="s">
        <v>3</v>
      </c>
      <c r="E1" s="194" t="s">
        <v>4</v>
      </c>
      <c r="F1" s="194" t="s">
        <v>5</v>
      </c>
      <c r="G1" s="194" t="s">
        <v>6</v>
      </c>
      <c r="H1" s="193" t="s">
        <v>7</v>
      </c>
      <c r="I1" s="194" t="s">
        <v>14</v>
      </c>
      <c r="J1" s="194" t="s">
        <v>9</v>
      </c>
      <c r="K1" s="194" t="s">
        <v>2102</v>
      </c>
      <c r="L1" s="194" t="s">
        <v>2103</v>
      </c>
      <c r="M1" s="194" t="s">
        <v>2104</v>
      </c>
      <c r="N1" s="194" t="s">
        <v>2105</v>
      </c>
      <c r="O1" s="194" t="s">
        <v>8</v>
      </c>
      <c r="P1" s="194" t="s">
        <v>12</v>
      </c>
      <c r="Q1" s="194" t="s">
        <v>13</v>
      </c>
      <c r="R1" s="194" t="s">
        <v>20</v>
      </c>
      <c r="S1" s="194" t="s">
        <v>95</v>
      </c>
      <c r="T1" s="194" t="s">
        <v>96</v>
      </c>
      <c r="U1" s="194" t="s">
        <v>97</v>
      </c>
      <c r="V1" s="194" t="s">
        <v>98</v>
      </c>
      <c r="W1" s="194" t="s">
        <v>99</v>
      </c>
      <c r="X1" s="194" t="s">
        <v>2363</v>
      </c>
      <c r="Y1" s="194" t="s">
        <v>2364</v>
      </c>
      <c r="Z1" s="194" t="s">
        <v>2108</v>
      </c>
      <c r="AA1" s="189" t="s">
        <v>2365</v>
      </c>
      <c r="AB1" s="189" t="s">
        <v>2366</v>
      </c>
      <c r="AC1" s="189" t="s">
        <v>2367</v>
      </c>
      <c r="AD1" s="189" t="s">
        <v>2368</v>
      </c>
      <c r="AE1" s="189" t="s">
        <v>2369</v>
      </c>
      <c r="AF1" s="189" t="s">
        <v>2370</v>
      </c>
      <c r="AG1" s="194" t="s">
        <v>2113</v>
      </c>
      <c r="AH1" s="189" t="s">
        <v>2371</v>
      </c>
      <c r="AI1" s="189" t="s">
        <v>2372</v>
      </c>
      <c r="AJ1" s="189" t="s">
        <v>2373</v>
      </c>
      <c r="AK1" s="195" t="s">
        <v>2216</v>
      </c>
      <c r="AL1" s="189" t="s">
        <v>2374</v>
      </c>
    </row>
    <row r="2" customFormat="false" ht="15" hidden="false" customHeight="true" outlineLevel="0" collapsed="false">
      <c r="A2" s="0" t="n">
        <v>1</v>
      </c>
      <c r="B2" s="185" t="n">
        <v>46150.5064431434</v>
      </c>
      <c r="C2" s="185" t="n">
        <v>46150.5229824953</v>
      </c>
      <c r="D2" s="189" t="s">
        <v>103</v>
      </c>
      <c r="E2" s="189" t="s">
        <v>104</v>
      </c>
      <c r="F2" s="189" t="s">
        <v>105</v>
      </c>
      <c r="G2" s="189" t="s">
        <v>106</v>
      </c>
      <c r="H2" s="185" t="n">
        <v>46142</v>
      </c>
      <c r="I2" s="189" t="s">
        <v>113</v>
      </c>
      <c r="J2" s="189" t="s">
        <v>108</v>
      </c>
      <c r="K2" s="189" t="s">
        <v>109</v>
      </c>
      <c r="L2" s="189" t="s">
        <v>110</v>
      </c>
      <c r="M2" s="189" t="s">
        <v>114</v>
      </c>
      <c r="N2" s="189" t="s">
        <v>115</v>
      </c>
      <c r="O2" s="189" t="s">
        <v>107</v>
      </c>
      <c r="P2" s="189" t="s">
        <v>111</v>
      </c>
      <c r="Q2" s="189" t="s">
        <v>112</v>
      </c>
      <c r="R2" s="189" t="s">
        <v>22</v>
      </c>
      <c r="S2" s="189" t="s">
        <v>120</v>
      </c>
      <c r="T2" s="189" t="s">
        <v>121</v>
      </c>
      <c r="U2" s="189" t="s">
        <v>122</v>
      </c>
      <c r="V2" s="189" t="s">
        <v>123</v>
      </c>
      <c r="W2" s="189" t="s">
        <v>124</v>
      </c>
      <c r="X2" s="189" t="s">
        <v>116</v>
      </c>
      <c r="Y2" s="189" t="s">
        <v>116</v>
      </c>
      <c r="Z2" s="189" t="s">
        <v>2109</v>
      </c>
      <c r="AG2" s="189" t="s">
        <v>122</v>
      </c>
      <c r="AH2" s="189" t="s">
        <v>2114</v>
      </c>
    </row>
    <row r="3" customFormat="false" ht="15" hidden="false" customHeight="true" outlineLevel="0" collapsed="false">
      <c r="A3" s="0" t="n">
        <v>2</v>
      </c>
      <c r="B3" s="185" t="n">
        <v>46110.8074344179</v>
      </c>
      <c r="C3" s="185" t="n">
        <v>46110.8279436771</v>
      </c>
      <c r="D3" s="189" t="s">
        <v>125</v>
      </c>
      <c r="E3" s="189" t="s">
        <v>126</v>
      </c>
      <c r="F3" s="189" t="s">
        <v>126</v>
      </c>
      <c r="G3" s="189" t="s">
        <v>127</v>
      </c>
      <c r="H3" s="185" t="n">
        <v>46093</v>
      </c>
      <c r="I3" s="189" t="s">
        <v>132</v>
      </c>
      <c r="J3" s="189" t="s">
        <v>128</v>
      </c>
      <c r="K3" s="189" t="s">
        <v>129</v>
      </c>
      <c r="L3" s="189" t="s">
        <v>130</v>
      </c>
      <c r="M3" s="189" t="s">
        <v>133</v>
      </c>
      <c r="N3" s="189" t="s">
        <v>134</v>
      </c>
      <c r="O3" s="189" t="s">
        <v>107</v>
      </c>
      <c r="P3" s="189" t="s">
        <v>131</v>
      </c>
      <c r="Q3" s="189" t="s">
        <v>112</v>
      </c>
      <c r="R3" s="189" t="s">
        <v>22</v>
      </c>
      <c r="S3" s="189" t="s">
        <v>120</v>
      </c>
      <c r="T3" s="189" t="s">
        <v>121</v>
      </c>
      <c r="V3" s="189" t="s">
        <v>123</v>
      </c>
      <c r="W3" s="189" t="s">
        <v>139</v>
      </c>
      <c r="X3" s="189" t="s">
        <v>135</v>
      </c>
      <c r="Y3" s="189" t="s">
        <v>135</v>
      </c>
      <c r="Z3" s="189" t="s">
        <v>2115</v>
      </c>
      <c r="AA3" s="189" t="s">
        <v>2116</v>
      </c>
      <c r="AB3" s="189" t="s">
        <v>2117</v>
      </c>
      <c r="AG3" s="189" t="s">
        <v>2119</v>
      </c>
      <c r="AH3" s="189" t="s">
        <v>122</v>
      </c>
    </row>
    <row r="4" customFormat="false" ht="15" hidden="false" customHeight="true" outlineLevel="0" collapsed="false">
      <c r="A4" s="0" t="n">
        <v>3</v>
      </c>
      <c r="B4" s="185" t="n">
        <v>46143.6787223151</v>
      </c>
      <c r="C4" s="185" t="n">
        <v>46143.6973912966</v>
      </c>
      <c r="D4" s="189" t="s">
        <v>140</v>
      </c>
      <c r="E4" s="189" t="s">
        <v>141</v>
      </c>
      <c r="F4" s="189" t="s">
        <v>141</v>
      </c>
      <c r="G4" s="189" t="s">
        <v>142</v>
      </c>
      <c r="H4" s="185" t="n">
        <v>46131</v>
      </c>
      <c r="I4" s="189" t="s">
        <v>113</v>
      </c>
      <c r="J4" s="189" t="s">
        <v>128</v>
      </c>
      <c r="K4" s="189" t="s">
        <v>143</v>
      </c>
      <c r="L4" s="189" t="s">
        <v>144</v>
      </c>
      <c r="M4" s="189" t="s">
        <v>146</v>
      </c>
      <c r="N4" s="189" t="s">
        <v>147</v>
      </c>
      <c r="O4" s="189" t="s">
        <v>107</v>
      </c>
      <c r="P4" s="189" t="s">
        <v>131</v>
      </c>
      <c r="Q4" s="189" t="s">
        <v>145</v>
      </c>
      <c r="R4" s="189" t="s">
        <v>22</v>
      </c>
      <c r="S4" s="189" t="s">
        <v>152</v>
      </c>
      <c r="T4" s="189" t="s">
        <v>121</v>
      </c>
      <c r="U4" s="189" t="s">
        <v>153</v>
      </c>
      <c r="V4" s="189" t="s">
        <v>123</v>
      </c>
      <c r="W4" s="189" t="s">
        <v>124</v>
      </c>
      <c r="X4" s="189" t="s">
        <v>148</v>
      </c>
      <c r="Y4" s="189" t="s">
        <v>148</v>
      </c>
      <c r="Z4" s="189" t="s">
        <v>2120</v>
      </c>
      <c r="AG4" s="189" t="s">
        <v>2123</v>
      </c>
      <c r="AH4" s="189" t="s">
        <v>2124</v>
      </c>
    </row>
    <row r="5" customFormat="false" ht="15" hidden="false" customHeight="true" outlineLevel="0" collapsed="false">
      <c r="A5" s="0" t="n">
        <v>4</v>
      </c>
      <c r="B5" s="185" t="n">
        <v>46115.7878990166</v>
      </c>
      <c r="C5" s="185" t="n">
        <v>46115.7925633685</v>
      </c>
      <c r="D5" s="189" t="s">
        <v>154</v>
      </c>
      <c r="E5" s="189" t="s">
        <v>155</v>
      </c>
      <c r="F5" s="189" t="s">
        <v>155</v>
      </c>
      <c r="G5" s="189" t="s">
        <v>156</v>
      </c>
      <c r="H5" s="185" t="n">
        <v>46114</v>
      </c>
      <c r="I5" s="189" t="s">
        <v>113</v>
      </c>
      <c r="J5" s="189" t="s">
        <v>108</v>
      </c>
      <c r="K5" s="189" t="s">
        <v>158</v>
      </c>
      <c r="L5" s="189" t="s">
        <v>159</v>
      </c>
      <c r="M5" s="189" t="s">
        <v>160</v>
      </c>
      <c r="N5" s="189" t="s">
        <v>161</v>
      </c>
      <c r="O5" s="189" t="s">
        <v>157</v>
      </c>
      <c r="P5" s="189" t="s">
        <v>111</v>
      </c>
      <c r="Q5" s="189" t="s">
        <v>112</v>
      </c>
      <c r="R5" s="189" t="s">
        <v>22</v>
      </c>
      <c r="S5" s="189" t="s">
        <v>152</v>
      </c>
      <c r="T5" s="189" t="s">
        <v>165</v>
      </c>
      <c r="U5" s="189" t="s">
        <v>166</v>
      </c>
      <c r="V5" s="189" t="s">
        <v>167</v>
      </c>
      <c r="W5" s="189" t="s">
        <v>168</v>
      </c>
      <c r="X5" s="189" t="s">
        <v>116</v>
      </c>
      <c r="Y5" s="189" t="s">
        <v>116</v>
      </c>
      <c r="Z5" s="189" t="s">
        <v>2125</v>
      </c>
      <c r="AG5" s="189" t="s">
        <v>2127</v>
      </c>
      <c r="AH5" s="189" t="s">
        <v>2114</v>
      </c>
    </row>
    <row r="6" customFormat="false" ht="15" hidden="false" customHeight="true" outlineLevel="0" collapsed="false">
      <c r="A6" s="0" t="n">
        <v>5</v>
      </c>
      <c r="B6" s="185" t="n">
        <v>46084.5153411708</v>
      </c>
      <c r="C6" s="185" t="n">
        <v>46084.5318689486</v>
      </c>
      <c r="D6" s="189" t="s">
        <v>169</v>
      </c>
      <c r="E6" s="189" t="s">
        <v>170</v>
      </c>
      <c r="F6" s="189" t="s">
        <v>170</v>
      </c>
      <c r="G6" s="189" t="s">
        <v>171</v>
      </c>
      <c r="H6" s="185" t="n">
        <v>46080</v>
      </c>
      <c r="I6" s="189" t="s">
        <v>113</v>
      </c>
      <c r="J6" s="189" t="s">
        <v>108</v>
      </c>
      <c r="K6" s="189" t="s">
        <v>173</v>
      </c>
      <c r="L6" s="189" t="s">
        <v>144</v>
      </c>
      <c r="M6" s="189" t="s">
        <v>174</v>
      </c>
      <c r="N6" s="189" t="s">
        <v>175</v>
      </c>
      <c r="O6" s="189" t="s">
        <v>172</v>
      </c>
      <c r="P6" s="189" t="s">
        <v>111</v>
      </c>
      <c r="Q6" s="189" t="s">
        <v>112</v>
      </c>
      <c r="R6" s="189" t="s">
        <v>22</v>
      </c>
      <c r="S6" s="189" t="s">
        <v>152</v>
      </c>
      <c r="T6" s="189" t="s">
        <v>180</v>
      </c>
      <c r="U6" s="189" t="s">
        <v>122</v>
      </c>
      <c r="V6" s="189" t="s">
        <v>123</v>
      </c>
      <c r="W6" s="189" t="s">
        <v>124</v>
      </c>
      <c r="X6" s="189" t="s">
        <v>176</v>
      </c>
      <c r="Y6" s="189" t="s">
        <v>176</v>
      </c>
      <c r="Z6" s="189" t="s">
        <v>2128</v>
      </c>
      <c r="AA6" s="189" t="s">
        <v>2129</v>
      </c>
      <c r="AB6" s="189" t="s">
        <v>2130</v>
      </c>
      <c r="AG6" s="189" t="s">
        <v>2132</v>
      </c>
    </row>
    <row r="7" customFormat="false" ht="27.75" hidden="false" customHeight="true" outlineLevel="0" collapsed="false">
      <c r="A7" s="0" t="n">
        <v>6</v>
      </c>
      <c r="B7" s="185" t="n">
        <v>46050.7262352226</v>
      </c>
      <c r="C7" s="185" t="n">
        <v>46050.7350083708</v>
      </c>
      <c r="D7" s="189" t="s">
        <v>181</v>
      </c>
      <c r="E7" s="189" t="s">
        <v>182</v>
      </c>
      <c r="F7" s="189" t="s">
        <v>182</v>
      </c>
      <c r="G7" s="189" t="s">
        <v>183</v>
      </c>
      <c r="H7" s="185" t="n">
        <v>46030</v>
      </c>
      <c r="I7" s="189" t="s">
        <v>113</v>
      </c>
      <c r="J7" s="189" t="s">
        <v>128</v>
      </c>
      <c r="K7" s="189" t="s">
        <v>143</v>
      </c>
      <c r="L7" s="189" t="s">
        <v>184</v>
      </c>
      <c r="M7" s="189" t="s">
        <v>185</v>
      </c>
      <c r="N7" s="132" t="s">
        <v>186</v>
      </c>
      <c r="O7" s="189" t="s">
        <v>172</v>
      </c>
      <c r="P7" s="189" t="s">
        <v>111</v>
      </c>
      <c r="Q7" s="189" t="s">
        <v>112</v>
      </c>
      <c r="R7" s="189" t="s">
        <v>21</v>
      </c>
      <c r="S7" s="189" t="s">
        <v>152</v>
      </c>
      <c r="T7" s="189" t="s">
        <v>121</v>
      </c>
      <c r="U7" s="189" t="s">
        <v>191</v>
      </c>
      <c r="V7" s="189" t="s">
        <v>192</v>
      </c>
      <c r="W7" s="189" t="s">
        <v>124</v>
      </c>
      <c r="X7" s="189" t="s">
        <v>187</v>
      </c>
      <c r="Y7" s="189" t="s">
        <v>187</v>
      </c>
      <c r="Z7" s="189" t="s">
        <v>2133</v>
      </c>
      <c r="AG7" s="189" t="s">
        <v>2135</v>
      </c>
    </row>
    <row r="8" customFormat="false" ht="15" hidden="false" customHeight="true" outlineLevel="0" collapsed="false">
      <c r="A8" s="0" t="n">
        <v>7</v>
      </c>
      <c r="B8" s="185" t="n">
        <v>46143.990339134</v>
      </c>
      <c r="C8" s="185" t="n">
        <v>46144.0029317266</v>
      </c>
      <c r="D8" s="189" t="s">
        <v>193</v>
      </c>
      <c r="E8" s="189" t="s">
        <v>194</v>
      </c>
      <c r="F8" s="189" t="s">
        <v>194</v>
      </c>
      <c r="G8" s="189" t="s">
        <v>195</v>
      </c>
      <c r="H8" s="185" t="n">
        <v>46140</v>
      </c>
      <c r="I8" s="189" t="s">
        <v>113</v>
      </c>
      <c r="J8" s="189" t="s">
        <v>108</v>
      </c>
      <c r="K8" s="189" t="s">
        <v>196</v>
      </c>
      <c r="L8" s="189" t="s">
        <v>197</v>
      </c>
      <c r="M8" s="189" t="s">
        <v>199</v>
      </c>
      <c r="N8" s="189" t="s">
        <v>200</v>
      </c>
      <c r="O8" s="189" t="s">
        <v>107</v>
      </c>
      <c r="P8" s="189" t="s">
        <v>111</v>
      </c>
      <c r="Q8" s="189" t="s">
        <v>198</v>
      </c>
      <c r="R8" s="189" t="s">
        <v>22</v>
      </c>
      <c r="S8" s="189" t="s">
        <v>152</v>
      </c>
      <c r="T8" s="189" t="s">
        <v>121</v>
      </c>
      <c r="U8" s="189" t="s">
        <v>204</v>
      </c>
      <c r="V8" s="189" t="s">
        <v>123</v>
      </c>
      <c r="W8" s="189" t="s">
        <v>168</v>
      </c>
      <c r="X8" s="189" t="s">
        <v>148</v>
      </c>
      <c r="Y8" s="189" t="s">
        <v>148</v>
      </c>
      <c r="Z8" s="189" t="s">
        <v>2136</v>
      </c>
      <c r="AG8" s="189" t="s">
        <v>2138</v>
      </c>
      <c r="AH8" s="189" t="s">
        <v>2124</v>
      </c>
    </row>
    <row r="9" customFormat="false" ht="15" hidden="false" customHeight="true" outlineLevel="0" collapsed="false">
      <c r="A9" s="0" t="n">
        <v>8</v>
      </c>
      <c r="B9" s="185" t="n">
        <v>46056.5815351329</v>
      </c>
      <c r="C9" s="185" t="n">
        <v>46056.583271244</v>
      </c>
      <c r="D9" s="189" t="s">
        <v>206</v>
      </c>
      <c r="E9" s="189" t="s">
        <v>207</v>
      </c>
      <c r="F9" s="189" t="s">
        <v>207</v>
      </c>
      <c r="G9" s="189" t="s">
        <v>208</v>
      </c>
      <c r="H9" s="185" t="n">
        <v>46049</v>
      </c>
      <c r="I9" s="189" t="s">
        <v>113</v>
      </c>
      <c r="J9" s="189" t="s">
        <v>108</v>
      </c>
      <c r="K9" s="189" t="s">
        <v>209</v>
      </c>
      <c r="L9" s="189" t="s">
        <v>210</v>
      </c>
      <c r="M9" s="189" t="s">
        <v>212</v>
      </c>
      <c r="N9" s="189" t="s">
        <v>213</v>
      </c>
      <c r="O9" s="189" t="s">
        <v>107</v>
      </c>
      <c r="P9" s="189" t="s">
        <v>211</v>
      </c>
      <c r="Q9" s="189" t="s">
        <v>112</v>
      </c>
      <c r="R9" s="189" t="s">
        <v>24</v>
      </c>
      <c r="S9" s="189" t="s">
        <v>152</v>
      </c>
      <c r="T9" s="189" t="s">
        <v>121</v>
      </c>
      <c r="U9" s="189" t="s">
        <v>218</v>
      </c>
      <c r="V9" s="189" t="s">
        <v>123</v>
      </c>
      <c r="W9" s="189" t="s">
        <v>124</v>
      </c>
      <c r="X9" s="189" t="s">
        <v>214</v>
      </c>
      <c r="Y9" s="189" t="s">
        <v>214</v>
      </c>
      <c r="Z9" s="189" t="s">
        <v>2139</v>
      </c>
      <c r="AA9" s="189" t="s">
        <v>2109</v>
      </c>
      <c r="AG9" s="189" t="s">
        <v>2114</v>
      </c>
      <c r="AH9" s="189" t="s">
        <v>122</v>
      </c>
    </row>
    <row r="10" customFormat="false" ht="15" hidden="false" customHeight="true" outlineLevel="0" collapsed="false">
      <c r="A10" s="0" t="n">
        <v>9</v>
      </c>
      <c r="B10" s="185" t="n">
        <v>46068.8947773825</v>
      </c>
      <c r="C10" s="185" t="n">
        <v>46068.8980644196</v>
      </c>
      <c r="D10" s="189" t="s">
        <v>220</v>
      </c>
      <c r="E10" s="189" t="s">
        <v>221</v>
      </c>
      <c r="F10" s="189" t="s">
        <v>221</v>
      </c>
      <c r="G10" s="189" t="s">
        <v>222</v>
      </c>
      <c r="H10" s="185" t="n">
        <v>46049</v>
      </c>
      <c r="I10" s="189" t="s">
        <v>113</v>
      </c>
      <c r="J10" s="189" t="s">
        <v>128</v>
      </c>
      <c r="K10" s="189" t="s">
        <v>143</v>
      </c>
      <c r="L10" s="189" t="s">
        <v>197</v>
      </c>
      <c r="M10" s="189" t="s">
        <v>144</v>
      </c>
      <c r="N10" s="189" t="s">
        <v>147</v>
      </c>
      <c r="O10" s="189" t="s">
        <v>107</v>
      </c>
      <c r="P10" s="189" t="s">
        <v>111</v>
      </c>
      <c r="Q10" s="189" t="s">
        <v>112</v>
      </c>
      <c r="R10" s="189" t="s">
        <v>24</v>
      </c>
      <c r="S10" s="189" t="s">
        <v>227</v>
      </c>
      <c r="T10" s="189" t="s">
        <v>228</v>
      </c>
      <c r="U10" s="189" t="s">
        <v>122</v>
      </c>
      <c r="V10" s="189" t="s">
        <v>192</v>
      </c>
      <c r="W10" s="189" t="s">
        <v>124</v>
      </c>
      <c r="X10" s="189" t="s">
        <v>223</v>
      </c>
      <c r="Y10" s="189" t="s">
        <v>223</v>
      </c>
      <c r="Z10" s="189" t="s">
        <v>2140</v>
      </c>
      <c r="AA10" s="189" t="s">
        <v>2141</v>
      </c>
      <c r="AB10" s="189" t="s">
        <v>2142</v>
      </c>
      <c r="AG10" s="189" t="s">
        <v>2145</v>
      </c>
      <c r="AH10" s="189" t="s">
        <v>2146</v>
      </c>
    </row>
    <row r="11" customFormat="false" ht="15" hidden="false" customHeight="true" outlineLevel="0" collapsed="false">
      <c r="A11" s="0" t="n">
        <v>10</v>
      </c>
      <c r="B11" s="185" t="n">
        <v>46174.8986974496</v>
      </c>
      <c r="C11" s="185" t="n">
        <v>46174.9083502274</v>
      </c>
      <c r="D11" s="189" t="s">
        <v>229</v>
      </c>
      <c r="E11" s="189" t="s">
        <v>230</v>
      </c>
      <c r="F11" s="189" t="s">
        <v>230</v>
      </c>
      <c r="G11" s="189" t="s">
        <v>231</v>
      </c>
      <c r="H11" s="185" t="n">
        <v>46163</v>
      </c>
      <c r="I11" s="189" t="s">
        <v>113</v>
      </c>
      <c r="J11" s="189" t="s">
        <v>108</v>
      </c>
      <c r="K11" s="189" t="s">
        <v>232</v>
      </c>
      <c r="L11" s="189" t="s">
        <v>233</v>
      </c>
      <c r="M11" s="189" t="s">
        <v>234</v>
      </c>
      <c r="N11" s="189" t="s">
        <v>235</v>
      </c>
      <c r="O11" s="189" t="s">
        <v>172</v>
      </c>
      <c r="P11" s="189" t="s">
        <v>111</v>
      </c>
      <c r="Q11" s="189" t="s">
        <v>145</v>
      </c>
      <c r="R11" s="189" t="s">
        <v>24</v>
      </c>
      <c r="S11" s="189" t="s">
        <v>152</v>
      </c>
      <c r="T11" s="189" t="s">
        <v>180</v>
      </c>
      <c r="U11" s="189" t="s">
        <v>239</v>
      </c>
      <c r="V11" s="189" t="s">
        <v>192</v>
      </c>
      <c r="W11" s="189" t="s">
        <v>168</v>
      </c>
      <c r="X11" s="189" t="s">
        <v>223</v>
      </c>
      <c r="Y11" s="189" t="s">
        <v>223</v>
      </c>
      <c r="Z11" s="189" t="s">
        <v>2147</v>
      </c>
      <c r="AA11" s="189" t="s">
        <v>2148</v>
      </c>
      <c r="AG11" s="189" t="s">
        <v>2146</v>
      </c>
      <c r="AH11" s="189" t="s">
        <v>2150</v>
      </c>
    </row>
    <row r="12" customFormat="false" ht="15" hidden="false" customHeight="true" outlineLevel="0" collapsed="false">
      <c r="A12" s="0" t="n">
        <v>11</v>
      </c>
      <c r="B12" s="185" t="n">
        <v>46103.178902483</v>
      </c>
      <c r="C12" s="185" t="n">
        <v>46103.1868422978</v>
      </c>
      <c r="D12" s="189" t="s">
        <v>240</v>
      </c>
      <c r="E12" s="189" t="s">
        <v>241</v>
      </c>
      <c r="F12" s="189" t="s">
        <v>242</v>
      </c>
      <c r="G12" s="189" t="s">
        <v>243</v>
      </c>
      <c r="H12" s="185" t="n">
        <v>46099</v>
      </c>
      <c r="I12" s="189" t="s">
        <v>113</v>
      </c>
      <c r="J12" s="189" t="s">
        <v>108</v>
      </c>
      <c r="K12" s="189" t="s">
        <v>245</v>
      </c>
      <c r="L12" s="189" t="s">
        <v>246</v>
      </c>
      <c r="M12" s="189" t="s">
        <v>248</v>
      </c>
      <c r="N12" s="189" t="s">
        <v>249</v>
      </c>
      <c r="O12" s="189" t="s">
        <v>244</v>
      </c>
      <c r="P12" s="189" t="s">
        <v>111</v>
      </c>
      <c r="Q12" s="189" t="s">
        <v>247</v>
      </c>
      <c r="R12" s="189" t="s">
        <v>21</v>
      </c>
      <c r="S12" s="189" t="s">
        <v>120</v>
      </c>
      <c r="T12" s="189" t="s">
        <v>121</v>
      </c>
      <c r="V12" s="189" t="s">
        <v>192</v>
      </c>
      <c r="W12" s="189" t="s">
        <v>168</v>
      </c>
      <c r="X12" s="189" t="s">
        <v>250</v>
      </c>
      <c r="Y12" s="189" t="s">
        <v>250</v>
      </c>
      <c r="Z12" s="189" t="s">
        <v>2109</v>
      </c>
      <c r="AA12" s="189" t="s">
        <v>2151</v>
      </c>
      <c r="AB12" s="189" t="s">
        <v>2139</v>
      </c>
      <c r="AG12" s="189" t="s">
        <v>2152</v>
      </c>
      <c r="AH12" s="189" t="s">
        <v>122</v>
      </c>
    </row>
    <row r="13" customFormat="false" ht="15" hidden="false" customHeight="true" outlineLevel="0" collapsed="false">
      <c r="A13" s="0" t="n">
        <v>12</v>
      </c>
      <c r="B13" s="185" t="n">
        <v>46156.1186367163</v>
      </c>
      <c r="C13" s="185" t="n">
        <v>46156.1256274571</v>
      </c>
      <c r="D13" s="189" t="s">
        <v>254</v>
      </c>
      <c r="E13" s="189" t="s">
        <v>255</v>
      </c>
      <c r="F13" s="189" t="s">
        <v>255</v>
      </c>
      <c r="G13" s="189" t="s">
        <v>256</v>
      </c>
      <c r="H13" s="185" t="n">
        <v>46151</v>
      </c>
      <c r="I13" s="189" t="s">
        <v>132</v>
      </c>
      <c r="J13" s="189" t="s">
        <v>108</v>
      </c>
      <c r="K13" s="189" t="s">
        <v>257</v>
      </c>
      <c r="L13" s="189" t="s">
        <v>159</v>
      </c>
      <c r="M13" s="189" t="s">
        <v>258</v>
      </c>
      <c r="N13" s="189" t="s">
        <v>259</v>
      </c>
      <c r="O13" s="189" t="s">
        <v>157</v>
      </c>
      <c r="P13" s="189" t="s">
        <v>131</v>
      </c>
      <c r="Q13" s="189" t="s">
        <v>145</v>
      </c>
      <c r="R13" s="189" t="s">
        <v>24</v>
      </c>
      <c r="S13" s="189" t="s">
        <v>120</v>
      </c>
      <c r="T13" s="189" t="s">
        <v>264</v>
      </c>
      <c r="U13" s="189" t="s">
        <v>122</v>
      </c>
      <c r="V13" s="189" t="s">
        <v>123</v>
      </c>
      <c r="W13" s="189" t="s">
        <v>124</v>
      </c>
      <c r="X13" s="189" t="s">
        <v>260</v>
      </c>
      <c r="Y13" s="189" t="s">
        <v>260</v>
      </c>
      <c r="Z13" s="189" t="s">
        <v>2153</v>
      </c>
      <c r="AA13" s="189" t="s">
        <v>2154</v>
      </c>
      <c r="AG13" s="189" t="s">
        <v>2156</v>
      </c>
      <c r="AH13" s="189" t="s">
        <v>2157</v>
      </c>
    </row>
    <row r="14" customFormat="false" ht="15" hidden="false" customHeight="true" outlineLevel="0" collapsed="false">
      <c r="A14" s="0" t="n">
        <v>13</v>
      </c>
      <c r="B14" s="185" t="n">
        <v>46166.8784870508</v>
      </c>
      <c r="C14" s="185" t="n">
        <v>46166.8919476989</v>
      </c>
      <c r="D14" s="189" t="s">
        <v>265</v>
      </c>
      <c r="E14" s="189" t="s">
        <v>266</v>
      </c>
      <c r="F14" s="189" t="s">
        <v>266</v>
      </c>
      <c r="G14" s="189" t="s">
        <v>267</v>
      </c>
      <c r="H14" s="185" t="n">
        <v>46149</v>
      </c>
      <c r="I14" s="189" t="s">
        <v>113</v>
      </c>
      <c r="J14" s="189" t="s">
        <v>108</v>
      </c>
      <c r="K14" s="189" t="s">
        <v>232</v>
      </c>
      <c r="L14" s="189" t="s">
        <v>268</v>
      </c>
      <c r="M14" s="189" t="s">
        <v>269</v>
      </c>
      <c r="N14" s="189" t="s">
        <v>270</v>
      </c>
      <c r="O14" s="189" t="s">
        <v>172</v>
      </c>
      <c r="P14" s="189" t="s">
        <v>111</v>
      </c>
      <c r="Q14" s="189" t="s">
        <v>198</v>
      </c>
      <c r="R14" s="189" t="s">
        <v>22</v>
      </c>
      <c r="S14" s="189" t="s">
        <v>152</v>
      </c>
      <c r="T14" s="189" t="s">
        <v>228</v>
      </c>
      <c r="U14" s="189" t="s">
        <v>122</v>
      </c>
      <c r="V14" s="189" t="s">
        <v>192</v>
      </c>
      <c r="W14" s="189" t="s">
        <v>124</v>
      </c>
      <c r="X14" s="189" t="s">
        <v>271</v>
      </c>
      <c r="Y14" s="189" t="s">
        <v>271</v>
      </c>
      <c r="Z14" s="189" t="s">
        <v>2158</v>
      </c>
      <c r="AA14" s="189" t="s">
        <v>2159</v>
      </c>
      <c r="AG14" s="189" t="s">
        <v>2162</v>
      </c>
      <c r="AH14" s="189" t="s">
        <v>2163</v>
      </c>
    </row>
    <row r="15" customFormat="false" ht="15" hidden="false" customHeight="true" outlineLevel="0" collapsed="false">
      <c r="A15" s="0" t="n">
        <v>14</v>
      </c>
      <c r="B15" s="185" t="n">
        <v>46083.0691412336</v>
      </c>
      <c r="C15" s="185" t="n">
        <v>46083.0783541965</v>
      </c>
      <c r="D15" s="189" t="s">
        <v>275</v>
      </c>
      <c r="E15" s="189" t="s">
        <v>276</v>
      </c>
      <c r="F15" s="189" t="s">
        <v>276</v>
      </c>
      <c r="G15" s="189" t="s">
        <v>277</v>
      </c>
      <c r="H15" s="185" t="n">
        <v>46080</v>
      </c>
      <c r="I15" s="189" t="s">
        <v>113</v>
      </c>
      <c r="J15" s="189" t="s">
        <v>108</v>
      </c>
      <c r="K15" s="189" t="s">
        <v>245</v>
      </c>
      <c r="L15" s="189" t="s">
        <v>144</v>
      </c>
      <c r="M15" s="189" t="s">
        <v>279</v>
      </c>
      <c r="N15" s="189" t="s">
        <v>280</v>
      </c>
      <c r="O15" s="189" t="s">
        <v>278</v>
      </c>
      <c r="P15" s="189" t="s">
        <v>111</v>
      </c>
      <c r="Q15" s="189" t="s">
        <v>112</v>
      </c>
      <c r="R15" s="189" t="s">
        <v>24</v>
      </c>
      <c r="S15" s="189" t="s">
        <v>120</v>
      </c>
      <c r="T15" s="189" t="s">
        <v>180</v>
      </c>
      <c r="V15" s="189" t="s">
        <v>192</v>
      </c>
      <c r="W15" s="189" t="s">
        <v>124</v>
      </c>
      <c r="X15" s="189" t="s">
        <v>223</v>
      </c>
      <c r="Y15" s="189" t="s">
        <v>223</v>
      </c>
      <c r="Z15" s="189" t="s">
        <v>2164</v>
      </c>
      <c r="AA15" s="189" t="s">
        <v>2141</v>
      </c>
      <c r="AB15" s="189" t="s">
        <v>2165</v>
      </c>
      <c r="AG15" s="189" t="s">
        <v>2146</v>
      </c>
      <c r="AH15" s="189" t="s">
        <v>2145</v>
      </c>
    </row>
    <row r="16" customFormat="false" ht="15" hidden="false" customHeight="true" outlineLevel="0" collapsed="false">
      <c r="A16" s="0" t="n">
        <v>15</v>
      </c>
      <c r="B16" s="185" t="n">
        <v>46075.6041179838</v>
      </c>
      <c r="C16" s="185" t="n">
        <v>46075.6211202986</v>
      </c>
      <c r="D16" s="189" t="s">
        <v>283</v>
      </c>
      <c r="E16" s="189" t="s">
        <v>284</v>
      </c>
      <c r="F16" s="189" t="s">
        <v>284</v>
      </c>
      <c r="G16" s="189" t="s">
        <v>285</v>
      </c>
      <c r="H16" s="185" t="n">
        <v>46055</v>
      </c>
      <c r="I16" s="189" t="s">
        <v>113</v>
      </c>
      <c r="J16" s="189" t="s">
        <v>108</v>
      </c>
      <c r="K16" s="189" t="s">
        <v>143</v>
      </c>
      <c r="L16" s="189" t="s">
        <v>130</v>
      </c>
      <c r="M16" s="189" t="s">
        <v>286</v>
      </c>
      <c r="N16" s="189" t="s">
        <v>287</v>
      </c>
      <c r="O16" s="189" t="s">
        <v>244</v>
      </c>
      <c r="P16" s="189" t="s">
        <v>111</v>
      </c>
      <c r="Q16" s="189" t="s">
        <v>112</v>
      </c>
      <c r="R16" s="189" t="s">
        <v>22</v>
      </c>
      <c r="S16" s="189" t="s">
        <v>120</v>
      </c>
      <c r="T16" s="189" t="s">
        <v>121</v>
      </c>
      <c r="U16" s="189" t="s">
        <v>291</v>
      </c>
      <c r="V16" s="189" t="s">
        <v>192</v>
      </c>
      <c r="W16" s="189" t="s">
        <v>124</v>
      </c>
      <c r="X16" s="189" t="s">
        <v>148</v>
      </c>
      <c r="Y16" s="189" t="s">
        <v>148</v>
      </c>
      <c r="Z16" s="189" t="s">
        <v>2166</v>
      </c>
      <c r="AA16" s="189" t="s">
        <v>2136</v>
      </c>
      <c r="AG16" s="189" t="s">
        <v>2138</v>
      </c>
    </row>
    <row r="17" customFormat="false" ht="15" hidden="false" customHeight="true" outlineLevel="0" collapsed="false">
      <c r="A17" s="0" t="n">
        <v>16</v>
      </c>
      <c r="B17" s="185" t="n">
        <v>46082.666328572</v>
      </c>
      <c r="C17" s="185" t="n">
        <v>46082.6809234794</v>
      </c>
      <c r="D17" s="189" t="s">
        <v>292</v>
      </c>
      <c r="E17" s="189" t="s">
        <v>293</v>
      </c>
      <c r="F17" s="189" t="s">
        <v>293</v>
      </c>
      <c r="G17" s="189" t="s">
        <v>294</v>
      </c>
      <c r="H17" s="185" t="n">
        <v>46079</v>
      </c>
      <c r="I17" s="189" t="s">
        <v>113</v>
      </c>
      <c r="J17" s="189" t="s">
        <v>295</v>
      </c>
      <c r="K17" s="189" t="s">
        <v>257</v>
      </c>
      <c r="L17" s="189" t="s">
        <v>296</v>
      </c>
      <c r="M17" s="189" t="s">
        <v>174</v>
      </c>
      <c r="N17" s="189" t="s">
        <v>297</v>
      </c>
      <c r="O17" s="189" t="s">
        <v>172</v>
      </c>
      <c r="P17" s="189" t="s">
        <v>111</v>
      </c>
      <c r="Q17" s="189" t="s">
        <v>145</v>
      </c>
      <c r="R17" s="189" t="s">
        <v>22</v>
      </c>
      <c r="S17" s="189" t="s">
        <v>152</v>
      </c>
      <c r="T17" s="189" t="s">
        <v>121</v>
      </c>
      <c r="U17" s="189" t="s">
        <v>122</v>
      </c>
      <c r="V17" s="189" t="s">
        <v>123</v>
      </c>
      <c r="W17" s="189" t="s">
        <v>124</v>
      </c>
      <c r="X17" s="189" t="s">
        <v>298</v>
      </c>
      <c r="Y17" s="189" t="s">
        <v>298</v>
      </c>
      <c r="Z17" s="189" t="s">
        <v>2167</v>
      </c>
      <c r="AA17" s="189" t="s">
        <v>2168</v>
      </c>
      <c r="AB17" s="189" t="s">
        <v>2169</v>
      </c>
      <c r="AG17" s="189" t="s">
        <v>2171</v>
      </c>
      <c r="AH17" s="189" t="s">
        <v>2172</v>
      </c>
    </row>
    <row r="18" customFormat="false" ht="15" hidden="false" customHeight="true" outlineLevel="0" collapsed="false">
      <c r="A18" s="0" t="n">
        <v>17</v>
      </c>
      <c r="B18" s="185" t="n">
        <v>46153.4289290785</v>
      </c>
      <c r="C18" s="185" t="n">
        <v>46153.4393920415</v>
      </c>
      <c r="D18" s="189" t="s">
        <v>302</v>
      </c>
      <c r="E18" s="189" t="s">
        <v>303</v>
      </c>
      <c r="F18" s="189" t="s">
        <v>303</v>
      </c>
      <c r="G18" s="189" t="s">
        <v>304</v>
      </c>
      <c r="H18" s="185" t="n">
        <v>46147</v>
      </c>
      <c r="I18" s="189" t="s">
        <v>305</v>
      </c>
      <c r="J18" s="189" t="s">
        <v>108</v>
      </c>
      <c r="K18" s="189" t="s">
        <v>245</v>
      </c>
      <c r="L18" s="189" t="s">
        <v>197</v>
      </c>
      <c r="M18" s="189" t="s">
        <v>185</v>
      </c>
      <c r="N18" s="189" t="s">
        <v>306</v>
      </c>
      <c r="O18" s="189" t="s">
        <v>107</v>
      </c>
      <c r="P18" s="189" t="s">
        <v>111</v>
      </c>
      <c r="Q18" s="189" t="s">
        <v>112</v>
      </c>
      <c r="R18" s="189" t="s">
        <v>21</v>
      </c>
      <c r="S18" s="189" t="s">
        <v>152</v>
      </c>
      <c r="T18" s="189" t="s">
        <v>121</v>
      </c>
      <c r="V18" s="189" t="s">
        <v>192</v>
      </c>
      <c r="W18" s="189" t="s">
        <v>124</v>
      </c>
      <c r="X18" s="189" t="s">
        <v>307</v>
      </c>
      <c r="Y18" s="189" t="s">
        <v>307</v>
      </c>
      <c r="Z18" s="189" t="s">
        <v>2173</v>
      </c>
      <c r="AA18" s="189" t="s">
        <v>2174</v>
      </c>
      <c r="AB18" s="189" t="s">
        <v>2175</v>
      </c>
      <c r="AG18" s="189" t="s">
        <v>2177</v>
      </c>
      <c r="AH18" s="189" t="s">
        <v>2178</v>
      </c>
    </row>
    <row r="19" customFormat="false" ht="15" hidden="false" customHeight="true" outlineLevel="0" collapsed="false">
      <c r="A19" s="0" t="n">
        <v>18</v>
      </c>
      <c r="B19" s="185" t="n">
        <v>46082.1441918781</v>
      </c>
      <c r="C19" s="185" t="n">
        <v>46082.1603261374</v>
      </c>
      <c r="D19" s="189" t="s">
        <v>311</v>
      </c>
      <c r="E19" s="189" t="s">
        <v>312</v>
      </c>
      <c r="F19" s="189" t="s">
        <v>313</v>
      </c>
      <c r="G19" s="189" t="s">
        <v>314</v>
      </c>
      <c r="H19" s="185" t="n">
        <v>46070</v>
      </c>
      <c r="I19" s="189" t="s">
        <v>113</v>
      </c>
      <c r="J19" s="189" t="s">
        <v>295</v>
      </c>
      <c r="K19" s="189" t="s">
        <v>315</v>
      </c>
      <c r="L19" s="189" t="s">
        <v>159</v>
      </c>
      <c r="M19" s="189" t="s">
        <v>212</v>
      </c>
      <c r="N19" s="189" t="s">
        <v>316</v>
      </c>
      <c r="O19" s="189" t="s">
        <v>244</v>
      </c>
      <c r="P19" s="189" t="s">
        <v>111</v>
      </c>
      <c r="Q19" s="189" t="s">
        <v>112</v>
      </c>
      <c r="R19" s="189" t="s">
        <v>22</v>
      </c>
      <c r="S19" s="189" t="s">
        <v>320</v>
      </c>
      <c r="T19" s="189" t="s">
        <v>121</v>
      </c>
      <c r="U19" s="189" t="s">
        <v>321</v>
      </c>
      <c r="V19" s="189" t="s">
        <v>123</v>
      </c>
      <c r="W19" s="189" t="s">
        <v>124</v>
      </c>
      <c r="X19" s="189" t="s">
        <v>271</v>
      </c>
      <c r="Y19" s="189" t="s">
        <v>271</v>
      </c>
      <c r="Z19" s="189" t="s">
        <v>2179</v>
      </c>
      <c r="AA19" s="189" t="s">
        <v>2180</v>
      </c>
      <c r="AG19" s="189" t="s">
        <v>2162</v>
      </c>
      <c r="AH19" s="189" t="s">
        <v>122</v>
      </c>
    </row>
    <row r="20" customFormat="false" ht="15" hidden="false" customHeight="true" outlineLevel="0" collapsed="false">
      <c r="A20" s="0" t="n">
        <v>19</v>
      </c>
      <c r="B20" s="185" t="n">
        <v>46123.874774073</v>
      </c>
      <c r="C20" s="185" t="n">
        <v>46123.88181111</v>
      </c>
      <c r="D20" s="189" t="s">
        <v>322</v>
      </c>
      <c r="E20" s="189" t="s">
        <v>323</v>
      </c>
      <c r="F20" s="189" t="s">
        <v>323</v>
      </c>
      <c r="G20" s="189" t="s">
        <v>324</v>
      </c>
      <c r="H20" s="185" t="n">
        <v>46120</v>
      </c>
      <c r="I20" s="189" t="s">
        <v>325</v>
      </c>
      <c r="J20" s="189" t="s">
        <v>108</v>
      </c>
      <c r="K20" s="189" t="s">
        <v>257</v>
      </c>
      <c r="L20" s="189" t="s">
        <v>268</v>
      </c>
      <c r="M20" s="189" t="s">
        <v>326</v>
      </c>
      <c r="N20" s="189" t="s">
        <v>259</v>
      </c>
      <c r="O20" s="189" t="s">
        <v>244</v>
      </c>
      <c r="P20" s="189" t="s">
        <v>111</v>
      </c>
      <c r="Q20" s="189" t="s">
        <v>247</v>
      </c>
      <c r="R20" s="189" t="s">
        <v>25</v>
      </c>
      <c r="S20" s="189" t="s">
        <v>120</v>
      </c>
      <c r="T20" s="189" t="s">
        <v>180</v>
      </c>
      <c r="U20" s="189" t="s">
        <v>122</v>
      </c>
      <c r="V20" s="189" t="s">
        <v>167</v>
      </c>
      <c r="W20" s="189" t="s">
        <v>124</v>
      </c>
      <c r="X20" s="189" t="s">
        <v>327</v>
      </c>
      <c r="Y20" s="189" t="s">
        <v>327</v>
      </c>
      <c r="Z20" s="189" t="s">
        <v>2125</v>
      </c>
      <c r="AA20" s="189" t="s">
        <v>2183</v>
      </c>
      <c r="AB20" s="189" t="s">
        <v>2139</v>
      </c>
      <c r="AG20" s="189" t="s">
        <v>2184</v>
      </c>
    </row>
    <row r="21" customFormat="false" ht="15" hidden="false" customHeight="true" outlineLevel="0" collapsed="false">
      <c r="A21" s="0" t="n">
        <v>20</v>
      </c>
      <c r="B21" s="185" t="n">
        <v>46148.3197154205</v>
      </c>
      <c r="C21" s="185" t="n">
        <v>46148.3293334761</v>
      </c>
      <c r="D21" s="189" t="s">
        <v>332</v>
      </c>
      <c r="E21" s="189" t="s">
        <v>333</v>
      </c>
      <c r="F21" s="189" t="s">
        <v>333</v>
      </c>
      <c r="G21" s="189" t="s">
        <v>334</v>
      </c>
      <c r="H21" s="185" t="n">
        <v>46137</v>
      </c>
      <c r="I21" s="189" t="s">
        <v>336</v>
      </c>
      <c r="J21" s="189" t="s">
        <v>295</v>
      </c>
      <c r="K21" s="189" t="s">
        <v>335</v>
      </c>
      <c r="L21" s="189" t="s">
        <v>159</v>
      </c>
      <c r="M21" s="189" t="s">
        <v>337</v>
      </c>
      <c r="N21" s="189" t="s">
        <v>338</v>
      </c>
      <c r="O21" s="189" t="s">
        <v>107</v>
      </c>
      <c r="P21" s="189" t="s">
        <v>131</v>
      </c>
      <c r="Q21" s="189" t="s">
        <v>112</v>
      </c>
      <c r="R21" s="189" t="s">
        <v>22</v>
      </c>
      <c r="S21" s="189" t="s">
        <v>120</v>
      </c>
      <c r="T21" s="189" t="s">
        <v>180</v>
      </c>
      <c r="V21" s="189" t="s">
        <v>167</v>
      </c>
      <c r="W21" s="189" t="s">
        <v>124</v>
      </c>
      <c r="X21" s="189" t="s">
        <v>339</v>
      </c>
      <c r="Y21" s="189" t="s">
        <v>339</v>
      </c>
      <c r="Z21" s="189" t="s">
        <v>2185</v>
      </c>
      <c r="AG21" s="189" t="s">
        <v>2188</v>
      </c>
      <c r="AH21" s="189" t="s">
        <v>2189</v>
      </c>
    </row>
    <row r="22" customFormat="false" ht="270" hidden="false" customHeight="true" outlineLevel="0" collapsed="false">
      <c r="A22" s="0" t="n">
        <v>21</v>
      </c>
      <c r="B22" s="185" t="n">
        <v>46215.6103382103</v>
      </c>
      <c r="C22" s="185" t="n">
        <v>46215.6275604325</v>
      </c>
      <c r="D22" s="189" t="s">
        <v>343</v>
      </c>
      <c r="E22" s="189" t="s">
        <v>344</v>
      </c>
      <c r="F22" s="189" t="s">
        <v>344</v>
      </c>
      <c r="G22" s="189" t="s">
        <v>345</v>
      </c>
      <c r="H22" s="185" t="n">
        <v>46200</v>
      </c>
      <c r="I22" s="189" t="s">
        <v>325</v>
      </c>
      <c r="J22" s="189" t="s">
        <v>108</v>
      </c>
      <c r="K22" s="189" t="s">
        <v>158</v>
      </c>
      <c r="L22" s="189" t="s">
        <v>346</v>
      </c>
      <c r="M22" s="189" t="s">
        <v>258</v>
      </c>
      <c r="N22" s="189" t="s">
        <v>347</v>
      </c>
      <c r="O22" s="189" t="s">
        <v>157</v>
      </c>
      <c r="P22" s="189" t="s">
        <v>111</v>
      </c>
      <c r="Q22" s="189" t="s">
        <v>145</v>
      </c>
      <c r="R22" s="189" t="s">
        <v>21</v>
      </c>
      <c r="S22" s="189" t="s">
        <v>152</v>
      </c>
      <c r="T22" s="189" t="s">
        <v>352</v>
      </c>
      <c r="U22" s="132"/>
      <c r="V22" s="189" t="s">
        <v>123</v>
      </c>
      <c r="W22" s="189" t="s">
        <v>124</v>
      </c>
      <c r="X22" s="189" t="s">
        <v>348</v>
      </c>
      <c r="Y22" s="189" t="s">
        <v>348</v>
      </c>
      <c r="Z22" s="189" t="s">
        <v>2190</v>
      </c>
      <c r="AG22" s="189" t="s">
        <v>2192</v>
      </c>
    </row>
    <row r="23" customFormat="false" ht="54.75" hidden="false" customHeight="true" outlineLevel="0" collapsed="false">
      <c r="A23" s="0" t="n">
        <v>22</v>
      </c>
      <c r="B23" s="185" t="n">
        <v>46054.1587666136</v>
      </c>
      <c r="C23" s="185" t="n">
        <v>46054.1732689284</v>
      </c>
      <c r="D23" s="189" t="s">
        <v>353</v>
      </c>
      <c r="E23" s="189" t="s">
        <v>354</v>
      </c>
      <c r="F23" s="189" t="s">
        <v>354</v>
      </c>
      <c r="G23" s="189" t="s">
        <v>355</v>
      </c>
      <c r="H23" s="185" t="n">
        <v>46037</v>
      </c>
      <c r="I23" s="189" t="s">
        <v>113</v>
      </c>
      <c r="J23" s="189" t="s">
        <v>295</v>
      </c>
      <c r="K23" s="189" t="s">
        <v>356</v>
      </c>
      <c r="L23" s="189" t="s">
        <v>346</v>
      </c>
      <c r="M23" s="189" t="s">
        <v>357</v>
      </c>
      <c r="N23" s="189" t="s">
        <v>219</v>
      </c>
      <c r="O23" s="189" t="s">
        <v>172</v>
      </c>
      <c r="P23" s="189" t="s">
        <v>111</v>
      </c>
      <c r="Q23" s="189" t="s">
        <v>145</v>
      </c>
      <c r="R23" s="189" t="s">
        <v>24</v>
      </c>
      <c r="S23" s="189" t="s">
        <v>152</v>
      </c>
      <c r="T23" s="189" t="s">
        <v>121</v>
      </c>
      <c r="U23" s="132" t="s">
        <v>122</v>
      </c>
      <c r="V23" s="189" t="s">
        <v>123</v>
      </c>
      <c r="W23" s="189" t="s">
        <v>124</v>
      </c>
      <c r="X23" s="189" t="s">
        <v>223</v>
      </c>
      <c r="Y23" s="189" t="s">
        <v>223</v>
      </c>
      <c r="Z23" s="189" t="s">
        <v>2142</v>
      </c>
      <c r="AG23" s="189" t="s">
        <v>2194</v>
      </c>
      <c r="AH23" s="189" t="s">
        <v>2145</v>
      </c>
    </row>
    <row r="24" customFormat="false" ht="81.75" hidden="false" customHeight="true" outlineLevel="0" collapsed="false">
      <c r="A24" s="0" t="n">
        <v>23</v>
      </c>
      <c r="B24" s="185" t="n">
        <v>46211.1872796947</v>
      </c>
      <c r="C24" s="185" t="n">
        <v>46211.2037843243</v>
      </c>
      <c r="D24" s="189" t="s">
        <v>361</v>
      </c>
      <c r="E24" s="189" t="s">
        <v>362</v>
      </c>
      <c r="F24" s="189" t="s">
        <v>362</v>
      </c>
      <c r="G24" s="189" t="s">
        <v>363</v>
      </c>
      <c r="H24" s="185" t="n">
        <v>46211</v>
      </c>
      <c r="I24" s="189" t="s">
        <v>113</v>
      </c>
      <c r="J24" s="189" t="s">
        <v>108</v>
      </c>
      <c r="K24" s="189" t="s">
        <v>364</v>
      </c>
      <c r="L24" s="189" t="s">
        <v>197</v>
      </c>
      <c r="M24" s="189" t="s">
        <v>365</v>
      </c>
      <c r="N24" s="189" t="s">
        <v>174</v>
      </c>
      <c r="O24" s="189" t="s">
        <v>244</v>
      </c>
      <c r="P24" s="189" t="s">
        <v>111</v>
      </c>
      <c r="Q24" s="189" t="s">
        <v>145</v>
      </c>
      <c r="R24" s="189" t="s">
        <v>22</v>
      </c>
      <c r="S24" s="189" t="s">
        <v>120</v>
      </c>
      <c r="T24" s="189" t="s">
        <v>180</v>
      </c>
      <c r="U24" s="132" t="s">
        <v>369</v>
      </c>
      <c r="V24" s="189" t="s">
        <v>192</v>
      </c>
      <c r="W24" s="189" t="s">
        <v>124</v>
      </c>
      <c r="X24" s="189" t="s">
        <v>135</v>
      </c>
      <c r="Y24" s="189" t="s">
        <v>135</v>
      </c>
      <c r="Z24" s="189" t="s">
        <v>2115</v>
      </c>
      <c r="AG24" s="189" t="s">
        <v>2196</v>
      </c>
    </row>
    <row r="25" customFormat="false" ht="95.25" hidden="false" customHeight="true" outlineLevel="0" collapsed="false">
      <c r="A25" s="0" t="n">
        <v>24</v>
      </c>
      <c r="B25" s="185" t="n">
        <v>46192.6853132555</v>
      </c>
      <c r="C25" s="185" t="n">
        <v>46192.6939359407</v>
      </c>
      <c r="D25" s="189" t="s">
        <v>371</v>
      </c>
      <c r="E25" s="189" t="s">
        <v>372</v>
      </c>
      <c r="F25" s="189" t="s">
        <v>372</v>
      </c>
      <c r="G25" s="189" t="s">
        <v>373</v>
      </c>
      <c r="H25" s="185" t="n">
        <v>46173</v>
      </c>
      <c r="I25" s="189" t="s">
        <v>113</v>
      </c>
      <c r="J25" s="189" t="s">
        <v>108</v>
      </c>
      <c r="K25" s="189" t="s">
        <v>143</v>
      </c>
      <c r="L25" s="189" t="s">
        <v>346</v>
      </c>
      <c r="M25" s="189" t="s">
        <v>365</v>
      </c>
      <c r="N25" s="189" t="s">
        <v>259</v>
      </c>
      <c r="O25" s="189" t="s">
        <v>260</v>
      </c>
      <c r="P25" s="189" t="s">
        <v>111</v>
      </c>
      <c r="Q25" s="189" t="s">
        <v>112</v>
      </c>
      <c r="R25" s="189" t="s">
        <v>21</v>
      </c>
      <c r="S25" s="189" t="s">
        <v>152</v>
      </c>
      <c r="T25" s="189" t="s">
        <v>121</v>
      </c>
      <c r="U25" s="132" t="s">
        <v>122</v>
      </c>
      <c r="V25" s="189" t="s">
        <v>192</v>
      </c>
      <c r="W25" s="189" t="s">
        <v>168</v>
      </c>
      <c r="X25" s="189" t="s">
        <v>374</v>
      </c>
      <c r="Y25" s="189" t="s">
        <v>374</v>
      </c>
      <c r="Z25" s="189" t="s">
        <v>2197</v>
      </c>
      <c r="AA25" s="189" t="s">
        <v>2198</v>
      </c>
      <c r="AB25" s="189" t="s">
        <v>2199</v>
      </c>
      <c r="AG25" s="189" t="s">
        <v>2201</v>
      </c>
      <c r="AH25" s="189" t="s">
        <v>2202</v>
      </c>
    </row>
    <row r="26" customFormat="false" ht="95.25" hidden="false" customHeight="true" outlineLevel="0" collapsed="false">
      <c r="A26" s="0" t="n">
        <v>25</v>
      </c>
      <c r="B26" s="185" t="n">
        <v>46061.6944871846</v>
      </c>
      <c r="C26" s="185" t="n">
        <v>46061.6994061661</v>
      </c>
      <c r="D26" s="189" t="s">
        <v>378</v>
      </c>
      <c r="E26" s="189" t="s">
        <v>379</v>
      </c>
      <c r="F26" s="189" t="s">
        <v>379</v>
      </c>
      <c r="G26" s="189" t="s">
        <v>380</v>
      </c>
      <c r="H26" s="185" t="n">
        <v>46059</v>
      </c>
      <c r="I26" s="189" t="s">
        <v>325</v>
      </c>
      <c r="J26" s="189" t="s">
        <v>295</v>
      </c>
      <c r="K26" s="189" t="s">
        <v>232</v>
      </c>
      <c r="L26" s="189" t="s">
        <v>296</v>
      </c>
      <c r="M26" s="189" t="s">
        <v>258</v>
      </c>
      <c r="N26" s="189" t="s">
        <v>115</v>
      </c>
      <c r="O26" s="189" t="s">
        <v>107</v>
      </c>
      <c r="P26" s="189" t="s">
        <v>111</v>
      </c>
      <c r="Q26" s="189" t="s">
        <v>145</v>
      </c>
      <c r="R26" s="189" t="s">
        <v>22</v>
      </c>
      <c r="S26" s="189" t="s">
        <v>152</v>
      </c>
      <c r="T26" s="189" t="s">
        <v>180</v>
      </c>
      <c r="U26" s="132" t="s">
        <v>385</v>
      </c>
      <c r="V26" s="189" t="s">
        <v>167</v>
      </c>
      <c r="W26" s="189" t="s">
        <v>139</v>
      </c>
      <c r="X26" s="189" t="s">
        <v>381</v>
      </c>
      <c r="Y26" s="189" t="s">
        <v>381</v>
      </c>
      <c r="Z26" s="189" t="s">
        <v>2203</v>
      </c>
      <c r="AG26" s="189" t="s">
        <v>2206</v>
      </c>
      <c r="AH26" s="189" t="s">
        <v>2207</v>
      </c>
    </row>
    <row r="27" customFormat="false" ht="15" hidden="false" customHeight="true" outlineLevel="0" collapsed="false">
      <c r="A27" s="0" t="n">
        <v>26</v>
      </c>
      <c r="B27" s="185" t="n">
        <v>46122.9785777183</v>
      </c>
      <c r="C27" s="185" t="n">
        <v>46122.9978832739</v>
      </c>
      <c r="D27" s="189" t="s">
        <v>386</v>
      </c>
      <c r="E27" s="189" t="s">
        <v>387</v>
      </c>
      <c r="F27" s="189" t="s">
        <v>387</v>
      </c>
      <c r="G27" s="189" t="s">
        <v>388</v>
      </c>
      <c r="H27" s="185" t="n">
        <v>46102</v>
      </c>
      <c r="I27" s="189" t="s">
        <v>113</v>
      </c>
      <c r="J27" s="189" t="s">
        <v>108</v>
      </c>
      <c r="K27" s="189" t="s">
        <v>245</v>
      </c>
      <c r="L27" s="189" t="s">
        <v>389</v>
      </c>
      <c r="M27" s="189" t="s">
        <v>391</v>
      </c>
      <c r="N27" s="189" t="s">
        <v>280</v>
      </c>
      <c r="O27" s="189" t="s">
        <v>172</v>
      </c>
      <c r="P27" s="189" t="s">
        <v>390</v>
      </c>
      <c r="Q27" s="189" t="s">
        <v>112</v>
      </c>
      <c r="R27" s="189" t="s">
        <v>21</v>
      </c>
      <c r="S27" s="189" t="s">
        <v>152</v>
      </c>
      <c r="T27" s="189" t="s">
        <v>121</v>
      </c>
      <c r="U27" s="189" t="s">
        <v>122</v>
      </c>
      <c r="V27" s="189" t="s">
        <v>167</v>
      </c>
      <c r="W27" s="189" t="s">
        <v>168</v>
      </c>
      <c r="X27" s="189" t="s">
        <v>348</v>
      </c>
      <c r="Y27" s="189" t="s">
        <v>348</v>
      </c>
      <c r="Z27" s="189" t="s">
        <v>2208</v>
      </c>
      <c r="AA27" s="189" t="s">
        <v>2209</v>
      </c>
      <c r="AG27" s="189" t="s">
        <v>2210</v>
      </c>
    </row>
    <row r="28" customFormat="false" ht="15" hidden="false" customHeight="true" outlineLevel="0" collapsed="false">
      <c r="A28" s="0" t="n">
        <v>27</v>
      </c>
      <c r="B28" s="185" t="n">
        <v>46077.5030995718</v>
      </c>
      <c r="C28" s="185" t="n">
        <v>46077.5057731829</v>
      </c>
      <c r="D28" s="189" t="s">
        <v>394</v>
      </c>
      <c r="E28" s="189" t="s">
        <v>395</v>
      </c>
      <c r="F28" s="189" t="s">
        <v>395</v>
      </c>
      <c r="G28" s="189" t="s">
        <v>396</v>
      </c>
      <c r="H28" s="185" t="n">
        <v>46058</v>
      </c>
      <c r="I28" s="189" t="s">
        <v>113</v>
      </c>
      <c r="J28" s="189" t="s">
        <v>108</v>
      </c>
      <c r="K28" s="189" t="s">
        <v>143</v>
      </c>
      <c r="L28" s="189" t="s">
        <v>346</v>
      </c>
      <c r="M28" s="189" t="s">
        <v>397</v>
      </c>
      <c r="N28" s="189" t="s">
        <v>398</v>
      </c>
      <c r="O28" s="189" t="s">
        <v>278</v>
      </c>
      <c r="P28" s="189" t="s">
        <v>111</v>
      </c>
      <c r="Q28" s="189" t="s">
        <v>247</v>
      </c>
      <c r="R28" s="189" t="s">
        <v>21</v>
      </c>
      <c r="S28" s="189" t="s">
        <v>152</v>
      </c>
      <c r="T28" s="189" t="s">
        <v>400</v>
      </c>
      <c r="U28" s="189" t="s">
        <v>401</v>
      </c>
      <c r="V28" s="189" t="s">
        <v>167</v>
      </c>
      <c r="W28" s="189" t="s">
        <v>124</v>
      </c>
      <c r="X28" s="189" t="s">
        <v>187</v>
      </c>
      <c r="Y28" s="189" t="s">
        <v>187</v>
      </c>
      <c r="Z28" s="189" t="s">
        <v>2133</v>
      </c>
      <c r="AG28" s="189" t="s">
        <v>2135</v>
      </c>
    </row>
    <row r="29" customFormat="false" ht="15" hidden="false" customHeight="true" outlineLevel="0" collapsed="false">
      <c r="A29" s="0" t="n">
        <v>28</v>
      </c>
      <c r="B29" s="185" t="n">
        <v>46167.3860380999</v>
      </c>
      <c r="C29" s="185" t="n">
        <v>46167.4041399518</v>
      </c>
      <c r="D29" s="189" t="s">
        <v>402</v>
      </c>
      <c r="E29" s="189" t="s">
        <v>403</v>
      </c>
      <c r="F29" s="189" t="s">
        <v>403</v>
      </c>
      <c r="G29" s="189" t="s">
        <v>404</v>
      </c>
      <c r="H29" s="185" t="n">
        <v>46152</v>
      </c>
      <c r="I29" s="189" t="s">
        <v>305</v>
      </c>
      <c r="J29" s="189" t="s">
        <v>108</v>
      </c>
      <c r="K29" s="189" t="s">
        <v>245</v>
      </c>
      <c r="L29" s="189" t="s">
        <v>286</v>
      </c>
      <c r="M29" s="189" t="s">
        <v>406</v>
      </c>
      <c r="N29" s="189" t="s">
        <v>407</v>
      </c>
      <c r="O29" s="189" t="s">
        <v>405</v>
      </c>
      <c r="P29" s="189" t="s">
        <v>211</v>
      </c>
      <c r="Q29" s="189" t="s">
        <v>112</v>
      </c>
      <c r="R29" s="189" t="s">
        <v>22</v>
      </c>
      <c r="S29" s="189" t="s">
        <v>320</v>
      </c>
      <c r="T29" s="189" t="s">
        <v>121</v>
      </c>
      <c r="U29" s="189" t="s">
        <v>122</v>
      </c>
      <c r="V29" s="189" t="s">
        <v>123</v>
      </c>
      <c r="W29" s="189" t="s">
        <v>124</v>
      </c>
      <c r="X29" s="189" t="s">
        <v>339</v>
      </c>
      <c r="Y29" s="189" t="s">
        <v>339</v>
      </c>
      <c r="Z29" s="189" t="s">
        <v>2212</v>
      </c>
      <c r="AA29" s="189" t="s">
        <v>2213</v>
      </c>
      <c r="AG29" s="189" t="s">
        <v>122</v>
      </c>
      <c r="AH29" s="189" t="s">
        <v>2189</v>
      </c>
    </row>
    <row r="30" customFormat="false" ht="15" hidden="false" customHeight="true" outlineLevel="0" collapsed="false">
      <c r="A30" s="0" t="n">
        <v>29</v>
      </c>
      <c r="B30" s="185" t="n">
        <v>46154.2159840567</v>
      </c>
      <c r="C30" s="185" t="n">
        <v>46154.2218405382</v>
      </c>
      <c r="D30" s="189" t="s">
        <v>410</v>
      </c>
      <c r="E30" s="189" t="s">
        <v>411</v>
      </c>
      <c r="F30" s="189" t="s">
        <v>411</v>
      </c>
      <c r="G30" s="189" t="s">
        <v>412</v>
      </c>
      <c r="H30" s="185" t="n">
        <v>46142</v>
      </c>
      <c r="I30" s="189" t="s">
        <v>113</v>
      </c>
      <c r="J30" s="189" t="s">
        <v>295</v>
      </c>
      <c r="K30" s="189" t="s">
        <v>413</v>
      </c>
      <c r="L30" s="189" t="s">
        <v>389</v>
      </c>
      <c r="M30" s="189" t="s">
        <v>234</v>
      </c>
      <c r="N30" s="189" t="s">
        <v>414</v>
      </c>
      <c r="O30" s="189" t="s">
        <v>107</v>
      </c>
      <c r="P30" s="189" t="s">
        <v>111</v>
      </c>
      <c r="Q30" s="189" t="s">
        <v>145</v>
      </c>
      <c r="R30" s="189" t="s">
        <v>24</v>
      </c>
      <c r="S30" s="189" t="s">
        <v>120</v>
      </c>
      <c r="T30" s="189" t="s">
        <v>121</v>
      </c>
      <c r="U30" s="189" t="s">
        <v>122</v>
      </c>
      <c r="V30" s="189" t="s">
        <v>167</v>
      </c>
      <c r="W30" s="189" t="s">
        <v>124</v>
      </c>
      <c r="X30" s="189" t="s">
        <v>223</v>
      </c>
      <c r="Y30" s="189" t="s">
        <v>223</v>
      </c>
      <c r="Z30" s="189" t="s">
        <v>2147</v>
      </c>
      <c r="AA30" s="189" t="s">
        <v>2142</v>
      </c>
      <c r="AG30" s="189" t="s">
        <v>2194</v>
      </c>
      <c r="AH30" s="189" t="s">
        <v>2150</v>
      </c>
    </row>
    <row r="31" customFormat="false" ht="15" hidden="false" customHeight="true" outlineLevel="0" collapsed="false">
      <c r="A31" s="0" t="n">
        <v>30</v>
      </c>
      <c r="B31" s="185" t="n">
        <v>46203.3435546317</v>
      </c>
      <c r="C31" s="185" t="n">
        <v>46203.3543648168</v>
      </c>
      <c r="D31" s="189" t="s">
        <v>418</v>
      </c>
      <c r="E31" s="189" t="s">
        <v>419</v>
      </c>
      <c r="F31" s="189" t="s">
        <v>420</v>
      </c>
      <c r="G31" s="189" t="s">
        <v>421</v>
      </c>
      <c r="H31" s="185" t="n">
        <v>46193</v>
      </c>
      <c r="I31" s="189" t="s">
        <v>113</v>
      </c>
      <c r="J31" s="189" t="s">
        <v>128</v>
      </c>
      <c r="K31" s="189" t="s">
        <v>257</v>
      </c>
      <c r="L31" s="189" t="s">
        <v>389</v>
      </c>
      <c r="M31" s="189" t="s">
        <v>337</v>
      </c>
      <c r="N31" s="189" t="s">
        <v>422</v>
      </c>
      <c r="O31" s="189" t="s">
        <v>157</v>
      </c>
      <c r="P31" s="189" t="s">
        <v>131</v>
      </c>
      <c r="Q31" s="189" t="s">
        <v>112</v>
      </c>
      <c r="R31" s="189" t="s">
        <v>24</v>
      </c>
      <c r="S31" s="189" t="s">
        <v>120</v>
      </c>
      <c r="T31" s="189" t="s">
        <v>121</v>
      </c>
      <c r="U31" s="189" t="s">
        <v>426</v>
      </c>
      <c r="V31" s="189" t="s">
        <v>123</v>
      </c>
      <c r="W31" s="189" t="s">
        <v>124</v>
      </c>
      <c r="X31" s="189" t="s">
        <v>223</v>
      </c>
      <c r="Y31" s="189" t="s">
        <v>223</v>
      </c>
      <c r="Z31" s="189" t="s">
        <v>2147</v>
      </c>
      <c r="AA31" s="189" t="s">
        <v>2165</v>
      </c>
      <c r="AB31" s="189" t="s">
        <v>2148</v>
      </c>
      <c r="AG31" s="189" t="s">
        <v>2150</v>
      </c>
    </row>
    <row r="32" customFormat="false" ht="15" hidden="false" customHeight="true" outlineLevel="0" collapsed="false">
      <c r="A32" s="0" t="n">
        <v>31</v>
      </c>
      <c r="B32" s="185" t="n">
        <v>46116.2035144156</v>
      </c>
      <c r="C32" s="185" t="n">
        <v>46116.2091625638</v>
      </c>
      <c r="D32" s="189" t="s">
        <v>427</v>
      </c>
      <c r="E32" s="189" t="s">
        <v>428</v>
      </c>
      <c r="F32" s="189" t="s">
        <v>428</v>
      </c>
      <c r="G32" s="189" t="s">
        <v>429</v>
      </c>
      <c r="H32" s="185" t="n">
        <v>46097</v>
      </c>
      <c r="I32" s="189" t="s">
        <v>113</v>
      </c>
      <c r="J32" s="189" t="s">
        <v>108</v>
      </c>
      <c r="K32" s="189" t="s">
        <v>430</v>
      </c>
      <c r="L32" s="189" t="s">
        <v>431</v>
      </c>
      <c r="M32" s="189" t="s">
        <v>234</v>
      </c>
      <c r="N32" s="189" t="s">
        <v>432</v>
      </c>
      <c r="O32" s="189" t="s">
        <v>157</v>
      </c>
      <c r="P32" s="189" t="s">
        <v>111</v>
      </c>
      <c r="Q32" s="189" t="s">
        <v>112</v>
      </c>
      <c r="R32" s="189" t="s">
        <v>24</v>
      </c>
      <c r="S32" s="189" t="s">
        <v>120</v>
      </c>
      <c r="T32" s="189" t="s">
        <v>121</v>
      </c>
      <c r="U32" s="189" t="s">
        <v>122</v>
      </c>
      <c r="V32" s="189" t="s">
        <v>123</v>
      </c>
      <c r="W32" s="189" t="s">
        <v>124</v>
      </c>
      <c r="X32" s="189" t="s">
        <v>214</v>
      </c>
      <c r="Y32" s="189" t="s">
        <v>214</v>
      </c>
      <c r="Z32" s="189" t="s">
        <v>2109</v>
      </c>
      <c r="AA32" s="189" t="s">
        <v>2151</v>
      </c>
      <c r="AG32" s="189" t="s">
        <v>2184</v>
      </c>
      <c r="AH32" s="189" t="s">
        <v>2152</v>
      </c>
    </row>
    <row r="33" customFormat="false" ht="15" hidden="false" customHeight="true" outlineLevel="0" collapsed="false">
      <c r="A33" s="0" t="n">
        <v>32</v>
      </c>
      <c r="B33" s="185" t="n">
        <v>46141.1763711817</v>
      </c>
      <c r="C33" s="185" t="n">
        <v>46141.1913827558</v>
      </c>
      <c r="D33" s="189" t="s">
        <v>436</v>
      </c>
      <c r="E33" s="189" t="s">
        <v>437</v>
      </c>
      <c r="F33" s="189" t="s">
        <v>437</v>
      </c>
      <c r="G33" s="189" t="s">
        <v>438</v>
      </c>
      <c r="H33" s="185" t="n">
        <v>46132</v>
      </c>
      <c r="I33" s="189" t="s">
        <v>132</v>
      </c>
      <c r="J33" s="189" t="s">
        <v>295</v>
      </c>
      <c r="K33" s="189" t="s">
        <v>173</v>
      </c>
      <c r="L33" s="189" t="s">
        <v>197</v>
      </c>
      <c r="M33" s="189" t="s">
        <v>439</v>
      </c>
      <c r="N33" s="189" t="s">
        <v>440</v>
      </c>
      <c r="O33" s="189" t="s">
        <v>107</v>
      </c>
      <c r="P33" s="189" t="s">
        <v>211</v>
      </c>
      <c r="Q33" s="189" t="s">
        <v>145</v>
      </c>
      <c r="R33" s="189" t="s">
        <v>23</v>
      </c>
      <c r="S33" s="189" t="s">
        <v>152</v>
      </c>
      <c r="T33" s="189" t="s">
        <v>121</v>
      </c>
      <c r="U33" s="189" t="s">
        <v>122</v>
      </c>
      <c r="V33" s="189" t="s">
        <v>192</v>
      </c>
      <c r="W33" s="189" t="s">
        <v>124</v>
      </c>
      <c r="X33" s="189" t="s">
        <v>442</v>
      </c>
      <c r="Y33" s="189" t="s">
        <v>442</v>
      </c>
      <c r="AK33" s="189" t="s">
        <v>441</v>
      </c>
    </row>
    <row r="34" customFormat="false" ht="15" hidden="false" customHeight="true" outlineLevel="0" collapsed="false">
      <c r="A34" s="0" t="n">
        <v>33</v>
      </c>
      <c r="B34" s="185" t="n">
        <v>46046.7559219473</v>
      </c>
      <c r="C34" s="185" t="n">
        <v>46046.7582367621</v>
      </c>
      <c r="D34" s="189" t="s">
        <v>443</v>
      </c>
      <c r="E34" s="189" t="s">
        <v>444</v>
      </c>
      <c r="F34" s="189" t="s">
        <v>444</v>
      </c>
      <c r="G34" s="189" t="s">
        <v>445</v>
      </c>
      <c r="H34" s="185" t="n">
        <v>46045</v>
      </c>
      <c r="I34" s="189" t="s">
        <v>113</v>
      </c>
      <c r="J34" s="189" t="s">
        <v>295</v>
      </c>
      <c r="K34" s="189" t="s">
        <v>446</v>
      </c>
      <c r="L34" s="189" t="s">
        <v>130</v>
      </c>
      <c r="M34" s="189" t="s">
        <v>447</v>
      </c>
      <c r="N34" s="189" t="s">
        <v>249</v>
      </c>
      <c r="O34" s="189" t="s">
        <v>244</v>
      </c>
      <c r="P34" s="189" t="s">
        <v>111</v>
      </c>
      <c r="Q34" s="189" t="s">
        <v>112</v>
      </c>
      <c r="R34" s="189" t="s">
        <v>24</v>
      </c>
      <c r="S34" s="189" t="s">
        <v>227</v>
      </c>
      <c r="T34" s="189" t="s">
        <v>121</v>
      </c>
      <c r="U34" s="189" t="s">
        <v>452</v>
      </c>
      <c r="V34" s="189" t="s">
        <v>192</v>
      </c>
      <c r="W34" s="189" t="s">
        <v>139</v>
      </c>
      <c r="X34" s="189" t="s">
        <v>448</v>
      </c>
      <c r="Y34" s="189" t="s">
        <v>448</v>
      </c>
      <c r="Z34" s="189" t="s">
        <v>2217</v>
      </c>
      <c r="AA34" s="189" t="s">
        <v>2218</v>
      </c>
      <c r="AB34" s="189" t="s">
        <v>2219</v>
      </c>
      <c r="AG34" s="189" t="s">
        <v>2222</v>
      </c>
      <c r="AH34" s="189" t="s">
        <v>2223</v>
      </c>
    </row>
    <row r="35" customFormat="false" ht="15" hidden="false" customHeight="true" outlineLevel="0" collapsed="false">
      <c r="A35" s="0" t="n">
        <v>34</v>
      </c>
      <c r="B35" s="185" t="n">
        <v>46046.7311473906</v>
      </c>
      <c r="C35" s="185" t="n">
        <v>46046.7328603535</v>
      </c>
      <c r="D35" s="189" t="s">
        <v>453</v>
      </c>
      <c r="E35" s="189" t="s">
        <v>454</v>
      </c>
      <c r="F35" s="189" t="s">
        <v>454</v>
      </c>
      <c r="G35" s="189" t="s">
        <v>455</v>
      </c>
      <c r="H35" s="185" t="n">
        <v>46032</v>
      </c>
      <c r="I35" s="189" t="s">
        <v>113</v>
      </c>
      <c r="J35" s="189" t="s">
        <v>295</v>
      </c>
      <c r="K35" s="189" t="s">
        <v>456</v>
      </c>
      <c r="L35" s="189" t="s">
        <v>210</v>
      </c>
      <c r="M35" s="189" t="s">
        <v>114</v>
      </c>
      <c r="N35" s="189" t="s">
        <v>287</v>
      </c>
      <c r="O35" s="189" t="s">
        <v>172</v>
      </c>
      <c r="P35" s="189" t="s">
        <v>131</v>
      </c>
      <c r="Q35" s="189" t="s">
        <v>247</v>
      </c>
      <c r="R35" s="189" t="s">
        <v>21</v>
      </c>
      <c r="S35" s="189" t="s">
        <v>152</v>
      </c>
      <c r="T35" s="189" t="s">
        <v>228</v>
      </c>
      <c r="V35" s="189" t="s">
        <v>123</v>
      </c>
      <c r="W35" s="189" t="s">
        <v>168</v>
      </c>
      <c r="X35" s="189" t="s">
        <v>457</v>
      </c>
      <c r="Y35" s="189" t="s">
        <v>457</v>
      </c>
      <c r="Z35" s="189" t="s">
        <v>2109</v>
      </c>
      <c r="AA35" s="189" t="s">
        <v>2151</v>
      </c>
      <c r="AG35" s="189" t="s">
        <v>2127</v>
      </c>
      <c r="AH35" s="189" t="s">
        <v>122</v>
      </c>
    </row>
    <row r="36" customFormat="false" ht="15" hidden="false" customHeight="true" outlineLevel="0" collapsed="false">
      <c r="A36" s="0" t="n">
        <v>35</v>
      </c>
      <c r="B36" s="185" t="n">
        <v>46057.9478225182</v>
      </c>
      <c r="C36" s="185" t="n">
        <v>46057.9668155737</v>
      </c>
      <c r="D36" s="189" t="s">
        <v>459</v>
      </c>
      <c r="E36" s="189" t="s">
        <v>460</v>
      </c>
      <c r="F36" s="189" t="s">
        <v>460</v>
      </c>
      <c r="G36" s="189" t="s">
        <v>461</v>
      </c>
      <c r="H36" s="185" t="n">
        <v>46044</v>
      </c>
      <c r="I36" s="189" t="s">
        <v>113</v>
      </c>
      <c r="J36" s="189" t="s">
        <v>295</v>
      </c>
      <c r="K36" s="189" t="s">
        <v>462</v>
      </c>
      <c r="L36" s="189" t="s">
        <v>389</v>
      </c>
      <c r="M36" s="189" t="s">
        <v>397</v>
      </c>
      <c r="N36" s="189" t="s">
        <v>227</v>
      </c>
      <c r="O36" s="189" t="s">
        <v>244</v>
      </c>
      <c r="P36" s="189" t="s">
        <v>111</v>
      </c>
      <c r="Q36" s="189" t="s">
        <v>247</v>
      </c>
      <c r="R36" s="189" t="s">
        <v>22</v>
      </c>
      <c r="S36" s="189" t="s">
        <v>152</v>
      </c>
      <c r="T36" s="189" t="s">
        <v>121</v>
      </c>
      <c r="U36" s="189" t="s">
        <v>122</v>
      </c>
      <c r="V36" s="189" t="s">
        <v>192</v>
      </c>
      <c r="W36" s="189" t="s">
        <v>124</v>
      </c>
      <c r="X36" s="189" t="s">
        <v>381</v>
      </c>
      <c r="Y36" s="189" t="s">
        <v>381</v>
      </c>
      <c r="Z36" s="189" t="s">
        <v>2224</v>
      </c>
      <c r="AG36" s="189" t="s">
        <v>2225</v>
      </c>
      <c r="AH36" s="189" t="s">
        <v>2206</v>
      </c>
    </row>
    <row r="37" customFormat="false" ht="15" hidden="false" customHeight="true" outlineLevel="0" collapsed="false">
      <c r="A37" s="0" t="n">
        <v>36</v>
      </c>
      <c r="B37" s="185" t="n">
        <v>46181.1826159213</v>
      </c>
      <c r="C37" s="185" t="n">
        <v>46181.2026506435</v>
      </c>
      <c r="D37" s="189" t="s">
        <v>466</v>
      </c>
      <c r="E37" s="189" t="s">
        <v>467</v>
      </c>
      <c r="F37" s="189" t="s">
        <v>467</v>
      </c>
      <c r="G37" s="189" t="s">
        <v>468</v>
      </c>
      <c r="H37" s="185" t="n">
        <v>46177</v>
      </c>
      <c r="I37" s="189" t="s">
        <v>325</v>
      </c>
      <c r="J37" s="189" t="s">
        <v>108</v>
      </c>
      <c r="K37" s="189" t="s">
        <v>143</v>
      </c>
      <c r="L37" s="189" t="s">
        <v>286</v>
      </c>
      <c r="M37" s="189" t="s">
        <v>447</v>
      </c>
      <c r="N37" s="189" t="s">
        <v>469</v>
      </c>
      <c r="O37" s="189" t="s">
        <v>278</v>
      </c>
      <c r="P37" s="189" t="s">
        <v>131</v>
      </c>
      <c r="Q37" s="189" t="s">
        <v>112</v>
      </c>
      <c r="R37" s="189" t="s">
        <v>21</v>
      </c>
      <c r="S37" s="189" t="s">
        <v>152</v>
      </c>
      <c r="T37" s="189" t="s">
        <v>352</v>
      </c>
      <c r="V37" s="189" t="s">
        <v>123</v>
      </c>
      <c r="W37" s="189" t="s">
        <v>124</v>
      </c>
      <c r="X37" s="189" t="s">
        <v>307</v>
      </c>
      <c r="Y37" s="189" t="s">
        <v>307</v>
      </c>
      <c r="Z37" s="189" t="s">
        <v>2175</v>
      </c>
      <c r="AG37" s="189" t="s">
        <v>2177</v>
      </c>
    </row>
    <row r="38" customFormat="false" ht="15" hidden="false" customHeight="true" outlineLevel="0" collapsed="false">
      <c r="A38" s="0" t="n">
        <v>37</v>
      </c>
      <c r="B38" s="185" t="n">
        <v>46154.0757953303</v>
      </c>
      <c r="C38" s="185" t="n">
        <v>46154.0884689414</v>
      </c>
      <c r="D38" s="189" t="s">
        <v>473</v>
      </c>
      <c r="E38" s="189" t="s">
        <v>474</v>
      </c>
      <c r="F38" s="189" t="s">
        <v>474</v>
      </c>
      <c r="G38" s="189" t="s">
        <v>475</v>
      </c>
      <c r="H38" s="185" t="n">
        <v>46138</v>
      </c>
      <c r="I38" s="189" t="s">
        <v>113</v>
      </c>
      <c r="J38" s="189" t="s">
        <v>108</v>
      </c>
      <c r="K38" s="189" t="s">
        <v>476</v>
      </c>
      <c r="L38" s="189" t="s">
        <v>197</v>
      </c>
      <c r="M38" s="189" t="s">
        <v>477</v>
      </c>
      <c r="N38" s="189" t="s">
        <v>338</v>
      </c>
      <c r="O38" s="189" t="s">
        <v>244</v>
      </c>
      <c r="P38" s="189" t="s">
        <v>111</v>
      </c>
      <c r="Q38" s="189" t="s">
        <v>145</v>
      </c>
      <c r="R38" s="189" t="s">
        <v>22</v>
      </c>
      <c r="S38" s="189" t="s">
        <v>120</v>
      </c>
      <c r="T38" s="189" t="s">
        <v>121</v>
      </c>
      <c r="U38" s="189" t="s">
        <v>480</v>
      </c>
      <c r="V38" s="189" t="s">
        <v>192</v>
      </c>
      <c r="W38" s="189" t="s">
        <v>124</v>
      </c>
      <c r="X38" s="189" t="s">
        <v>135</v>
      </c>
      <c r="Y38" s="189" t="s">
        <v>135</v>
      </c>
      <c r="Z38" s="189" t="s">
        <v>2227</v>
      </c>
      <c r="AG38" s="189" t="s">
        <v>122</v>
      </c>
    </row>
    <row r="39" customFormat="false" ht="15" hidden="false" customHeight="true" outlineLevel="0" collapsed="false">
      <c r="A39" s="0" t="n">
        <v>38</v>
      </c>
      <c r="B39" s="185" t="n">
        <v>46156.7007610609</v>
      </c>
      <c r="C39" s="185" t="n">
        <v>46156.709846709</v>
      </c>
      <c r="D39" s="189" t="s">
        <v>481</v>
      </c>
      <c r="E39" s="189" t="s">
        <v>482</v>
      </c>
      <c r="F39" s="189" t="s">
        <v>482</v>
      </c>
      <c r="G39" s="189" t="s">
        <v>483</v>
      </c>
      <c r="H39" s="185" t="n">
        <v>46140</v>
      </c>
      <c r="I39" s="189" t="s">
        <v>113</v>
      </c>
      <c r="J39" s="189" t="s">
        <v>108</v>
      </c>
      <c r="K39" s="189" t="s">
        <v>462</v>
      </c>
      <c r="L39" s="189" t="s">
        <v>286</v>
      </c>
      <c r="M39" s="189" t="s">
        <v>484</v>
      </c>
      <c r="N39" s="189" t="s">
        <v>338</v>
      </c>
      <c r="O39" s="189" t="s">
        <v>172</v>
      </c>
      <c r="P39" s="189" t="s">
        <v>111</v>
      </c>
      <c r="Q39" s="189" t="s">
        <v>145</v>
      </c>
      <c r="R39" s="189" t="s">
        <v>22</v>
      </c>
      <c r="S39" s="189" t="s">
        <v>120</v>
      </c>
      <c r="T39" s="189" t="s">
        <v>121</v>
      </c>
      <c r="U39" s="189" t="s">
        <v>122</v>
      </c>
      <c r="V39" s="189" t="s">
        <v>167</v>
      </c>
      <c r="W39" s="189" t="s">
        <v>124</v>
      </c>
      <c r="X39" s="189" t="s">
        <v>148</v>
      </c>
      <c r="Y39" s="189" t="s">
        <v>148</v>
      </c>
      <c r="Z39" s="189" t="s">
        <v>2166</v>
      </c>
      <c r="AA39" s="189" t="s">
        <v>2230</v>
      </c>
      <c r="AG39" s="189" t="s">
        <v>2232</v>
      </c>
      <c r="AH39" s="189" t="s">
        <v>2123</v>
      </c>
    </row>
    <row r="40" customFormat="false" ht="41.25" hidden="false" customHeight="true" outlineLevel="0" collapsed="false">
      <c r="A40" s="0" t="n">
        <v>39</v>
      </c>
      <c r="B40" s="185" t="n">
        <v>46166.7118080512</v>
      </c>
      <c r="C40" s="185" t="n">
        <v>46166.7160904586</v>
      </c>
      <c r="D40" s="189" t="s">
        <v>488</v>
      </c>
      <c r="E40" s="189" t="s">
        <v>489</v>
      </c>
      <c r="F40" s="189" t="s">
        <v>489</v>
      </c>
      <c r="G40" s="189" t="s">
        <v>490</v>
      </c>
      <c r="H40" s="185" t="n">
        <v>46153</v>
      </c>
      <c r="I40" s="189" t="s">
        <v>113</v>
      </c>
      <c r="J40" s="189" t="s">
        <v>295</v>
      </c>
      <c r="K40" s="189" t="s">
        <v>232</v>
      </c>
      <c r="L40" s="189" t="s">
        <v>491</v>
      </c>
      <c r="M40" s="189" t="s">
        <v>492</v>
      </c>
      <c r="N40" s="189" t="s">
        <v>186</v>
      </c>
      <c r="O40" s="189" t="s">
        <v>157</v>
      </c>
      <c r="P40" s="189" t="s">
        <v>111</v>
      </c>
      <c r="Q40" s="189" t="s">
        <v>112</v>
      </c>
      <c r="R40" s="189" t="s">
        <v>24</v>
      </c>
      <c r="S40" s="189" t="s">
        <v>227</v>
      </c>
      <c r="T40" s="189" t="s">
        <v>496</v>
      </c>
      <c r="U40" s="132"/>
      <c r="V40" s="189" t="s">
        <v>192</v>
      </c>
      <c r="W40" s="189" t="s">
        <v>124</v>
      </c>
      <c r="X40" s="189" t="s">
        <v>448</v>
      </c>
      <c r="Y40" s="189" t="s">
        <v>448</v>
      </c>
      <c r="Z40" s="189" t="s">
        <v>2218</v>
      </c>
      <c r="AA40" s="189" t="s">
        <v>2219</v>
      </c>
      <c r="AB40" s="189" t="s">
        <v>2233</v>
      </c>
      <c r="AG40" s="189" t="s">
        <v>2234</v>
      </c>
    </row>
    <row r="41" customFormat="false" ht="15" hidden="false" customHeight="true" outlineLevel="0" collapsed="false">
      <c r="A41" s="0" t="n">
        <v>40</v>
      </c>
      <c r="B41" s="185" t="n">
        <v>46068.5151938575</v>
      </c>
      <c r="C41" s="185" t="n">
        <v>46068.5299970983</v>
      </c>
      <c r="D41" s="189" t="s">
        <v>497</v>
      </c>
      <c r="E41" s="189" t="s">
        <v>498</v>
      </c>
      <c r="F41" s="189" t="s">
        <v>498</v>
      </c>
      <c r="G41" s="189" t="s">
        <v>499</v>
      </c>
      <c r="H41" s="185" t="n">
        <v>46064</v>
      </c>
      <c r="I41" s="189" t="s">
        <v>113</v>
      </c>
      <c r="J41" s="189" t="s">
        <v>128</v>
      </c>
      <c r="K41" s="189" t="s">
        <v>500</v>
      </c>
      <c r="L41" s="189" t="s">
        <v>233</v>
      </c>
      <c r="M41" s="189" t="s">
        <v>501</v>
      </c>
      <c r="N41" s="189" t="s">
        <v>175</v>
      </c>
      <c r="O41" s="189" t="s">
        <v>278</v>
      </c>
      <c r="P41" s="189" t="s">
        <v>111</v>
      </c>
      <c r="Q41" s="189" t="s">
        <v>112</v>
      </c>
      <c r="R41" s="189" t="s">
        <v>23</v>
      </c>
      <c r="S41" s="189" t="s">
        <v>152</v>
      </c>
      <c r="T41" s="189" t="s">
        <v>352</v>
      </c>
      <c r="V41" s="189" t="s">
        <v>123</v>
      </c>
      <c r="W41" s="189" t="s">
        <v>124</v>
      </c>
      <c r="X41" s="189" t="s">
        <v>503</v>
      </c>
      <c r="Y41" s="189" t="s">
        <v>503</v>
      </c>
      <c r="AK41" s="189" t="s">
        <v>502</v>
      </c>
    </row>
    <row r="42" customFormat="false" ht="15" hidden="false" customHeight="true" outlineLevel="0" collapsed="false">
      <c r="A42" s="0" t="n">
        <v>41</v>
      </c>
      <c r="B42" s="185" t="n">
        <v>46118.2371389334</v>
      </c>
      <c r="C42" s="185" t="n">
        <v>46118.250669026</v>
      </c>
      <c r="D42" s="189" t="s">
        <v>504</v>
      </c>
      <c r="E42" s="189" t="s">
        <v>505</v>
      </c>
      <c r="F42" s="189" t="s">
        <v>505</v>
      </c>
      <c r="G42" s="189" t="s">
        <v>506</v>
      </c>
      <c r="H42" s="185" t="n">
        <v>46115</v>
      </c>
      <c r="I42" s="189" t="s">
        <v>113</v>
      </c>
      <c r="J42" s="189" t="s">
        <v>295</v>
      </c>
      <c r="K42" s="189" t="s">
        <v>232</v>
      </c>
      <c r="L42" s="189" t="s">
        <v>197</v>
      </c>
      <c r="M42" s="189" t="s">
        <v>507</v>
      </c>
      <c r="N42" s="189" t="s">
        <v>508</v>
      </c>
      <c r="O42" s="189" t="s">
        <v>107</v>
      </c>
      <c r="P42" s="189" t="s">
        <v>111</v>
      </c>
      <c r="Q42" s="189" t="s">
        <v>198</v>
      </c>
      <c r="R42" s="189" t="s">
        <v>24</v>
      </c>
      <c r="S42" s="189" t="s">
        <v>152</v>
      </c>
      <c r="T42" s="189" t="s">
        <v>121</v>
      </c>
      <c r="U42" s="189" t="s">
        <v>122</v>
      </c>
      <c r="V42" s="189" t="s">
        <v>192</v>
      </c>
      <c r="W42" s="189" t="s">
        <v>124</v>
      </c>
      <c r="X42" s="189" t="s">
        <v>223</v>
      </c>
      <c r="Y42" s="189" t="s">
        <v>223</v>
      </c>
      <c r="Z42" s="189" t="s">
        <v>2141</v>
      </c>
      <c r="AA42" s="189" t="s">
        <v>2148</v>
      </c>
      <c r="AG42" s="189" t="s">
        <v>2145</v>
      </c>
      <c r="AH42" s="189" t="s">
        <v>2194</v>
      </c>
    </row>
    <row r="43" customFormat="false" ht="15" hidden="false" customHeight="true" outlineLevel="0" collapsed="false">
      <c r="A43" s="0" t="n">
        <v>42</v>
      </c>
      <c r="B43" s="185" t="n">
        <v>46043.0316457938</v>
      </c>
      <c r="C43" s="185" t="n">
        <v>46043.0439258864</v>
      </c>
      <c r="D43" s="189" t="s">
        <v>512</v>
      </c>
      <c r="E43" s="189" t="s">
        <v>513</v>
      </c>
      <c r="F43" s="189" t="s">
        <v>513</v>
      </c>
      <c r="G43" s="189" t="s">
        <v>514</v>
      </c>
      <c r="H43" s="185" t="n">
        <v>46025</v>
      </c>
      <c r="I43" s="189" t="s">
        <v>113</v>
      </c>
      <c r="J43" s="189" t="s">
        <v>108</v>
      </c>
      <c r="K43" s="189" t="s">
        <v>232</v>
      </c>
      <c r="L43" s="189" t="s">
        <v>114</v>
      </c>
      <c r="M43" s="189" t="s">
        <v>515</v>
      </c>
      <c r="N43" s="189" t="s">
        <v>338</v>
      </c>
      <c r="O43" s="189" t="s">
        <v>172</v>
      </c>
      <c r="P43" s="189" t="s">
        <v>111</v>
      </c>
      <c r="Q43" s="189" t="s">
        <v>247</v>
      </c>
      <c r="R43" s="189" t="s">
        <v>24</v>
      </c>
      <c r="S43" s="189" t="s">
        <v>152</v>
      </c>
      <c r="T43" s="189" t="s">
        <v>121</v>
      </c>
      <c r="V43" s="189" t="s">
        <v>123</v>
      </c>
      <c r="W43" s="189" t="s">
        <v>124</v>
      </c>
      <c r="X43" s="189" t="s">
        <v>448</v>
      </c>
      <c r="Y43" s="189" t="s">
        <v>448</v>
      </c>
      <c r="Z43" s="189" t="s">
        <v>2235</v>
      </c>
      <c r="AG43" s="189" t="s">
        <v>2234</v>
      </c>
      <c r="AH43" s="189" t="s">
        <v>2223</v>
      </c>
    </row>
    <row r="44" customFormat="false" ht="27.75" hidden="false" customHeight="true" outlineLevel="0" collapsed="false">
      <c r="A44" s="0" t="n">
        <v>43</v>
      </c>
      <c r="B44" s="185" t="n">
        <v>46064.1533677963</v>
      </c>
      <c r="C44" s="185" t="n">
        <v>46064.1731478889</v>
      </c>
      <c r="D44" s="189" t="s">
        <v>519</v>
      </c>
      <c r="E44" s="189" t="s">
        <v>520</v>
      </c>
      <c r="F44" s="189" t="s">
        <v>520</v>
      </c>
      <c r="G44" s="189" t="s">
        <v>521</v>
      </c>
      <c r="H44" s="185" t="n">
        <v>46044</v>
      </c>
      <c r="I44" s="189" t="s">
        <v>325</v>
      </c>
      <c r="J44" s="189" t="s">
        <v>108</v>
      </c>
      <c r="K44" s="189" t="s">
        <v>522</v>
      </c>
      <c r="L44" s="189" t="s">
        <v>286</v>
      </c>
      <c r="M44" s="189" t="s">
        <v>365</v>
      </c>
      <c r="N44" s="189" t="s">
        <v>523</v>
      </c>
      <c r="O44" s="189" t="s">
        <v>278</v>
      </c>
      <c r="P44" s="189" t="s">
        <v>111</v>
      </c>
      <c r="Q44" s="189" t="s">
        <v>112</v>
      </c>
      <c r="R44" s="189" t="s">
        <v>24</v>
      </c>
      <c r="S44" s="189" t="s">
        <v>152</v>
      </c>
      <c r="T44" s="189" t="s">
        <v>121</v>
      </c>
      <c r="U44" s="132"/>
      <c r="V44" s="189" t="s">
        <v>192</v>
      </c>
      <c r="W44" s="189" t="s">
        <v>124</v>
      </c>
      <c r="X44" s="189" t="s">
        <v>214</v>
      </c>
      <c r="Y44" s="189" t="s">
        <v>214</v>
      </c>
      <c r="Z44" s="189" t="s">
        <v>2109</v>
      </c>
      <c r="AA44" s="189" t="s">
        <v>2139</v>
      </c>
      <c r="AG44" s="189" t="s">
        <v>122</v>
      </c>
      <c r="AH44" s="189" t="s">
        <v>2127</v>
      </c>
    </row>
    <row r="45" customFormat="false" ht="15" hidden="false" customHeight="true" outlineLevel="0" collapsed="false">
      <c r="A45" s="0" t="n">
        <v>44</v>
      </c>
      <c r="B45" s="185" t="n">
        <v>46063.8478312871</v>
      </c>
      <c r="C45" s="185" t="n">
        <v>46063.8510373056</v>
      </c>
      <c r="D45" s="189" t="s">
        <v>527</v>
      </c>
      <c r="E45" s="189" t="s">
        <v>528</v>
      </c>
      <c r="F45" s="189" t="s">
        <v>528</v>
      </c>
      <c r="G45" s="189" t="s">
        <v>529</v>
      </c>
      <c r="H45" s="185" t="n">
        <v>46061</v>
      </c>
      <c r="I45" s="189" t="s">
        <v>113</v>
      </c>
      <c r="J45" s="189" t="s">
        <v>108</v>
      </c>
      <c r="K45" s="189" t="s">
        <v>173</v>
      </c>
      <c r="L45" s="189" t="s">
        <v>296</v>
      </c>
      <c r="M45" s="189" t="s">
        <v>269</v>
      </c>
      <c r="N45" s="189" t="s">
        <v>287</v>
      </c>
      <c r="O45" s="189" t="s">
        <v>244</v>
      </c>
      <c r="P45" s="189" t="s">
        <v>211</v>
      </c>
      <c r="Q45" s="189" t="s">
        <v>112</v>
      </c>
      <c r="R45" s="189" t="s">
        <v>22</v>
      </c>
      <c r="S45" s="189" t="s">
        <v>120</v>
      </c>
      <c r="T45" s="189" t="s">
        <v>400</v>
      </c>
      <c r="U45" s="189" t="s">
        <v>122</v>
      </c>
      <c r="V45" s="189" t="s">
        <v>123</v>
      </c>
      <c r="W45" s="189" t="s">
        <v>139</v>
      </c>
      <c r="X45" s="189" t="s">
        <v>135</v>
      </c>
      <c r="Y45" s="189" t="s">
        <v>135</v>
      </c>
      <c r="Z45" s="189" t="s">
        <v>2117</v>
      </c>
      <c r="AA45" s="189" t="s">
        <v>2116</v>
      </c>
      <c r="AG45" s="189" t="s">
        <v>2237</v>
      </c>
    </row>
    <row r="46" customFormat="false" ht="15" hidden="false" customHeight="true" outlineLevel="0" collapsed="false">
      <c r="A46" s="0" t="n">
        <v>45</v>
      </c>
      <c r="B46" s="185" t="n">
        <v>46202.9063426749</v>
      </c>
      <c r="C46" s="185" t="n">
        <v>46202.9089699898</v>
      </c>
      <c r="D46" s="189" t="s">
        <v>533</v>
      </c>
      <c r="E46" s="189" t="s">
        <v>534</v>
      </c>
      <c r="F46" s="189" t="s">
        <v>534</v>
      </c>
      <c r="G46" s="189" t="s">
        <v>535</v>
      </c>
      <c r="H46" s="185" t="n">
        <v>46192</v>
      </c>
      <c r="I46" s="189" t="s">
        <v>305</v>
      </c>
      <c r="J46" s="189" t="s">
        <v>108</v>
      </c>
      <c r="K46" s="189" t="s">
        <v>232</v>
      </c>
      <c r="L46" s="189" t="s">
        <v>346</v>
      </c>
      <c r="M46" s="189" t="s">
        <v>406</v>
      </c>
      <c r="N46" s="189" t="s">
        <v>234</v>
      </c>
      <c r="O46" s="189" t="s">
        <v>107</v>
      </c>
      <c r="P46" s="189" t="s">
        <v>111</v>
      </c>
      <c r="Q46" s="189" t="s">
        <v>112</v>
      </c>
      <c r="R46" s="189" t="s">
        <v>22</v>
      </c>
      <c r="S46" s="189" t="s">
        <v>152</v>
      </c>
      <c r="T46" s="189" t="s">
        <v>180</v>
      </c>
      <c r="V46" s="189" t="s">
        <v>192</v>
      </c>
      <c r="W46" s="189" t="s">
        <v>139</v>
      </c>
      <c r="X46" s="189" t="s">
        <v>298</v>
      </c>
      <c r="Y46" s="189" t="s">
        <v>298</v>
      </c>
      <c r="Z46" s="189" t="s">
        <v>2238</v>
      </c>
      <c r="AA46" s="189" t="s">
        <v>2239</v>
      </c>
      <c r="AG46" s="189" t="s">
        <v>2241</v>
      </c>
    </row>
    <row r="47" customFormat="false" ht="15" hidden="false" customHeight="true" outlineLevel="0" collapsed="false">
      <c r="A47" s="0" t="n">
        <v>46</v>
      </c>
      <c r="B47" s="185" t="n">
        <v>46160.940145126</v>
      </c>
      <c r="C47" s="185" t="n">
        <v>46160.953582626</v>
      </c>
      <c r="D47" s="189" t="s">
        <v>539</v>
      </c>
      <c r="E47" s="189" t="s">
        <v>540</v>
      </c>
      <c r="F47" s="189" t="s">
        <v>541</v>
      </c>
      <c r="G47" s="189" t="s">
        <v>542</v>
      </c>
      <c r="H47" s="185" t="n">
        <v>46151</v>
      </c>
      <c r="I47" s="189" t="s">
        <v>113</v>
      </c>
      <c r="J47" s="189" t="s">
        <v>108</v>
      </c>
      <c r="K47" s="189" t="s">
        <v>196</v>
      </c>
      <c r="L47" s="189" t="s">
        <v>286</v>
      </c>
      <c r="M47" s="189" t="s">
        <v>543</v>
      </c>
      <c r="N47" s="189" t="s">
        <v>544</v>
      </c>
      <c r="O47" s="189" t="s">
        <v>107</v>
      </c>
      <c r="P47" s="189" t="s">
        <v>111</v>
      </c>
      <c r="Q47" s="189" t="s">
        <v>112</v>
      </c>
      <c r="R47" s="189" t="s">
        <v>21</v>
      </c>
      <c r="S47" s="189" t="s">
        <v>152</v>
      </c>
      <c r="T47" s="189" t="s">
        <v>180</v>
      </c>
      <c r="U47" s="189" t="s">
        <v>547</v>
      </c>
      <c r="V47" s="189" t="s">
        <v>192</v>
      </c>
      <c r="W47" s="189" t="s">
        <v>124</v>
      </c>
      <c r="X47" s="189" t="s">
        <v>307</v>
      </c>
      <c r="Y47" s="189" t="s">
        <v>307</v>
      </c>
      <c r="Z47" s="189" t="s">
        <v>2174</v>
      </c>
      <c r="AA47" s="189" t="s">
        <v>2175</v>
      </c>
      <c r="AB47" s="189" t="s">
        <v>2173</v>
      </c>
      <c r="AG47" s="189" t="s">
        <v>2177</v>
      </c>
      <c r="AH47" s="189" t="s">
        <v>2178</v>
      </c>
    </row>
    <row r="48" customFormat="false" ht="15" hidden="false" customHeight="true" outlineLevel="0" collapsed="false">
      <c r="A48" s="0" t="n">
        <v>47</v>
      </c>
      <c r="B48" s="185" t="n">
        <v>46139.5102505687</v>
      </c>
      <c r="C48" s="185" t="n">
        <v>46139.5261070502</v>
      </c>
      <c r="D48" s="189" t="s">
        <v>548</v>
      </c>
      <c r="E48" s="189" t="s">
        <v>549</v>
      </c>
      <c r="F48" s="189" t="s">
        <v>549</v>
      </c>
      <c r="G48" s="189" t="s">
        <v>550</v>
      </c>
      <c r="H48" s="185" t="n">
        <v>46125</v>
      </c>
      <c r="I48" s="189" t="s">
        <v>551</v>
      </c>
      <c r="J48" s="189" t="s">
        <v>108</v>
      </c>
      <c r="K48" s="189" t="s">
        <v>196</v>
      </c>
      <c r="L48" s="189" t="s">
        <v>286</v>
      </c>
      <c r="M48" s="189" t="s">
        <v>160</v>
      </c>
      <c r="N48" s="189" t="s">
        <v>552</v>
      </c>
      <c r="O48" s="189" t="s">
        <v>107</v>
      </c>
      <c r="P48" s="189" t="s">
        <v>111</v>
      </c>
      <c r="Q48" s="189" t="s">
        <v>247</v>
      </c>
      <c r="R48" s="189" t="s">
        <v>22</v>
      </c>
      <c r="S48" s="189" t="s">
        <v>152</v>
      </c>
      <c r="T48" s="189" t="s">
        <v>121</v>
      </c>
      <c r="U48" s="189" t="s">
        <v>122</v>
      </c>
      <c r="V48" s="189" t="s">
        <v>192</v>
      </c>
      <c r="W48" s="189" t="s">
        <v>124</v>
      </c>
      <c r="X48" s="189" t="s">
        <v>339</v>
      </c>
      <c r="Y48" s="189" t="s">
        <v>339</v>
      </c>
      <c r="Z48" s="189" t="s">
        <v>2212</v>
      </c>
      <c r="AA48" s="189" t="s">
        <v>2242</v>
      </c>
      <c r="AB48" s="189" t="s">
        <v>2243</v>
      </c>
      <c r="AG48" s="189" t="s">
        <v>2244</v>
      </c>
    </row>
    <row r="49" customFormat="false" ht="15" hidden="false" customHeight="true" outlineLevel="0" collapsed="false">
      <c r="A49" s="0" t="n">
        <v>48</v>
      </c>
      <c r="B49" s="185" t="n">
        <v>46042.9502432863</v>
      </c>
      <c r="C49" s="185" t="n">
        <v>46042.9622803233</v>
      </c>
      <c r="D49" s="189" t="s">
        <v>556</v>
      </c>
      <c r="E49" s="189" t="s">
        <v>557</v>
      </c>
      <c r="F49" s="189" t="s">
        <v>558</v>
      </c>
      <c r="G49" s="189" t="s">
        <v>559</v>
      </c>
      <c r="H49" s="185" t="n">
        <v>46029</v>
      </c>
      <c r="I49" s="189" t="s">
        <v>113</v>
      </c>
      <c r="J49" s="189" t="s">
        <v>128</v>
      </c>
      <c r="K49" s="189" t="s">
        <v>257</v>
      </c>
      <c r="L49" s="189" t="s">
        <v>246</v>
      </c>
      <c r="M49" s="189" t="s">
        <v>212</v>
      </c>
      <c r="N49" s="189" t="s">
        <v>560</v>
      </c>
      <c r="O49" s="189" t="s">
        <v>107</v>
      </c>
      <c r="P49" s="189" t="s">
        <v>111</v>
      </c>
      <c r="Q49" s="189" t="s">
        <v>112</v>
      </c>
      <c r="R49" s="189" t="s">
        <v>22</v>
      </c>
      <c r="S49" s="189" t="s">
        <v>120</v>
      </c>
      <c r="T49" s="189" t="s">
        <v>121</v>
      </c>
      <c r="U49" s="189" t="s">
        <v>562</v>
      </c>
      <c r="V49" s="189" t="s">
        <v>192</v>
      </c>
      <c r="W49" s="189" t="s">
        <v>124</v>
      </c>
      <c r="X49" s="189" t="s">
        <v>135</v>
      </c>
      <c r="Y49" s="189" t="s">
        <v>135</v>
      </c>
      <c r="Z49" s="189" t="s">
        <v>2117</v>
      </c>
      <c r="AA49" s="189" t="s">
        <v>2116</v>
      </c>
      <c r="AG49" s="189" t="s">
        <v>2119</v>
      </c>
    </row>
    <row r="50" customFormat="false" ht="15" hidden="false" customHeight="true" outlineLevel="0" collapsed="false">
      <c r="A50" s="0" t="n">
        <v>49</v>
      </c>
      <c r="B50" s="185" t="n">
        <v>46048.4202085246</v>
      </c>
      <c r="C50" s="185" t="n">
        <v>46048.4345950987</v>
      </c>
      <c r="D50" s="189" t="s">
        <v>563</v>
      </c>
      <c r="E50" s="189" t="s">
        <v>564</v>
      </c>
      <c r="F50" s="189" t="s">
        <v>564</v>
      </c>
      <c r="G50" s="189" t="s">
        <v>565</v>
      </c>
      <c r="H50" s="185" t="n">
        <v>46035</v>
      </c>
      <c r="I50" s="189" t="s">
        <v>113</v>
      </c>
      <c r="J50" s="189" t="s">
        <v>108</v>
      </c>
      <c r="K50" s="189" t="s">
        <v>173</v>
      </c>
      <c r="L50" s="189" t="s">
        <v>184</v>
      </c>
      <c r="M50" s="189" t="s">
        <v>566</v>
      </c>
      <c r="N50" s="189" t="s">
        <v>567</v>
      </c>
      <c r="O50" s="189" t="s">
        <v>107</v>
      </c>
      <c r="P50" s="189" t="s">
        <v>111</v>
      </c>
      <c r="Q50" s="189" t="s">
        <v>145</v>
      </c>
      <c r="R50" s="189" t="s">
        <v>22</v>
      </c>
      <c r="S50" s="189" t="s">
        <v>152</v>
      </c>
      <c r="T50" s="189" t="s">
        <v>180</v>
      </c>
      <c r="U50" s="189" t="s">
        <v>122</v>
      </c>
      <c r="V50" s="189" t="s">
        <v>192</v>
      </c>
      <c r="W50" s="189" t="s">
        <v>124</v>
      </c>
      <c r="X50" s="189" t="s">
        <v>135</v>
      </c>
      <c r="Y50" s="189" t="s">
        <v>135</v>
      </c>
      <c r="Z50" s="189" t="s">
        <v>2245</v>
      </c>
      <c r="AA50" s="189" t="s">
        <v>2246</v>
      </c>
      <c r="AB50" s="189" t="s">
        <v>2115</v>
      </c>
      <c r="AG50" s="189" t="s">
        <v>2247</v>
      </c>
      <c r="AH50" s="189" t="s">
        <v>2196</v>
      </c>
    </row>
    <row r="51" customFormat="false" ht="15" hidden="false" customHeight="true" outlineLevel="0" collapsed="false">
      <c r="A51" s="0" t="n">
        <v>50</v>
      </c>
      <c r="B51" s="185" t="n">
        <v>46157.0380591727</v>
      </c>
      <c r="C51" s="185" t="n">
        <v>46157.0525730616</v>
      </c>
      <c r="D51" s="189" t="s">
        <v>570</v>
      </c>
      <c r="E51" s="189" t="s">
        <v>571</v>
      </c>
      <c r="F51" s="189" t="s">
        <v>571</v>
      </c>
      <c r="G51" s="189" t="s">
        <v>572</v>
      </c>
      <c r="H51" s="185" t="n">
        <v>46142</v>
      </c>
      <c r="I51" s="189" t="s">
        <v>325</v>
      </c>
      <c r="J51" s="189" t="s">
        <v>108</v>
      </c>
      <c r="K51" s="189" t="s">
        <v>173</v>
      </c>
      <c r="L51" s="189" t="s">
        <v>491</v>
      </c>
      <c r="M51" s="189" t="s">
        <v>337</v>
      </c>
      <c r="N51" s="189" t="s">
        <v>235</v>
      </c>
      <c r="O51" s="189" t="s">
        <v>107</v>
      </c>
      <c r="P51" s="189" t="s">
        <v>131</v>
      </c>
      <c r="Q51" s="189" t="s">
        <v>112</v>
      </c>
      <c r="R51" s="189" t="s">
        <v>23</v>
      </c>
      <c r="S51" s="189" t="s">
        <v>152</v>
      </c>
      <c r="T51" s="189" t="s">
        <v>121</v>
      </c>
      <c r="U51" s="189" t="s">
        <v>122</v>
      </c>
      <c r="V51" s="189" t="s">
        <v>167</v>
      </c>
      <c r="W51" s="189" t="s">
        <v>124</v>
      </c>
      <c r="X51" s="189" t="s">
        <v>122</v>
      </c>
      <c r="Y51" s="189" t="s">
        <v>122</v>
      </c>
    </row>
    <row r="52" customFormat="false" ht="15" hidden="false" customHeight="true" outlineLevel="0" collapsed="false">
      <c r="A52" s="0" t="n">
        <v>51</v>
      </c>
      <c r="B52" s="185" t="n">
        <v>46205.6583890307</v>
      </c>
      <c r="C52" s="185" t="n">
        <v>46205.6612709752</v>
      </c>
      <c r="D52" s="189" t="s">
        <v>574</v>
      </c>
      <c r="E52" s="189" t="s">
        <v>575</v>
      </c>
      <c r="F52" s="189" t="s">
        <v>575</v>
      </c>
      <c r="G52" s="189" t="s">
        <v>576</v>
      </c>
      <c r="H52" s="185" t="n">
        <v>46191</v>
      </c>
      <c r="I52" s="189" t="s">
        <v>577</v>
      </c>
      <c r="J52" s="189" t="s">
        <v>108</v>
      </c>
      <c r="K52" s="189" t="s">
        <v>173</v>
      </c>
      <c r="L52" s="189" t="s">
        <v>144</v>
      </c>
      <c r="M52" s="189" t="s">
        <v>578</v>
      </c>
      <c r="N52" s="189" t="s">
        <v>287</v>
      </c>
      <c r="O52" s="189" t="s">
        <v>107</v>
      </c>
      <c r="P52" s="189" t="s">
        <v>211</v>
      </c>
      <c r="Q52" s="189" t="s">
        <v>112</v>
      </c>
      <c r="R52" s="189" t="s">
        <v>22</v>
      </c>
      <c r="S52" s="189" t="s">
        <v>152</v>
      </c>
      <c r="T52" s="189" t="s">
        <v>121</v>
      </c>
      <c r="U52" s="189" t="s">
        <v>122</v>
      </c>
      <c r="V52" s="189" t="s">
        <v>123</v>
      </c>
      <c r="W52" s="189" t="s">
        <v>124</v>
      </c>
      <c r="X52" s="189" t="s">
        <v>176</v>
      </c>
      <c r="Y52" s="189" t="s">
        <v>176</v>
      </c>
      <c r="Z52" s="189" t="s">
        <v>2130</v>
      </c>
      <c r="AA52" s="189" t="s">
        <v>2248</v>
      </c>
      <c r="AG52" s="189" t="s">
        <v>2250</v>
      </c>
      <c r="AH52" s="189" t="s">
        <v>122</v>
      </c>
    </row>
    <row r="53" customFormat="false" ht="15" hidden="false" customHeight="true" outlineLevel="0" collapsed="false">
      <c r="A53" s="0" t="n">
        <v>52</v>
      </c>
      <c r="B53" s="185" t="n">
        <v>46110.315195436</v>
      </c>
      <c r="C53" s="185" t="n">
        <v>46110.3229037693</v>
      </c>
      <c r="D53" s="189" t="s">
        <v>582</v>
      </c>
      <c r="E53" s="189" t="s">
        <v>583</v>
      </c>
      <c r="F53" s="189" t="s">
        <v>584</v>
      </c>
      <c r="G53" s="189" t="s">
        <v>585</v>
      </c>
      <c r="H53" s="185" t="n">
        <v>46097</v>
      </c>
      <c r="I53" s="189" t="s">
        <v>113</v>
      </c>
      <c r="J53" s="189" t="s">
        <v>108</v>
      </c>
      <c r="K53" s="189" t="s">
        <v>232</v>
      </c>
      <c r="L53" s="189" t="s">
        <v>144</v>
      </c>
      <c r="M53" s="189" t="s">
        <v>130</v>
      </c>
      <c r="N53" s="189" t="s">
        <v>586</v>
      </c>
      <c r="O53" s="189" t="s">
        <v>107</v>
      </c>
      <c r="P53" s="189" t="s">
        <v>111</v>
      </c>
      <c r="Q53" s="189" t="s">
        <v>112</v>
      </c>
      <c r="R53" s="189" t="s">
        <v>22</v>
      </c>
      <c r="S53" s="189" t="s">
        <v>152</v>
      </c>
      <c r="T53" s="189" t="s">
        <v>590</v>
      </c>
      <c r="U53" s="189" t="s">
        <v>204</v>
      </c>
      <c r="V53" s="189" t="s">
        <v>192</v>
      </c>
      <c r="W53" s="189" t="s">
        <v>124</v>
      </c>
      <c r="X53" s="189" t="s">
        <v>298</v>
      </c>
      <c r="Y53" s="189" t="s">
        <v>298</v>
      </c>
      <c r="Z53" s="189" t="s">
        <v>2167</v>
      </c>
      <c r="AA53" s="189" t="s">
        <v>2251</v>
      </c>
      <c r="AB53" s="189" t="s">
        <v>2252</v>
      </c>
      <c r="AG53" s="189" t="s">
        <v>122</v>
      </c>
      <c r="AH53" s="189" t="s">
        <v>2254</v>
      </c>
    </row>
    <row r="54" customFormat="false" ht="15" hidden="false" customHeight="true" outlineLevel="0" collapsed="false">
      <c r="A54" s="0" t="n">
        <v>53</v>
      </c>
      <c r="B54" s="185" t="n">
        <v>46106.0370966452</v>
      </c>
      <c r="C54" s="185" t="n">
        <v>46106.0392147008</v>
      </c>
      <c r="D54" s="189" t="s">
        <v>591</v>
      </c>
      <c r="E54" s="189" t="s">
        <v>592</v>
      </c>
      <c r="F54" s="189" t="s">
        <v>592</v>
      </c>
      <c r="G54" s="189" t="s">
        <v>593</v>
      </c>
      <c r="H54" s="185" t="n">
        <v>46092</v>
      </c>
      <c r="I54" s="189" t="s">
        <v>113</v>
      </c>
      <c r="J54" s="189" t="s">
        <v>108</v>
      </c>
      <c r="K54" s="189" t="s">
        <v>257</v>
      </c>
      <c r="L54" s="189" t="s">
        <v>491</v>
      </c>
      <c r="M54" s="189" t="s">
        <v>594</v>
      </c>
      <c r="N54" s="189" t="s">
        <v>595</v>
      </c>
      <c r="O54" s="189" t="s">
        <v>107</v>
      </c>
      <c r="P54" s="189" t="s">
        <v>111</v>
      </c>
      <c r="Q54" s="189" t="s">
        <v>112</v>
      </c>
      <c r="R54" s="189" t="s">
        <v>24</v>
      </c>
      <c r="S54" s="189" t="s">
        <v>152</v>
      </c>
      <c r="T54" s="189" t="s">
        <v>121</v>
      </c>
      <c r="U54" s="189" t="s">
        <v>122</v>
      </c>
      <c r="V54" s="189" t="s">
        <v>123</v>
      </c>
      <c r="W54" s="189" t="s">
        <v>168</v>
      </c>
      <c r="X54" s="189" t="s">
        <v>448</v>
      </c>
      <c r="Y54" s="189" t="s">
        <v>448</v>
      </c>
      <c r="Z54" s="189" t="s">
        <v>2219</v>
      </c>
      <c r="AA54" s="189" t="s">
        <v>2233</v>
      </c>
      <c r="AG54" s="189" t="s">
        <v>2222</v>
      </c>
      <c r="AH54" s="189" t="s">
        <v>2234</v>
      </c>
    </row>
    <row r="55" customFormat="false" ht="15" hidden="false" customHeight="true" outlineLevel="0" collapsed="false">
      <c r="A55" s="0" t="n">
        <v>54</v>
      </c>
      <c r="B55" s="185" t="n">
        <v>46203.3626897918</v>
      </c>
      <c r="C55" s="185" t="n">
        <v>46203.3805254399</v>
      </c>
      <c r="D55" s="189" t="s">
        <v>598</v>
      </c>
      <c r="E55" s="189" t="s">
        <v>599</v>
      </c>
      <c r="F55" s="189" t="s">
        <v>599</v>
      </c>
      <c r="G55" s="189" t="s">
        <v>600</v>
      </c>
      <c r="H55" s="185" t="n">
        <v>46199</v>
      </c>
      <c r="I55" s="189" t="s">
        <v>551</v>
      </c>
      <c r="J55" s="189" t="s">
        <v>108</v>
      </c>
      <c r="K55" s="189" t="s">
        <v>196</v>
      </c>
      <c r="L55" s="189" t="s">
        <v>110</v>
      </c>
      <c r="M55" s="189" t="s">
        <v>234</v>
      </c>
      <c r="N55" s="189" t="s">
        <v>111</v>
      </c>
      <c r="O55" s="189" t="s">
        <v>157</v>
      </c>
      <c r="P55" s="189" t="s">
        <v>131</v>
      </c>
      <c r="Q55" s="189" t="s">
        <v>247</v>
      </c>
      <c r="R55" s="189" t="s">
        <v>22</v>
      </c>
      <c r="S55" s="189" t="s">
        <v>227</v>
      </c>
      <c r="T55" s="189" t="s">
        <v>352</v>
      </c>
      <c r="V55" s="189" t="s">
        <v>123</v>
      </c>
      <c r="W55" s="189" t="s">
        <v>124</v>
      </c>
      <c r="X55" s="189" t="s">
        <v>116</v>
      </c>
      <c r="Y55" s="189" t="s">
        <v>116</v>
      </c>
      <c r="Z55" s="189" t="s">
        <v>2183</v>
      </c>
      <c r="AA55" s="189" t="s">
        <v>2109</v>
      </c>
      <c r="AB55" s="189" t="s">
        <v>2125</v>
      </c>
      <c r="AG55" s="189" t="s">
        <v>122</v>
      </c>
    </row>
    <row r="56" customFormat="false" ht="15" hidden="false" customHeight="true" outlineLevel="0" collapsed="false">
      <c r="A56" s="0" t="n">
        <v>55</v>
      </c>
      <c r="B56" s="185" t="n">
        <v>46147.1722512015</v>
      </c>
      <c r="C56" s="185" t="n">
        <v>46147.1756771274</v>
      </c>
      <c r="D56" s="189" t="s">
        <v>603</v>
      </c>
      <c r="E56" s="189" t="s">
        <v>604</v>
      </c>
      <c r="F56" s="189" t="s">
        <v>604</v>
      </c>
      <c r="G56" s="189" t="s">
        <v>605</v>
      </c>
      <c r="H56" s="185" t="n">
        <v>46132</v>
      </c>
      <c r="I56" s="189" t="s">
        <v>113</v>
      </c>
      <c r="J56" s="189" t="s">
        <v>295</v>
      </c>
      <c r="K56" s="189" t="s">
        <v>462</v>
      </c>
      <c r="L56" s="189" t="s">
        <v>431</v>
      </c>
      <c r="M56" s="189" t="s">
        <v>594</v>
      </c>
      <c r="N56" s="189" t="s">
        <v>606</v>
      </c>
      <c r="O56" s="189" t="s">
        <v>244</v>
      </c>
      <c r="P56" s="189" t="s">
        <v>390</v>
      </c>
      <c r="Q56" s="189" t="s">
        <v>112</v>
      </c>
      <c r="R56" s="189" t="s">
        <v>22</v>
      </c>
      <c r="S56" s="189" t="s">
        <v>152</v>
      </c>
      <c r="T56" s="189" t="s">
        <v>121</v>
      </c>
      <c r="U56" s="189" t="s">
        <v>122</v>
      </c>
      <c r="V56" s="189" t="s">
        <v>123</v>
      </c>
      <c r="W56" s="189" t="s">
        <v>139</v>
      </c>
      <c r="X56" s="189" t="s">
        <v>116</v>
      </c>
      <c r="Y56" s="189" t="s">
        <v>116</v>
      </c>
      <c r="Z56" s="189" t="s">
        <v>2109</v>
      </c>
      <c r="AA56" s="189" t="s">
        <v>2151</v>
      </c>
      <c r="AB56" s="189" t="s">
        <v>2125</v>
      </c>
      <c r="AG56" s="189" t="s">
        <v>2184</v>
      </c>
    </row>
    <row r="57" customFormat="false" ht="15" hidden="false" customHeight="true" outlineLevel="0" collapsed="false">
      <c r="A57" s="0" t="n">
        <v>56</v>
      </c>
      <c r="B57" s="185" t="n">
        <v>46072.7031889639</v>
      </c>
      <c r="C57" s="185" t="n">
        <v>46072.7196241491</v>
      </c>
      <c r="D57" s="189" t="s">
        <v>609</v>
      </c>
      <c r="E57" s="189" t="s">
        <v>610</v>
      </c>
      <c r="F57" s="189" t="s">
        <v>610</v>
      </c>
      <c r="G57" s="189" t="s">
        <v>611</v>
      </c>
      <c r="H57" s="185" t="n">
        <v>46052</v>
      </c>
      <c r="I57" s="189" t="s">
        <v>305</v>
      </c>
      <c r="J57" s="189" t="s">
        <v>108</v>
      </c>
      <c r="K57" s="189" t="s">
        <v>364</v>
      </c>
      <c r="L57" s="189" t="s">
        <v>431</v>
      </c>
      <c r="M57" s="189" t="s">
        <v>612</v>
      </c>
      <c r="N57" s="189" t="s">
        <v>613</v>
      </c>
      <c r="O57" s="189" t="s">
        <v>172</v>
      </c>
      <c r="P57" s="189" t="s">
        <v>111</v>
      </c>
      <c r="Q57" s="189" t="s">
        <v>112</v>
      </c>
      <c r="R57" s="189" t="s">
        <v>21</v>
      </c>
      <c r="S57" s="189" t="s">
        <v>152</v>
      </c>
      <c r="T57" s="189" t="s">
        <v>121</v>
      </c>
      <c r="U57" s="189" t="s">
        <v>614</v>
      </c>
      <c r="V57" s="189" t="s">
        <v>123</v>
      </c>
      <c r="W57" s="189" t="s">
        <v>139</v>
      </c>
      <c r="X57" s="189" t="s">
        <v>307</v>
      </c>
      <c r="Y57" s="189" t="s">
        <v>307</v>
      </c>
      <c r="Z57" s="189" t="s">
        <v>2175</v>
      </c>
      <c r="AG57" s="189" t="s">
        <v>2177</v>
      </c>
      <c r="AH57" s="189" t="s">
        <v>2178</v>
      </c>
    </row>
    <row r="58" customFormat="false" ht="15" hidden="false" customHeight="true" outlineLevel="0" collapsed="false">
      <c r="A58" s="0" t="n">
        <v>57</v>
      </c>
      <c r="B58" s="185" t="n">
        <v>46194.5735928701</v>
      </c>
      <c r="C58" s="185" t="n">
        <v>46194.5820303701</v>
      </c>
      <c r="D58" s="189" t="s">
        <v>615</v>
      </c>
      <c r="E58" s="189" t="s">
        <v>616</v>
      </c>
      <c r="F58" s="189" t="s">
        <v>617</v>
      </c>
      <c r="G58" s="189" t="s">
        <v>618</v>
      </c>
      <c r="H58" s="185" t="n">
        <v>46193</v>
      </c>
      <c r="I58" s="189" t="s">
        <v>325</v>
      </c>
      <c r="J58" s="189" t="s">
        <v>108</v>
      </c>
      <c r="K58" s="189" t="s">
        <v>257</v>
      </c>
      <c r="L58" s="189" t="s">
        <v>431</v>
      </c>
      <c r="M58" s="189" t="s">
        <v>406</v>
      </c>
      <c r="N58" s="189" t="s">
        <v>111</v>
      </c>
      <c r="O58" s="189" t="s">
        <v>107</v>
      </c>
      <c r="P58" s="189" t="s">
        <v>111</v>
      </c>
      <c r="Q58" s="189" t="s">
        <v>145</v>
      </c>
      <c r="R58" s="189" t="s">
        <v>25</v>
      </c>
      <c r="S58" s="189" t="s">
        <v>152</v>
      </c>
      <c r="T58" s="189" t="s">
        <v>121</v>
      </c>
      <c r="U58" s="189" t="s">
        <v>122</v>
      </c>
      <c r="V58" s="189" t="s">
        <v>167</v>
      </c>
      <c r="W58" s="189" t="s">
        <v>124</v>
      </c>
      <c r="X58" s="189" t="s">
        <v>327</v>
      </c>
      <c r="Y58" s="189" t="s">
        <v>327</v>
      </c>
      <c r="Z58" s="189" t="s">
        <v>2109</v>
      </c>
      <c r="AA58" s="189" t="s">
        <v>2125</v>
      </c>
      <c r="AG58" s="189" t="s">
        <v>2152</v>
      </c>
    </row>
    <row r="59" customFormat="false" ht="15" hidden="false" customHeight="true" outlineLevel="0" collapsed="false">
      <c r="A59" s="0" t="n">
        <v>58</v>
      </c>
      <c r="B59" s="185" t="n">
        <v>46145.4416896892</v>
      </c>
      <c r="C59" s="185" t="n">
        <v>46145.4601619114</v>
      </c>
      <c r="D59" s="189" t="s">
        <v>622</v>
      </c>
      <c r="E59" s="189" t="s">
        <v>623</v>
      </c>
      <c r="F59" s="189" t="s">
        <v>623</v>
      </c>
      <c r="G59" s="189" t="s">
        <v>624</v>
      </c>
      <c r="H59" s="185" t="n">
        <v>46140</v>
      </c>
      <c r="I59" s="189" t="s">
        <v>113</v>
      </c>
      <c r="J59" s="189" t="s">
        <v>108</v>
      </c>
      <c r="K59" s="189" t="s">
        <v>232</v>
      </c>
      <c r="L59" s="189" t="s">
        <v>389</v>
      </c>
      <c r="M59" s="189" t="s">
        <v>286</v>
      </c>
      <c r="N59" s="189" t="s">
        <v>625</v>
      </c>
      <c r="O59" s="189" t="s">
        <v>172</v>
      </c>
      <c r="P59" s="189" t="s">
        <v>111</v>
      </c>
      <c r="Q59" s="189" t="s">
        <v>247</v>
      </c>
      <c r="R59" s="189" t="s">
        <v>22</v>
      </c>
      <c r="S59" s="189" t="s">
        <v>152</v>
      </c>
      <c r="T59" s="189" t="s">
        <v>121</v>
      </c>
      <c r="V59" s="189" t="s">
        <v>123</v>
      </c>
      <c r="W59" s="189" t="s">
        <v>124</v>
      </c>
      <c r="X59" s="189" t="s">
        <v>135</v>
      </c>
      <c r="Y59" s="189" t="s">
        <v>135</v>
      </c>
      <c r="Z59" s="189" t="s">
        <v>2116</v>
      </c>
      <c r="AG59" s="189" t="s">
        <v>2256</v>
      </c>
    </row>
    <row r="60" customFormat="false" ht="15" hidden="false" customHeight="true" outlineLevel="0" collapsed="false">
      <c r="A60" s="0" t="n">
        <v>59</v>
      </c>
      <c r="B60" s="185" t="n">
        <v>46205.1717682057</v>
      </c>
      <c r="C60" s="185" t="n">
        <v>46205.1799973723</v>
      </c>
      <c r="D60" s="189" t="s">
        <v>629</v>
      </c>
      <c r="E60" s="189" t="s">
        <v>630</v>
      </c>
      <c r="F60" s="189" t="s">
        <v>630</v>
      </c>
      <c r="G60" s="189" t="s">
        <v>631</v>
      </c>
      <c r="H60" s="185" t="n">
        <v>46191</v>
      </c>
      <c r="I60" s="189" t="s">
        <v>325</v>
      </c>
      <c r="J60" s="189" t="s">
        <v>108</v>
      </c>
      <c r="K60" s="189" t="s">
        <v>462</v>
      </c>
      <c r="L60" s="189" t="s">
        <v>431</v>
      </c>
      <c r="M60" s="189" t="s">
        <v>612</v>
      </c>
      <c r="N60" s="189" t="s">
        <v>347</v>
      </c>
      <c r="O60" s="189" t="s">
        <v>278</v>
      </c>
      <c r="P60" s="189" t="s">
        <v>390</v>
      </c>
      <c r="Q60" s="189" t="s">
        <v>112</v>
      </c>
      <c r="R60" s="189" t="s">
        <v>24</v>
      </c>
      <c r="S60" s="189" t="s">
        <v>152</v>
      </c>
      <c r="T60" s="189" t="s">
        <v>121</v>
      </c>
      <c r="V60" s="189" t="s">
        <v>192</v>
      </c>
      <c r="W60" s="189" t="s">
        <v>124</v>
      </c>
      <c r="X60" s="189" t="s">
        <v>223</v>
      </c>
      <c r="Y60" s="189" t="s">
        <v>223</v>
      </c>
      <c r="Z60" s="189" t="s">
        <v>2164</v>
      </c>
      <c r="AG60" s="189" t="s">
        <v>2194</v>
      </c>
    </row>
    <row r="61" customFormat="false" ht="15" hidden="false" customHeight="true" outlineLevel="0" collapsed="false">
      <c r="A61" s="0" t="n">
        <v>60</v>
      </c>
      <c r="B61" s="185" t="n">
        <v>46196.1886271716</v>
      </c>
      <c r="C61" s="185" t="n">
        <v>46196.204622542</v>
      </c>
      <c r="D61" s="189" t="s">
        <v>635</v>
      </c>
      <c r="E61" s="189" t="s">
        <v>636</v>
      </c>
      <c r="F61" s="189" t="s">
        <v>636</v>
      </c>
      <c r="G61" s="189" t="s">
        <v>637</v>
      </c>
      <c r="H61" s="185" t="n">
        <v>46178</v>
      </c>
      <c r="I61" s="189" t="s">
        <v>113</v>
      </c>
      <c r="J61" s="189" t="s">
        <v>295</v>
      </c>
      <c r="K61" s="189" t="s">
        <v>232</v>
      </c>
      <c r="L61" s="189" t="s">
        <v>389</v>
      </c>
      <c r="M61" s="189" t="s">
        <v>279</v>
      </c>
      <c r="N61" s="189" t="s">
        <v>638</v>
      </c>
      <c r="O61" s="189" t="s">
        <v>172</v>
      </c>
      <c r="P61" s="189" t="s">
        <v>131</v>
      </c>
      <c r="Q61" s="189" t="s">
        <v>112</v>
      </c>
      <c r="R61" s="189" t="s">
        <v>22</v>
      </c>
      <c r="S61" s="189" t="s">
        <v>120</v>
      </c>
      <c r="T61" s="189" t="s">
        <v>180</v>
      </c>
      <c r="U61" s="132" t="s">
        <v>641</v>
      </c>
      <c r="V61" s="189" t="s">
        <v>167</v>
      </c>
      <c r="W61" s="189" t="s">
        <v>124</v>
      </c>
      <c r="X61" s="189" t="s">
        <v>135</v>
      </c>
      <c r="Y61" s="189" t="s">
        <v>135</v>
      </c>
      <c r="Z61" s="189" t="s">
        <v>2227</v>
      </c>
      <c r="AA61" s="189" t="s">
        <v>2116</v>
      </c>
      <c r="AB61" s="189" t="s">
        <v>2115</v>
      </c>
      <c r="AG61" s="189" t="s">
        <v>2196</v>
      </c>
    </row>
    <row r="62" customFormat="false" ht="15" hidden="false" customHeight="true" outlineLevel="0" collapsed="false">
      <c r="A62" s="0" t="n">
        <v>61</v>
      </c>
      <c r="B62" s="185" t="n">
        <v>46144.1918039185</v>
      </c>
      <c r="C62" s="185" t="n">
        <v>46144.2036441962</v>
      </c>
      <c r="D62" s="189" t="s">
        <v>642</v>
      </c>
      <c r="E62" s="189" t="s">
        <v>643</v>
      </c>
      <c r="F62" s="189" t="s">
        <v>643</v>
      </c>
      <c r="G62" s="189" t="s">
        <v>644</v>
      </c>
      <c r="H62" s="185" t="n">
        <v>46131</v>
      </c>
      <c r="I62" s="189" t="s">
        <v>113</v>
      </c>
      <c r="J62" s="189" t="s">
        <v>108</v>
      </c>
      <c r="K62" s="189" t="s">
        <v>196</v>
      </c>
      <c r="L62" s="189" t="s">
        <v>197</v>
      </c>
      <c r="M62" s="189" t="s">
        <v>234</v>
      </c>
      <c r="N62" s="189" t="s">
        <v>645</v>
      </c>
      <c r="O62" s="189" t="s">
        <v>244</v>
      </c>
      <c r="P62" s="189" t="s">
        <v>111</v>
      </c>
      <c r="Q62" s="189" t="s">
        <v>112</v>
      </c>
      <c r="R62" s="189" t="s">
        <v>22</v>
      </c>
      <c r="S62" s="189" t="s">
        <v>152</v>
      </c>
      <c r="T62" s="189" t="s">
        <v>121</v>
      </c>
      <c r="V62" s="189" t="s">
        <v>167</v>
      </c>
      <c r="W62" s="189" t="s">
        <v>124</v>
      </c>
      <c r="X62" s="189" t="s">
        <v>271</v>
      </c>
      <c r="Y62" s="189" t="s">
        <v>271</v>
      </c>
      <c r="Z62" s="189" t="s">
        <v>2179</v>
      </c>
      <c r="AG62" s="189" t="s">
        <v>122</v>
      </c>
      <c r="AH62" s="189" t="s">
        <v>2163</v>
      </c>
    </row>
    <row r="63" customFormat="false" ht="15" hidden="false" customHeight="true" outlineLevel="0" collapsed="false">
      <c r="A63" s="0" t="n">
        <v>62</v>
      </c>
      <c r="B63" s="185" t="n">
        <v>46126.0455251729</v>
      </c>
      <c r="C63" s="185" t="n">
        <v>46126.0544256359</v>
      </c>
      <c r="D63" s="189" t="s">
        <v>649</v>
      </c>
      <c r="E63" s="189" t="s">
        <v>650</v>
      </c>
      <c r="F63" s="189" t="s">
        <v>650</v>
      </c>
      <c r="G63" s="189" t="s">
        <v>651</v>
      </c>
      <c r="H63" s="185" t="n">
        <v>46118</v>
      </c>
      <c r="I63" s="189" t="s">
        <v>113</v>
      </c>
      <c r="J63" s="189" t="s">
        <v>108</v>
      </c>
      <c r="K63" s="189" t="s">
        <v>245</v>
      </c>
      <c r="L63" s="189" t="s">
        <v>491</v>
      </c>
      <c r="M63" s="189" t="s">
        <v>652</v>
      </c>
      <c r="N63" s="189" t="s">
        <v>653</v>
      </c>
      <c r="O63" s="189" t="s">
        <v>172</v>
      </c>
      <c r="P63" s="189" t="s">
        <v>211</v>
      </c>
      <c r="Q63" s="189" t="s">
        <v>145</v>
      </c>
      <c r="R63" s="189" t="s">
        <v>21</v>
      </c>
      <c r="S63" s="189" t="s">
        <v>152</v>
      </c>
      <c r="T63" s="189" t="s">
        <v>352</v>
      </c>
      <c r="V63" s="189" t="s">
        <v>167</v>
      </c>
      <c r="W63" s="189" t="s">
        <v>124</v>
      </c>
      <c r="X63" s="189" t="s">
        <v>374</v>
      </c>
      <c r="Y63" s="189" t="s">
        <v>374</v>
      </c>
      <c r="Z63" s="189" t="s">
        <v>2198</v>
      </c>
      <c r="AA63" s="189" t="s">
        <v>2197</v>
      </c>
      <c r="AB63" s="189" t="s">
        <v>2199</v>
      </c>
      <c r="AG63" s="189" t="s">
        <v>2201</v>
      </c>
      <c r="AH63" s="189" t="s">
        <v>2202</v>
      </c>
    </row>
    <row r="64" customFormat="false" ht="15" hidden="false" customHeight="true" outlineLevel="0" collapsed="false">
      <c r="A64" s="0" t="n">
        <v>63</v>
      </c>
      <c r="B64" s="185" t="n">
        <v>46149.5678612118</v>
      </c>
      <c r="C64" s="185" t="n">
        <v>46149.5804422303</v>
      </c>
      <c r="D64" s="189" t="s">
        <v>656</v>
      </c>
      <c r="E64" s="189" t="s">
        <v>657</v>
      </c>
      <c r="F64" s="189" t="s">
        <v>657</v>
      </c>
      <c r="G64" s="189" t="s">
        <v>658</v>
      </c>
      <c r="H64" s="185" t="n">
        <v>46145</v>
      </c>
      <c r="I64" s="189" t="s">
        <v>336</v>
      </c>
      <c r="J64" s="189" t="s">
        <v>108</v>
      </c>
      <c r="K64" s="189" t="s">
        <v>245</v>
      </c>
      <c r="L64" s="189" t="s">
        <v>389</v>
      </c>
      <c r="M64" s="189" t="s">
        <v>391</v>
      </c>
      <c r="N64" s="189" t="s">
        <v>440</v>
      </c>
      <c r="O64" s="189" t="s">
        <v>107</v>
      </c>
      <c r="P64" s="189" t="s">
        <v>111</v>
      </c>
      <c r="Q64" s="189" t="s">
        <v>112</v>
      </c>
      <c r="R64" s="189" t="s">
        <v>22</v>
      </c>
      <c r="S64" s="189" t="s">
        <v>320</v>
      </c>
      <c r="T64" s="189" t="s">
        <v>121</v>
      </c>
      <c r="U64" s="189" t="s">
        <v>122</v>
      </c>
      <c r="V64" s="189" t="s">
        <v>167</v>
      </c>
      <c r="W64" s="189" t="s">
        <v>139</v>
      </c>
      <c r="X64" s="189" t="s">
        <v>148</v>
      </c>
      <c r="Y64" s="189" t="s">
        <v>148</v>
      </c>
      <c r="Z64" s="189" t="s">
        <v>2120</v>
      </c>
      <c r="AA64" s="189" t="s">
        <v>2136</v>
      </c>
      <c r="AB64" s="189" t="s">
        <v>2230</v>
      </c>
      <c r="AG64" s="189" t="s">
        <v>2138</v>
      </c>
      <c r="AH64" s="189" t="s">
        <v>2232</v>
      </c>
    </row>
    <row r="65" customFormat="false" ht="15" hidden="false" customHeight="true" outlineLevel="0" collapsed="false">
      <c r="A65" s="0" t="n">
        <v>64</v>
      </c>
      <c r="B65" s="185" t="n">
        <v>46094.6790033151</v>
      </c>
      <c r="C65" s="185" t="n">
        <v>46094.6829269262</v>
      </c>
      <c r="D65" s="189" t="s">
        <v>662</v>
      </c>
      <c r="E65" s="189" t="s">
        <v>663</v>
      </c>
      <c r="F65" s="189" t="s">
        <v>663</v>
      </c>
      <c r="G65" s="189" t="s">
        <v>664</v>
      </c>
      <c r="H65" s="185" t="n">
        <v>46074</v>
      </c>
      <c r="I65" s="189" t="s">
        <v>113</v>
      </c>
      <c r="J65" s="189" t="s">
        <v>108</v>
      </c>
      <c r="K65" s="189" t="s">
        <v>196</v>
      </c>
      <c r="L65" s="189" t="s">
        <v>346</v>
      </c>
      <c r="M65" s="189" t="s">
        <v>160</v>
      </c>
      <c r="N65" s="189" t="s">
        <v>665</v>
      </c>
      <c r="O65" s="189" t="s">
        <v>244</v>
      </c>
      <c r="P65" s="189" t="s">
        <v>111</v>
      </c>
      <c r="Q65" s="189" t="s">
        <v>112</v>
      </c>
      <c r="R65" s="189" t="s">
        <v>22</v>
      </c>
      <c r="S65" s="189" t="s">
        <v>152</v>
      </c>
      <c r="T65" s="189" t="s">
        <v>180</v>
      </c>
      <c r="V65" s="189" t="s">
        <v>123</v>
      </c>
      <c r="W65" s="189" t="s">
        <v>124</v>
      </c>
      <c r="X65" s="189" t="s">
        <v>298</v>
      </c>
      <c r="Y65" s="189" t="s">
        <v>298</v>
      </c>
      <c r="Z65" s="189" t="s">
        <v>2251</v>
      </c>
      <c r="AG65" s="189" t="s">
        <v>2259</v>
      </c>
    </row>
    <row r="66" customFormat="false" ht="15" hidden="false" customHeight="true" outlineLevel="0" collapsed="false">
      <c r="A66" s="0" t="n">
        <v>65</v>
      </c>
      <c r="B66" s="185" t="n">
        <v>46169.0877292806</v>
      </c>
      <c r="C66" s="185" t="n">
        <v>46169.0949977991</v>
      </c>
      <c r="D66" s="189" t="s">
        <v>669</v>
      </c>
      <c r="E66" s="189" t="s">
        <v>670</v>
      </c>
      <c r="F66" s="189" t="s">
        <v>670</v>
      </c>
      <c r="G66" s="189" t="s">
        <v>671</v>
      </c>
      <c r="H66" s="185" t="n">
        <v>46162</v>
      </c>
      <c r="I66" s="189" t="s">
        <v>113</v>
      </c>
      <c r="J66" s="189" t="s">
        <v>108</v>
      </c>
      <c r="K66" s="189" t="s">
        <v>173</v>
      </c>
      <c r="L66" s="189" t="s">
        <v>346</v>
      </c>
      <c r="M66" s="189" t="s">
        <v>566</v>
      </c>
      <c r="N66" s="189" t="s">
        <v>672</v>
      </c>
      <c r="O66" s="196" t="s">
        <v>172</v>
      </c>
      <c r="P66" s="189" t="s">
        <v>111</v>
      </c>
      <c r="Q66" s="189" t="s">
        <v>145</v>
      </c>
      <c r="R66" s="189" t="s">
        <v>22</v>
      </c>
      <c r="S66" s="189" t="s">
        <v>227</v>
      </c>
      <c r="T66" s="189" t="s">
        <v>121</v>
      </c>
      <c r="U66" s="189" t="s">
        <v>122</v>
      </c>
      <c r="V66" s="189" t="s">
        <v>123</v>
      </c>
      <c r="W66" s="189" t="s">
        <v>124</v>
      </c>
      <c r="X66" s="189" t="s">
        <v>339</v>
      </c>
      <c r="Y66" s="189" t="s">
        <v>339</v>
      </c>
      <c r="Z66" s="189" t="s">
        <v>2212</v>
      </c>
      <c r="AA66" s="189" t="s">
        <v>2213</v>
      </c>
      <c r="AB66" s="189" t="s">
        <v>2260</v>
      </c>
      <c r="AG66" s="189" t="s">
        <v>2261</v>
      </c>
    </row>
    <row r="67" customFormat="false" ht="30" hidden="false" customHeight="true" outlineLevel="0" collapsed="false">
      <c r="A67" s="0" t="n">
        <v>66</v>
      </c>
      <c r="B67" s="185" t="n">
        <v>46047.5317732296</v>
      </c>
      <c r="C67" s="185" t="n">
        <v>46047.551217674</v>
      </c>
      <c r="D67" s="189" t="s">
        <v>676</v>
      </c>
      <c r="E67" s="189" t="s">
        <v>677</v>
      </c>
      <c r="F67" s="189" t="s">
        <v>677</v>
      </c>
      <c r="G67" s="189" t="s">
        <v>678</v>
      </c>
      <c r="H67" s="185" t="n">
        <v>46028</v>
      </c>
      <c r="I67" s="189" t="s">
        <v>132</v>
      </c>
      <c r="J67" s="189" t="s">
        <v>108</v>
      </c>
      <c r="K67" s="189" t="s">
        <v>257</v>
      </c>
      <c r="L67" s="189" t="s">
        <v>110</v>
      </c>
      <c r="M67" s="189" t="s">
        <v>439</v>
      </c>
      <c r="N67" s="132" t="s">
        <v>115</v>
      </c>
      <c r="O67" s="189" t="s">
        <v>157</v>
      </c>
      <c r="P67" s="189" t="s">
        <v>211</v>
      </c>
      <c r="Q67" s="189" t="s">
        <v>112</v>
      </c>
      <c r="R67" s="189" t="s">
        <v>22</v>
      </c>
      <c r="S67" s="189" t="s">
        <v>120</v>
      </c>
      <c r="T67" s="189" t="s">
        <v>121</v>
      </c>
      <c r="U67" s="189" t="s">
        <v>682</v>
      </c>
      <c r="V67" s="189" t="s">
        <v>167</v>
      </c>
      <c r="W67" s="189" t="s">
        <v>124</v>
      </c>
      <c r="X67" s="189" t="s">
        <v>116</v>
      </c>
      <c r="Y67" s="189" t="s">
        <v>116</v>
      </c>
      <c r="Z67" s="189" t="s">
        <v>2151</v>
      </c>
      <c r="AG67" s="189" t="s">
        <v>2114</v>
      </c>
    </row>
    <row r="68" customFormat="false" ht="30" hidden="false" customHeight="true" outlineLevel="0" collapsed="false">
      <c r="A68" s="0" t="n">
        <v>67</v>
      </c>
      <c r="B68" s="185" t="n">
        <v>46140.1179099646</v>
      </c>
      <c r="C68" s="185" t="n">
        <v>46140.1302479276</v>
      </c>
      <c r="D68" s="189" t="s">
        <v>683</v>
      </c>
      <c r="E68" s="189" t="s">
        <v>684</v>
      </c>
      <c r="F68" s="189" t="s">
        <v>684</v>
      </c>
      <c r="G68" s="189" t="s">
        <v>685</v>
      </c>
      <c r="H68" s="185" t="n">
        <v>46140</v>
      </c>
      <c r="I68" s="189" t="s">
        <v>113</v>
      </c>
      <c r="J68" s="189" t="s">
        <v>295</v>
      </c>
      <c r="K68" s="189" t="s">
        <v>462</v>
      </c>
      <c r="L68" s="189" t="s">
        <v>197</v>
      </c>
      <c r="M68" s="189" t="s">
        <v>686</v>
      </c>
      <c r="N68" s="132" t="s">
        <v>407</v>
      </c>
      <c r="O68" s="189" t="s">
        <v>172</v>
      </c>
      <c r="P68" s="189" t="s">
        <v>111</v>
      </c>
      <c r="Q68" s="189" t="s">
        <v>145</v>
      </c>
      <c r="R68" s="189" t="s">
        <v>25</v>
      </c>
      <c r="S68" s="189" t="s">
        <v>152</v>
      </c>
      <c r="T68" s="189" t="s">
        <v>228</v>
      </c>
      <c r="V68" s="189" t="s">
        <v>167</v>
      </c>
      <c r="W68" s="189" t="s">
        <v>168</v>
      </c>
      <c r="X68" s="189" t="s">
        <v>687</v>
      </c>
      <c r="Y68" s="189" t="s">
        <v>687</v>
      </c>
      <c r="Z68" s="189" t="s">
        <v>2262</v>
      </c>
      <c r="AG68" s="189" t="s">
        <v>2265</v>
      </c>
      <c r="AH68" s="189" t="s">
        <v>2266</v>
      </c>
    </row>
    <row r="69" customFormat="false" ht="15" hidden="false" customHeight="true" outlineLevel="0" collapsed="false">
      <c r="A69" s="0" t="n">
        <v>68</v>
      </c>
      <c r="B69" s="185" t="n">
        <v>46041.4328670819</v>
      </c>
      <c r="C69" s="185" t="n">
        <v>46041.4469874522</v>
      </c>
      <c r="D69" s="189" t="s">
        <v>691</v>
      </c>
      <c r="E69" s="189" t="s">
        <v>692</v>
      </c>
      <c r="F69" s="189" t="s">
        <v>692</v>
      </c>
      <c r="G69" s="189" t="s">
        <v>693</v>
      </c>
      <c r="H69" s="185" t="n">
        <v>46034</v>
      </c>
      <c r="I69" s="189" t="s">
        <v>113</v>
      </c>
      <c r="J69" s="189" t="s">
        <v>295</v>
      </c>
      <c r="K69" s="189" t="s">
        <v>196</v>
      </c>
      <c r="L69" s="189" t="s">
        <v>159</v>
      </c>
      <c r="M69" s="189" t="s">
        <v>694</v>
      </c>
      <c r="N69" s="189" t="s">
        <v>234</v>
      </c>
      <c r="O69" s="189" t="s">
        <v>157</v>
      </c>
      <c r="P69" s="189" t="s">
        <v>111</v>
      </c>
      <c r="Q69" s="189" t="s">
        <v>145</v>
      </c>
      <c r="R69" s="189" t="s">
        <v>22</v>
      </c>
      <c r="S69" s="189" t="s">
        <v>152</v>
      </c>
      <c r="T69" s="189" t="s">
        <v>121</v>
      </c>
      <c r="U69" s="189" t="s">
        <v>122</v>
      </c>
      <c r="V69" s="189" t="s">
        <v>123</v>
      </c>
      <c r="W69" s="189" t="s">
        <v>124</v>
      </c>
      <c r="X69" s="189" t="s">
        <v>148</v>
      </c>
      <c r="Y69" s="189" t="s">
        <v>148</v>
      </c>
      <c r="Z69" s="189" t="s">
        <v>2166</v>
      </c>
      <c r="AG69" s="189" t="s">
        <v>2232</v>
      </c>
    </row>
    <row r="70" customFormat="false" ht="15" hidden="false" customHeight="true" outlineLevel="0" collapsed="false">
      <c r="A70" s="0" t="n">
        <v>69</v>
      </c>
      <c r="B70" s="185" t="n">
        <v>46072.1414336667</v>
      </c>
      <c r="C70" s="185" t="n">
        <v>46072.1612137593</v>
      </c>
      <c r="D70" s="189" t="s">
        <v>697</v>
      </c>
      <c r="E70" s="189" t="s">
        <v>698</v>
      </c>
      <c r="F70" s="189" t="s">
        <v>699</v>
      </c>
      <c r="G70" s="189" t="s">
        <v>700</v>
      </c>
      <c r="H70" s="185" t="n">
        <v>46063</v>
      </c>
      <c r="I70" s="189" t="s">
        <v>113</v>
      </c>
      <c r="J70" s="189" t="s">
        <v>128</v>
      </c>
      <c r="K70" s="189" t="s">
        <v>257</v>
      </c>
      <c r="L70" s="189" t="s">
        <v>184</v>
      </c>
      <c r="M70" s="189" t="s">
        <v>114</v>
      </c>
      <c r="N70" s="189" t="s">
        <v>701</v>
      </c>
      <c r="O70" s="189" t="s">
        <v>107</v>
      </c>
      <c r="P70" s="189" t="s">
        <v>111</v>
      </c>
      <c r="Q70" s="189" t="s">
        <v>112</v>
      </c>
      <c r="R70" s="189" t="s">
        <v>22</v>
      </c>
      <c r="S70" s="189" t="s">
        <v>152</v>
      </c>
      <c r="T70" s="189" t="s">
        <v>121</v>
      </c>
      <c r="V70" s="189" t="s">
        <v>192</v>
      </c>
      <c r="W70" s="189" t="s">
        <v>124</v>
      </c>
      <c r="X70" s="189" t="s">
        <v>135</v>
      </c>
      <c r="Y70" s="189" t="s">
        <v>135</v>
      </c>
      <c r="Z70" s="189" t="s">
        <v>2245</v>
      </c>
      <c r="AA70" s="189" t="s">
        <v>2115</v>
      </c>
      <c r="AB70" s="189" t="s">
        <v>2227</v>
      </c>
      <c r="AG70" s="189" t="s">
        <v>2256</v>
      </c>
      <c r="AH70" s="189" t="s">
        <v>2196</v>
      </c>
    </row>
    <row r="71" customFormat="false" ht="15" hidden="false" customHeight="true" outlineLevel="0" collapsed="false">
      <c r="A71" s="0" t="n">
        <v>70</v>
      </c>
      <c r="B71" s="185" t="n">
        <v>46191.606095563</v>
      </c>
      <c r="C71" s="185" t="n">
        <v>46191.6265816741</v>
      </c>
      <c r="D71" s="189" t="s">
        <v>705</v>
      </c>
      <c r="E71" s="189" t="s">
        <v>706</v>
      </c>
      <c r="F71" s="189" t="s">
        <v>706</v>
      </c>
      <c r="G71" s="189" t="s">
        <v>707</v>
      </c>
      <c r="H71" s="185" t="n">
        <v>46174</v>
      </c>
      <c r="I71" s="189" t="s">
        <v>113</v>
      </c>
      <c r="J71" s="189" t="s">
        <v>108</v>
      </c>
      <c r="K71" s="189" t="s">
        <v>245</v>
      </c>
      <c r="L71" s="189" t="s">
        <v>184</v>
      </c>
      <c r="M71" s="189" t="s">
        <v>130</v>
      </c>
      <c r="N71" s="189" t="s">
        <v>227</v>
      </c>
      <c r="O71" s="189" t="s">
        <v>172</v>
      </c>
      <c r="P71" s="189" t="s">
        <v>111</v>
      </c>
      <c r="Q71" s="189" t="s">
        <v>112</v>
      </c>
      <c r="R71" s="189" t="s">
        <v>21</v>
      </c>
      <c r="S71" s="189" t="s">
        <v>120</v>
      </c>
      <c r="T71" s="189" t="s">
        <v>180</v>
      </c>
      <c r="U71" s="189" t="s">
        <v>191</v>
      </c>
      <c r="V71" s="189" t="s">
        <v>192</v>
      </c>
      <c r="W71" s="189" t="s">
        <v>168</v>
      </c>
      <c r="X71" s="189" t="s">
        <v>187</v>
      </c>
      <c r="Y71" s="189" t="s">
        <v>187</v>
      </c>
      <c r="Z71" s="189" t="s">
        <v>2133</v>
      </c>
      <c r="AG71" s="189" t="s">
        <v>2135</v>
      </c>
    </row>
    <row r="72" customFormat="false" ht="15" hidden="false" customHeight="true" outlineLevel="0" collapsed="false">
      <c r="A72" s="0" t="n">
        <v>71</v>
      </c>
      <c r="B72" s="185" t="n">
        <v>46066.535172176</v>
      </c>
      <c r="C72" s="185" t="n">
        <v>46066.5410633797</v>
      </c>
      <c r="D72" s="189" t="s">
        <v>709</v>
      </c>
      <c r="E72" s="189" t="s">
        <v>710</v>
      </c>
      <c r="F72" s="189" t="s">
        <v>711</v>
      </c>
      <c r="G72" s="189" t="s">
        <v>712</v>
      </c>
      <c r="H72" s="185" t="n">
        <v>46051</v>
      </c>
      <c r="I72" s="189" t="s">
        <v>113</v>
      </c>
      <c r="J72" s="189" t="s">
        <v>295</v>
      </c>
      <c r="K72" s="189" t="s">
        <v>245</v>
      </c>
      <c r="L72" s="189" t="s">
        <v>184</v>
      </c>
      <c r="M72" s="189" t="s">
        <v>578</v>
      </c>
      <c r="N72" s="189" t="s">
        <v>714</v>
      </c>
      <c r="O72" s="189" t="s">
        <v>713</v>
      </c>
      <c r="P72" s="189" t="s">
        <v>111</v>
      </c>
      <c r="Q72" s="189" t="s">
        <v>145</v>
      </c>
      <c r="R72" s="189" t="s">
        <v>22</v>
      </c>
      <c r="S72" s="189" t="s">
        <v>152</v>
      </c>
      <c r="T72" s="189" t="s">
        <v>121</v>
      </c>
      <c r="U72" s="132" t="s">
        <v>641</v>
      </c>
      <c r="V72" s="189" t="s">
        <v>123</v>
      </c>
      <c r="W72" s="189" t="s">
        <v>124</v>
      </c>
      <c r="X72" s="189" t="s">
        <v>715</v>
      </c>
      <c r="Y72" s="189" t="s">
        <v>715</v>
      </c>
      <c r="Z72" s="189" t="s">
        <v>2268</v>
      </c>
      <c r="AA72" s="189" t="s">
        <v>2269</v>
      </c>
      <c r="AG72" s="189" t="s">
        <v>2272</v>
      </c>
      <c r="AH72" s="189" t="s">
        <v>2273</v>
      </c>
    </row>
    <row r="73" customFormat="false" ht="15" hidden="false" customHeight="true" outlineLevel="0" collapsed="false">
      <c r="A73" s="0" t="n">
        <v>72</v>
      </c>
      <c r="B73" s="185" t="n">
        <v>46103.6197790973</v>
      </c>
      <c r="C73" s="185" t="n">
        <v>46103.6258091899</v>
      </c>
      <c r="D73" s="189" t="s">
        <v>719</v>
      </c>
      <c r="E73" s="189" t="s">
        <v>720</v>
      </c>
      <c r="F73" s="189" t="s">
        <v>720</v>
      </c>
      <c r="G73" s="189" t="s">
        <v>721</v>
      </c>
      <c r="H73" s="185" t="n">
        <v>46085</v>
      </c>
      <c r="I73" s="189" t="s">
        <v>325</v>
      </c>
      <c r="J73" s="189" t="s">
        <v>108</v>
      </c>
      <c r="K73" s="189" t="s">
        <v>257</v>
      </c>
      <c r="L73" s="189" t="s">
        <v>346</v>
      </c>
      <c r="M73" s="189" t="s">
        <v>357</v>
      </c>
      <c r="N73" s="189" t="s">
        <v>398</v>
      </c>
      <c r="O73" s="196" t="s">
        <v>157</v>
      </c>
      <c r="P73" s="189" t="s">
        <v>111</v>
      </c>
      <c r="Q73" s="189" t="s">
        <v>112</v>
      </c>
      <c r="R73" s="189" t="s">
        <v>22</v>
      </c>
      <c r="S73" s="189" t="s">
        <v>227</v>
      </c>
      <c r="T73" s="189" t="s">
        <v>180</v>
      </c>
      <c r="U73" s="189" t="s">
        <v>725</v>
      </c>
      <c r="V73" s="189" t="s">
        <v>123</v>
      </c>
      <c r="W73" s="189" t="s">
        <v>124</v>
      </c>
      <c r="X73" s="189" t="s">
        <v>271</v>
      </c>
      <c r="Y73" s="189" t="s">
        <v>271</v>
      </c>
      <c r="Z73" s="189" t="s">
        <v>2274</v>
      </c>
      <c r="AG73" s="189" t="s">
        <v>2162</v>
      </c>
    </row>
    <row r="74" customFormat="false" ht="15" hidden="false" customHeight="true" outlineLevel="0" collapsed="false">
      <c r="A74" s="0" t="n">
        <v>73</v>
      </c>
      <c r="B74" s="185" t="n">
        <v>46070.2242968252</v>
      </c>
      <c r="C74" s="185" t="n">
        <v>46070.2364843252</v>
      </c>
      <c r="D74" s="189" t="s">
        <v>726</v>
      </c>
      <c r="E74" s="189" t="s">
        <v>727</v>
      </c>
      <c r="F74" s="189" t="s">
        <v>728</v>
      </c>
      <c r="G74" s="189" t="s">
        <v>729</v>
      </c>
      <c r="H74" s="185" t="n">
        <v>46050</v>
      </c>
      <c r="I74" s="189" t="s">
        <v>113</v>
      </c>
      <c r="J74" s="189" t="s">
        <v>108</v>
      </c>
      <c r="K74" s="189" t="s">
        <v>196</v>
      </c>
      <c r="L74" s="189" t="s">
        <v>246</v>
      </c>
      <c r="M74" s="189" t="s">
        <v>144</v>
      </c>
      <c r="N74" s="189" t="s">
        <v>389</v>
      </c>
      <c r="O74" s="189" t="s">
        <v>244</v>
      </c>
      <c r="P74" s="189" t="s">
        <v>111</v>
      </c>
      <c r="Q74" s="189" t="s">
        <v>112</v>
      </c>
      <c r="R74" s="189" t="s">
        <v>22</v>
      </c>
      <c r="S74" s="189" t="s">
        <v>152</v>
      </c>
      <c r="T74" s="189" t="s">
        <v>121</v>
      </c>
      <c r="U74" s="189" t="s">
        <v>122</v>
      </c>
      <c r="V74" s="189" t="s">
        <v>123</v>
      </c>
      <c r="W74" s="189" t="s">
        <v>124</v>
      </c>
      <c r="X74" s="189" t="s">
        <v>715</v>
      </c>
      <c r="Y74" s="189" t="s">
        <v>715</v>
      </c>
      <c r="Z74" s="189" t="s">
        <v>2268</v>
      </c>
      <c r="AG74" s="189" t="s">
        <v>2276</v>
      </c>
    </row>
    <row r="75" customFormat="false" ht="15" hidden="false" customHeight="true" outlineLevel="0" collapsed="false">
      <c r="A75" s="0" t="n">
        <v>74</v>
      </c>
      <c r="B75" s="185" t="n">
        <v>46154.2675204042</v>
      </c>
      <c r="C75" s="185" t="n">
        <v>46154.2854254968</v>
      </c>
      <c r="D75" s="189" t="s">
        <v>733</v>
      </c>
      <c r="E75" s="189" t="s">
        <v>734</v>
      </c>
      <c r="F75" s="189" t="s">
        <v>734</v>
      </c>
      <c r="G75" s="189" t="s">
        <v>735</v>
      </c>
      <c r="H75" s="185" t="n">
        <v>46152</v>
      </c>
      <c r="I75" s="189" t="s">
        <v>113</v>
      </c>
      <c r="J75" s="189" t="s">
        <v>128</v>
      </c>
      <c r="K75" s="189" t="s">
        <v>462</v>
      </c>
      <c r="L75" s="189" t="s">
        <v>210</v>
      </c>
      <c r="M75" s="189" t="s">
        <v>736</v>
      </c>
      <c r="N75" s="189" t="s">
        <v>306</v>
      </c>
      <c r="O75" s="189" t="s">
        <v>244</v>
      </c>
      <c r="P75" s="189" t="s">
        <v>111</v>
      </c>
      <c r="Q75" s="189" t="s">
        <v>112</v>
      </c>
      <c r="R75" s="189" t="s">
        <v>22</v>
      </c>
      <c r="S75" s="189" t="s">
        <v>152</v>
      </c>
      <c r="T75" s="189" t="s">
        <v>264</v>
      </c>
      <c r="U75" s="189" t="s">
        <v>562</v>
      </c>
      <c r="V75" s="189" t="s">
        <v>123</v>
      </c>
      <c r="W75" s="189" t="s">
        <v>139</v>
      </c>
      <c r="X75" s="189" t="s">
        <v>381</v>
      </c>
      <c r="Y75" s="189" t="s">
        <v>381</v>
      </c>
      <c r="Z75" s="189" t="s">
        <v>2224</v>
      </c>
      <c r="AA75" s="189" t="s">
        <v>2277</v>
      </c>
      <c r="AG75" s="189" t="s">
        <v>2278</v>
      </c>
    </row>
    <row r="76" customFormat="false" ht="15" hidden="false" customHeight="true" outlineLevel="0" collapsed="false">
      <c r="A76" s="0" t="n">
        <v>75</v>
      </c>
      <c r="B76" s="185" t="n">
        <v>46191.5599628683</v>
      </c>
      <c r="C76" s="185" t="n">
        <v>46191.5769420349</v>
      </c>
      <c r="D76" s="189" t="s">
        <v>739</v>
      </c>
      <c r="E76" s="189" t="s">
        <v>740</v>
      </c>
      <c r="F76" s="189" t="s">
        <v>740</v>
      </c>
      <c r="G76" s="189" t="s">
        <v>741</v>
      </c>
      <c r="H76" s="185" t="n">
        <v>46181</v>
      </c>
      <c r="I76" s="189" t="s">
        <v>113</v>
      </c>
      <c r="J76" s="189" t="s">
        <v>108</v>
      </c>
      <c r="K76" s="189" t="s">
        <v>742</v>
      </c>
      <c r="L76" s="189" t="s">
        <v>210</v>
      </c>
      <c r="M76" s="189" t="s">
        <v>133</v>
      </c>
      <c r="N76" s="189" t="s">
        <v>743</v>
      </c>
      <c r="O76" s="189" t="s">
        <v>107</v>
      </c>
      <c r="P76" s="189" t="s">
        <v>211</v>
      </c>
      <c r="Q76" s="189" t="s">
        <v>112</v>
      </c>
      <c r="R76" s="189" t="s">
        <v>22</v>
      </c>
      <c r="S76" s="189" t="s">
        <v>152</v>
      </c>
      <c r="T76" s="189" t="s">
        <v>496</v>
      </c>
      <c r="U76" s="189" t="s">
        <v>122</v>
      </c>
      <c r="V76" s="189" t="s">
        <v>167</v>
      </c>
      <c r="W76" s="189" t="s">
        <v>124</v>
      </c>
      <c r="X76" s="189" t="s">
        <v>116</v>
      </c>
      <c r="Y76" s="189" t="s">
        <v>116</v>
      </c>
      <c r="Z76" s="189" t="s">
        <v>2139</v>
      </c>
      <c r="AA76" s="189" t="s">
        <v>2151</v>
      </c>
      <c r="AG76" s="189" t="s">
        <v>122</v>
      </c>
      <c r="AH76" s="189" t="s">
        <v>2184</v>
      </c>
    </row>
    <row r="77" customFormat="false" ht="15" hidden="false" customHeight="true" outlineLevel="0" collapsed="false">
      <c r="A77" s="0" t="n">
        <v>76</v>
      </c>
      <c r="B77" s="185" t="n">
        <v>46094.2397378354</v>
      </c>
      <c r="C77" s="185" t="n">
        <v>46094.2517980206</v>
      </c>
      <c r="D77" s="189" t="s">
        <v>747</v>
      </c>
      <c r="E77" s="189" t="s">
        <v>748</v>
      </c>
      <c r="F77" s="189" t="s">
        <v>748</v>
      </c>
      <c r="G77" s="189" t="s">
        <v>749</v>
      </c>
      <c r="H77" s="185" t="n">
        <v>46077</v>
      </c>
      <c r="I77" s="189" t="s">
        <v>113</v>
      </c>
      <c r="J77" s="189" t="s">
        <v>108</v>
      </c>
      <c r="K77" s="189" t="s">
        <v>245</v>
      </c>
      <c r="L77" s="189" t="s">
        <v>110</v>
      </c>
      <c r="M77" s="189" t="s">
        <v>365</v>
      </c>
      <c r="N77" s="189" t="s">
        <v>560</v>
      </c>
      <c r="O77" s="196" t="s">
        <v>750</v>
      </c>
      <c r="P77" s="189" t="s">
        <v>111</v>
      </c>
      <c r="Q77" s="189" t="s">
        <v>112</v>
      </c>
      <c r="R77" s="189" t="s">
        <v>22</v>
      </c>
      <c r="S77" s="189" t="s">
        <v>227</v>
      </c>
      <c r="T77" s="189" t="s">
        <v>121</v>
      </c>
      <c r="U77" s="189" t="s">
        <v>291</v>
      </c>
      <c r="V77" s="189" t="s">
        <v>123</v>
      </c>
      <c r="W77" s="189" t="s">
        <v>124</v>
      </c>
      <c r="X77" s="189" t="s">
        <v>339</v>
      </c>
      <c r="Y77" s="189" t="s">
        <v>339</v>
      </c>
      <c r="Z77" s="189" t="s">
        <v>2185</v>
      </c>
      <c r="AA77" s="189" t="s">
        <v>2243</v>
      </c>
      <c r="AB77" s="189" t="s">
        <v>2242</v>
      </c>
      <c r="AG77" s="189" t="s">
        <v>2279</v>
      </c>
    </row>
    <row r="78" customFormat="false" ht="15" hidden="false" customHeight="true" outlineLevel="0" collapsed="false">
      <c r="A78" s="0" t="n">
        <v>77</v>
      </c>
      <c r="B78" s="185" t="n">
        <v>46066.3904616967</v>
      </c>
      <c r="C78" s="185" t="n">
        <v>46066.3924640115</v>
      </c>
      <c r="D78" s="189" t="s">
        <v>754</v>
      </c>
      <c r="E78" s="189" t="s">
        <v>755</v>
      </c>
      <c r="F78" s="189" t="s">
        <v>755</v>
      </c>
      <c r="G78" s="189" t="s">
        <v>756</v>
      </c>
      <c r="H78" s="185" t="n">
        <v>46064</v>
      </c>
      <c r="I78" s="189" t="s">
        <v>325</v>
      </c>
      <c r="J78" s="189" t="s">
        <v>295</v>
      </c>
      <c r="K78" s="189" t="s">
        <v>173</v>
      </c>
      <c r="L78" s="189" t="s">
        <v>130</v>
      </c>
      <c r="M78" s="189" t="s">
        <v>757</v>
      </c>
      <c r="N78" s="189" t="s">
        <v>758</v>
      </c>
      <c r="O78" s="189" t="s">
        <v>244</v>
      </c>
      <c r="P78" s="189" t="s">
        <v>111</v>
      </c>
      <c r="Q78" s="189" t="s">
        <v>145</v>
      </c>
      <c r="R78" s="189" t="s">
        <v>22</v>
      </c>
      <c r="S78" s="189" t="s">
        <v>152</v>
      </c>
      <c r="T78" s="189" t="s">
        <v>121</v>
      </c>
      <c r="U78" s="189" t="s">
        <v>122</v>
      </c>
      <c r="V78" s="189" t="s">
        <v>123</v>
      </c>
      <c r="W78" s="189" t="s">
        <v>139</v>
      </c>
      <c r="X78" s="189" t="s">
        <v>298</v>
      </c>
      <c r="Y78" s="189" t="s">
        <v>298</v>
      </c>
      <c r="Z78" s="189" t="s">
        <v>2239</v>
      </c>
      <c r="AA78" s="189" t="s">
        <v>2169</v>
      </c>
      <c r="AB78" s="189" t="s">
        <v>2280</v>
      </c>
      <c r="AG78" s="189" t="s">
        <v>2259</v>
      </c>
      <c r="AH78" s="189" t="s">
        <v>2282</v>
      </c>
    </row>
    <row r="79" customFormat="false" ht="15" hidden="false" customHeight="true" outlineLevel="0" collapsed="false">
      <c r="A79" s="0" t="n">
        <v>78</v>
      </c>
      <c r="B79" s="185" t="n">
        <v>46142.6844493493</v>
      </c>
      <c r="C79" s="185" t="n">
        <v>46142.6966831455</v>
      </c>
      <c r="D79" s="189" t="s">
        <v>762</v>
      </c>
      <c r="E79" s="189" t="s">
        <v>763</v>
      </c>
      <c r="F79" s="189" t="s">
        <v>764</v>
      </c>
      <c r="G79" s="189" t="s">
        <v>765</v>
      </c>
      <c r="H79" s="185" t="n">
        <v>46142</v>
      </c>
      <c r="I79" s="189" t="s">
        <v>132</v>
      </c>
      <c r="J79" s="189" t="s">
        <v>108</v>
      </c>
      <c r="K79" s="189" t="s">
        <v>257</v>
      </c>
      <c r="L79" s="189" t="s">
        <v>296</v>
      </c>
      <c r="M79" s="189" t="s">
        <v>269</v>
      </c>
      <c r="N79" s="189" t="s">
        <v>766</v>
      </c>
      <c r="O79" s="189" t="s">
        <v>750</v>
      </c>
      <c r="P79" s="189" t="s">
        <v>111</v>
      </c>
      <c r="Q79" s="189" t="s">
        <v>145</v>
      </c>
      <c r="R79" s="189" t="s">
        <v>22</v>
      </c>
      <c r="S79" s="189" t="s">
        <v>152</v>
      </c>
      <c r="T79" s="189" t="s">
        <v>121</v>
      </c>
      <c r="U79" s="189" t="s">
        <v>770</v>
      </c>
      <c r="V79" s="189" t="s">
        <v>123</v>
      </c>
      <c r="W79" s="189" t="s">
        <v>124</v>
      </c>
      <c r="X79" s="189" t="s">
        <v>176</v>
      </c>
      <c r="Y79" s="189" t="s">
        <v>176</v>
      </c>
      <c r="Z79" s="189" t="s">
        <v>2283</v>
      </c>
      <c r="AA79" s="189" t="s">
        <v>2128</v>
      </c>
      <c r="AG79" s="189" t="s">
        <v>2285</v>
      </c>
      <c r="AH79" s="189" t="s">
        <v>2286</v>
      </c>
    </row>
    <row r="80" customFormat="false" ht="15" hidden="false" customHeight="true" outlineLevel="0" collapsed="false">
      <c r="A80" s="0" t="n">
        <v>79</v>
      </c>
      <c r="B80" s="185" t="n">
        <v>46080.2902157093</v>
      </c>
      <c r="C80" s="185" t="n">
        <v>46080.3046370056</v>
      </c>
      <c r="D80" s="189" t="s">
        <v>771</v>
      </c>
      <c r="E80" s="189" t="s">
        <v>772</v>
      </c>
      <c r="F80" s="189" t="s">
        <v>772</v>
      </c>
      <c r="G80" s="189" t="s">
        <v>773</v>
      </c>
      <c r="H80" s="185" t="n">
        <v>46066</v>
      </c>
      <c r="I80" s="189" t="s">
        <v>113</v>
      </c>
      <c r="J80" s="189" t="s">
        <v>108</v>
      </c>
      <c r="K80" s="189" t="s">
        <v>462</v>
      </c>
      <c r="L80" s="189" t="s">
        <v>159</v>
      </c>
      <c r="M80" s="189" t="s">
        <v>774</v>
      </c>
      <c r="N80" s="189" t="s">
        <v>775</v>
      </c>
      <c r="O80" s="189" t="s">
        <v>750</v>
      </c>
      <c r="P80" s="189" t="s">
        <v>111</v>
      </c>
      <c r="Q80" s="189" t="s">
        <v>112</v>
      </c>
      <c r="R80" s="189" t="s">
        <v>22</v>
      </c>
      <c r="S80" s="189" t="s">
        <v>120</v>
      </c>
      <c r="T80" s="189" t="s">
        <v>121</v>
      </c>
      <c r="U80" s="189" t="s">
        <v>153</v>
      </c>
      <c r="V80" s="189" t="s">
        <v>192</v>
      </c>
      <c r="W80" s="189" t="s">
        <v>139</v>
      </c>
      <c r="X80" s="189" t="s">
        <v>339</v>
      </c>
      <c r="Y80" s="189" t="s">
        <v>339</v>
      </c>
      <c r="Z80" s="189" t="s">
        <v>2260</v>
      </c>
      <c r="AA80" s="189" t="s">
        <v>2242</v>
      </c>
      <c r="AG80" s="189" t="s">
        <v>122</v>
      </c>
      <c r="AH80" s="189" t="s">
        <v>2279</v>
      </c>
    </row>
    <row r="81" customFormat="false" ht="15" hidden="false" customHeight="true" outlineLevel="0" collapsed="false">
      <c r="A81" s="0" t="n">
        <v>80</v>
      </c>
      <c r="B81" s="185" t="n">
        <v>46202.7342430958</v>
      </c>
      <c r="C81" s="185" t="n">
        <v>46202.7395671699</v>
      </c>
      <c r="D81" s="189" t="s">
        <v>778</v>
      </c>
      <c r="E81" s="189" t="s">
        <v>779</v>
      </c>
      <c r="F81" s="189" t="s">
        <v>779</v>
      </c>
      <c r="G81" s="189" t="s">
        <v>780</v>
      </c>
      <c r="H81" s="185" t="n">
        <v>46184</v>
      </c>
      <c r="I81" s="189" t="s">
        <v>113</v>
      </c>
      <c r="J81" s="189" t="s">
        <v>295</v>
      </c>
      <c r="K81" s="189" t="s">
        <v>257</v>
      </c>
      <c r="L81" s="189" t="s">
        <v>159</v>
      </c>
      <c r="M81" s="189" t="s">
        <v>357</v>
      </c>
      <c r="N81" s="189" t="s">
        <v>606</v>
      </c>
      <c r="O81" s="189" t="s">
        <v>781</v>
      </c>
      <c r="P81" s="189" t="s">
        <v>111</v>
      </c>
      <c r="Q81" s="189" t="s">
        <v>112</v>
      </c>
      <c r="R81" s="189" t="s">
        <v>22</v>
      </c>
      <c r="S81" s="189" t="s">
        <v>152</v>
      </c>
      <c r="T81" s="189" t="s">
        <v>121</v>
      </c>
      <c r="U81" s="189" t="s">
        <v>785</v>
      </c>
      <c r="V81" s="189" t="s">
        <v>167</v>
      </c>
      <c r="W81" s="189" t="s">
        <v>124</v>
      </c>
      <c r="X81" s="189" t="s">
        <v>176</v>
      </c>
      <c r="Y81" s="189" t="s">
        <v>176</v>
      </c>
      <c r="Z81" s="189" t="s">
        <v>2130</v>
      </c>
      <c r="AA81" s="189" t="s">
        <v>2288</v>
      </c>
      <c r="AG81" s="189" t="s">
        <v>2128</v>
      </c>
      <c r="AH81" s="189" t="s">
        <v>2289</v>
      </c>
    </row>
    <row r="82" customFormat="false" ht="15" hidden="false" customHeight="true" outlineLevel="0" collapsed="false">
      <c r="A82" s="0" t="n">
        <v>81</v>
      </c>
      <c r="B82" s="185" t="n">
        <v>46046.5698838957</v>
      </c>
      <c r="C82" s="185" t="n">
        <v>46046.5836223216</v>
      </c>
      <c r="D82" s="189" t="s">
        <v>786</v>
      </c>
      <c r="E82" s="189" t="s">
        <v>787</v>
      </c>
      <c r="F82" s="189" t="s">
        <v>787</v>
      </c>
      <c r="G82" s="189" t="s">
        <v>788</v>
      </c>
      <c r="H82" s="185" t="n">
        <v>46043</v>
      </c>
      <c r="I82" s="189" t="s">
        <v>132</v>
      </c>
      <c r="J82" s="189" t="s">
        <v>295</v>
      </c>
      <c r="K82" s="189" t="s">
        <v>232</v>
      </c>
      <c r="L82" s="189" t="s">
        <v>197</v>
      </c>
      <c r="M82" s="189" t="s">
        <v>789</v>
      </c>
      <c r="N82" s="189" t="s">
        <v>235</v>
      </c>
      <c r="O82" s="189" t="s">
        <v>172</v>
      </c>
      <c r="P82" s="189" t="s">
        <v>131</v>
      </c>
      <c r="Q82" s="189" t="s">
        <v>112</v>
      </c>
      <c r="R82" s="189" t="s">
        <v>22</v>
      </c>
      <c r="S82" s="189" t="s">
        <v>120</v>
      </c>
      <c r="T82" s="189" t="s">
        <v>180</v>
      </c>
      <c r="U82" s="189" t="s">
        <v>122</v>
      </c>
      <c r="V82" s="189" t="s">
        <v>123</v>
      </c>
      <c r="W82" s="189" t="s">
        <v>124</v>
      </c>
      <c r="X82" s="189" t="s">
        <v>298</v>
      </c>
      <c r="Y82" s="189" t="s">
        <v>298</v>
      </c>
      <c r="Z82" s="189" t="s">
        <v>2252</v>
      </c>
      <c r="AA82" s="189" t="s">
        <v>2169</v>
      </c>
      <c r="AB82" s="189" t="s">
        <v>2238</v>
      </c>
      <c r="AG82" s="189" t="s">
        <v>2291</v>
      </c>
      <c r="AH82" s="189" t="s">
        <v>2292</v>
      </c>
    </row>
    <row r="83" customFormat="false" ht="15" hidden="false" customHeight="true" outlineLevel="0" collapsed="false">
      <c r="A83" s="0" t="n">
        <v>82</v>
      </c>
      <c r="B83" s="185" t="n">
        <v>46165.1678119742</v>
      </c>
      <c r="C83" s="185" t="n">
        <v>46165.1693050298</v>
      </c>
      <c r="D83" s="189" t="s">
        <v>793</v>
      </c>
      <c r="E83" s="189" t="s">
        <v>794</v>
      </c>
      <c r="F83" s="189" t="s">
        <v>794</v>
      </c>
      <c r="G83" s="189" t="s">
        <v>795</v>
      </c>
      <c r="H83" s="185" t="n">
        <v>46157</v>
      </c>
      <c r="I83" s="189" t="s">
        <v>113</v>
      </c>
      <c r="J83" s="189" t="s">
        <v>295</v>
      </c>
      <c r="K83" s="189" t="s">
        <v>796</v>
      </c>
      <c r="L83" s="189" t="s">
        <v>114</v>
      </c>
      <c r="M83" s="189" t="s">
        <v>797</v>
      </c>
      <c r="N83" s="189" t="s">
        <v>338</v>
      </c>
      <c r="O83" s="189" t="s">
        <v>278</v>
      </c>
      <c r="P83" s="189" t="s">
        <v>131</v>
      </c>
      <c r="Q83" s="189" t="s">
        <v>112</v>
      </c>
      <c r="R83" s="189" t="s">
        <v>21</v>
      </c>
      <c r="S83" s="189" t="s">
        <v>120</v>
      </c>
      <c r="T83" s="189" t="s">
        <v>180</v>
      </c>
      <c r="U83" s="189" t="s">
        <v>798</v>
      </c>
      <c r="V83" s="189" t="s">
        <v>167</v>
      </c>
      <c r="W83" s="189" t="s">
        <v>124</v>
      </c>
      <c r="X83" s="189" t="s">
        <v>187</v>
      </c>
      <c r="Y83" s="189" t="s">
        <v>187</v>
      </c>
      <c r="Z83" s="189" t="s">
        <v>2133</v>
      </c>
      <c r="AG83" s="189" t="s">
        <v>2135</v>
      </c>
    </row>
    <row r="84" customFormat="false" ht="15" hidden="false" customHeight="true" outlineLevel="0" collapsed="false">
      <c r="A84" s="0" t="n">
        <v>83</v>
      </c>
      <c r="B84" s="185" t="n">
        <v>46107.2443825347</v>
      </c>
      <c r="C84" s="185" t="n">
        <v>46107.2485376273</v>
      </c>
      <c r="D84" s="189" t="s">
        <v>799</v>
      </c>
      <c r="E84" s="189" t="s">
        <v>800</v>
      </c>
      <c r="F84" s="189" t="s">
        <v>800</v>
      </c>
      <c r="G84" s="189" t="s">
        <v>801</v>
      </c>
      <c r="H84" s="185" t="n">
        <v>46103</v>
      </c>
      <c r="I84" s="189" t="s">
        <v>113</v>
      </c>
      <c r="J84" s="189" t="s">
        <v>108</v>
      </c>
      <c r="K84" s="189" t="s">
        <v>802</v>
      </c>
      <c r="L84" s="189" t="s">
        <v>210</v>
      </c>
      <c r="M84" s="189" t="s">
        <v>789</v>
      </c>
      <c r="N84" s="189" t="s">
        <v>523</v>
      </c>
      <c r="O84" s="189" t="s">
        <v>172</v>
      </c>
      <c r="P84" s="189" t="s">
        <v>111</v>
      </c>
      <c r="Q84" s="189" t="s">
        <v>112</v>
      </c>
      <c r="R84" s="189" t="s">
        <v>22</v>
      </c>
      <c r="S84" s="189" t="s">
        <v>152</v>
      </c>
      <c r="T84" s="189" t="s">
        <v>496</v>
      </c>
      <c r="U84" s="189" t="s">
        <v>239</v>
      </c>
      <c r="V84" s="189" t="s">
        <v>192</v>
      </c>
      <c r="W84" s="189" t="s">
        <v>124</v>
      </c>
      <c r="X84" s="189" t="s">
        <v>381</v>
      </c>
      <c r="Y84" s="189" t="s">
        <v>381</v>
      </c>
      <c r="Z84" s="189" t="s">
        <v>2293</v>
      </c>
      <c r="AA84" s="189" t="s">
        <v>2203</v>
      </c>
      <c r="AG84" s="189" t="s">
        <v>2206</v>
      </c>
      <c r="AH84" s="189" t="s">
        <v>2278</v>
      </c>
    </row>
    <row r="85" customFormat="false" ht="15" hidden="false" customHeight="true" outlineLevel="0" collapsed="false">
      <c r="A85" s="0" t="n">
        <v>84</v>
      </c>
      <c r="B85" s="185" t="n">
        <v>46157.4223352601</v>
      </c>
      <c r="C85" s="185" t="n">
        <v>46157.4276824823</v>
      </c>
      <c r="D85" s="189" t="s">
        <v>806</v>
      </c>
      <c r="E85" s="189" t="s">
        <v>807</v>
      </c>
      <c r="F85" s="189" t="s">
        <v>807</v>
      </c>
      <c r="G85" s="189" t="s">
        <v>808</v>
      </c>
      <c r="H85" s="185" t="n">
        <v>46150</v>
      </c>
      <c r="I85" s="189" t="s">
        <v>113</v>
      </c>
      <c r="J85" s="189" t="s">
        <v>108</v>
      </c>
      <c r="K85" s="189" t="s">
        <v>364</v>
      </c>
      <c r="L85" s="189" t="s">
        <v>296</v>
      </c>
      <c r="M85" s="189" t="s">
        <v>809</v>
      </c>
      <c r="N85" s="189" t="s">
        <v>810</v>
      </c>
      <c r="O85" s="189" t="s">
        <v>172</v>
      </c>
      <c r="P85" s="189" t="s">
        <v>111</v>
      </c>
      <c r="Q85" s="189" t="s">
        <v>145</v>
      </c>
      <c r="R85" s="189" t="s">
        <v>22</v>
      </c>
      <c r="S85" s="189" t="s">
        <v>152</v>
      </c>
      <c r="T85" s="189" t="s">
        <v>814</v>
      </c>
      <c r="V85" s="189" t="s">
        <v>167</v>
      </c>
      <c r="W85" s="189" t="s">
        <v>124</v>
      </c>
      <c r="X85" s="189" t="s">
        <v>715</v>
      </c>
      <c r="Y85" s="189" t="s">
        <v>715</v>
      </c>
      <c r="Z85" s="189" t="s">
        <v>2295</v>
      </c>
      <c r="AA85" s="189" t="s">
        <v>2296</v>
      </c>
      <c r="AB85" s="189" t="s">
        <v>2268</v>
      </c>
      <c r="AG85" s="189" t="s">
        <v>2298</v>
      </c>
      <c r="AH85" s="189" t="s">
        <v>2272</v>
      </c>
    </row>
    <row r="86" customFormat="false" ht="15" hidden="false" customHeight="true" outlineLevel="0" collapsed="false">
      <c r="A86" s="0" t="n">
        <v>85</v>
      </c>
      <c r="B86" s="185" t="n">
        <v>46133.8077640304</v>
      </c>
      <c r="C86" s="185" t="n">
        <v>46133.8254839378</v>
      </c>
      <c r="D86" s="189" t="s">
        <v>815</v>
      </c>
      <c r="E86" s="189" t="s">
        <v>816</v>
      </c>
      <c r="F86" s="189" t="s">
        <v>816</v>
      </c>
      <c r="G86" s="189" t="s">
        <v>817</v>
      </c>
      <c r="H86" s="185" t="n">
        <v>46114</v>
      </c>
      <c r="I86" s="189" t="s">
        <v>113</v>
      </c>
      <c r="J86" s="189" t="s">
        <v>108</v>
      </c>
      <c r="K86" s="189" t="s">
        <v>818</v>
      </c>
      <c r="L86" s="189" t="s">
        <v>286</v>
      </c>
      <c r="M86" s="189" t="s">
        <v>578</v>
      </c>
      <c r="N86" s="189" t="s">
        <v>819</v>
      </c>
      <c r="O86" s="189" t="s">
        <v>244</v>
      </c>
      <c r="P86" s="189" t="s">
        <v>131</v>
      </c>
      <c r="Q86" s="189" t="s">
        <v>145</v>
      </c>
      <c r="R86" s="189" t="s">
        <v>22</v>
      </c>
      <c r="S86" s="189" t="s">
        <v>227</v>
      </c>
      <c r="T86" s="189" t="s">
        <v>352</v>
      </c>
      <c r="U86" s="189" t="s">
        <v>822</v>
      </c>
      <c r="V86" s="189" t="s">
        <v>167</v>
      </c>
      <c r="W86" s="189" t="s">
        <v>124</v>
      </c>
      <c r="X86" s="189" t="s">
        <v>298</v>
      </c>
      <c r="Y86" s="189" t="s">
        <v>298</v>
      </c>
      <c r="Z86" s="189" t="s">
        <v>2238</v>
      </c>
      <c r="AA86" s="189" t="s">
        <v>2168</v>
      </c>
      <c r="AG86" s="189" t="s">
        <v>2259</v>
      </c>
    </row>
    <row r="87" customFormat="false" ht="15" hidden="false" customHeight="true" outlineLevel="0" collapsed="false">
      <c r="A87" s="0" t="n">
        <v>86</v>
      </c>
      <c r="B87" s="185" t="n">
        <v>46177.2149650801</v>
      </c>
      <c r="C87" s="185" t="n">
        <v>46177.2222104505</v>
      </c>
      <c r="D87" s="189" t="s">
        <v>823</v>
      </c>
      <c r="E87" s="189" t="s">
        <v>824</v>
      </c>
      <c r="F87" s="189" t="s">
        <v>824</v>
      </c>
      <c r="G87" s="189" t="s">
        <v>825</v>
      </c>
      <c r="H87" s="185" t="n">
        <v>46165</v>
      </c>
      <c r="I87" s="189" t="s">
        <v>325</v>
      </c>
      <c r="J87" s="189" t="s">
        <v>108</v>
      </c>
      <c r="K87" s="189" t="s">
        <v>826</v>
      </c>
      <c r="L87" s="189" t="s">
        <v>159</v>
      </c>
      <c r="M87" s="189" t="s">
        <v>326</v>
      </c>
      <c r="N87" s="189" t="s">
        <v>827</v>
      </c>
      <c r="O87" s="189" t="s">
        <v>172</v>
      </c>
      <c r="P87" s="189" t="s">
        <v>111</v>
      </c>
      <c r="Q87" s="189" t="s">
        <v>112</v>
      </c>
      <c r="R87" s="189" t="s">
        <v>22</v>
      </c>
      <c r="S87" s="189" t="s">
        <v>227</v>
      </c>
      <c r="T87" s="189" t="s">
        <v>180</v>
      </c>
      <c r="U87" s="189" t="s">
        <v>831</v>
      </c>
      <c r="V87" s="189" t="s">
        <v>192</v>
      </c>
      <c r="W87" s="189" t="s">
        <v>124</v>
      </c>
      <c r="X87" s="189" t="s">
        <v>715</v>
      </c>
      <c r="Y87" s="189" t="s">
        <v>715</v>
      </c>
      <c r="Z87" s="189" t="s">
        <v>2295</v>
      </c>
      <c r="AA87" s="189" t="s">
        <v>2269</v>
      </c>
      <c r="AB87" s="189" t="s">
        <v>2300</v>
      </c>
      <c r="AG87" s="189" t="s">
        <v>2301</v>
      </c>
    </row>
    <row r="88" customFormat="false" ht="15" hidden="false" customHeight="true" outlineLevel="0" collapsed="false">
      <c r="A88" s="0" t="n">
        <v>87</v>
      </c>
      <c r="B88" s="185" t="n">
        <v>46127.0977417984</v>
      </c>
      <c r="C88" s="185" t="n">
        <v>46127.1058436503</v>
      </c>
      <c r="D88" s="189" t="s">
        <v>832</v>
      </c>
      <c r="E88" s="189" t="s">
        <v>833</v>
      </c>
      <c r="F88" s="189" t="s">
        <v>833</v>
      </c>
      <c r="G88" s="189" t="s">
        <v>834</v>
      </c>
      <c r="H88" s="185" t="n">
        <v>46123</v>
      </c>
      <c r="I88" s="189" t="s">
        <v>113</v>
      </c>
      <c r="J88" s="189" t="s">
        <v>108</v>
      </c>
      <c r="K88" s="189" t="s">
        <v>173</v>
      </c>
      <c r="L88" s="189" t="s">
        <v>197</v>
      </c>
      <c r="M88" s="189" t="s">
        <v>566</v>
      </c>
      <c r="N88" s="189" t="s">
        <v>259</v>
      </c>
      <c r="O88" s="189" t="s">
        <v>244</v>
      </c>
      <c r="P88" s="189" t="s">
        <v>111</v>
      </c>
      <c r="Q88" s="189" t="s">
        <v>145</v>
      </c>
      <c r="R88" s="189" t="s">
        <v>22</v>
      </c>
      <c r="S88" s="189" t="s">
        <v>152</v>
      </c>
      <c r="T88" s="189" t="s">
        <v>121</v>
      </c>
      <c r="U88" s="189" t="s">
        <v>321</v>
      </c>
      <c r="V88" s="189" t="s">
        <v>123</v>
      </c>
      <c r="W88" s="189" t="s">
        <v>124</v>
      </c>
      <c r="X88" s="189" t="s">
        <v>135</v>
      </c>
      <c r="Y88" s="189" t="s">
        <v>135</v>
      </c>
      <c r="Z88" s="189" t="s">
        <v>2115</v>
      </c>
      <c r="AA88" s="189" t="s">
        <v>2246</v>
      </c>
      <c r="AG88" s="189" t="s">
        <v>2247</v>
      </c>
      <c r="AH88" s="189" t="s">
        <v>2302</v>
      </c>
    </row>
    <row r="89" customFormat="false" ht="15" hidden="false" customHeight="true" outlineLevel="0" collapsed="false">
      <c r="A89" s="0" t="n">
        <v>88</v>
      </c>
      <c r="B89" s="185" t="n">
        <v>46127.8785647386</v>
      </c>
      <c r="C89" s="185" t="n">
        <v>46127.8954860349</v>
      </c>
      <c r="D89" s="189" t="s">
        <v>838</v>
      </c>
      <c r="E89" s="189" t="s">
        <v>839</v>
      </c>
      <c r="F89" s="189" t="s">
        <v>839</v>
      </c>
      <c r="G89" s="189" t="s">
        <v>840</v>
      </c>
      <c r="H89" s="185" t="n">
        <v>46127</v>
      </c>
      <c r="I89" s="189" t="s">
        <v>113</v>
      </c>
      <c r="J89" s="189" t="s">
        <v>108</v>
      </c>
      <c r="K89" s="189" t="s">
        <v>196</v>
      </c>
      <c r="L89" s="189" t="s">
        <v>246</v>
      </c>
      <c r="M89" s="189" t="s">
        <v>406</v>
      </c>
      <c r="N89" s="189" t="s">
        <v>841</v>
      </c>
      <c r="O89" s="189" t="s">
        <v>107</v>
      </c>
      <c r="P89" s="189" t="s">
        <v>111</v>
      </c>
      <c r="Q89" s="189" t="s">
        <v>112</v>
      </c>
      <c r="R89" s="189" t="s">
        <v>22</v>
      </c>
      <c r="S89" s="189" t="s">
        <v>152</v>
      </c>
      <c r="T89" s="189" t="s">
        <v>121</v>
      </c>
      <c r="U89" s="189" t="s">
        <v>122</v>
      </c>
      <c r="V89" s="189" t="s">
        <v>167</v>
      </c>
      <c r="W89" s="189" t="s">
        <v>124</v>
      </c>
      <c r="X89" s="189" t="s">
        <v>381</v>
      </c>
      <c r="Y89" s="189" t="s">
        <v>381</v>
      </c>
      <c r="Z89" s="189" t="s">
        <v>2293</v>
      </c>
      <c r="AG89" s="189" t="s">
        <v>2225</v>
      </c>
    </row>
    <row r="90" customFormat="false" ht="30" hidden="false" customHeight="true" outlineLevel="0" collapsed="false">
      <c r="A90" s="0" t="n">
        <v>89</v>
      </c>
      <c r="B90" s="185" t="n">
        <v>46156.596929679</v>
      </c>
      <c r="C90" s="185" t="n">
        <v>46156.6127745864</v>
      </c>
      <c r="D90" s="189" t="s">
        <v>845</v>
      </c>
      <c r="E90" s="189" t="s">
        <v>846</v>
      </c>
      <c r="F90" s="189" t="s">
        <v>846</v>
      </c>
      <c r="G90" s="189" t="s">
        <v>847</v>
      </c>
      <c r="H90" s="185" t="n">
        <v>46145</v>
      </c>
      <c r="I90" s="189" t="s">
        <v>113</v>
      </c>
      <c r="J90" s="189" t="s">
        <v>108</v>
      </c>
      <c r="K90" s="189" t="s">
        <v>848</v>
      </c>
      <c r="L90" s="189" t="s">
        <v>159</v>
      </c>
      <c r="M90" s="189" t="s">
        <v>439</v>
      </c>
      <c r="N90" s="132" t="s">
        <v>849</v>
      </c>
      <c r="O90" s="189" t="s">
        <v>278</v>
      </c>
      <c r="P90" s="189" t="s">
        <v>111</v>
      </c>
      <c r="Q90" s="189" t="s">
        <v>112</v>
      </c>
      <c r="R90" s="189" t="s">
        <v>22</v>
      </c>
      <c r="S90" s="189" t="s">
        <v>152</v>
      </c>
      <c r="T90" s="189" t="s">
        <v>180</v>
      </c>
      <c r="U90" s="189" t="s">
        <v>853</v>
      </c>
      <c r="V90" s="189" t="s">
        <v>192</v>
      </c>
      <c r="W90" s="189" t="s">
        <v>124</v>
      </c>
      <c r="X90" s="189" t="s">
        <v>148</v>
      </c>
      <c r="Y90" s="189" t="s">
        <v>148</v>
      </c>
      <c r="Z90" s="189" t="s">
        <v>2166</v>
      </c>
      <c r="AA90" s="189" t="s">
        <v>2230</v>
      </c>
      <c r="AB90" s="189" t="s">
        <v>2136</v>
      </c>
      <c r="AG90" s="189" t="s">
        <v>2123</v>
      </c>
      <c r="AH90" s="189" t="s">
        <v>2232</v>
      </c>
    </row>
    <row r="91" customFormat="false" ht="15" hidden="false" customHeight="true" outlineLevel="0" collapsed="false">
      <c r="A91" s="0" t="n">
        <v>90</v>
      </c>
      <c r="B91" s="185" t="n">
        <v>46078.4869250341</v>
      </c>
      <c r="C91" s="185" t="n">
        <v>46078.5005824415</v>
      </c>
      <c r="D91" s="189" t="s">
        <v>854</v>
      </c>
      <c r="E91" s="189" t="s">
        <v>855</v>
      </c>
      <c r="F91" s="189" t="s">
        <v>855</v>
      </c>
      <c r="G91" s="189" t="s">
        <v>856</v>
      </c>
      <c r="H91" s="185" t="n">
        <v>46066</v>
      </c>
      <c r="I91" s="189" t="s">
        <v>113</v>
      </c>
      <c r="J91" s="189" t="s">
        <v>108</v>
      </c>
      <c r="K91" s="189" t="s">
        <v>143</v>
      </c>
      <c r="L91" s="189" t="s">
        <v>389</v>
      </c>
      <c r="M91" s="189" t="s">
        <v>365</v>
      </c>
      <c r="N91" s="189" t="s">
        <v>161</v>
      </c>
      <c r="O91" s="189" t="s">
        <v>172</v>
      </c>
      <c r="P91" s="189" t="s">
        <v>111</v>
      </c>
      <c r="Q91" s="189" t="s">
        <v>112</v>
      </c>
      <c r="R91" s="189" t="s">
        <v>24</v>
      </c>
      <c r="S91" s="189" t="s">
        <v>227</v>
      </c>
      <c r="T91" s="189" t="s">
        <v>352</v>
      </c>
      <c r="V91" s="189" t="s">
        <v>123</v>
      </c>
      <c r="W91" s="189" t="s">
        <v>124</v>
      </c>
      <c r="X91" s="189" t="s">
        <v>260</v>
      </c>
      <c r="Y91" s="189" t="s">
        <v>260</v>
      </c>
      <c r="Z91" s="189" t="s">
        <v>122</v>
      </c>
      <c r="AA91" s="189" t="s">
        <v>2303</v>
      </c>
      <c r="AG91" s="189" t="s">
        <v>2304</v>
      </c>
    </row>
    <row r="92" customFormat="false" ht="15" hidden="false" customHeight="true" outlineLevel="0" collapsed="false">
      <c r="A92" s="0" t="n">
        <v>91</v>
      </c>
      <c r="B92" s="185" t="n">
        <v>46109.4420372162</v>
      </c>
      <c r="C92" s="185" t="n">
        <v>46109.4583219384</v>
      </c>
      <c r="D92" s="189" t="s">
        <v>860</v>
      </c>
      <c r="E92" s="189" t="s">
        <v>861</v>
      </c>
      <c r="F92" s="189" t="s">
        <v>861</v>
      </c>
      <c r="G92" s="189" t="s">
        <v>862</v>
      </c>
      <c r="H92" s="185" t="n">
        <v>46096</v>
      </c>
      <c r="I92" s="189" t="s">
        <v>863</v>
      </c>
      <c r="J92" s="189" t="s">
        <v>108</v>
      </c>
      <c r="K92" s="189" t="s">
        <v>364</v>
      </c>
      <c r="L92" s="189" t="s">
        <v>346</v>
      </c>
      <c r="M92" s="189" t="s">
        <v>864</v>
      </c>
      <c r="N92" s="189" t="s">
        <v>234</v>
      </c>
      <c r="O92" s="189" t="s">
        <v>172</v>
      </c>
      <c r="P92" s="189" t="s">
        <v>111</v>
      </c>
      <c r="Q92" s="189" t="s">
        <v>112</v>
      </c>
      <c r="R92" s="189" t="s">
        <v>22</v>
      </c>
      <c r="S92" s="189" t="s">
        <v>152</v>
      </c>
      <c r="T92" s="189" t="s">
        <v>121</v>
      </c>
      <c r="U92" s="189" t="s">
        <v>122</v>
      </c>
      <c r="V92" s="189" t="s">
        <v>123</v>
      </c>
      <c r="W92" s="189" t="s">
        <v>124</v>
      </c>
      <c r="X92" s="189" t="s">
        <v>339</v>
      </c>
      <c r="Y92" s="189" t="s">
        <v>339</v>
      </c>
      <c r="Z92" s="189" t="s">
        <v>2185</v>
      </c>
      <c r="AA92" s="189" t="s">
        <v>2260</v>
      </c>
      <c r="AB92" s="189" t="s">
        <v>2213</v>
      </c>
      <c r="AG92" s="189" t="s">
        <v>2261</v>
      </c>
    </row>
    <row r="93" customFormat="false" ht="15" hidden="false" customHeight="true" outlineLevel="0" collapsed="false">
      <c r="A93" s="0" t="n">
        <v>92</v>
      </c>
      <c r="B93" s="185" t="n">
        <v>46106.7429044211</v>
      </c>
      <c r="C93" s="185" t="n">
        <v>46106.7609136804</v>
      </c>
      <c r="D93" s="189" t="s">
        <v>867</v>
      </c>
      <c r="E93" s="189" t="s">
        <v>868</v>
      </c>
      <c r="F93" s="189" t="s">
        <v>868</v>
      </c>
      <c r="G93" s="189" t="s">
        <v>869</v>
      </c>
      <c r="H93" s="185" t="n">
        <v>46095</v>
      </c>
      <c r="I93" s="189" t="s">
        <v>113</v>
      </c>
      <c r="J93" s="189" t="s">
        <v>295</v>
      </c>
      <c r="K93" s="189" t="s">
        <v>364</v>
      </c>
      <c r="L93" s="189" t="s">
        <v>491</v>
      </c>
      <c r="M93" s="189" t="s">
        <v>870</v>
      </c>
      <c r="N93" s="189" t="s">
        <v>757</v>
      </c>
      <c r="O93" s="189" t="s">
        <v>244</v>
      </c>
      <c r="P93" s="189" t="s">
        <v>111</v>
      </c>
      <c r="Q93" s="189" t="s">
        <v>145</v>
      </c>
      <c r="R93" s="189" t="s">
        <v>23</v>
      </c>
      <c r="S93" s="189" t="s">
        <v>120</v>
      </c>
      <c r="T93" s="189" t="s">
        <v>121</v>
      </c>
      <c r="U93" s="189" t="s">
        <v>122</v>
      </c>
      <c r="V93" s="189" t="s">
        <v>192</v>
      </c>
      <c r="W93" s="189" t="s">
        <v>124</v>
      </c>
      <c r="X93" s="189" t="s">
        <v>503</v>
      </c>
      <c r="Y93" s="189" t="s">
        <v>503</v>
      </c>
      <c r="AK93" s="189" t="s">
        <v>871</v>
      </c>
    </row>
    <row r="94" customFormat="false" ht="15" hidden="false" customHeight="true" outlineLevel="0" collapsed="false">
      <c r="A94" s="0" t="n">
        <v>93</v>
      </c>
      <c r="B94" s="185" t="n">
        <v>46175.8755565321</v>
      </c>
      <c r="C94" s="185" t="n">
        <v>46175.8903713469</v>
      </c>
      <c r="D94" s="189" t="s">
        <v>872</v>
      </c>
      <c r="E94" s="189" t="s">
        <v>873</v>
      </c>
      <c r="F94" s="189" t="s">
        <v>873</v>
      </c>
      <c r="G94" s="189" t="s">
        <v>874</v>
      </c>
      <c r="H94" s="185" t="n">
        <v>46167</v>
      </c>
      <c r="I94" s="189" t="s">
        <v>132</v>
      </c>
      <c r="J94" s="189" t="s">
        <v>128</v>
      </c>
      <c r="K94" s="189" t="s">
        <v>462</v>
      </c>
      <c r="L94" s="189" t="s">
        <v>184</v>
      </c>
      <c r="M94" s="189" t="s">
        <v>736</v>
      </c>
      <c r="N94" s="189" t="s">
        <v>758</v>
      </c>
      <c r="O94" s="189" t="s">
        <v>278</v>
      </c>
      <c r="P94" s="189" t="s">
        <v>111</v>
      </c>
      <c r="Q94" s="189" t="s">
        <v>112</v>
      </c>
      <c r="R94" s="189" t="s">
        <v>21</v>
      </c>
      <c r="S94" s="189" t="s">
        <v>152</v>
      </c>
      <c r="T94" s="189" t="s">
        <v>228</v>
      </c>
      <c r="U94" s="189" t="s">
        <v>122</v>
      </c>
      <c r="V94" s="189" t="s">
        <v>192</v>
      </c>
      <c r="W94" s="189" t="s">
        <v>124</v>
      </c>
      <c r="X94" s="189" t="s">
        <v>250</v>
      </c>
      <c r="Y94" s="189" t="s">
        <v>250</v>
      </c>
      <c r="Z94" s="189" t="s">
        <v>2151</v>
      </c>
      <c r="AA94" s="189" t="s">
        <v>2109</v>
      </c>
      <c r="AG94" s="189" t="s">
        <v>2114</v>
      </c>
      <c r="AH94" s="189" t="s">
        <v>2152</v>
      </c>
    </row>
    <row r="95" customFormat="false" ht="15" hidden="false" customHeight="true" outlineLevel="0" collapsed="false">
      <c r="A95" s="0" t="n">
        <v>94</v>
      </c>
      <c r="B95" s="185" t="n">
        <v>46118.5879088214</v>
      </c>
      <c r="C95" s="185" t="n">
        <v>46118.6015199325</v>
      </c>
      <c r="D95" s="189" t="s">
        <v>877</v>
      </c>
      <c r="E95" s="189" t="s">
        <v>878</v>
      </c>
      <c r="F95" s="189" t="s">
        <v>878</v>
      </c>
      <c r="G95" s="189" t="s">
        <v>879</v>
      </c>
      <c r="H95" s="185" t="n">
        <v>46116</v>
      </c>
      <c r="I95" s="189" t="s">
        <v>113</v>
      </c>
      <c r="J95" s="189" t="s">
        <v>128</v>
      </c>
      <c r="K95" s="189" t="s">
        <v>232</v>
      </c>
      <c r="L95" s="189" t="s">
        <v>144</v>
      </c>
      <c r="M95" s="189" t="s">
        <v>652</v>
      </c>
      <c r="N95" s="189" t="s">
        <v>613</v>
      </c>
      <c r="O95" s="189" t="s">
        <v>157</v>
      </c>
      <c r="P95" s="189" t="s">
        <v>111</v>
      </c>
      <c r="Q95" s="189" t="s">
        <v>112</v>
      </c>
      <c r="R95" s="189" t="s">
        <v>24</v>
      </c>
      <c r="S95" s="189" t="s">
        <v>152</v>
      </c>
      <c r="T95" s="189" t="s">
        <v>180</v>
      </c>
      <c r="U95" s="189" t="s">
        <v>122</v>
      </c>
      <c r="V95" s="189" t="s">
        <v>123</v>
      </c>
      <c r="W95" s="189" t="s">
        <v>168</v>
      </c>
      <c r="X95" s="189" t="s">
        <v>19</v>
      </c>
      <c r="Y95" s="189" t="s">
        <v>19</v>
      </c>
      <c r="AK95" s="189" t="s">
        <v>880</v>
      </c>
    </row>
    <row r="96" customFormat="false" ht="15" hidden="false" customHeight="true" outlineLevel="0" collapsed="false">
      <c r="A96" s="0" t="n">
        <v>95</v>
      </c>
      <c r="B96" s="185" t="n">
        <v>46058.1353174352</v>
      </c>
      <c r="C96" s="185" t="n">
        <v>46058.1464169722</v>
      </c>
      <c r="D96" s="189" t="s">
        <v>881</v>
      </c>
      <c r="E96" s="189" t="s">
        <v>882</v>
      </c>
      <c r="F96" s="189" t="s">
        <v>882</v>
      </c>
      <c r="G96" s="189" t="s">
        <v>883</v>
      </c>
      <c r="H96" s="185" t="n">
        <v>46047</v>
      </c>
      <c r="I96" s="189" t="s">
        <v>132</v>
      </c>
      <c r="J96" s="189" t="s">
        <v>295</v>
      </c>
      <c r="K96" s="189" t="s">
        <v>884</v>
      </c>
      <c r="L96" s="189" t="s">
        <v>144</v>
      </c>
      <c r="M96" s="189" t="s">
        <v>885</v>
      </c>
      <c r="N96" s="189" t="s">
        <v>175</v>
      </c>
      <c r="O96" s="189" t="s">
        <v>244</v>
      </c>
      <c r="P96" s="189" t="s">
        <v>111</v>
      </c>
      <c r="Q96" s="189" t="s">
        <v>112</v>
      </c>
      <c r="R96" s="189" t="s">
        <v>21</v>
      </c>
      <c r="S96" s="189" t="s">
        <v>227</v>
      </c>
      <c r="T96" s="189" t="s">
        <v>264</v>
      </c>
      <c r="U96" s="189" t="s">
        <v>122</v>
      </c>
      <c r="V96" s="189" t="s">
        <v>123</v>
      </c>
      <c r="W96" s="189" t="s">
        <v>139</v>
      </c>
      <c r="X96" s="189" t="s">
        <v>457</v>
      </c>
      <c r="Y96" s="189" t="s">
        <v>457</v>
      </c>
      <c r="Z96" s="189" t="s">
        <v>2139</v>
      </c>
      <c r="AG96" s="189" t="s">
        <v>122</v>
      </c>
      <c r="AH96" s="189" t="s">
        <v>2184</v>
      </c>
    </row>
    <row r="97" customFormat="false" ht="15" hidden="false" customHeight="true" outlineLevel="0" collapsed="false">
      <c r="A97" s="0" t="n">
        <v>96</v>
      </c>
      <c r="B97" s="185" t="n">
        <v>46115.1864163651</v>
      </c>
      <c r="C97" s="185" t="n">
        <v>46115.2072381244</v>
      </c>
      <c r="D97" s="189" t="s">
        <v>888</v>
      </c>
      <c r="E97" s="189" t="s">
        <v>889</v>
      </c>
      <c r="F97" s="189" t="s">
        <v>890</v>
      </c>
      <c r="G97" s="189" t="s">
        <v>891</v>
      </c>
      <c r="H97" s="185" t="n">
        <v>46097</v>
      </c>
      <c r="I97" s="189" t="s">
        <v>325</v>
      </c>
      <c r="J97" s="189" t="s">
        <v>295</v>
      </c>
      <c r="K97" s="189" t="s">
        <v>892</v>
      </c>
      <c r="L97" s="189" t="s">
        <v>130</v>
      </c>
      <c r="M97" s="189" t="s">
        <v>397</v>
      </c>
      <c r="N97" s="189" t="s">
        <v>893</v>
      </c>
      <c r="O97" s="196" t="s">
        <v>107</v>
      </c>
      <c r="P97" s="189" t="s">
        <v>111</v>
      </c>
      <c r="Q97" s="189" t="s">
        <v>112</v>
      </c>
      <c r="R97" s="189" t="s">
        <v>22</v>
      </c>
      <c r="S97" s="189" t="s">
        <v>152</v>
      </c>
      <c r="T97" s="189" t="s">
        <v>121</v>
      </c>
      <c r="V97" s="189" t="s">
        <v>123</v>
      </c>
      <c r="W97" s="189" t="s">
        <v>168</v>
      </c>
      <c r="X97" s="189" t="s">
        <v>381</v>
      </c>
      <c r="Y97" s="189" t="s">
        <v>381</v>
      </c>
      <c r="Z97" s="189" t="s">
        <v>2293</v>
      </c>
      <c r="AA97" s="189" t="s">
        <v>2203</v>
      </c>
      <c r="AG97" s="189" t="s">
        <v>2278</v>
      </c>
    </row>
    <row r="98" customFormat="false" ht="30" hidden="false" customHeight="true" outlineLevel="0" collapsed="false">
      <c r="A98" s="0" t="n">
        <v>97</v>
      </c>
      <c r="B98" s="185" t="n">
        <v>46083.9177899003</v>
      </c>
      <c r="C98" s="185" t="n">
        <v>46083.9213199929</v>
      </c>
      <c r="D98" s="189" t="s">
        <v>895</v>
      </c>
      <c r="E98" s="189" t="s">
        <v>896</v>
      </c>
      <c r="F98" s="189" t="s">
        <v>896</v>
      </c>
      <c r="G98" s="189" t="s">
        <v>897</v>
      </c>
      <c r="H98" s="185" t="n">
        <v>46074</v>
      </c>
      <c r="I98" s="189" t="s">
        <v>336</v>
      </c>
      <c r="J98" s="189" t="s">
        <v>295</v>
      </c>
      <c r="K98" s="189" t="s">
        <v>898</v>
      </c>
      <c r="L98" s="189" t="s">
        <v>144</v>
      </c>
      <c r="M98" s="189" t="s">
        <v>199</v>
      </c>
      <c r="N98" s="189" t="s">
        <v>899</v>
      </c>
      <c r="O98" s="196" t="s">
        <v>278</v>
      </c>
      <c r="P98" s="189" t="s">
        <v>111</v>
      </c>
      <c r="Q98" s="189" t="s">
        <v>145</v>
      </c>
      <c r="R98" s="189" t="s">
        <v>21</v>
      </c>
      <c r="S98" s="189" t="s">
        <v>152</v>
      </c>
      <c r="T98" s="189" t="s">
        <v>352</v>
      </c>
      <c r="U98" s="132"/>
      <c r="V98" s="189" t="s">
        <v>192</v>
      </c>
      <c r="W98" s="189" t="s">
        <v>124</v>
      </c>
      <c r="X98" s="189" t="s">
        <v>250</v>
      </c>
      <c r="Y98" s="189" t="s">
        <v>250</v>
      </c>
      <c r="Z98" s="189" t="s">
        <v>2151</v>
      </c>
      <c r="AA98" s="189" t="s">
        <v>2125</v>
      </c>
      <c r="AG98" s="189" t="s">
        <v>2127</v>
      </c>
    </row>
    <row r="99" customFormat="false" ht="15" hidden="false" customHeight="true" outlineLevel="0" collapsed="false">
      <c r="A99" s="0" t="n">
        <v>98</v>
      </c>
      <c r="B99" s="185" t="n">
        <v>46092.1516543167</v>
      </c>
      <c r="C99" s="185" t="n">
        <v>46092.1683209833</v>
      </c>
      <c r="D99" s="189" t="s">
        <v>902</v>
      </c>
      <c r="E99" s="189" t="s">
        <v>903</v>
      </c>
      <c r="F99" s="189" t="s">
        <v>903</v>
      </c>
      <c r="G99" s="189" t="s">
        <v>904</v>
      </c>
      <c r="H99" s="185" t="n">
        <v>46084</v>
      </c>
      <c r="I99" s="189" t="s">
        <v>132</v>
      </c>
      <c r="J99" s="189" t="s">
        <v>108</v>
      </c>
      <c r="K99" s="189" t="s">
        <v>143</v>
      </c>
      <c r="L99" s="189" t="s">
        <v>296</v>
      </c>
      <c r="M99" s="189" t="s">
        <v>864</v>
      </c>
      <c r="N99" s="189" t="s">
        <v>905</v>
      </c>
      <c r="O99" s="189" t="s">
        <v>713</v>
      </c>
      <c r="P99" s="189" t="s">
        <v>131</v>
      </c>
      <c r="Q99" s="189" t="s">
        <v>112</v>
      </c>
      <c r="R99" s="189" t="s">
        <v>21</v>
      </c>
      <c r="S99" s="189" t="s">
        <v>120</v>
      </c>
      <c r="T99" s="189" t="s">
        <v>121</v>
      </c>
      <c r="V99" s="189" t="s">
        <v>123</v>
      </c>
      <c r="W99" s="189" t="s">
        <v>168</v>
      </c>
      <c r="X99" s="189" t="s">
        <v>374</v>
      </c>
      <c r="Y99" s="189" t="s">
        <v>374</v>
      </c>
      <c r="Z99" s="189" t="s">
        <v>2199</v>
      </c>
      <c r="AG99" s="189" t="s">
        <v>2202</v>
      </c>
      <c r="AH99" s="189" t="s">
        <v>2201</v>
      </c>
    </row>
    <row r="100" customFormat="false" ht="15" hidden="false" customHeight="true" outlineLevel="0" collapsed="false">
      <c r="A100" s="0" t="n">
        <v>99</v>
      </c>
      <c r="B100" s="185" t="n">
        <v>46076.0081091689</v>
      </c>
      <c r="C100" s="185" t="n">
        <v>46076.0164887985</v>
      </c>
      <c r="D100" s="189" t="s">
        <v>909</v>
      </c>
      <c r="E100" s="189" t="s">
        <v>910</v>
      </c>
      <c r="F100" s="189" t="s">
        <v>910</v>
      </c>
      <c r="G100" s="189" t="s">
        <v>911</v>
      </c>
      <c r="H100" s="185" t="n">
        <v>46059</v>
      </c>
      <c r="I100" s="189" t="s">
        <v>113</v>
      </c>
      <c r="J100" s="189" t="s">
        <v>108</v>
      </c>
      <c r="K100" s="189" t="s">
        <v>245</v>
      </c>
      <c r="L100" s="189" t="s">
        <v>286</v>
      </c>
      <c r="M100" s="189" t="s">
        <v>864</v>
      </c>
      <c r="N100" s="189" t="s">
        <v>249</v>
      </c>
      <c r="O100" s="189" t="s">
        <v>172</v>
      </c>
      <c r="P100" s="189" t="s">
        <v>111</v>
      </c>
      <c r="Q100" s="189" t="s">
        <v>145</v>
      </c>
      <c r="R100" s="189" t="s">
        <v>24</v>
      </c>
      <c r="S100" s="189" t="s">
        <v>152</v>
      </c>
      <c r="T100" s="189" t="s">
        <v>180</v>
      </c>
      <c r="U100" s="189" t="s">
        <v>122</v>
      </c>
      <c r="V100" s="189" t="s">
        <v>123</v>
      </c>
      <c r="W100" s="189" t="s">
        <v>168</v>
      </c>
      <c r="X100" s="189" t="s">
        <v>214</v>
      </c>
      <c r="Y100" s="189" t="s">
        <v>214</v>
      </c>
      <c r="Z100" s="189" t="s">
        <v>2183</v>
      </c>
      <c r="AA100" s="189" t="s">
        <v>2139</v>
      </c>
      <c r="AB100" s="189" t="s">
        <v>2109</v>
      </c>
      <c r="AG100" s="189" t="s">
        <v>2152</v>
      </c>
      <c r="AH100" s="189" t="s">
        <v>2114</v>
      </c>
    </row>
    <row r="101" customFormat="false" ht="15" hidden="false" customHeight="true" outlineLevel="0" collapsed="false">
      <c r="A101" s="0" t="n">
        <v>100</v>
      </c>
      <c r="B101" s="185" t="n">
        <v>46109.5199522482</v>
      </c>
      <c r="C101" s="185" t="n">
        <v>46109.5268503964</v>
      </c>
      <c r="D101" s="189" t="s">
        <v>915</v>
      </c>
      <c r="E101" s="189" t="s">
        <v>916</v>
      </c>
      <c r="F101" s="189" t="s">
        <v>917</v>
      </c>
      <c r="G101" s="189" t="s">
        <v>918</v>
      </c>
      <c r="H101" s="185" t="n">
        <v>46102</v>
      </c>
      <c r="I101" s="189" t="s">
        <v>113</v>
      </c>
      <c r="J101" s="189" t="s">
        <v>295</v>
      </c>
      <c r="K101" s="189" t="s">
        <v>173</v>
      </c>
      <c r="L101" s="189" t="s">
        <v>184</v>
      </c>
      <c r="M101" s="189" t="s">
        <v>174</v>
      </c>
      <c r="N101" s="189" t="s">
        <v>523</v>
      </c>
      <c r="O101" s="189" t="s">
        <v>107</v>
      </c>
      <c r="P101" s="189" t="s">
        <v>111</v>
      </c>
      <c r="Q101" s="189" t="s">
        <v>198</v>
      </c>
      <c r="R101" s="189" t="s">
        <v>22</v>
      </c>
      <c r="S101" s="189" t="s">
        <v>152</v>
      </c>
      <c r="T101" s="189" t="s">
        <v>121</v>
      </c>
      <c r="V101" s="189" t="s">
        <v>192</v>
      </c>
      <c r="W101" s="189" t="s">
        <v>124</v>
      </c>
      <c r="X101" s="189" t="s">
        <v>271</v>
      </c>
      <c r="Y101" s="189" t="s">
        <v>271</v>
      </c>
      <c r="Z101" s="189" t="s">
        <v>2180</v>
      </c>
      <c r="AA101" s="189" t="s">
        <v>2159</v>
      </c>
      <c r="AB101" s="189" t="s">
        <v>2158</v>
      </c>
      <c r="AG101" s="189" t="s">
        <v>2163</v>
      </c>
    </row>
    <row r="102" customFormat="false" ht="15" hidden="false" customHeight="true" outlineLevel="0" collapsed="false">
      <c r="A102" s="0" t="n">
        <v>101</v>
      </c>
      <c r="B102" s="185" t="n">
        <v>46104.8855717369</v>
      </c>
      <c r="C102" s="185" t="n">
        <v>46104.9060694221</v>
      </c>
      <c r="D102" s="189" t="s">
        <v>921</v>
      </c>
      <c r="E102" s="189" t="s">
        <v>922</v>
      </c>
      <c r="F102" s="189" t="s">
        <v>922</v>
      </c>
      <c r="G102" s="189" t="s">
        <v>923</v>
      </c>
      <c r="H102" s="185" t="n">
        <v>46099</v>
      </c>
      <c r="I102" s="189" t="s">
        <v>325</v>
      </c>
      <c r="J102" s="189" t="s">
        <v>295</v>
      </c>
      <c r="K102" s="189" t="s">
        <v>173</v>
      </c>
      <c r="L102" s="189" t="s">
        <v>431</v>
      </c>
      <c r="M102" s="189" t="s">
        <v>543</v>
      </c>
      <c r="N102" s="189" t="s">
        <v>161</v>
      </c>
      <c r="O102" s="189" t="s">
        <v>713</v>
      </c>
      <c r="P102" s="189" t="s">
        <v>111</v>
      </c>
      <c r="Q102" s="189" t="s">
        <v>145</v>
      </c>
      <c r="R102" s="189" t="s">
        <v>24</v>
      </c>
      <c r="S102" s="189" t="s">
        <v>120</v>
      </c>
      <c r="T102" s="189" t="s">
        <v>121</v>
      </c>
      <c r="U102" s="189" t="s">
        <v>927</v>
      </c>
      <c r="V102" s="189" t="s">
        <v>192</v>
      </c>
      <c r="W102" s="189" t="s">
        <v>124</v>
      </c>
      <c r="X102" s="189" t="s">
        <v>260</v>
      </c>
      <c r="Y102" s="189" t="s">
        <v>260</v>
      </c>
      <c r="Z102" s="189" t="s">
        <v>606</v>
      </c>
      <c r="AA102" s="189" t="s">
        <v>2307</v>
      </c>
      <c r="AG102" s="189" t="s">
        <v>2157</v>
      </c>
    </row>
    <row r="103" customFormat="false" ht="30" hidden="false" customHeight="true" outlineLevel="0" collapsed="false">
      <c r="A103" s="0" t="n">
        <v>102</v>
      </c>
      <c r="B103" s="185" t="n">
        <v>46034.8744170646</v>
      </c>
      <c r="C103" s="185" t="n">
        <v>46034.8842550276</v>
      </c>
      <c r="D103" s="189" t="s">
        <v>929</v>
      </c>
      <c r="E103" s="189" t="s">
        <v>930</v>
      </c>
      <c r="F103" s="189" t="s">
        <v>930</v>
      </c>
      <c r="G103" s="189" t="s">
        <v>931</v>
      </c>
      <c r="H103" s="185" t="n">
        <v>46029</v>
      </c>
      <c r="I103" s="189" t="s">
        <v>336</v>
      </c>
      <c r="J103" s="189" t="s">
        <v>295</v>
      </c>
      <c r="K103" s="189" t="s">
        <v>932</v>
      </c>
      <c r="L103" s="189" t="s">
        <v>268</v>
      </c>
      <c r="M103" s="189" t="s">
        <v>199</v>
      </c>
      <c r="N103" s="189" t="s">
        <v>552</v>
      </c>
      <c r="O103" s="189" t="s">
        <v>172</v>
      </c>
      <c r="P103" s="189" t="s">
        <v>111</v>
      </c>
      <c r="Q103" s="189" t="s">
        <v>247</v>
      </c>
      <c r="R103" s="189" t="s">
        <v>25</v>
      </c>
      <c r="S103" s="189" t="s">
        <v>152</v>
      </c>
      <c r="T103" s="189" t="s">
        <v>352</v>
      </c>
      <c r="U103" s="132" t="s">
        <v>122</v>
      </c>
      <c r="V103" s="189" t="s">
        <v>123</v>
      </c>
      <c r="W103" s="189" t="s">
        <v>168</v>
      </c>
      <c r="X103" s="189" t="s">
        <v>327</v>
      </c>
      <c r="Y103" s="189" t="s">
        <v>327</v>
      </c>
      <c r="Z103" s="189" t="s">
        <v>2109</v>
      </c>
      <c r="AG103" s="189" t="s">
        <v>2127</v>
      </c>
    </row>
    <row r="104" customFormat="false" ht="15" hidden="false" customHeight="true" outlineLevel="0" collapsed="false">
      <c r="A104" s="0" t="n">
        <v>103</v>
      </c>
      <c r="B104" s="185" t="n">
        <v>46170.2348237908</v>
      </c>
      <c r="C104" s="185" t="n">
        <v>46170.2441640685</v>
      </c>
      <c r="D104" s="189" t="s">
        <v>934</v>
      </c>
      <c r="E104" s="189" t="s">
        <v>935</v>
      </c>
      <c r="F104" s="189" t="s">
        <v>936</v>
      </c>
      <c r="G104" s="189" t="s">
        <v>937</v>
      </c>
      <c r="H104" s="185" t="n">
        <v>46164</v>
      </c>
      <c r="I104" s="189" t="s">
        <v>113</v>
      </c>
      <c r="J104" s="189" t="s">
        <v>108</v>
      </c>
      <c r="K104" s="189" t="s">
        <v>938</v>
      </c>
      <c r="L104" s="189" t="s">
        <v>114</v>
      </c>
      <c r="M104" s="189" t="s">
        <v>279</v>
      </c>
      <c r="N104" s="189" t="s">
        <v>939</v>
      </c>
      <c r="O104" s="189" t="s">
        <v>107</v>
      </c>
      <c r="P104" s="189" t="s">
        <v>111</v>
      </c>
      <c r="Q104" s="189" t="s">
        <v>112</v>
      </c>
      <c r="R104" s="189" t="s">
        <v>24</v>
      </c>
      <c r="S104" s="189" t="s">
        <v>152</v>
      </c>
      <c r="T104" s="189" t="s">
        <v>352</v>
      </c>
      <c r="V104" s="189" t="s">
        <v>123</v>
      </c>
      <c r="W104" s="189" t="s">
        <v>124</v>
      </c>
      <c r="X104" s="189" t="s">
        <v>214</v>
      </c>
      <c r="Y104" s="189" t="s">
        <v>214</v>
      </c>
      <c r="Z104" s="189" t="s">
        <v>2183</v>
      </c>
      <c r="AA104" s="189" t="s">
        <v>2139</v>
      </c>
      <c r="AG104" s="189" t="s">
        <v>2114</v>
      </c>
    </row>
    <row r="105" customFormat="false" ht="15" hidden="false" customHeight="true" outlineLevel="0" collapsed="false">
      <c r="A105" s="0" t="n">
        <v>104</v>
      </c>
      <c r="B105" s="185" t="n">
        <v>46095.1486282047</v>
      </c>
      <c r="C105" s="185" t="n">
        <v>46095.1517879269</v>
      </c>
      <c r="D105" s="189" t="s">
        <v>941</v>
      </c>
      <c r="E105" s="189" t="s">
        <v>942</v>
      </c>
      <c r="F105" s="189" t="s">
        <v>942</v>
      </c>
      <c r="G105" s="189" t="s">
        <v>943</v>
      </c>
      <c r="H105" s="185" t="n">
        <v>46093</v>
      </c>
      <c r="I105" s="189" t="s">
        <v>305</v>
      </c>
      <c r="J105" s="189" t="s">
        <v>128</v>
      </c>
      <c r="K105" s="189" t="s">
        <v>173</v>
      </c>
      <c r="L105" s="189" t="s">
        <v>159</v>
      </c>
      <c r="M105" s="189" t="s">
        <v>944</v>
      </c>
      <c r="N105" s="189" t="s">
        <v>945</v>
      </c>
      <c r="O105" s="196" t="s">
        <v>172</v>
      </c>
      <c r="P105" s="189" t="s">
        <v>211</v>
      </c>
      <c r="Q105" s="189" t="s">
        <v>112</v>
      </c>
      <c r="R105" s="189" t="s">
        <v>21</v>
      </c>
      <c r="S105" s="189" t="s">
        <v>152</v>
      </c>
      <c r="T105" s="189" t="s">
        <v>180</v>
      </c>
      <c r="U105" s="189" t="s">
        <v>948</v>
      </c>
      <c r="V105" s="189" t="s">
        <v>123</v>
      </c>
      <c r="W105" s="189" t="s">
        <v>124</v>
      </c>
      <c r="X105" s="189" t="s">
        <v>348</v>
      </c>
      <c r="Y105" s="189" t="s">
        <v>348</v>
      </c>
      <c r="Z105" s="189" t="s">
        <v>2208</v>
      </c>
      <c r="AG105" s="189" t="s">
        <v>2308</v>
      </c>
      <c r="AH105" s="189" t="s">
        <v>2192</v>
      </c>
    </row>
    <row r="106" customFormat="false" ht="15" hidden="false" customHeight="true" outlineLevel="0" collapsed="false">
      <c r="A106" s="0" t="n">
        <v>105</v>
      </c>
      <c r="B106" s="185" t="n">
        <v>46201.6330004934</v>
      </c>
      <c r="C106" s="185" t="n">
        <v>46201.6457666971</v>
      </c>
      <c r="D106" s="189" t="s">
        <v>949</v>
      </c>
      <c r="E106" s="189" t="s">
        <v>950</v>
      </c>
      <c r="F106" s="189" t="s">
        <v>951</v>
      </c>
      <c r="G106" s="189" t="s">
        <v>952</v>
      </c>
      <c r="H106" s="185" t="n">
        <v>46195</v>
      </c>
      <c r="I106" s="189" t="s">
        <v>113</v>
      </c>
      <c r="J106" s="189" t="s">
        <v>108</v>
      </c>
      <c r="K106" s="189" t="s">
        <v>953</v>
      </c>
      <c r="L106" s="189" t="s">
        <v>114</v>
      </c>
      <c r="M106" s="189" t="s">
        <v>234</v>
      </c>
      <c r="N106" s="189" t="s">
        <v>213</v>
      </c>
      <c r="O106" s="196" t="s">
        <v>107</v>
      </c>
      <c r="P106" s="189" t="s">
        <v>111</v>
      </c>
      <c r="Q106" s="189" t="s">
        <v>112</v>
      </c>
      <c r="R106" s="189" t="s">
        <v>21</v>
      </c>
      <c r="S106" s="189" t="s">
        <v>152</v>
      </c>
      <c r="T106" s="189" t="s">
        <v>121</v>
      </c>
      <c r="U106" s="189" t="s">
        <v>956</v>
      </c>
      <c r="V106" s="189" t="s">
        <v>123</v>
      </c>
      <c r="W106" s="189" t="s">
        <v>168</v>
      </c>
      <c r="X106" s="189" t="s">
        <v>457</v>
      </c>
      <c r="Y106" s="189" t="s">
        <v>457</v>
      </c>
      <c r="Z106" s="189" t="s">
        <v>2151</v>
      </c>
      <c r="AA106" s="189" t="s">
        <v>2183</v>
      </c>
      <c r="AG106" s="189" t="s">
        <v>122</v>
      </c>
      <c r="AH106" s="189" t="s">
        <v>2152</v>
      </c>
    </row>
    <row r="107" customFormat="false" ht="15" hidden="false" customHeight="true" outlineLevel="0" collapsed="false">
      <c r="A107" s="0" t="n">
        <v>106</v>
      </c>
      <c r="B107" s="185" t="n">
        <v>46042.9762151932</v>
      </c>
      <c r="C107" s="185" t="n">
        <v>46042.9904281562</v>
      </c>
      <c r="D107" s="189" t="s">
        <v>957</v>
      </c>
      <c r="E107" s="189" t="s">
        <v>958</v>
      </c>
      <c r="F107" s="189" t="s">
        <v>958</v>
      </c>
      <c r="G107" s="189" t="s">
        <v>959</v>
      </c>
      <c r="H107" s="185" t="n">
        <v>46024</v>
      </c>
      <c r="I107" s="189" t="s">
        <v>113</v>
      </c>
      <c r="J107" s="189" t="s">
        <v>108</v>
      </c>
      <c r="K107" s="189" t="s">
        <v>245</v>
      </c>
      <c r="L107" s="189" t="s">
        <v>389</v>
      </c>
      <c r="M107" s="189" t="s">
        <v>199</v>
      </c>
      <c r="N107" s="189" t="s">
        <v>653</v>
      </c>
      <c r="O107" s="189" t="s">
        <v>107</v>
      </c>
      <c r="P107" s="189" t="s">
        <v>111</v>
      </c>
      <c r="Q107" s="189" t="s">
        <v>112</v>
      </c>
      <c r="R107" s="189" t="s">
        <v>21</v>
      </c>
      <c r="S107" s="189" t="s">
        <v>152</v>
      </c>
      <c r="T107" s="189" t="s">
        <v>121</v>
      </c>
      <c r="U107" s="189" t="s">
        <v>961</v>
      </c>
      <c r="V107" s="189" t="s">
        <v>123</v>
      </c>
      <c r="W107" s="189" t="s">
        <v>168</v>
      </c>
      <c r="X107" s="189" t="s">
        <v>457</v>
      </c>
      <c r="Y107" s="189" t="s">
        <v>457</v>
      </c>
      <c r="Z107" s="189" t="s">
        <v>2109</v>
      </c>
      <c r="AA107" s="189" t="s">
        <v>2151</v>
      </c>
      <c r="AB107" s="189" t="s">
        <v>2125</v>
      </c>
      <c r="AG107" s="189" t="s">
        <v>2114</v>
      </c>
    </row>
    <row r="108" customFormat="false" ht="15" hidden="false" customHeight="true" outlineLevel="0" collapsed="false">
      <c r="A108" s="0" t="n">
        <v>107</v>
      </c>
      <c r="B108" s="185" t="n">
        <v>46116.7899846909</v>
      </c>
      <c r="C108" s="185" t="n">
        <v>46116.8086073761</v>
      </c>
      <c r="D108" s="189" t="s">
        <v>962</v>
      </c>
      <c r="E108" s="189" t="s">
        <v>963</v>
      </c>
      <c r="F108" s="189" t="s">
        <v>964</v>
      </c>
      <c r="G108" s="189" t="s">
        <v>965</v>
      </c>
      <c r="H108" s="185" t="n">
        <v>46104</v>
      </c>
      <c r="I108" s="189" t="s">
        <v>113</v>
      </c>
      <c r="J108" s="189" t="s">
        <v>108</v>
      </c>
      <c r="K108" s="189" t="s">
        <v>196</v>
      </c>
      <c r="L108" s="189" t="s">
        <v>246</v>
      </c>
      <c r="M108" s="189" t="s">
        <v>279</v>
      </c>
      <c r="N108" s="189" t="s">
        <v>810</v>
      </c>
      <c r="O108" s="196" t="s">
        <v>244</v>
      </c>
      <c r="P108" s="189" t="s">
        <v>111</v>
      </c>
      <c r="Q108" s="189" t="s">
        <v>112</v>
      </c>
      <c r="R108" s="189" t="s">
        <v>22</v>
      </c>
      <c r="S108" s="189" t="s">
        <v>152</v>
      </c>
      <c r="T108" s="189" t="s">
        <v>121</v>
      </c>
      <c r="U108" s="132" t="s">
        <v>969</v>
      </c>
      <c r="V108" s="189" t="s">
        <v>123</v>
      </c>
      <c r="W108" s="189" t="s">
        <v>124</v>
      </c>
      <c r="X108" s="189" t="s">
        <v>298</v>
      </c>
      <c r="Y108" s="189" t="s">
        <v>298</v>
      </c>
      <c r="Z108" s="189" t="s">
        <v>2280</v>
      </c>
      <c r="AA108" s="189" t="s">
        <v>2168</v>
      </c>
      <c r="AB108" s="189" t="s">
        <v>2238</v>
      </c>
      <c r="AG108" s="189" t="s">
        <v>2254</v>
      </c>
      <c r="AH108" s="189" t="s">
        <v>2241</v>
      </c>
    </row>
    <row r="109" customFormat="false" ht="15" hidden="false" customHeight="true" outlineLevel="0" collapsed="false">
      <c r="A109" s="0" t="n">
        <v>108</v>
      </c>
      <c r="B109" s="185" t="n">
        <v>46119.6386676345</v>
      </c>
      <c r="C109" s="185" t="n">
        <v>46119.6494315234</v>
      </c>
      <c r="D109" s="189" t="s">
        <v>970</v>
      </c>
      <c r="E109" s="189" t="s">
        <v>971</v>
      </c>
      <c r="F109" s="189" t="s">
        <v>971</v>
      </c>
      <c r="G109" s="189" t="s">
        <v>972</v>
      </c>
      <c r="H109" s="185" t="n">
        <v>46118</v>
      </c>
      <c r="I109" s="189" t="s">
        <v>113</v>
      </c>
      <c r="J109" s="189" t="s">
        <v>128</v>
      </c>
      <c r="K109" s="189" t="s">
        <v>173</v>
      </c>
      <c r="L109" s="189" t="s">
        <v>144</v>
      </c>
      <c r="M109" s="189" t="s">
        <v>973</v>
      </c>
      <c r="N109" s="189" t="s">
        <v>306</v>
      </c>
      <c r="O109" s="196" t="s">
        <v>278</v>
      </c>
      <c r="P109" s="189" t="s">
        <v>131</v>
      </c>
      <c r="Q109" s="189" t="s">
        <v>112</v>
      </c>
      <c r="R109" s="189" t="s">
        <v>22</v>
      </c>
      <c r="S109" s="189" t="s">
        <v>152</v>
      </c>
      <c r="T109" s="189" t="s">
        <v>121</v>
      </c>
      <c r="U109" s="189" t="s">
        <v>725</v>
      </c>
      <c r="V109" s="189" t="s">
        <v>192</v>
      </c>
      <c r="W109" s="189" t="s">
        <v>168</v>
      </c>
      <c r="X109" s="189" t="s">
        <v>176</v>
      </c>
      <c r="Y109" s="189" t="s">
        <v>176</v>
      </c>
      <c r="Z109" s="189" t="s">
        <v>2309</v>
      </c>
      <c r="AG109" s="189" t="s">
        <v>2285</v>
      </c>
      <c r="AH109" s="189" t="s">
        <v>2132</v>
      </c>
    </row>
    <row r="110" customFormat="false" ht="15" hidden="false" customHeight="true" outlineLevel="0" collapsed="false">
      <c r="A110" s="0" t="n">
        <v>109</v>
      </c>
      <c r="B110" s="185" t="n">
        <v>46152.4625637889</v>
      </c>
      <c r="C110" s="185" t="n">
        <v>46152.4677142518</v>
      </c>
      <c r="D110" s="189" t="s">
        <v>977</v>
      </c>
      <c r="E110" s="189" t="s">
        <v>978</v>
      </c>
      <c r="F110" s="189" t="s">
        <v>978</v>
      </c>
      <c r="G110" s="189" t="s">
        <v>979</v>
      </c>
      <c r="H110" s="185" t="n">
        <v>46136</v>
      </c>
      <c r="I110" s="189" t="s">
        <v>132</v>
      </c>
      <c r="J110" s="189" t="s">
        <v>295</v>
      </c>
      <c r="K110" s="189" t="s">
        <v>173</v>
      </c>
      <c r="L110" s="189" t="s">
        <v>268</v>
      </c>
      <c r="M110" s="189" t="s">
        <v>286</v>
      </c>
      <c r="N110" s="189" t="s">
        <v>980</v>
      </c>
      <c r="O110" s="189" t="s">
        <v>172</v>
      </c>
      <c r="P110" s="189" t="s">
        <v>111</v>
      </c>
      <c r="Q110" s="189" t="s">
        <v>145</v>
      </c>
      <c r="R110" s="189" t="s">
        <v>22</v>
      </c>
      <c r="S110" s="189" t="s">
        <v>152</v>
      </c>
      <c r="T110" s="189" t="s">
        <v>121</v>
      </c>
      <c r="V110" s="189" t="s">
        <v>167</v>
      </c>
      <c r="W110" s="189" t="s">
        <v>124</v>
      </c>
      <c r="X110" s="189" t="s">
        <v>271</v>
      </c>
      <c r="Y110" s="189" t="s">
        <v>271</v>
      </c>
      <c r="Z110" s="189" t="s">
        <v>2274</v>
      </c>
      <c r="AA110" s="189" t="s">
        <v>2180</v>
      </c>
      <c r="AB110" s="189" t="s">
        <v>2158</v>
      </c>
      <c r="AG110" s="189" t="s">
        <v>122</v>
      </c>
    </row>
    <row r="111" customFormat="false" ht="15" hidden="false" customHeight="true" outlineLevel="0" collapsed="false">
      <c r="A111" s="0" t="n">
        <v>110</v>
      </c>
      <c r="B111" s="185" t="n">
        <v>46070.1855756337</v>
      </c>
      <c r="C111" s="185" t="n">
        <v>46070.2047075781</v>
      </c>
      <c r="D111" s="189" t="s">
        <v>983</v>
      </c>
      <c r="E111" s="189" t="s">
        <v>984</v>
      </c>
      <c r="F111" s="189" t="s">
        <v>984</v>
      </c>
      <c r="G111" s="189" t="s">
        <v>985</v>
      </c>
      <c r="H111" s="185" t="n">
        <v>46061</v>
      </c>
      <c r="I111" s="189" t="s">
        <v>113</v>
      </c>
      <c r="J111" s="189" t="s">
        <v>108</v>
      </c>
      <c r="K111" s="189" t="s">
        <v>143</v>
      </c>
      <c r="L111" s="189" t="s">
        <v>184</v>
      </c>
      <c r="M111" s="189" t="s">
        <v>279</v>
      </c>
      <c r="N111" s="189" t="s">
        <v>899</v>
      </c>
      <c r="O111" s="189" t="s">
        <v>107</v>
      </c>
      <c r="P111" s="189" t="s">
        <v>111</v>
      </c>
      <c r="Q111" s="189" t="s">
        <v>112</v>
      </c>
      <c r="R111" s="189" t="s">
        <v>21</v>
      </c>
      <c r="S111" s="189" t="s">
        <v>152</v>
      </c>
      <c r="T111" s="189" t="s">
        <v>352</v>
      </c>
      <c r="U111" s="189" t="s">
        <v>122</v>
      </c>
      <c r="V111" s="189" t="s">
        <v>192</v>
      </c>
      <c r="W111" s="189" t="s">
        <v>124</v>
      </c>
      <c r="X111" s="189" t="s">
        <v>307</v>
      </c>
      <c r="Y111" s="189" t="s">
        <v>307</v>
      </c>
      <c r="Z111" s="189" t="s">
        <v>2175</v>
      </c>
      <c r="AA111" s="189" t="s">
        <v>2173</v>
      </c>
      <c r="AB111" s="189" t="s">
        <v>2174</v>
      </c>
      <c r="AG111" s="189" t="s">
        <v>2177</v>
      </c>
    </row>
    <row r="112" customFormat="false" ht="15" hidden="false" customHeight="true" outlineLevel="0" collapsed="false">
      <c r="A112" s="0" t="n">
        <v>111</v>
      </c>
      <c r="B112" s="185" t="n">
        <v>46056.8361162229</v>
      </c>
      <c r="C112" s="185" t="n">
        <v>46056.8485583526</v>
      </c>
      <c r="D112" s="189" t="s">
        <v>987</v>
      </c>
      <c r="E112" s="189" t="s">
        <v>988</v>
      </c>
      <c r="F112" s="189" t="s">
        <v>988</v>
      </c>
      <c r="G112" s="189" t="s">
        <v>989</v>
      </c>
      <c r="H112" s="185" t="n">
        <v>46037</v>
      </c>
      <c r="I112" s="189" t="s">
        <v>113</v>
      </c>
      <c r="J112" s="189" t="s">
        <v>108</v>
      </c>
      <c r="K112" s="189" t="s">
        <v>257</v>
      </c>
      <c r="L112" s="189" t="s">
        <v>130</v>
      </c>
      <c r="M112" s="189" t="s">
        <v>258</v>
      </c>
      <c r="N112" s="189" t="s">
        <v>990</v>
      </c>
      <c r="O112" s="189" t="s">
        <v>172</v>
      </c>
      <c r="P112" s="189" t="s">
        <v>111</v>
      </c>
      <c r="Q112" s="189" t="s">
        <v>112</v>
      </c>
      <c r="R112" s="189" t="s">
        <v>22</v>
      </c>
      <c r="S112" s="189" t="s">
        <v>120</v>
      </c>
      <c r="T112" s="189" t="s">
        <v>352</v>
      </c>
      <c r="U112" s="189" t="s">
        <v>994</v>
      </c>
      <c r="V112" s="189" t="s">
        <v>123</v>
      </c>
      <c r="W112" s="189" t="s">
        <v>124</v>
      </c>
      <c r="X112" s="189" t="s">
        <v>715</v>
      </c>
      <c r="Y112" s="189" t="s">
        <v>715</v>
      </c>
      <c r="Z112" s="189" t="s">
        <v>2295</v>
      </c>
      <c r="AA112" s="189" t="s">
        <v>2300</v>
      </c>
      <c r="AG112" s="189" t="s">
        <v>2298</v>
      </c>
    </row>
    <row r="113" customFormat="false" ht="15" hidden="false" customHeight="true" outlineLevel="0" collapsed="false">
      <c r="A113" s="0" t="n">
        <v>112</v>
      </c>
      <c r="B113" s="185" t="n">
        <v>46161.4646104407</v>
      </c>
      <c r="C113" s="185" t="n">
        <v>46161.4759183111</v>
      </c>
      <c r="D113" s="189" t="s">
        <v>995</v>
      </c>
      <c r="E113" s="189" t="s">
        <v>996</v>
      </c>
      <c r="F113" s="189" t="s">
        <v>996</v>
      </c>
      <c r="G113" s="189" t="s">
        <v>997</v>
      </c>
      <c r="H113" s="185" t="n">
        <v>46160</v>
      </c>
      <c r="I113" s="189" t="s">
        <v>113</v>
      </c>
      <c r="J113" s="189" t="s">
        <v>128</v>
      </c>
      <c r="K113" s="189" t="s">
        <v>257</v>
      </c>
      <c r="L113" s="189" t="s">
        <v>184</v>
      </c>
      <c r="M113" s="189" t="s">
        <v>234</v>
      </c>
      <c r="N113" s="189" t="s">
        <v>998</v>
      </c>
      <c r="O113" s="189" t="s">
        <v>244</v>
      </c>
      <c r="P113" s="189" t="s">
        <v>111</v>
      </c>
      <c r="Q113" s="189" t="s">
        <v>112</v>
      </c>
      <c r="R113" s="189" t="s">
        <v>22</v>
      </c>
      <c r="S113" s="189" t="s">
        <v>152</v>
      </c>
      <c r="T113" s="189" t="s">
        <v>496</v>
      </c>
      <c r="U113" s="189" t="s">
        <v>1002</v>
      </c>
      <c r="V113" s="189" t="s">
        <v>167</v>
      </c>
      <c r="W113" s="189" t="s">
        <v>168</v>
      </c>
      <c r="X113" s="189" t="s">
        <v>298</v>
      </c>
      <c r="Y113" s="189" t="s">
        <v>298</v>
      </c>
      <c r="Z113" s="189" t="s">
        <v>2168</v>
      </c>
      <c r="AA113" s="189" t="s">
        <v>2169</v>
      </c>
      <c r="AB113" s="189" t="s">
        <v>2167</v>
      </c>
      <c r="AG113" s="189" t="s">
        <v>2313</v>
      </c>
    </row>
    <row r="114" customFormat="false" ht="15" hidden="false" customHeight="true" outlineLevel="0" collapsed="false">
      <c r="A114" s="0" t="n">
        <v>113</v>
      </c>
      <c r="B114" s="185" t="n">
        <v>46175.7608389536</v>
      </c>
      <c r="C114" s="185" t="n">
        <v>46175.769496361</v>
      </c>
      <c r="D114" s="189" t="s">
        <v>1003</v>
      </c>
      <c r="E114" s="189" t="s">
        <v>1004</v>
      </c>
      <c r="F114" s="189" t="s">
        <v>1004</v>
      </c>
      <c r="G114" s="189" t="s">
        <v>1005</v>
      </c>
      <c r="H114" s="185" t="n">
        <v>46165</v>
      </c>
      <c r="I114" s="189" t="s">
        <v>113</v>
      </c>
      <c r="J114" s="189" t="s">
        <v>108</v>
      </c>
      <c r="K114" s="189" t="s">
        <v>462</v>
      </c>
      <c r="L114" s="189" t="s">
        <v>389</v>
      </c>
      <c r="M114" s="189" t="s">
        <v>515</v>
      </c>
      <c r="N114" s="189" t="s">
        <v>1006</v>
      </c>
      <c r="O114" s="196" t="s">
        <v>172</v>
      </c>
      <c r="P114" s="189" t="s">
        <v>111</v>
      </c>
      <c r="Q114" s="189" t="s">
        <v>112</v>
      </c>
      <c r="R114" s="189" t="s">
        <v>22</v>
      </c>
      <c r="S114" s="189" t="s">
        <v>152</v>
      </c>
      <c r="T114" s="189" t="s">
        <v>121</v>
      </c>
      <c r="U114" s="189" t="s">
        <v>122</v>
      </c>
      <c r="V114" s="189" t="s">
        <v>167</v>
      </c>
      <c r="W114" s="189" t="s">
        <v>124</v>
      </c>
      <c r="X114" s="189" t="s">
        <v>176</v>
      </c>
      <c r="Y114" s="189" t="s">
        <v>176</v>
      </c>
      <c r="Z114" s="189" t="s">
        <v>2314</v>
      </c>
      <c r="AA114" s="189" t="s">
        <v>2248</v>
      </c>
      <c r="AB114" s="189" t="s">
        <v>2283</v>
      </c>
      <c r="AG114" s="189" t="s">
        <v>2128</v>
      </c>
      <c r="AH114" s="189" t="s">
        <v>2315</v>
      </c>
    </row>
    <row r="115" customFormat="false" ht="15" hidden="false" customHeight="true" outlineLevel="0" collapsed="false">
      <c r="A115" s="0" t="n">
        <v>114</v>
      </c>
      <c r="B115" s="185" t="n">
        <v>46139.4198012665</v>
      </c>
      <c r="C115" s="185" t="n">
        <v>46139.4327410813</v>
      </c>
      <c r="D115" s="189" t="s">
        <v>1010</v>
      </c>
      <c r="E115" s="189" t="s">
        <v>1011</v>
      </c>
      <c r="F115" s="189" t="s">
        <v>1011</v>
      </c>
      <c r="G115" s="189" t="s">
        <v>1012</v>
      </c>
      <c r="H115" s="185" t="n">
        <v>46134</v>
      </c>
      <c r="I115" s="189" t="s">
        <v>325</v>
      </c>
      <c r="J115" s="189" t="s">
        <v>108</v>
      </c>
      <c r="K115" s="189" t="s">
        <v>143</v>
      </c>
      <c r="L115" s="189" t="s">
        <v>268</v>
      </c>
      <c r="M115" s="189" t="s">
        <v>326</v>
      </c>
      <c r="N115" s="189" t="s">
        <v>827</v>
      </c>
      <c r="O115" s="196" t="s">
        <v>172</v>
      </c>
      <c r="P115" s="189" t="s">
        <v>111</v>
      </c>
      <c r="Q115" s="189" t="s">
        <v>112</v>
      </c>
      <c r="R115" s="189" t="s">
        <v>21</v>
      </c>
      <c r="S115" s="189" t="s">
        <v>120</v>
      </c>
      <c r="T115" s="189" t="s">
        <v>165</v>
      </c>
      <c r="U115" s="189" t="s">
        <v>1015</v>
      </c>
      <c r="V115" s="189" t="s">
        <v>123</v>
      </c>
      <c r="W115" s="189" t="s">
        <v>124</v>
      </c>
      <c r="X115" s="189" t="s">
        <v>374</v>
      </c>
      <c r="Y115" s="189" t="s">
        <v>374</v>
      </c>
      <c r="Z115" s="189" t="s">
        <v>2198</v>
      </c>
      <c r="AA115" s="189" t="s">
        <v>2197</v>
      </c>
      <c r="AB115" s="189" t="s">
        <v>2199</v>
      </c>
      <c r="AG115" s="189" t="s">
        <v>2202</v>
      </c>
    </row>
    <row r="116" customFormat="false" ht="15" hidden="false" customHeight="true" outlineLevel="0" collapsed="false">
      <c r="A116" s="0" t="n">
        <v>115</v>
      </c>
      <c r="B116" s="185" t="n">
        <v>46205.6354775347</v>
      </c>
      <c r="C116" s="185" t="n">
        <v>46205.6450261458</v>
      </c>
      <c r="D116" s="189" t="s">
        <v>1016</v>
      </c>
      <c r="E116" s="189" t="s">
        <v>1017</v>
      </c>
      <c r="F116" s="189" t="s">
        <v>1018</v>
      </c>
      <c r="G116" s="189" t="s">
        <v>1019</v>
      </c>
      <c r="H116" s="185" t="n">
        <v>46193</v>
      </c>
      <c r="I116" s="189" t="s">
        <v>325</v>
      </c>
      <c r="J116" s="189" t="s">
        <v>108</v>
      </c>
      <c r="K116" s="189" t="s">
        <v>1020</v>
      </c>
      <c r="L116" s="189" t="s">
        <v>197</v>
      </c>
      <c r="M116" s="189" t="s">
        <v>269</v>
      </c>
      <c r="N116" s="189" t="s">
        <v>161</v>
      </c>
      <c r="O116" s="196" t="s">
        <v>172</v>
      </c>
      <c r="P116" s="189" t="s">
        <v>111</v>
      </c>
      <c r="Q116" s="189" t="s">
        <v>112</v>
      </c>
      <c r="R116" s="189" t="s">
        <v>22</v>
      </c>
      <c r="S116" s="189" t="s">
        <v>152</v>
      </c>
      <c r="T116" s="189" t="s">
        <v>1024</v>
      </c>
      <c r="V116" s="189" t="s">
        <v>192</v>
      </c>
      <c r="W116" s="189" t="s">
        <v>124</v>
      </c>
      <c r="X116" s="189" t="s">
        <v>298</v>
      </c>
      <c r="Y116" s="189" t="s">
        <v>298</v>
      </c>
      <c r="Z116" s="189" t="s">
        <v>2167</v>
      </c>
      <c r="AA116" s="189" t="s">
        <v>2251</v>
      </c>
      <c r="AG116" s="189" t="s">
        <v>2317</v>
      </c>
      <c r="AH116" s="189" t="s">
        <v>2292</v>
      </c>
    </row>
    <row r="117" customFormat="false" ht="15" hidden="false" customHeight="true" outlineLevel="0" collapsed="false">
      <c r="A117" s="0" t="n">
        <v>116</v>
      </c>
      <c r="B117" s="185" t="n">
        <v>46131.034926063</v>
      </c>
      <c r="C117" s="185" t="n">
        <v>46131.051488563</v>
      </c>
      <c r="D117" s="189" t="s">
        <v>1025</v>
      </c>
      <c r="E117" s="189" t="s">
        <v>1026</v>
      </c>
      <c r="F117" s="189" t="s">
        <v>1026</v>
      </c>
      <c r="G117" s="189" t="s">
        <v>1027</v>
      </c>
      <c r="H117" s="185" t="n">
        <v>46112</v>
      </c>
      <c r="I117" s="189" t="s">
        <v>113</v>
      </c>
      <c r="J117" s="189" t="s">
        <v>128</v>
      </c>
      <c r="K117" s="189" t="s">
        <v>173</v>
      </c>
      <c r="L117" s="189" t="s">
        <v>197</v>
      </c>
      <c r="M117" s="189" t="s">
        <v>757</v>
      </c>
      <c r="N117" s="189" t="s">
        <v>1028</v>
      </c>
      <c r="O117" s="189" t="s">
        <v>107</v>
      </c>
      <c r="P117" s="189" t="s">
        <v>111</v>
      </c>
      <c r="Q117" s="189" t="s">
        <v>112</v>
      </c>
      <c r="R117" s="189" t="s">
        <v>22</v>
      </c>
      <c r="S117" s="189" t="s">
        <v>152</v>
      </c>
      <c r="T117" s="189" t="s">
        <v>180</v>
      </c>
      <c r="U117" s="189" t="s">
        <v>1032</v>
      </c>
      <c r="V117" s="189" t="s">
        <v>167</v>
      </c>
      <c r="W117" s="189" t="s">
        <v>124</v>
      </c>
      <c r="X117" s="189" t="s">
        <v>298</v>
      </c>
      <c r="Y117" s="189" t="s">
        <v>298</v>
      </c>
      <c r="Z117" s="189" t="s">
        <v>2318</v>
      </c>
      <c r="AG117" s="189" t="s">
        <v>2320</v>
      </c>
    </row>
    <row r="118" customFormat="false" ht="15" hidden="false" customHeight="true" outlineLevel="0" collapsed="false">
      <c r="A118" s="0" t="n">
        <v>117</v>
      </c>
      <c r="B118" s="185" t="n">
        <v>46151.9878586193</v>
      </c>
      <c r="C118" s="185" t="n">
        <v>46151.9917590823</v>
      </c>
      <c r="D118" s="189" t="s">
        <v>1033</v>
      </c>
      <c r="E118" s="189" t="s">
        <v>1034</v>
      </c>
      <c r="F118" s="189" t="s">
        <v>1034</v>
      </c>
      <c r="G118" s="189" t="s">
        <v>1035</v>
      </c>
      <c r="H118" s="185" t="n">
        <v>46145</v>
      </c>
      <c r="I118" s="189" t="s">
        <v>113</v>
      </c>
      <c r="J118" s="189" t="s">
        <v>295</v>
      </c>
      <c r="K118" s="189" t="s">
        <v>257</v>
      </c>
      <c r="L118" s="189" t="s">
        <v>159</v>
      </c>
      <c r="M118" s="189" t="s">
        <v>507</v>
      </c>
      <c r="N118" s="189" t="s">
        <v>1036</v>
      </c>
      <c r="O118" s="196" t="s">
        <v>278</v>
      </c>
      <c r="P118" s="189" t="s">
        <v>111</v>
      </c>
      <c r="Q118" s="189" t="s">
        <v>112</v>
      </c>
      <c r="R118" s="189" t="s">
        <v>24</v>
      </c>
      <c r="S118" s="189" t="s">
        <v>120</v>
      </c>
      <c r="T118" s="189" t="s">
        <v>121</v>
      </c>
      <c r="U118" s="189" t="s">
        <v>122</v>
      </c>
      <c r="V118" s="189" t="s">
        <v>192</v>
      </c>
      <c r="W118" s="189" t="s">
        <v>124</v>
      </c>
      <c r="X118" s="189" t="s">
        <v>448</v>
      </c>
      <c r="Y118" s="189" t="s">
        <v>448</v>
      </c>
      <c r="Z118" s="189" t="s">
        <v>2219</v>
      </c>
      <c r="AG118" s="189" t="s">
        <v>2234</v>
      </c>
    </row>
    <row r="119" customFormat="false" ht="15" hidden="false" customHeight="true" outlineLevel="0" collapsed="false">
      <c r="A119" s="0" t="n">
        <v>118</v>
      </c>
      <c r="B119" s="185" t="n">
        <v>46053.0612185588</v>
      </c>
      <c r="C119" s="185" t="n">
        <v>46053.0696213366</v>
      </c>
      <c r="D119" s="189" t="s">
        <v>1039</v>
      </c>
      <c r="E119" s="189" t="s">
        <v>1040</v>
      </c>
      <c r="F119" s="189" t="s">
        <v>1040</v>
      </c>
      <c r="G119" s="189" t="s">
        <v>1041</v>
      </c>
      <c r="H119" s="185" t="n">
        <v>46050</v>
      </c>
      <c r="I119" s="189" t="s">
        <v>132</v>
      </c>
      <c r="J119" s="189" t="s">
        <v>128</v>
      </c>
      <c r="K119" s="189" t="s">
        <v>257</v>
      </c>
      <c r="L119" s="189" t="s">
        <v>144</v>
      </c>
      <c r="M119" s="189" t="s">
        <v>870</v>
      </c>
      <c r="N119" s="189" t="s">
        <v>1042</v>
      </c>
      <c r="O119" s="189" t="s">
        <v>278</v>
      </c>
      <c r="P119" s="189" t="s">
        <v>111</v>
      </c>
      <c r="Q119" s="189" t="s">
        <v>112</v>
      </c>
      <c r="R119" s="189" t="s">
        <v>21</v>
      </c>
      <c r="S119" s="189" t="s">
        <v>152</v>
      </c>
      <c r="T119" s="189" t="s">
        <v>121</v>
      </c>
      <c r="V119" s="189" t="s">
        <v>192</v>
      </c>
      <c r="W119" s="189" t="s">
        <v>168</v>
      </c>
      <c r="X119" s="189" t="s">
        <v>348</v>
      </c>
      <c r="Y119" s="189" t="s">
        <v>348</v>
      </c>
      <c r="Z119" s="189" t="s">
        <v>2209</v>
      </c>
      <c r="AA119" s="189" t="s">
        <v>2190</v>
      </c>
      <c r="AB119" s="189" t="s">
        <v>2322</v>
      </c>
      <c r="AG119" s="189" t="s">
        <v>2192</v>
      </c>
      <c r="AH119" s="189" t="s">
        <v>2308</v>
      </c>
    </row>
    <row r="120" customFormat="false" ht="15" hidden="false" customHeight="true" outlineLevel="0" collapsed="false">
      <c r="A120" s="0" t="n">
        <v>119</v>
      </c>
      <c r="B120" s="185" t="n">
        <v>46113.2833775957</v>
      </c>
      <c r="C120" s="185" t="n">
        <v>46113.3036553735</v>
      </c>
      <c r="D120" s="189" t="s">
        <v>1045</v>
      </c>
      <c r="E120" s="189" t="s">
        <v>1046</v>
      </c>
      <c r="F120" s="189" t="s">
        <v>1047</v>
      </c>
      <c r="G120" s="189" t="s">
        <v>1048</v>
      </c>
      <c r="H120" s="185" t="n">
        <v>46112</v>
      </c>
      <c r="I120" s="189" t="s">
        <v>113</v>
      </c>
      <c r="J120" s="189" t="s">
        <v>295</v>
      </c>
      <c r="K120" s="189" t="s">
        <v>1049</v>
      </c>
      <c r="L120" s="189" t="s">
        <v>389</v>
      </c>
      <c r="M120" s="189" t="s">
        <v>212</v>
      </c>
      <c r="N120" s="189" t="s">
        <v>1050</v>
      </c>
      <c r="O120" s="189" t="s">
        <v>781</v>
      </c>
      <c r="P120" s="189" t="s">
        <v>131</v>
      </c>
      <c r="Q120" s="189" t="s">
        <v>112</v>
      </c>
      <c r="R120" s="189" t="s">
        <v>22</v>
      </c>
      <c r="S120" s="189" t="s">
        <v>152</v>
      </c>
      <c r="T120" s="189" t="s">
        <v>121</v>
      </c>
      <c r="U120" s="189" t="s">
        <v>452</v>
      </c>
      <c r="V120" s="189" t="s">
        <v>192</v>
      </c>
      <c r="W120" s="189" t="s">
        <v>124</v>
      </c>
      <c r="X120" s="189" t="s">
        <v>135</v>
      </c>
      <c r="Y120" s="189" t="s">
        <v>135</v>
      </c>
      <c r="Z120" s="189" t="s">
        <v>2246</v>
      </c>
      <c r="AA120" s="189" t="s">
        <v>2115</v>
      </c>
      <c r="AB120" s="189" t="s">
        <v>2227</v>
      </c>
      <c r="AG120" s="189" t="s">
        <v>2247</v>
      </c>
      <c r="AH120" s="189" t="s">
        <v>2256</v>
      </c>
    </row>
    <row r="121" customFormat="false" ht="15" hidden="false" customHeight="true" outlineLevel="0" collapsed="false">
      <c r="A121" s="0" t="n">
        <v>120</v>
      </c>
      <c r="B121" s="185" t="n">
        <v>46084.7082479315</v>
      </c>
      <c r="C121" s="185" t="n">
        <v>46084.7176460796</v>
      </c>
      <c r="D121" s="189" t="s">
        <v>1054</v>
      </c>
      <c r="E121" s="189" t="s">
        <v>1055</v>
      </c>
      <c r="F121" s="189" t="s">
        <v>1055</v>
      </c>
      <c r="G121" s="189" t="s">
        <v>1056</v>
      </c>
      <c r="H121" s="185" t="n">
        <v>46065</v>
      </c>
      <c r="I121" s="189" t="s">
        <v>113</v>
      </c>
      <c r="J121" s="189" t="s">
        <v>295</v>
      </c>
      <c r="K121" s="189" t="s">
        <v>1057</v>
      </c>
      <c r="L121" s="189" t="s">
        <v>491</v>
      </c>
      <c r="M121" s="189" t="s">
        <v>484</v>
      </c>
      <c r="N121" s="189" t="s">
        <v>347</v>
      </c>
      <c r="O121" s="189" t="s">
        <v>107</v>
      </c>
      <c r="P121" s="189" t="s">
        <v>111</v>
      </c>
      <c r="Q121" s="189" t="s">
        <v>112</v>
      </c>
      <c r="R121" s="189" t="s">
        <v>24</v>
      </c>
      <c r="S121" s="189" t="s">
        <v>152</v>
      </c>
      <c r="T121" s="189" t="s">
        <v>228</v>
      </c>
      <c r="V121" s="189" t="s">
        <v>192</v>
      </c>
      <c r="W121" s="189" t="s">
        <v>124</v>
      </c>
      <c r="X121" s="189" t="s">
        <v>19</v>
      </c>
      <c r="Y121" s="189" t="s">
        <v>19</v>
      </c>
      <c r="AK121" s="189" t="s">
        <v>880</v>
      </c>
    </row>
    <row r="122" customFormat="false" ht="15" hidden="false" customHeight="true" outlineLevel="0" collapsed="false">
      <c r="A122" s="0" t="n">
        <v>121</v>
      </c>
      <c r="B122" s="185" t="n">
        <v>46039.0365874819</v>
      </c>
      <c r="C122" s="185" t="n">
        <v>46039.0445620189</v>
      </c>
      <c r="D122" s="189" t="s">
        <v>1058</v>
      </c>
      <c r="E122" s="189" t="s">
        <v>1059</v>
      </c>
      <c r="F122" s="189" t="s">
        <v>1059</v>
      </c>
      <c r="G122" s="189" t="s">
        <v>1060</v>
      </c>
      <c r="H122" s="185" t="n">
        <v>46022</v>
      </c>
      <c r="I122" s="189" t="s">
        <v>113</v>
      </c>
      <c r="J122" s="189" t="s">
        <v>108</v>
      </c>
      <c r="K122" s="189" t="s">
        <v>1061</v>
      </c>
      <c r="L122" s="189" t="s">
        <v>296</v>
      </c>
      <c r="M122" s="189" t="s">
        <v>973</v>
      </c>
      <c r="N122" s="189" t="s">
        <v>595</v>
      </c>
      <c r="O122" s="189" t="s">
        <v>244</v>
      </c>
      <c r="P122" s="189" t="s">
        <v>111</v>
      </c>
      <c r="Q122" s="189" t="s">
        <v>112</v>
      </c>
      <c r="R122" s="189" t="s">
        <v>22</v>
      </c>
      <c r="S122" s="189" t="s">
        <v>120</v>
      </c>
      <c r="T122" s="189" t="s">
        <v>180</v>
      </c>
      <c r="U122" s="189" t="s">
        <v>1063</v>
      </c>
      <c r="V122" s="189" t="s">
        <v>167</v>
      </c>
      <c r="W122" s="189" t="s">
        <v>124</v>
      </c>
      <c r="X122" s="189" t="s">
        <v>381</v>
      </c>
      <c r="Y122" s="189" t="s">
        <v>381</v>
      </c>
      <c r="Z122" s="189" t="s">
        <v>2203</v>
      </c>
      <c r="AA122" s="189" t="s">
        <v>2277</v>
      </c>
      <c r="AB122" s="189" t="s">
        <v>2293</v>
      </c>
      <c r="AG122" s="189" t="s">
        <v>2225</v>
      </c>
    </row>
    <row r="123" customFormat="false" ht="15" hidden="false" customHeight="true" outlineLevel="0" collapsed="false">
      <c r="A123" s="0" t="n">
        <v>122</v>
      </c>
      <c r="B123" s="185" t="n">
        <v>46179.4186256572</v>
      </c>
      <c r="C123" s="185" t="n">
        <v>46179.433290009</v>
      </c>
      <c r="D123" s="189" t="s">
        <v>1064</v>
      </c>
      <c r="E123" s="189" t="s">
        <v>1065</v>
      </c>
      <c r="F123" s="189" t="s">
        <v>1065</v>
      </c>
      <c r="G123" s="189" t="s">
        <v>1066</v>
      </c>
      <c r="H123" s="185" t="n">
        <v>46164</v>
      </c>
      <c r="I123" s="189" t="s">
        <v>113</v>
      </c>
      <c r="J123" s="189" t="s">
        <v>108</v>
      </c>
      <c r="K123" s="189" t="s">
        <v>462</v>
      </c>
      <c r="L123" s="189" t="s">
        <v>184</v>
      </c>
      <c r="M123" s="189" t="s">
        <v>864</v>
      </c>
      <c r="N123" s="189" t="s">
        <v>1067</v>
      </c>
      <c r="O123" s="189" t="s">
        <v>278</v>
      </c>
      <c r="P123" s="189" t="s">
        <v>111</v>
      </c>
      <c r="Q123" s="189" t="s">
        <v>112</v>
      </c>
      <c r="R123" s="189" t="s">
        <v>22</v>
      </c>
      <c r="S123" s="189" t="s">
        <v>152</v>
      </c>
      <c r="T123" s="189" t="s">
        <v>121</v>
      </c>
      <c r="U123" s="189" t="s">
        <v>1070</v>
      </c>
      <c r="V123" s="189" t="s">
        <v>123</v>
      </c>
      <c r="W123" s="189" t="s">
        <v>168</v>
      </c>
      <c r="X123" s="189" t="s">
        <v>271</v>
      </c>
      <c r="Y123" s="189" t="s">
        <v>271</v>
      </c>
      <c r="Z123" s="189" t="s">
        <v>2159</v>
      </c>
      <c r="AA123" s="189" t="s">
        <v>2158</v>
      </c>
      <c r="AB123" s="189" t="s">
        <v>2179</v>
      </c>
      <c r="AG123" s="189" t="s">
        <v>2163</v>
      </c>
    </row>
    <row r="124" customFormat="false" ht="15" hidden="false" customHeight="true" outlineLevel="0" collapsed="false">
      <c r="A124" s="0" t="n">
        <v>123</v>
      </c>
      <c r="B124" s="185" t="n">
        <v>46135.2412423048</v>
      </c>
      <c r="C124" s="185" t="n">
        <v>46135.2437307307</v>
      </c>
      <c r="D124" s="189" t="s">
        <v>1071</v>
      </c>
      <c r="E124" s="189" t="s">
        <v>1072</v>
      </c>
      <c r="F124" s="189" t="s">
        <v>1072</v>
      </c>
      <c r="G124" s="189" t="s">
        <v>1073</v>
      </c>
      <c r="H124" s="185" t="n">
        <v>46117</v>
      </c>
      <c r="I124" s="189" t="s">
        <v>113</v>
      </c>
      <c r="J124" s="189" t="s">
        <v>128</v>
      </c>
      <c r="K124" s="189" t="s">
        <v>364</v>
      </c>
      <c r="L124" s="189" t="s">
        <v>389</v>
      </c>
      <c r="M124" s="189" t="s">
        <v>1074</v>
      </c>
      <c r="N124" s="189" t="s">
        <v>638</v>
      </c>
      <c r="O124" s="189" t="s">
        <v>107</v>
      </c>
      <c r="P124" s="189" t="s">
        <v>111</v>
      </c>
      <c r="Q124" s="189" t="s">
        <v>145</v>
      </c>
      <c r="R124" s="189" t="s">
        <v>22</v>
      </c>
      <c r="S124" s="189" t="s">
        <v>120</v>
      </c>
      <c r="T124" s="189" t="s">
        <v>180</v>
      </c>
      <c r="U124" s="189" t="s">
        <v>122</v>
      </c>
      <c r="V124" s="189" t="s">
        <v>123</v>
      </c>
      <c r="W124" s="189" t="s">
        <v>124</v>
      </c>
      <c r="X124" s="189" t="s">
        <v>116</v>
      </c>
      <c r="Y124" s="189" t="s">
        <v>116</v>
      </c>
      <c r="Z124" s="189" t="s">
        <v>2109</v>
      </c>
      <c r="AG124" s="189" t="s">
        <v>2127</v>
      </c>
    </row>
    <row r="125" customFormat="false" ht="15" hidden="false" customHeight="true" outlineLevel="0" collapsed="false">
      <c r="A125" s="0" t="n">
        <v>124</v>
      </c>
      <c r="B125" s="185" t="n">
        <v>46165.2262915812</v>
      </c>
      <c r="C125" s="185" t="n">
        <v>46165.2358054701</v>
      </c>
      <c r="D125" s="189" t="s">
        <v>1075</v>
      </c>
      <c r="E125" s="189" t="s">
        <v>1076</v>
      </c>
      <c r="F125" s="189" t="s">
        <v>1076</v>
      </c>
      <c r="G125" s="189" t="s">
        <v>1077</v>
      </c>
      <c r="H125" s="185" t="n">
        <v>46161</v>
      </c>
      <c r="I125" s="189" t="s">
        <v>113</v>
      </c>
      <c r="J125" s="189" t="s">
        <v>108</v>
      </c>
      <c r="K125" s="189" t="s">
        <v>232</v>
      </c>
      <c r="L125" s="189" t="s">
        <v>144</v>
      </c>
      <c r="M125" s="189" t="s">
        <v>797</v>
      </c>
      <c r="N125" s="189" t="s">
        <v>1078</v>
      </c>
      <c r="O125" s="189" t="s">
        <v>107</v>
      </c>
      <c r="P125" s="189" t="s">
        <v>111</v>
      </c>
      <c r="Q125" s="189" t="s">
        <v>247</v>
      </c>
      <c r="R125" s="189" t="s">
        <v>22</v>
      </c>
      <c r="S125" s="189" t="s">
        <v>120</v>
      </c>
      <c r="T125" s="189" t="s">
        <v>180</v>
      </c>
      <c r="U125" s="189" t="s">
        <v>122</v>
      </c>
      <c r="V125" s="189" t="s">
        <v>192</v>
      </c>
      <c r="W125" s="189" t="s">
        <v>124</v>
      </c>
      <c r="X125" s="189" t="s">
        <v>715</v>
      </c>
      <c r="Y125" s="189" t="s">
        <v>715</v>
      </c>
      <c r="Z125" s="189" t="s">
        <v>2295</v>
      </c>
      <c r="AA125" s="189" t="s">
        <v>2300</v>
      </c>
      <c r="AB125" s="189" t="s">
        <v>2268</v>
      </c>
      <c r="AG125" s="189" t="s">
        <v>2301</v>
      </c>
      <c r="AH125" s="189" t="s">
        <v>2298</v>
      </c>
    </row>
    <row r="126" customFormat="false" ht="15" hidden="false" customHeight="true" outlineLevel="0" collapsed="false">
      <c r="A126" s="0" t="n">
        <v>125</v>
      </c>
      <c r="B126" s="185" t="n">
        <v>46151.6884611496</v>
      </c>
      <c r="C126" s="185" t="n">
        <v>46151.6998616126</v>
      </c>
      <c r="D126" s="189" t="s">
        <v>1081</v>
      </c>
      <c r="E126" s="189" t="s">
        <v>1082</v>
      </c>
      <c r="F126" s="189" t="s">
        <v>1083</v>
      </c>
      <c r="G126" s="189" t="s">
        <v>1084</v>
      </c>
      <c r="H126" s="185" t="n">
        <v>46148</v>
      </c>
      <c r="I126" s="189" t="s">
        <v>113</v>
      </c>
      <c r="J126" s="189" t="s">
        <v>108</v>
      </c>
      <c r="K126" s="189" t="s">
        <v>143</v>
      </c>
      <c r="L126" s="189" t="s">
        <v>346</v>
      </c>
      <c r="M126" s="189" t="s">
        <v>774</v>
      </c>
      <c r="N126" s="189" t="s">
        <v>337</v>
      </c>
      <c r="O126" s="189" t="s">
        <v>107</v>
      </c>
      <c r="P126" s="189" t="s">
        <v>111</v>
      </c>
      <c r="Q126" s="189" t="s">
        <v>112</v>
      </c>
      <c r="R126" s="189" t="s">
        <v>24</v>
      </c>
      <c r="S126" s="189" t="s">
        <v>120</v>
      </c>
      <c r="T126" s="189" t="s">
        <v>180</v>
      </c>
      <c r="U126" s="189" t="s">
        <v>122</v>
      </c>
      <c r="V126" s="189" t="s">
        <v>192</v>
      </c>
      <c r="W126" s="189" t="s">
        <v>124</v>
      </c>
      <c r="X126" s="189" t="s">
        <v>448</v>
      </c>
      <c r="Y126" s="189" t="s">
        <v>448</v>
      </c>
      <c r="Z126" s="189" t="s">
        <v>2217</v>
      </c>
      <c r="AG126" s="189" t="s">
        <v>2222</v>
      </c>
      <c r="AH126" s="189" t="s">
        <v>2234</v>
      </c>
    </row>
    <row r="127" customFormat="false" ht="15" hidden="false" customHeight="true" outlineLevel="0" collapsed="false">
      <c r="A127" s="0" t="n">
        <v>126</v>
      </c>
      <c r="B127" s="185" t="n">
        <v>46107.6095578952</v>
      </c>
      <c r="C127" s="185" t="n">
        <v>46107.6296273396</v>
      </c>
      <c r="D127" s="189" t="s">
        <v>1087</v>
      </c>
      <c r="E127" s="189" t="s">
        <v>1088</v>
      </c>
      <c r="F127" s="189" t="s">
        <v>1088</v>
      </c>
      <c r="G127" s="189" t="s">
        <v>1089</v>
      </c>
      <c r="H127" s="185" t="n">
        <v>46090</v>
      </c>
      <c r="I127" s="189" t="s">
        <v>325</v>
      </c>
      <c r="J127" s="189" t="s">
        <v>295</v>
      </c>
      <c r="K127" s="189" t="s">
        <v>1090</v>
      </c>
      <c r="L127" s="189" t="s">
        <v>296</v>
      </c>
      <c r="M127" s="189" t="s">
        <v>789</v>
      </c>
      <c r="N127" s="189" t="s">
        <v>227</v>
      </c>
      <c r="O127" s="189" t="s">
        <v>107</v>
      </c>
      <c r="P127" s="189" t="s">
        <v>131</v>
      </c>
      <c r="Q127" s="189" t="s">
        <v>145</v>
      </c>
      <c r="R127" s="189" t="s">
        <v>23</v>
      </c>
      <c r="S127" s="189" t="s">
        <v>152</v>
      </c>
      <c r="T127" s="189" t="s">
        <v>121</v>
      </c>
      <c r="U127" s="189" t="s">
        <v>1002</v>
      </c>
      <c r="V127" s="189" t="s">
        <v>167</v>
      </c>
      <c r="W127" s="189" t="s">
        <v>124</v>
      </c>
      <c r="X127" s="189" t="s">
        <v>442</v>
      </c>
      <c r="Y127" s="189" t="s">
        <v>442</v>
      </c>
      <c r="AK127" s="189" t="s">
        <v>441</v>
      </c>
    </row>
    <row r="128" customFormat="false" ht="15" hidden="false" customHeight="true" outlineLevel="0" collapsed="false">
      <c r="A128" s="0" t="n">
        <v>127</v>
      </c>
      <c r="B128" s="185" t="n">
        <v>46130.7021347616</v>
      </c>
      <c r="C128" s="185" t="n">
        <v>46130.7097852246</v>
      </c>
      <c r="D128" s="189" t="s">
        <v>1091</v>
      </c>
      <c r="E128" s="189" t="s">
        <v>1092</v>
      </c>
      <c r="F128" s="189" t="s">
        <v>1092</v>
      </c>
      <c r="G128" s="189" t="s">
        <v>1093</v>
      </c>
      <c r="H128" s="185" t="n">
        <v>46122</v>
      </c>
      <c r="I128" s="189" t="s">
        <v>325</v>
      </c>
      <c r="J128" s="189" t="s">
        <v>108</v>
      </c>
      <c r="K128" s="189" t="s">
        <v>173</v>
      </c>
      <c r="L128" s="189" t="s">
        <v>431</v>
      </c>
      <c r="M128" s="189" t="s">
        <v>337</v>
      </c>
      <c r="N128" s="189" t="s">
        <v>1094</v>
      </c>
      <c r="O128" s="189" t="s">
        <v>107</v>
      </c>
      <c r="P128" s="189" t="s">
        <v>211</v>
      </c>
      <c r="Q128" s="189" t="s">
        <v>112</v>
      </c>
      <c r="R128" s="189" t="s">
        <v>24</v>
      </c>
      <c r="S128" s="189" t="s">
        <v>152</v>
      </c>
      <c r="T128" s="189" t="s">
        <v>352</v>
      </c>
      <c r="U128" s="189" t="s">
        <v>122</v>
      </c>
      <c r="V128" s="189" t="s">
        <v>123</v>
      </c>
      <c r="W128" s="189" t="s">
        <v>124</v>
      </c>
      <c r="X128" s="189" t="s">
        <v>448</v>
      </c>
      <c r="Y128" s="189" t="s">
        <v>448</v>
      </c>
      <c r="Z128" s="189" t="s">
        <v>2217</v>
      </c>
      <c r="AA128" s="189" t="s">
        <v>2218</v>
      </c>
      <c r="AG128" s="189" t="s">
        <v>2222</v>
      </c>
    </row>
    <row r="129" customFormat="false" ht="15" hidden="false" customHeight="true" outlineLevel="0" collapsed="false">
      <c r="A129" s="0" t="n">
        <v>128</v>
      </c>
      <c r="B129" s="185" t="n">
        <v>46162.0833479366</v>
      </c>
      <c r="C129" s="185" t="n">
        <v>46162.091692844</v>
      </c>
      <c r="D129" s="189" t="s">
        <v>1097</v>
      </c>
      <c r="E129" s="189" t="s">
        <v>1098</v>
      </c>
      <c r="F129" s="189" t="s">
        <v>1098</v>
      </c>
      <c r="G129" s="189" t="s">
        <v>1099</v>
      </c>
      <c r="H129" s="185" t="n">
        <v>46143</v>
      </c>
      <c r="I129" s="189" t="s">
        <v>305</v>
      </c>
      <c r="J129" s="189" t="s">
        <v>128</v>
      </c>
      <c r="K129" s="189" t="s">
        <v>173</v>
      </c>
      <c r="L129" s="189" t="s">
        <v>114</v>
      </c>
      <c r="M129" s="189" t="s">
        <v>515</v>
      </c>
      <c r="N129" s="189" t="s">
        <v>1100</v>
      </c>
      <c r="O129" s="189" t="s">
        <v>244</v>
      </c>
      <c r="P129" s="189" t="s">
        <v>111</v>
      </c>
      <c r="Q129" s="189" t="s">
        <v>112</v>
      </c>
      <c r="R129" s="189" t="s">
        <v>22</v>
      </c>
      <c r="S129" s="189" t="s">
        <v>120</v>
      </c>
      <c r="T129" s="189" t="s">
        <v>121</v>
      </c>
      <c r="U129" s="189" t="s">
        <v>682</v>
      </c>
      <c r="V129" s="189" t="s">
        <v>192</v>
      </c>
      <c r="W129" s="189" t="s">
        <v>124</v>
      </c>
      <c r="X129" s="189" t="s">
        <v>135</v>
      </c>
      <c r="Y129" s="189" t="s">
        <v>135</v>
      </c>
      <c r="Z129" s="189" t="s">
        <v>2116</v>
      </c>
      <c r="AA129" s="189" t="s">
        <v>2227</v>
      </c>
      <c r="AB129" s="189" t="s">
        <v>2117</v>
      </c>
      <c r="AG129" s="189" t="s">
        <v>2247</v>
      </c>
      <c r="AH129" s="189" t="s">
        <v>2196</v>
      </c>
    </row>
    <row r="130" customFormat="false" ht="15" hidden="false" customHeight="true" outlineLevel="0" collapsed="false">
      <c r="A130" s="0" t="n">
        <v>129</v>
      </c>
      <c r="B130" s="185" t="n">
        <v>46075.8760671867</v>
      </c>
      <c r="C130" s="185" t="n">
        <v>46075.8797245941</v>
      </c>
      <c r="D130" s="189" t="s">
        <v>1103</v>
      </c>
      <c r="E130" s="189" t="s">
        <v>1104</v>
      </c>
      <c r="F130" s="189" t="s">
        <v>1104</v>
      </c>
      <c r="G130" s="189" t="s">
        <v>1105</v>
      </c>
      <c r="H130" s="185" t="n">
        <v>46058</v>
      </c>
      <c r="I130" s="189" t="s">
        <v>113</v>
      </c>
      <c r="J130" s="189" t="s">
        <v>108</v>
      </c>
      <c r="K130" s="189" t="s">
        <v>1106</v>
      </c>
      <c r="L130" s="189" t="s">
        <v>286</v>
      </c>
      <c r="M130" s="189" t="s">
        <v>578</v>
      </c>
      <c r="N130" s="189" t="s">
        <v>306</v>
      </c>
      <c r="O130" s="189" t="s">
        <v>244</v>
      </c>
      <c r="P130" s="189" t="s">
        <v>131</v>
      </c>
      <c r="Q130" s="189" t="s">
        <v>112</v>
      </c>
      <c r="R130" s="189" t="s">
        <v>24</v>
      </c>
      <c r="S130" s="189" t="s">
        <v>152</v>
      </c>
      <c r="T130" s="189" t="s">
        <v>352</v>
      </c>
      <c r="U130" s="189" t="s">
        <v>122</v>
      </c>
      <c r="V130" s="189" t="s">
        <v>123</v>
      </c>
      <c r="W130" s="189" t="s">
        <v>124</v>
      </c>
      <c r="X130" s="189" t="s">
        <v>214</v>
      </c>
      <c r="Y130" s="189" t="s">
        <v>214</v>
      </c>
      <c r="Z130" s="189" t="s">
        <v>2125</v>
      </c>
      <c r="AA130" s="189" t="s">
        <v>2151</v>
      </c>
      <c r="AB130" s="189" t="s">
        <v>2109</v>
      </c>
      <c r="AG130" s="189" t="s">
        <v>122</v>
      </c>
    </row>
    <row r="131" customFormat="false" ht="15" hidden="false" customHeight="true" outlineLevel="0" collapsed="false">
      <c r="A131" s="0" t="n">
        <v>130</v>
      </c>
      <c r="B131" s="185" t="n">
        <v>46073.2927883595</v>
      </c>
      <c r="C131" s="185" t="n">
        <v>46073.2945707669</v>
      </c>
      <c r="D131" s="189" t="s">
        <v>1108</v>
      </c>
      <c r="E131" s="189" t="s">
        <v>1109</v>
      </c>
      <c r="F131" s="189" t="s">
        <v>1109</v>
      </c>
      <c r="G131" s="189" t="s">
        <v>1110</v>
      </c>
      <c r="H131" s="185" t="n">
        <v>46056</v>
      </c>
      <c r="I131" s="189" t="s">
        <v>863</v>
      </c>
      <c r="J131" s="189" t="s">
        <v>295</v>
      </c>
      <c r="K131" s="189" t="s">
        <v>1111</v>
      </c>
      <c r="L131" s="189" t="s">
        <v>197</v>
      </c>
      <c r="M131" s="189" t="s">
        <v>1112</v>
      </c>
      <c r="N131" s="189" t="s">
        <v>1067</v>
      </c>
      <c r="O131" s="189" t="s">
        <v>107</v>
      </c>
      <c r="P131" s="189" t="s">
        <v>111</v>
      </c>
      <c r="Q131" s="189" t="s">
        <v>112</v>
      </c>
      <c r="R131" s="189" t="s">
        <v>24</v>
      </c>
      <c r="S131" s="189" t="s">
        <v>152</v>
      </c>
      <c r="T131" s="189" t="s">
        <v>121</v>
      </c>
      <c r="U131" s="189" t="s">
        <v>614</v>
      </c>
      <c r="V131" s="189" t="s">
        <v>123</v>
      </c>
      <c r="W131" s="189" t="s">
        <v>124</v>
      </c>
      <c r="X131" s="189" t="s">
        <v>448</v>
      </c>
      <c r="Y131" s="189" t="s">
        <v>448</v>
      </c>
      <c r="Z131" s="189" t="s">
        <v>2219</v>
      </c>
      <c r="AA131" s="189" t="s">
        <v>2218</v>
      </c>
      <c r="AB131" s="189" t="s">
        <v>2233</v>
      </c>
      <c r="AG131" s="189" t="s">
        <v>2223</v>
      </c>
    </row>
    <row r="132" customFormat="false" ht="15" hidden="false" customHeight="true" outlineLevel="0" collapsed="false">
      <c r="A132" s="0" t="n">
        <v>131</v>
      </c>
      <c r="B132" s="185" t="n">
        <v>46185.7695927634</v>
      </c>
      <c r="C132" s="185" t="n">
        <v>46185.7882617448</v>
      </c>
      <c r="D132" s="189" t="s">
        <v>1116</v>
      </c>
      <c r="E132" s="189" t="s">
        <v>1117</v>
      </c>
      <c r="F132" s="189" t="s">
        <v>1117</v>
      </c>
      <c r="G132" s="189" t="s">
        <v>1118</v>
      </c>
      <c r="H132" s="185" t="n">
        <v>46185</v>
      </c>
      <c r="I132" s="189" t="s">
        <v>113</v>
      </c>
      <c r="J132" s="189" t="s">
        <v>108</v>
      </c>
      <c r="K132" s="189" t="s">
        <v>1119</v>
      </c>
      <c r="L132" s="189" t="s">
        <v>246</v>
      </c>
      <c r="M132" s="189" t="s">
        <v>1120</v>
      </c>
      <c r="N132" s="189" t="s">
        <v>175</v>
      </c>
      <c r="O132" s="189" t="s">
        <v>244</v>
      </c>
      <c r="P132" s="189" t="s">
        <v>111</v>
      </c>
      <c r="Q132" s="189" t="s">
        <v>112</v>
      </c>
      <c r="R132" s="189" t="s">
        <v>22</v>
      </c>
      <c r="S132" s="189" t="s">
        <v>152</v>
      </c>
      <c r="T132" s="189" t="s">
        <v>121</v>
      </c>
      <c r="U132" s="189" t="s">
        <v>122</v>
      </c>
      <c r="V132" s="189" t="s">
        <v>192</v>
      </c>
      <c r="W132" s="189" t="s">
        <v>124</v>
      </c>
      <c r="X132" s="189" t="s">
        <v>271</v>
      </c>
      <c r="Y132" s="189" t="s">
        <v>271</v>
      </c>
      <c r="Z132" s="189" t="s">
        <v>2179</v>
      </c>
      <c r="AG132" s="189" t="s">
        <v>2162</v>
      </c>
    </row>
    <row r="133" customFormat="false" ht="15" hidden="false" customHeight="true" outlineLevel="0" collapsed="false">
      <c r="A133" s="0" t="n">
        <v>132</v>
      </c>
      <c r="B133" s="185" t="n">
        <v>46036.3806238805</v>
      </c>
      <c r="C133" s="185" t="n">
        <v>46036.3972905471</v>
      </c>
      <c r="D133" s="189" t="s">
        <v>1122</v>
      </c>
      <c r="E133" s="189" t="s">
        <v>1123</v>
      </c>
      <c r="F133" s="189" t="s">
        <v>1124</v>
      </c>
      <c r="G133" s="189" t="s">
        <v>1125</v>
      </c>
      <c r="H133" s="185" t="n">
        <v>46034</v>
      </c>
      <c r="I133" s="189" t="s">
        <v>113</v>
      </c>
      <c r="J133" s="189" t="s">
        <v>108</v>
      </c>
      <c r="K133" s="189" t="s">
        <v>257</v>
      </c>
      <c r="L133" s="189" t="s">
        <v>491</v>
      </c>
      <c r="M133" s="189" t="s">
        <v>515</v>
      </c>
      <c r="N133" s="189" t="s">
        <v>407</v>
      </c>
      <c r="O133" s="189" t="s">
        <v>107</v>
      </c>
      <c r="P133" s="189" t="s">
        <v>111</v>
      </c>
      <c r="Q133" s="189" t="s">
        <v>112</v>
      </c>
      <c r="R133" s="189" t="s">
        <v>24</v>
      </c>
      <c r="S133" s="189" t="s">
        <v>152</v>
      </c>
      <c r="T133" s="189" t="s">
        <v>121</v>
      </c>
      <c r="U133" s="189" t="s">
        <v>1129</v>
      </c>
      <c r="V133" s="189" t="s">
        <v>123</v>
      </c>
      <c r="W133" s="189" t="s">
        <v>168</v>
      </c>
      <c r="X133" s="189" t="s">
        <v>448</v>
      </c>
      <c r="Y133" s="189" t="s">
        <v>448</v>
      </c>
      <c r="Z133" s="189" t="s">
        <v>2235</v>
      </c>
      <c r="AA133" s="189" t="s">
        <v>2218</v>
      </c>
      <c r="AG133" s="189" t="s">
        <v>2223</v>
      </c>
      <c r="AH133" s="189" t="s">
        <v>2234</v>
      </c>
    </row>
    <row r="134" customFormat="false" ht="15" hidden="false" customHeight="true" outlineLevel="0" collapsed="false">
      <c r="A134" s="0" t="n">
        <v>133</v>
      </c>
      <c r="B134" s="185" t="n">
        <v>46150.2222333388</v>
      </c>
      <c r="C134" s="185" t="n">
        <v>46150.2345828759</v>
      </c>
      <c r="D134" s="189" t="s">
        <v>1130</v>
      </c>
      <c r="E134" s="189" t="s">
        <v>1131</v>
      </c>
      <c r="F134" s="189" t="s">
        <v>1131</v>
      </c>
      <c r="G134" s="189" t="s">
        <v>1132</v>
      </c>
      <c r="H134" s="185" t="n">
        <v>46141</v>
      </c>
      <c r="I134" s="189" t="s">
        <v>113</v>
      </c>
      <c r="J134" s="189" t="s">
        <v>108</v>
      </c>
      <c r="K134" s="189" t="s">
        <v>462</v>
      </c>
      <c r="L134" s="189" t="s">
        <v>346</v>
      </c>
      <c r="M134" s="189" t="s">
        <v>774</v>
      </c>
      <c r="N134" s="189" t="s">
        <v>200</v>
      </c>
      <c r="O134" s="189" t="s">
        <v>172</v>
      </c>
      <c r="P134" s="189" t="s">
        <v>131</v>
      </c>
      <c r="Q134" s="189" t="s">
        <v>112</v>
      </c>
      <c r="R134" s="189" t="s">
        <v>24</v>
      </c>
      <c r="S134" s="189" t="s">
        <v>152</v>
      </c>
      <c r="T134" s="189" t="s">
        <v>121</v>
      </c>
      <c r="U134" s="189" t="s">
        <v>562</v>
      </c>
      <c r="V134" s="189" t="s">
        <v>192</v>
      </c>
      <c r="W134" s="189" t="s">
        <v>124</v>
      </c>
      <c r="X134" s="189" t="s">
        <v>260</v>
      </c>
      <c r="Y134" s="189" t="s">
        <v>260</v>
      </c>
      <c r="Z134" s="189" t="s">
        <v>2307</v>
      </c>
      <c r="AA134" s="189" t="s">
        <v>2153</v>
      </c>
      <c r="AB134" s="189" t="s">
        <v>606</v>
      </c>
      <c r="AG134" s="189" t="s">
        <v>2325</v>
      </c>
    </row>
    <row r="135" customFormat="false" ht="15" hidden="false" customHeight="true" outlineLevel="0" collapsed="false">
      <c r="A135" s="0" t="n">
        <v>134</v>
      </c>
      <c r="B135" s="185" t="n">
        <v>46138.5764652551</v>
      </c>
      <c r="C135" s="185" t="n">
        <v>46138.5847407181</v>
      </c>
      <c r="D135" s="189" t="s">
        <v>1136</v>
      </c>
      <c r="E135" s="189" t="s">
        <v>1137</v>
      </c>
      <c r="F135" s="189" t="s">
        <v>1137</v>
      </c>
      <c r="G135" s="189" t="s">
        <v>1138</v>
      </c>
      <c r="H135" s="185" t="n">
        <v>46122</v>
      </c>
      <c r="I135" s="189" t="s">
        <v>113</v>
      </c>
      <c r="J135" s="189" t="s">
        <v>108</v>
      </c>
      <c r="K135" s="189" t="s">
        <v>1139</v>
      </c>
      <c r="L135" s="189" t="s">
        <v>184</v>
      </c>
      <c r="M135" s="189" t="s">
        <v>944</v>
      </c>
      <c r="N135" s="189" t="s">
        <v>1140</v>
      </c>
      <c r="O135" s="189" t="s">
        <v>107</v>
      </c>
      <c r="P135" s="189" t="s">
        <v>131</v>
      </c>
      <c r="Q135" s="189" t="s">
        <v>145</v>
      </c>
      <c r="R135" s="189" t="s">
        <v>22</v>
      </c>
      <c r="S135" s="189" t="s">
        <v>152</v>
      </c>
      <c r="T135" s="189" t="s">
        <v>121</v>
      </c>
      <c r="V135" s="189" t="s">
        <v>123</v>
      </c>
      <c r="W135" s="189" t="s">
        <v>124</v>
      </c>
      <c r="X135" s="189" t="s">
        <v>381</v>
      </c>
      <c r="Y135" s="189" t="s">
        <v>381</v>
      </c>
      <c r="Z135" s="189" t="s">
        <v>2293</v>
      </c>
      <c r="AG135" s="189" t="s">
        <v>2225</v>
      </c>
      <c r="AH135" s="189" t="s">
        <v>2206</v>
      </c>
    </row>
    <row r="136" customFormat="false" ht="15" hidden="false" customHeight="true" outlineLevel="0" collapsed="false">
      <c r="A136" s="0" t="n">
        <v>135</v>
      </c>
      <c r="B136" s="185" t="n">
        <v>46210.0208937145</v>
      </c>
      <c r="C136" s="185" t="n">
        <v>46210.0233821404</v>
      </c>
      <c r="D136" s="189" t="s">
        <v>1141</v>
      </c>
      <c r="E136" s="189" t="s">
        <v>1142</v>
      </c>
      <c r="F136" s="189" t="s">
        <v>1142</v>
      </c>
      <c r="G136" s="189" t="s">
        <v>1143</v>
      </c>
      <c r="H136" s="185" t="n">
        <v>46200</v>
      </c>
      <c r="I136" s="189" t="s">
        <v>113</v>
      </c>
      <c r="J136" s="189" t="s">
        <v>128</v>
      </c>
      <c r="K136" s="189" t="s">
        <v>232</v>
      </c>
      <c r="L136" s="189" t="s">
        <v>346</v>
      </c>
      <c r="M136" s="189" t="s">
        <v>212</v>
      </c>
      <c r="N136" s="189" t="s">
        <v>1144</v>
      </c>
      <c r="O136" s="189" t="s">
        <v>107</v>
      </c>
      <c r="P136" s="189" t="s">
        <v>111</v>
      </c>
      <c r="Q136" s="189" t="s">
        <v>112</v>
      </c>
      <c r="R136" s="189" t="s">
        <v>22</v>
      </c>
      <c r="S136" s="189" t="s">
        <v>152</v>
      </c>
      <c r="T136" s="189" t="s">
        <v>264</v>
      </c>
      <c r="V136" s="189" t="s">
        <v>192</v>
      </c>
      <c r="W136" s="189" t="s">
        <v>124</v>
      </c>
      <c r="X136" s="189" t="s">
        <v>148</v>
      </c>
      <c r="Y136" s="189" t="s">
        <v>148</v>
      </c>
      <c r="Z136" s="189" t="s">
        <v>2230</v>
      </c>
      <c r="AA136" s="189" t="s">
        <v>2166</v>
      </c>
      <c r="AB136" s="189" t="s">
        <v>2326</v>
      </c>
      <c r="AG136" s="189" t="s">
        <v>2124</v>
      </c>
      <c r="AH136" s="189" t="s">
        <v>2327</v>
      </c>
    </row>
    <row r="137" customFormat="false" ht="15" hidden="false" customHeight="true" outlineLevel="0" collapsed="false">
      <c r="A137" s="0" t="n">
        <v>136</v>
      </c>
      <c r="B137" s="185" t="n">
        <v>46183.850811469</v>
      </c>
      <c r="C137" s="185" t="n">
        <v>46183.8715637838</v>
      </c>
      <c r="D137" s="189" t="s">
        <v>1148</v>
      </c>
      <c r="E137" s="189" t="s">
        <v>1149</v>
      </c>
      <c r="F137" s="189" t="s">
        <v>1149</v>
      </c>
      <c r="G137" s="189" t="s">
        <v>1150</v>
      </c>
      <c r="H137" s="185" t="n">
        <v>46170</v>
      </c>
      <c r="I137" s="189" t="s">
        <v>132</v>
      </c>
      <c r="J137" s="189" t="s">
        <v>295</v>
      </c>
      <c r="K137" s="189" t="s">
        <v>196</v>
      </c>
      <c r="L137" s="189" t="s">
        <v>389</v>
      </c>
      <c r="M137" s="189" t="s">
        <v>1151</v>
      </c>
      <c r="N137" s="189" t="s">
        <v>758</v>
      </c>
      <c r="O137" s="189" t="s">
        <v>278</v>
      </c>
      <c r="P137" s="189" t="s">
        <v>111</v>
      </c>
      <c r="Q137" s="189" t="s">
        <v>112</v>
      </c>
      <c r="R137" s="189" t="s">
        <v>21</v>
      </c>
      <c r="S137" s="189" t="s">
        <v>152</v>
      </c>
      <c r="T137" s="189" t="s">
        <v>228</v>
      </c>
      <c r="V137" s="189" t="s">
        <v>167</v>
      </c>
      <c r="W137" s="189" t="s">
        <v>124</v>
      </c>
      <c r="X137" s="189" t="s">
        <v>457</v>
      </c>
      <c r="Y137" s="189" t="s">
        <v>457</v>
      </c>
      <c r="Z137" s="189" t="s">
        <v>2151</v>
      </c>
      <c r="AA137" s="189" t="s">
        <v>2109</v>
      </c>
      <c r="AB137" s="189" t="s">
        <v>2183</v>
      </c>
      <c r="AG137" s="189" t="s">
        <v>122</v>
      </c>
    </row>
    <row r="138" customFormat="false" ht="15" hidden="false" customHeight="true" outlineLevel="0" collapsed="false">
      <c r="A138" s="0" t="n">
        <v>137</v>
      </c>
      <c r="B138" s="185" t="n">
        <v>46139.1161653679</v>
      </c>
      <c r="C138" s="185" t="n">
        <v>46139.1195797198</v>
      </c>
      <c r="D138" s="189" t="s">
        <v>1153</v>
      </c>
      <c r="E138" s="189" t="s">
        <v>1154</v>
      </c>
      <c r="F138" s="189" t="s">
        <v>1154</v>
      </c>
      <c r="G138" s="189" t="s">
        <v>1155</v>
      </c>
      <c r="H138" s="185" t="n">
        <v>46124</v>
      </c>
      <c r="I138" s="189" t="s">
        <v>113</v>
      </c>
      <c r="J138" s="189" t="s">
        <v>108</v>
      </c>
      <c r="K138" s="189" t="s">
        <v>364</v>
      </c>
      <c r="L138" s="189" t="s">
        <v>268</v>
      </c>
      <c r="M138" s="189" t="s">
        <v>594</v>
      </c>
      <c r="N138" s="189" t="s">
        <v>1156</v>
      </c>
      <c r="O138" s="189" t="s">
        <v>157</v>
      </c>
      <c r="P138" s="189" t="s">
        <v>111</v>
      </c>
      <c r="Q138" s="189" t="s">
        <v>112</v>
      </c>
      <c r="R138" s="189" t="s">
        <v>24</v>
      </c>
      <c r="S138" s="189" t="s">
        <v>152</v>
      </c>
      <c r="T138" s="189" t="s">
        <v>121</v>
      </c>
      <c r="V138" s="189" t="s">
        <v>167</v>
      </c>
      <c r="W138" s="189" t="s">
        <v>124</v>
      </c>
      <c r="X138" s="189" t="s">
        <v>19</v>
      </c>
      <c r="Y138" s="189" t="s">
        <v>19</v>
      </c>
      <c r="AK138" s="189" t="s">
        <v>880</v>
      </c>
    </row>
    <row r="139" customFormat="false" ht="15" hidden="false" customHeight="true" outlineLevel="0" collapsed="false">
      <c r="A139" s="0" t="n">
        <v>138</v>
      </c>
      <c r="B139" s="185" t="n">
        <v>46181.8479156506</v>
      </c>
      <c r="C139" s="185" t="n">
        <v>46181.8605776877</v>
      </c>
      <c r="D139" s="189" t="s">
        <v>1157</v>
      </c>
      <c r="E139" s="189" t="s">
        <v>1158</v>
      </c>
      <c r="F139" s="189" t="s">
        <v>1158</v>
      </c>
      <c r="G139" s="189" t="s">
        <v>1159</v>
      </c>
      <c r="H139" s="185" t="n">
        <v>46164</v>
      </c>
      <c r="I139" s="189" t="s">
        <v>113</v>
      </c>
      <c r="J139" s="189" t="s">
        <v>108</v>
      </c>
      <c r="K139" s="189" t="s">
        <v>364</v>
      </c>
      <c r="L139" s="189" t="s">
        <v>246</v>
      </c>
      <c r="M139" s="189" t="s">
        <v>144</v>
      </c>
      <c r="N139" s="189" t="s">
        <v>1160</v>
      </c>
      <c r="O139" s="189" t="s">
        <v>172</v>
      </c>
      <c r="P139" s="189" t="s">
        <v>131</v>
      </c>
      <c r="Q139" s="189" t="s">
        <v>145</v>
      </c>
      <c r="R139" s="189" t="s">
        <v>22</v>
      </c>
      <c r="S139" s="189" t="s">
        <v>152</v>
      </c>
      <c r="T139" s="189" t="s">
        <v>121</v>
      </c>
      <c r="U139" s="189" t="s">
        <v>122</v>
      </c>
      <c r="V139" s="189" t="s">
        <v>123</v>
      </c>
      <c r="W139" s="189" t="s">
        <v>168</v>
      </c>
      <c r="X139" s="189" t="s">
        <v>135</v>
      </c>
      <c r="Y139" s="189" t="s">
        <v>135</v>
      </c>
      <c r="Z139" s="189" t="s">
        <v>2245</v>
      </c>
      <c r="AA139" s="189" t="s">
        <v>2227</v>
      </c>
      <c r="AB139" s="189" t="s">
        <v>2115</v>
      </c>
      <c r="AG139" s="189" t="s">
        <v>122</v>
      </c>
    </row>
    <row r="140" customFormat="false" ht="15" hidden="false" customHeight="true" outlineLevel="0" collapsed="false">
      <c r="A140" s="0" t="n">
        <v>139</v>
      </c>
      <c r="B140" s="185" t="n">
        <v>46055.4180430237</v>
      </c>
      <c r="C140" s="185" t="n">
        <v>46055.4381356163</v>
      </c>
      <c r="D140" s="189" t="s">
        <v>1163</v>
      </c>
      <c r="E140" s="189" t="s">
        <v>1164</v>
      </c>
      <c r="F140" s="189" t="s">
        <v>1164</v>
      </c>
      <c r="G140" s="189" t="s">
        <v>1165</v>
      </c>
      <c r="H140" s="185" t="n">
        <v>46052</v>
      </c>
      <c r="I140" s="189" t="s">
        <v>113</v>
      </c>
      <c r="J140" s="189" t="s">
        <v>108</v>
      </c>
      <c r="K140" s="189" t="s">
        <v>1166</v>
      </c>
      <c r="L140" s="189" t="s">
        <v>144</v>
      </c>
      <c r="M140" s="189" t="s">
        <v>185</v>
      </c>
      <c r="N140" s="189" t="s">
        <v>1028</v>
      </c>
      <c r="O140" s="189" t="s">
        <v>244</v>
      </c>
      <c r="P140" s="189" t="s">
        <v>111</v>
      </c>
      <c r="Q140" s="189" t="s">
        <v>112</v>
      </c>
      <c r="R140" s="189" t="s">
        <v>22</v>
      </c>
      <c r="S140" s="189" t="s">
        <v>152</v>
      </c>
      <c r="T140" s="189" t="s">
        <v>180</v>
      </c>
      <c r="U140" s="189" t="s">
        <v>122</v>
      </c>
      <c r="V140" s="189" t="s">
        <v>192</v>
      </c>
      <c r="W140" s="189" t="s">
        <v>168</v>
      </c>
      <c r="X140" s="189" t="s">
        <v>116</v>
      </c>
      <c r="Y140" s="189" t="s">
        <v>116</v>
      </c>
      <c r="Z140" s="189" t="s">
        <v>2109</v>
      </c>
      <c r="AA140" s="189" t="s">
        <v>2183</v>
      </c>
      <c r="AG140" s="189" t="s">
        <v>2184</v>
      </c>
      <c r="AH140" s="189" t="s">
        <v>2127</v>
      </c>
    </row>
    <row r="141" customFormat="false" ht="15" hidden="false" customHeight="true" outlineLevel="0" collapsed="false">
      <c r="A141" s="0" t="n">
        <v>140</v>
      </c>
      <c r="B141" s="185" t="n">
        <v>46199.6184828928</v>
      </c>
      <c r="C141" s="185" t="n">
        <v>46199.6226842817</v>
      </c>
      <c r="D141" s="189" t="s">
        <v>1169</v>
      </c>
      <c r="E141" s="189" t="s">
        <v>1170</v>
      </c>
      <c r="F141" s="189" t="s">
        <v>1170</v>
      </c>
      <c r="G141" s="189" t="s">
        <v>1171</v>
      </c>
      <c r="H141" s="185" t="n">
        <v>46194</v>
      </c>
      <c r="I141" s="189" t="s">
        <v>132</v>
      </c>
      <c r="J141" s="189" t="s">
        <v>108</v>
      </c>
      <c r="K141" s="189" t="s">
        <v>173</v>
      </c>
      <c r="L141" s="189" t="s">
        <v>268</v>
      </c>
      <c r="M141" s="189" t="s">
        <v>484</v>
      </c>
      <c r="N141" s="189" t="s">
        <v>337</v>
      </c>
      <c r="O141" s="189" t="s">
        <v>107</v>
      </c>
      <c r="P141" s="189" t="s">
        <v>111</v>
      </c>
      <c r="Q141" s="189" t="s">
        <v>112</v>
      </c>
      <c r="R141" s="189" t="s">
        <v>22</v>
      </c>
      <c r="S141" s="189" t="s">
        <v>152</v>
      </c>
      <c r="T141" s="189" t="s">
        <v>121</v>
      </c>
      <c r="U141" s="189" t="s">
        <v>1174</v>
      </c>
      <c r="V141" s="189" t="s">
        <v>192</v>
      </c>
      <c r="W141" s="189" t="s">
        <v>124</v>
      </c>
      <c r="X141" s="189" t="s">
        <v>339</v>
      </c>
      <c r="Y141" s="189" t="s">
        <v>339</v>
      </c>
      <c r="Z141" s="189" t="s">
        <v>2260</v>
      </c>
      <c r="AG141" s="189" t="s">
        <v>122</v>
      </c>
    </row>
    <row r="142" customFormat="false" ht="15" hidden="false" customHeight="true" outlineLevel="0" collapsed="false">
      <c r="A142" s="0" t="n">
        <v>141</v>
      </c>
      <c r="B142" s="185" t="n">
        <v>46137.5845148672</v>
      </c>
      <c r="C142" s="185" t="n">
        <v>46137.6010773672</v>
      </c>
      <c r="D142" s="189" t="s">
        <v>1176</v>
      </c>
      <c r="E142" s="189" t="s">
        <v>1177</v>
      </c>
      <c r="F142" s="189" t="s">
        <v>1177</v>
      </c>
      <c r="G142" s="189" t="s">
        <v>1178</v>
      </c>
      <c r="H142" s="185" t="n">
        <v>46131</v>
      </c>
      <c r="I142" s="189" t="s">
        <v>113</v>
      </c>
      <c r="J142" s="189" t="s">
        <v>128</v>
      </c>
      <c r="K142" s="189" t="s">
        <v>143</v>
      </c>
      <c r="L142" s="189" t="s">
        <v>197</v>
      </c>
      <c r="M142" s="189" t="s">
        <v>515</v>
      </c>
      <c r="N142" s="189" t="s">
        <v>939</v>
      </c>
      <c r="O142" s="189" t="s">
        <v>157</v>
      </c>
      <c r="P142" s="189" t="s">
        <v>111</v>
      </c>
      <c r="Q142" s="189" t="s">
        <v>112</v>
      </c>
      <c r="R142" s="189" t="s">
        <v>22</v>
      </c>
      <c r="S142" s="189" t="s">
        <v>120</v>
      </c>
      <c r="T142" s="189" t="s">
        <v>121</v>
      </c>
      <c r="V142" s="189" t="s">
        <v>192</v>
      </c>
      <c r="W142" s="189" t="s">
        <v>139</v>
      </c>
      <c r="X142" s="189" t="s">
        <v>271</v>
      </c>
      <c r="Y142" s="189" t="s">
        <v>271</v>
      </c>
      <c r="Z142" s="189" t="s">
        <v>2159</v>
      </c>
      <c r="AG142" s="189" t="s">
        <v>2163</v>
      </c>
      <c r="AH142" s="189" t="s">
        <v>122</v>
      </c>
    </row>
    <row r="143" customFormat="false" ht="15" hidden="false" customHeight="true" outlineLevel="0" collapsed="false">
      <c r="A143" s="0" t="n">
        <v>142</v>
      </c>
      <c r="B143" s="185" t="n">
        <v>46147.9672672387</v>
      </c>
      <c r="C143" s="185" t="n">
        <v>46147.982463998</v>
      </c>
      <c r="D143" s="189" t="s">
        <v>1182</v>
      </c>
      <c r="E143" s="189" t="s">
        <v>1183</v>
      </c>
      <c r="F143" s="189" t="s">
        <v>1183</v>
      </c>
      <c r="G143" s="189" t="s">
        <v>1184</v>
      </c>
      <c r="H143" s="185" t="n">
        <v>46139</v>
      </c>
      <c r="I143" s="189" t="s">
        <v>113</v>
      </c>
      <c r="J143" s="189" t="s">
        <v>128</v>
      </c>
      <c r="K143" s="189" t="s">
        <v>245</v>
      </c>
      <c r="L143" s="189" t="s">
        <v>246</v>
      </c>
      <c r="M143" s="189" t="s">
        <v>365</v>
      </c>
      <c r="N143" s="189" t="s">
        <v>115</v>
      </c>
      <c r="O143" s="189" t="s">
        <v>107</v>
      </c>
      <c r="P143" s="189" t="s">
        <v>111</v>
      </c>
      <c r="Q143" s="189" t="s">
        <v>112</v>
      </c>
      <c r="R143" s="189" t="s">
        <v>22</v>
      </c>
      <c r="S143" s="189" t="s">
        <v>227</v>
      </c>
      <c r="T143" s="189" t="s">
        <v>121</v>
      </c>
      <c r="U143" s="189" t="s">
        <v>122</v>
      </c>
      <c r="V143" s="189" t="s">
        <v>123</v>
      </c>
      <c r="W143" s="189" t="s">
        <v>124</v>
      </c>
      <c r="X143" s="189" t="s">
        <v>148</v>
      </c>
      <c r="Y143" s="189" t="s">
        <v>148</v>
      </c>
      <c r="Z143" s="189" t="s">
        <v>2230</v>
      </c>
      <c r="AA143" s="189" t="s">
        <v>2120</v>
      </c>
      <c r="AB143" s="189" t="s">
        <v>2166</v>
      </c>
      <c r="AG143" s="189" t="s">
        <v>2138</v>
      </c>
      <c r="AH143" s="189" t="s">
        <v>122</v>
      </c>
    </row>
    <row r="144" customFormat="false" ht="15" hidden="false" customHeight="false" outlineLevel="0" collapsed="false">
      <c r="A144" s="0" t="n">
        <v>143</v>
      </c>
      <c r="B144" s="188" t="n">
        <v>46077.5784561181</v>
      </c>
      <c r="C144" s="188" t="n">
        <v>46077.5958866736</v>
      </c>
      <c r="D144" s="189" t="s">
        <v>1188</v>
      </c>
      <c r="E144" s="189" t="s">
        <v>1189</v>
      </c>
      <c r="F144" s="189" t="s">
        <v>1189</v>
      </c>
      <c r="G144" s="189" t="s">
        <v>1190</v>
      </c>
      <c r="H144" s="188" t="n">
        <v>46067</v>
      </c>
      <c r="I144" s="189" t="s">
        <v>325</v>
      </c>
      <c r="J144" s="189" t="s">
        <v>108</v>
      </c>
      <c r="K144" s="189" t="s">
        <v>232</v>
      </c>
      <c r="L144" s="189" t="s">
        <v>184</v>
      </c>
      <c r="M144" s="189" t="s">
        <v>612</v>
      </c>
      <c r="N144" s="189" t="s">
        <v>1006</v>
      </c>
      <c r="O144" s="189" t="s">
        <v>172</v>
      </c>
      <c r="P144" s="189" t="s">
        <v>111</v>
      </c>
      <c r="Q144" s="189" t="s">
        <v>112</v>
      </c>
      <c r="R144" s="189" t="s">
        <v>22</v>
      </c>
      <c r="S144" s="189" t="s">
        <v>120</v>
      </c>
      <c r="T144" s="189" t="s">
        <v>228</v>
      </c>
      <c r="V144" s="189" t="s">
        <v>192</v>
      </c>
      <c r="W144" s="189" t="s">
        <v>168</v>
      </c>
      <c r="X144" s="189" t="s">
        <v>298</v>
      </c>
      <c r="Y144" s="189" t="s">
        <v>298</v>
      </c>
      <c r="Z144" s="189" t="s">
        <v>2251</v>
      </c>
      <c r="AA144" s="189" t="s">
        <v>2168</v>
      </c>
      <c r="AG144" s="189" t="s">
        <v>2259</v>
      </c>
      <c r="AH144" s="189" t="s">
        <v>2313</v>
      </c>
    </row>
    <row r="145" customFormat="false" ht="28.35" hidden="false" customHeight="false" outlineLevel="0" collapsed="false">
      <c r="A145" s="0" t="n">
        <v>144</v>
      </c>
      <c r="B145" s="188" t="n">
        <v>46108.3608912508</v>
      </c>
      <c r="C145" s="188" t="n">
        <v>46108.3769329175</v>
      </c>
      <c r="D145" s="189" t="s">
        <v>1193</v>
      </c>
      <c r="E145" s="189" t="s">
        <v>1194</v>
      </c>
      <c r="F145" s="189" t="s">
        <v>1194</v>
      </c>
      <c r="G145" s="189" t="s">
        <v>1195</v>
      </c>
      <c r="H145" s="188" t="n">
        <v>46105</v>
      </c>
      <c r="I145" s="189" t="s">
        <v>113</v>
      </c>
      <c r="J145" s="189" t="s">
        <v>108</v>
      </c>
      <c r="K145" s="189" t="s">
        <v>196</v>
      </c>
      <c r="L145" s="189" t="s">
        <v>246</v>
      </c>
      <c r="M145" s="189" t="s">
        <v>492</v>
      </c>
      <c r="N145" s="189" t="s">
        <v>227</v>
      </c>
      <c r="O145" s="189" t="s">
        <v>107</v>
      </c>
      <c r="P145" s="189" t="s">
        <v>111</v>
      </c>
      <c r="Q145" s="189" t="s">
        <v>112</v>
      </c>
      <c r="R145" s="189" t="s">
        <v>22</v>
      </c>
      <c r="S145" s="189" t="s">
        <v>152</v>
      </c>
      <c r="T145" s="189" t="s">
        <v>121</v>
      </c>
      <c r="U145" s="132" t="s">
        <v>969</v>
      </c>
      <c r="V145" s="189" t="s">
        <v>192</v>
      </c>
      <c r="W145" s="189" t="s">
        <v>124</v>
      </c>
      <c r="X145" s="189" t="s">
        <v>381</v>
      </c>
      <c r="Y145" s="189" t="s">
        <v>381</v>
      </c>
      <c r="Z145" s="189" t="s">
        <v>2224</v>
      </c>
      <c r="AA145" s="189" t="s">
        <v>2293</v>
      </c>
      <c r="AB145" s="189" t="s">
        <v>2203</v>
      </c>
      <c r="AG145" s="189" t="s">
        <v>2206</v>
      </c>
    </row>
    <row r="146" customFormat="false" ht="15" hidden="false" customHeight="false" outlineLevel="0" collapsed="false">
      <c r="A146" s="0" t="n">
        <v>145</v>
      </c>
      <c r="B146" s="188" t="n">
        <v>46076.0473062201</v>
      </c>
      <c r="C146" s="188" t="n">
        <v>46076.0652460349</v>
      </c>
      <c r="D146" s="189" t="s">
        <v>1198</v>
      </c>
      <c r="E146" s="189" t="s">
        <v>1199</v>
      </c>
      <c r="F146" s="189" t="s">
        <v>1199</v>
      </c>
      <c r="G146" s="189" t="s">
        <v>1200</v>
      </c>
      <c r="H146" s="188" t="n">
        <v>46076</v>
      </c>
      <c r="I146" s="189" t="s">
        <v>113</v>
      </c>
      <c r="J146" s="189" t="s">
        <v>108</v>
      </c>
      <c r="K146" s="189" t="s">
        <v>257</v>
      </c>
      <c r="L146" s="189" t="s">
        <v>491</v>
      </c>
      <c r="M146" s="189" t="s">
        <v>286</v>
      </c>
      <c r="N146" s="189" t="s">
        <v>357</v>
      </c>
      <c r="O146" s="189" t="s">
        <v>107</v>
      </c>
      <c r="P146" s="189" t="s">
        <v>111</v>
      </c>
      <c r="Q146" s="189" t="s">
        <v>112</v>
      </c>
      <c r="R146" s="189" t="s">
        <v>22</v>
      </c>
      <c r="S146" s="189" t="s">
        <v>152</v>
      </c>
      <c r="T146" s="189" t="s">
        <v>121</v>
      </c>
      <c r="U146" s="189" t="s">
        <v>122</v>
      </c>
      <c r="V146" s="189" t="s">
        <v>123</v>
      </c>
      <c r="W146" s="189" t="s">
        <v>124</v>
      </c>
      <c r="X146" s="189" t="s">
        <v>271</v>
      </c>
      <c r="Y146" s="189" t="s">
        <v>271</v>
      </c>
      <c r="Z146" s="189" t="s">
        <v>2274</v>
      </c>
      <c r="AA146" s="189" t="s">
        <v>2179</v>
      </c>
      <c r="AG146" s="189" t="s">
        <v>2163</v>
      </c>
      <c r="AH146" s="189" t="s">
        <v>122</v>
      </c>
    </row>
    <row r="147" customFormat="false" ht="15" hidden="false" customHeight="false" outlineLevel="0" collapsed="false">
      <c r="A147" s="0" t="n">
        <v>146</v>
      </c>
      <c r="B147" s="188" t="n">
        <v>46159.2597595003</v>
      </c>
      <c r="C147" s="188" t="n">
        <v>46159.270176167</v>
      </c>
      <c r="D147" s="189" t="s">
        <v>1202</v>
      </c>
      <c r="E147" s="189" t="s">
        <v>1203</v>
      </c>
      <c r="F147" s="189" t="s">
        <v>1204</v>
      </c>
      <c r="G147" s="189" t="s">
        <v>1205</v>
      </c>
      <c r="H147" s="188" t="n">
        <v>46155</v>
      </c>
      <c r="I147" s="189" t="s">
        <v>113</v>
      </c>
      <c r="J147" s="189" t="s">
        <v>108</v>
      </c>
      <c r="K147" s="189" t="s">
        <v>364</v>
      </c>
      <c r="L147" s="189" t="s">
        <v>233</v>
      </c>
      <c r="M147" s="189" t="s">
        <v>774</v>
      </c>
      <c r="N147" s="189" t="s">
        <v>347</v>
      </c>
      <c r="O147" s="189" t="s">
        <v>172</v>
      </c>
      <c r="P147" s="189" t="s">
        <v>111</v>
      </c>
      <c r="Q147" s="189" t="s">
        <v>112</v>
      </c>
      <c r="R147" s="189" t="s">
        <v>24</v>
      </c>
      <c r="S147" s="189" t="s">
        <v>120</v>
      </c>
      <c r="T147" s="189" t="s">
        <v>121</v>
      </c>
      <c r="V147" s="189" t="s">
        <v>192</v>
      </c>
      <c r="W147" s="189" t="s">
        <v>139</v>
      </c>
      <c r="X147" s="189" t="s">
        <v>260</v>
      </c>
      <c r="Y147" s="189" t="s">
        <v>260</v>
      </c>
      <c r="Z147" s="189" t="s">
        <v>2307</v>
      </c>
      <c r="AA147" s="189" t="s">
        <v>2303</v>
      </c>
      <c r="AG147" s="189" t="s">
        <v>2304</v>
      </c>
      <c r="AH147" s="189" t="s">
        <v>606</v>
      </c>
    </row>
    <row r="148" customFormat="false" ht="15" hidden="false" customHeight="false" outlineLevel="0" collapsed="false">
      <c r="A148" s="0" t="n">
        <v>147</v>
      </c>
      <c r="B148" s="188" t="n">
        <v>46199.6015208691</v>
      </c>
      <c r="C148" s="188" t="n">
        <v>46199.619009295</v>
      </c>
      <c r="D148" s="189" t="s">
        <v>1208</v>
      </c>
      <c r="E148" s="189" t="s">
        <v>1209</v>
      </c>
      <c r="F148" s="189" t="s">
        <v>1209</v>
      </c>
      <c r="G148" s="189" t="s">
        <v>1210</v>
      </c>
      <c r="H148" s="188" t="n">
        <v>46181</v>
      </c>
      <c r="I148" s="189" t="s">
        <v>325</v>
      </c>
      <c r="J148" s="189" t="s">
        <v>108</v>
      </c>
      <c r="K148" s="189" t="s">
        <v>232</v>
      </c>
      <c r="L148" s="189" t="s">
        <v>491</v>
      </c>
      <c r="M148" s="189" t="s">
        <v>130</v>
      </c>
      <c r="N148" s="189" t="s">
        <v>560</v>
      </c>
      <c r="O148" s="189" t="s">
        <v>244</v>
      </c>
      <c r="P148" s="189" t="s">
        <v>111</v>
      </c>
      <c r="Q148" s="189" t="s">
        <v>112</v>
      </c>
      <c r="R148" s="189" t="s">
        <v>22</v>
      </c>
      <c r="S148" s="189" t="s">
        <v>152</v>
      </c>
      <c r="T148" s="189" t="s">
        <v>121</v>
      </c>
      <c r="V148" s="189" t="s">
        <v>123</v>
      </c>
      <c r="W148" s="189" t="s">
        <v>124</v>
      </c>
      <c r="X148" s="189" t="s">
        <v>715</v>
      </c>
      <c r="Y148" s="189" t="s">
        <v>715</v>
      </c>
      <c r="Z148" s="189" t="s">
        <v>2300</v>
      </c>
      <c r="AA148" s="189" t="s">
        <v>2268</v>
      </c>
      <c r="AG148" s="189" t="s">
        <v>2298</v>
      </c>
    </row>
    <row r="149" customFormat="false" ht="15" hidden="false" customHeight="false" outlineLevel="0" collapsed="false">
      <c r="A149" s="0" t="n">
        <v>148</v>
      </c>
      <c r="B149" s="188" t="n">
        <v>46064.0824913775</v>
      </c>
      <c r="C149" s="188" t="n">
        <v>46064.0924798034</v>
      </c>
      <c r="D149" s="189" t="s">
        <v>1213</v>
      </c>
      <c r="E149" s="189" t="s">
        <v>1214</v>
      </c>
      <c r="F149" s="189" t="s">
        <v>1214</v>
      </c>
      <c r="G149" s="189" t="s">
        <v>1215</v>
      </c>
      <c r="H149" s="188" t="n">
        <v>46050</v>
      </c>
      <c r="I149" s="189" t="s">
        <v>325</v>
      </c>
      <c r="J149" s="189" t="s">
        <v>108</v>
      </c>
      <c r="K149" s="189" t="s">
        <v>1216</v>
      </c>
      <c r="L149" s="189" t="s">
        <v>184</v>
      </c>
      <c r="M149" s="189" t="s">
        <v>1120</v>
      </c>
      <c r="N149" s="189" t="s">
        <v>1078</v>
      </c>
      <c r="O149" s="189" t="s">
        <v>172</v>
      </c>
      <c r="P149" s="189" t="s">
        <v>111</v>
      </c>
      <c r="Q149" s="189" t="s">
        <v>247</v>
      </c>
      <c r="R149" s="189" t="s">
        <v>22</v>
      </c>
      <c r="S149" s="189" t="s">
        <v>152</v>
      </c>
      <c r="T149" s="189" t="s">
        <v>814</v>
      </c>
      <c r="U149" s="189" t="s">
        <v>122</v>
      </c>
      <c r="V149" s="189" t="s">
        <v>123</v>
      </c>
      <c r="W149" s="189" t="s">
        <v>139</v>
      </c>
      <c r="X149" s="189" t="s">
        <v>148</v>
      </c>
      <c r="Y149" s="189" t="s">
        <v>148</v>
      </c>
      <c r="Z149" s="189" t="s">
        <v>2326</v>
      </c>
      <c r="AG149" s="189" t="s">
        <v>2124</v>
      </c>
    </row>
    <row r="150" customFormat="false" ht="15" hidden="false" customHeight="false" outlineLevel="0" collapsed="false">
      <c r="A150" s="0" t="n">
        <v>149</v>
      </c>
      <c r="B150" s="188" t="n">
        <v>46159.4957708449</v>
      </c>
      <c r="C150" s="188" t="n">
        <v>46159.507657419</v>
      </c>
      <c r="D150" s="189" t="s">
        <v>1220</v>
      </c>
      <c r="E150" s="189" t="s">
        <v>1221</v>
      </c>
      <c r="F150" s="189" t="s">
        <v>1222</v>
      </c>
      <c r="G150" s="189" t="s">
        <v>1223</v>
      </c>
      <c r="H150" s="188" t="n">
        <v>46143</v>
      </c>
      <c r="I150" s="189" t="s">
        <v>863</v>
      </c>
      <c r="J150" s="189" t="s">
        <v>108</v>
      </c>
      <c r="K150" s="189" t="s">
        <v>257</v>
      </c>
      <c r="L150" s="189" t="s">
        <v>389</v>
      </c>
      <c r="M150" s="189" t="s">
        <v>757</v>
      </c>
      <c r="N150" s="189" t="s">
        <v>1224</v>
      </c>
      <c r="O150" s="189" t="s">
        <v>157</v>
      </c>
      <c r="P150" s="189" t="s">
        <v>111</v>
      </c>
      <c r="Q150" s="189" t="s">
        <v>145</v>
      </c>
      <c r="R150" s="189" t="s">
        <v>22</v>
      </c>
      <c r="S150" s="189" t="s">
        <v>152</v>
      </c>
      <c r="T150" s="189" t="s">
        <v>352</v>
      </c>
      <c r="V150" s="189" t="s">
        <v>123</v>
      </c>
      <c r="W150" s="189" t="s">
        <v>124</v>
      </c>
      <c r="X150" s="189" t="s">
        <v>116</v>
      </c>
      <c r="Y150" s="189" t="s">
        <v>116</v>
      </c>
      <c r="Z150" s="189" t="s">
        <v>2109</v>
      </c>
      <c r="AG150" s="189" t="s">
        <v>2152</v>
      </c>
      <c r="AH150" s="189" t="s">
        <v>2127</v>
      </c>
    </row>
    <row r="151" customFormat="false" ht="15" hidden="false" customHeight="false" outlineLevel="0" collapsed="false">
      <c r="A151" s="0" t="n">
        <v>150</v>
      </c>
      <c r="B151" s="188" t="n">
        <v>46142.9519154446</v>
      </c>
      <c r="C151" s="188" t="n">
        <v>46142.9614524817</v>
      </c>
      <c r="D151" s="189" t="s">
        <v>1226</v>
      </c>
      <c r="E151" s="189" t="s">
        <v>1227</v>
      </c>
      <c r="F151" s="189" t="s">
        <v>1227</v>
      </c>
      <c r="G151" s="189" t="s">
        <v>1228</v>
      </c>
      <c r="H151" s="188" t="n">
        <v>46142</v>
      </c>
      <c r="I151" s="189" t="s">
        <v>113</v>
      </c>
      <c r="J151" s="189" t="s">
        <v>108</v>
      </c>
      <c r="K151" s="189" t="s">
        <v>232</v>
      </c>
      <c r="L151" s="189" t="s">
        <v>246</v>
      </c>
      <c r="M151" s="189" t="s">
        <v>447</v>
      </c>
      <c r="N151" s="189" t="s">
        <v>1229</v>
      </c>
      <c r="O151" s="189" t="s">
        <v>244</v>
      </c>
      <c r="P151" s="189" t="s">
        <v>111</v>
      </c>
      <c r="Q151" s="189" t="s">
        <v>145</v>
      </c>
      <c r="R151" s="189" t="s">
        <v>22</v>
      </c>
      <c r="S151" s="189" t="s">
        <v>152</v>
      </c>
      <c r="T151" s="189" t="s">
        <v>121</v>
      </c>
      <c r="U151" s="189" t="s">
        <v>122</v>
      </c>
      <c r="V151" s="189" t="s">
        <v>167</v>
      </c>
      <c r="W151" s="189" t="s">
        <v>168</v>
      </c>
      <c r="X151" s="189" t="s">
        <v>176</v>
      </c>
      <c r="Y151" s="189" t="s">
        <v>176</v>
      </c>
      <c r="Z151" s="189" t="s">
        <v>2248</v>
      </c>
      <c r="AA151" s="189" t="s">
        <v>2288</v>
      </c>
      <c r="AG151" s="189" t="s">
        <v>2330</v>
      </c>
      <c r="AH151" s="189" t="s">
        <v>2286</v>
      </c>
    </row>
    <row r="152" customFormat="false" ht="15" hidden="false" customHeight="false" outlineLevel="0" collapsed="false">
      <c r="A152" s="0" t="n">
        <v>151</v>
      </c>
      <c r="B152" s="188" t="n">
        <v>46038.5191240476</v>
      </c>
      <c r="C152" s="188" t="n">
        <v>46038.5396796032</v>
      </c>
      <c r="D152" s="189" t="s">
        <v>1233</v>
      </c>
      <c r="E152" s="189" t="s">
        <v>1234</v>
      </c>
      <c r="F152" s="189" t="s">
        <v>1234</v>
      </c>
      <c r="G152" s="189" t="s">
        <v>1235</v>
      </c>
      <c r="H152" s="188" t="n">
        <v>46036</v>
      </c>
      <c r="I152" s="189" t="s">
        <v>113</v>
      </c>
      <c r="J152" s="189" t="s">
        <v>108</v>
      </c>
      <c r="K152" s="189" t="s">
        <v>196</v>
      </c>
      <c r="L152" s="189" t="s">
        <v>346</v>
      </c>
      <c r="M152" s="189" t="s">
        <v>248</v>
      </c>
      <c r="N152" s="189" t="s">
        <v>945</v>
      </c>
      <c r="O152" s="189" t="s">
        <v>107</v>
      </c>
      <c r="P152" s="189" t="s">
        <v>111</v>
      </c>
      <c r="Q152" s="189" t="s">
        <v>112</v>
      </c>
      <c r="R152" s="189" t="s">
        <v>25</v>
      </c>
      <c r="S152" s="189" t="s">
        <v>152</v>
      </c>
      <c r="T152" s="189" t="s">
        <v>121</v>
      </c>
      <c r="V152" s="189" t="s">
        <v>192</v>
      </c>
      <c r="W152" s="189" t="s">
        <v>124</v>
      </c>
      <c r="X152" s="189" t="s">
        <v>327</v>
      </c>
      <c r="Y152" s="189" t="s">
        <v>327</v>
      </c>
      <c r="Z152" s="189" t="s">
        <v>2125</v>
      </c>
      <c r="AG152" s="189" t="s">
        <v>122</v>
      </c>
      <c r="AH152" s="189" t="s">
        <v>2114</v>
      </c>
    </row>
    <row r="153" customFormat="false" ht="15" hidden="false" customHeight="false" outlineLevel="0" collapsed="false">
      <c r="A153" s="0" t="n">
        <v>152</v>
      </c>
      <c r="B153" s="188" t="n">
        <v>46138.9748635186</v>
      </c>
      <c r="C153" s="188" t="n">
        <v>46138.9781505556</v>
      </c>
      <c r="D153" s="189" t="s">
        <v>1236</v>
      </c>
      <c r="E153" s="189" t="s">
        <v>1237</v>
      </c>
      <c r="F153" s="189" t="s">
        <v>1237</v>
      </c>
      <c r="G153" s="189" t="s">
        <v>1238</v>
      </c>
      <c r="H153" s="188" t="n">
        <v>46134</v>
      </c>
      <c r="I153" s="189" t="s">
        <v>113</v>
      </c>
      <c r="J153" s="189" t="s">
        <v>295</v>
      </c>
      <c r="K153" s="189" t="s">
        <v>500</v>
      </c>
      <c r="L153" s="189" t="s">
        <v>389</v>
      </c>
      <c r="M153" s="189" t="s">
        <v>212</v>
      </c>
      <c r="N153" s="189" t="s">
        <v>432</v>
      </c>
      <c r="O153" s="189" t="s">
        <v>107</v>
      </c>
      <c r="P153" s="189" t="s">
        <v>111</v>
      </c>
      <c r="Q153" s="189" t="s">
        <v>145</v>
      </c>
      <c r="R153" s="189" t="s">
        <v>21</v>
      </c>
      <c r="S153" s="189" t="s">
        <v>152</v>
      </c>
      <c r="T153" s="189" t="s">
        <v>352</v>
      </c>
      <c r="U153" s="189" t="s">
        <v>122</v>
      </c>
      <c r="V153" s="189" t="s">
        <v>192</v>
      </c>
      <c r="W153" s="189" t="s">
        <v>124</v>
      </c>
      <c r="X153" s="189" t="s">
        <v>307</v>
      </c>
      <c r="Y153" s="189" t="s">
        <v>307</v>
      </c>
      <c r="Z153" s="189" t="s">
        <v>2175</v>
      </c>
      <c r="AA153" s="189" t="s">
        <v>2173</v>
      </c>
      <c r="AB153" s="189" t="s">
        <v>2174</v>
      </c>
      <c r="AG153" s="189" t="s">
        <v>2177</v>
      </c>
    </row>
    <row r="154" customFormat="false" ht="15" hidden="false" customHeight="false" outlineLevel="0" collapsed="false">
      <c r="A154" s="0" t="n">
        <v>153</v>
      </c>
      <c r="B154" s="188" t="n">
        <v>46066.9236630401</v>
      </c>
      <c r="C154" s="188" t="n">
        <v>46066.9260472993</v>
      </c>
      <c r="D154" s="189" t="s">
        <v>1239</v>
      </c>
      <c r="E154" s="189" t="s">
        <v>1240</v>
      </c>
      <c r="F154" s="189" t="s">
        <v>1240</v>
      </c>
      <c r="G154" s="189" t="s">
        <v>1241</v>
      </c>
      <c r="H154" s="188" t="n">
        <v>46050</v>
      </c>
      <c r="I154" s="189" t="s">
        <v>113</v>
      </c>
      <c r="J154" s="189" t="s">
        <v>108</v>
      </c>
      <c r="K154" s="189" t="s">
        <v>1242</v>
      </c>
      <c r="L154" s="189" t="s">
        <v>491</v>
      </c>
      <c r="M154" s="189" t="s">
        <v>566</v>
      </c>
      <c r="N154" s="189" t="s">
        <v>1243</v>
      </c>
      <c r="O154" s="189" t="s">
        <v>107</v>
      </c>
      <c r="P154" s="189" t="s">
        <v>131</v>
      </c>
      <c r="Q154" s="189" t="s">
        <v>145</v>
      </c>
      <c r="R154" s="189" t="s">
        <v>22</v>
      </c>
      <c r="S154" s="189" t="s">
        <v>227</v>
      </c>
      <c r="T154" s="189" t="s">
        <v>180</v>
      </c>
      <c r="U154" s="189" t="s">
        <v>1245</v>
      </c>
      <c r="V154" s="189" t="s">
        <v>123</v>
      </c>
      <c r="W154" s="189" t="s">
        <v>168</v>
      </c>
      <c r="X154" s="189" t="s">
        <v>271</v>
      </c>
      <c r="Y154" s="189" t="s">
        <v>271</v>
      </c>
      <c r="Z154" s="189" t="s">
        <v>2274</v>
      </c>
      <c r="AG154" s="189" t="s">
        <v>2162</v>
      </c>
      <c r="AH154" s="189" t="s">
        <v>122</v>
      </c>
    </row>
    <row r="155" customFormat="false" ht="15" hidden="false" customHeight="false" outlineLevel="0" collapsed="false">
      <c r="A155" s="0" t="n">
        <v>154</v>
      </c>
      <c r="B155" s="188" t="n">
        <v>46108.3299579017</v>
      </c>
      <c r="C155" s="188" t="n">
        <v>46108.339367624</v>
      </c>
      <c r="D155" s="189" t="s">
        <v>1246</v>
      </c>
      <c r="E155" s="189" t="s">
        <v>1247</v>
      </c>
      <c r="F155" s="189" t="s">
        <v>1247</v>
      </c>
      <c r="G155" s="189" t="s">
        <v>1248</v>
      </c>
      <c r="H155" s="188" t="n">
        <v>46107</v>
      </c>
      <c r="I155" s="189" t="s">
        <v>113</v>
      </c>
      <c r="J155" s="189" t="s">
        <v>108</v>
      </c>
      <c r="K155" s="189" t="s">
        <v>462</v>
      </c>
      <c r="L155" s="189" t="s">
        <v>431</v>
      </c>
      <c r="M155" s="189" t="s">
        <v>789</v>
      </c>
      <c r="N155" s="189" t="s">
        <v>1140</v>
      </c>
      <c r="O155" s="189" t="s">
        <v>172</v>
      </c>
      <c r="P155" s="189" t="s">
        <v>111</v>
      </c>
      <c r="Q155" s="189" t="s">
        <v>112</v>
      </c>
      <c r="R155" s="189" t="s">
        <v>22</v>
      </c>
      <c r="S155" s="189" t="s">
        <v>120</v>
      </c>
      <c r="T155" s="189" t="s">
        <v>180</v>
      </c>
      <c r="V155" s="189" t="s">
        <v>192</v>
      </c>
      <c r="W155" s="189" t="s">
        <v>124</v>
      </c>
      <c r="X155" s="189" t="s">
        <v>381</v>
      </c>
      <c r="Y155" s="189" t="s">
        <v>381</v>
      </c>
      <c r="Z155" s="189" t="s">
        <v>2293</v>
      </c>
      <c r="AA155" s="189" t="s">
        <v>2203</v>
      </c>
      <c r="AB155" s="189" t="s">
        <v>2277</v>
      </c>
      <c r="AG155" s="189" t="s">
        <v>2206</v>
      </c>
      <c r="AH155" s="189" t="s">
        <v>2278</v>
      </c>
    </row>
    <row r="156" customFormat="false" ht="15" hidden="false" customHeight="false" outlineLevel="0" collapsed="false">
      <c r="A156" s="0" t="n">
        <v>155</v>
      </c>
      <c r="B156" s="188" t="n">
        <v>46093.9940285653</v>
      </c>
      <c r="C156" s="188" t="n">
        <v>46094.009607269</v>
      </c>
      <c r="D156" s="189" t="s">
        <v>1251</v>
      </c>
      <c r="E156" s="189" t="s">
        <v>1252</v>
      </c>
      <c r="F156" s="189" t="s">
        <v>1252</v>
      </c>
      <c r="G156" s="189" t="s">
        <v>1253</v>
      </c>
      <c r="H156" s="188" t="n">
        <v>46077</v>
      </c>
      <c r="I156" s="189" t="s">
        <v>113</v>
      </c>
      <c r="J156" s="189" t="s">
        <v>108</v>
      </c>
      <c r="K156" s="189" t="s">
        <v>1254</v>
      </c>
      <c r="L156" s="189" t="s">
        <v>491</v>
      </c>
      <c r="M156" s="189" t="s">
        <v>885</v>
      </c>
      <c r="N156" s="189" t="s">
        <v>1255</v>
      </c>
      <c r="O156" s="189" t="s">
        <v>107</v>
      </c>
      <c r="P156" s="189" t="s">
        <v>111</v>
      </c>
      <c r="Q156" s="189" t="s">
        <v>145</v>
      </c>
      <c r="R156" s="189" t="s">
        <v>24</v>
      </c>
      <c r="S156" s="189" t="s">
        <v>120</v>
      </c>
      <c r="T156" s="189" t="s">
        <v>121</v>
      </c>
      <c r="U156" s="189" t="s">
        <v>994</v>
      </c>
      <c r="V156" s="189" t="s">
        <v>167</v>
      </c>
      <c r="W156" s="189" t="s">
        <v>168</v>
      </c>
      <c r="X156" s="189" t="s">
        <v>19</v>
      </c>
      <c r="Y156" s="189" t="s">
        <v>19</v>
      </c>
      <c r="AK156" s="189" t="s">
        <v>880</v>
      </c>
    </row>
    <row r="157" customFormat="false" ht="15" hidden="false" customHeight="false" outlineLevel="0" collapsed="false">
      <c r="A157" s="0" t="n">
        <v>156</v>
      </c>
      <c r="B157" s="188" t="n">
        <v>46049.8709372663</v>
      </c>
      <c r="C157" s="188" t="n">
        <v>46049.8759719885</v>
      </c>
      <c r="D157" s="189" t="s">
        <v>1256</v>
      </c>
      <c r="E157" s="189" t="s">
        <v>1257</v>
      </c>
      <c r="F157" s="189" t="s">
        <v>1257</v>
      </c>
      <c r="G157" s="189" t="s">
        <v>1258</v>
      </c>
      <c r="H157" s="188" t="n">
        <v>46036</v>
      </c>
      <c r="I157" s="189" t="s">
        <v>305</v>
      </c>
      <c r="J157" s="189" t="s">
        <v>108</v>
      </c>
      <c r="K157" s="189" t="s">
        <v>462</v>
      </c>
      <c r="L157" s="189" t="s">
        <v>197</v>
      </c>
      <c r="M157" s="189" t="s">
        <v>797</v>
      </c>
      <c r="N157" s="189" t="s">
        <v>235</v>
      </c>
      <c r="O157" s="189" t="s">
        <v>244</v>
      </c>
      <c r="P157" s="189" t="s">
        <v>131</v>
      </c>
      <c r="Q157" s="189" t="s">
        <v>112</v>
      </c>
      <c r="R157" s="189" t="s">
        <v>22</v>
      </c>
      <c r="S157" s="189" t="s">
        <v>152</v>
      </c>
      <c r="T157" s="189" t="s">
        <v>352</v>
      </c>
      <c r="U157" s="189" t="s">
        <v>122</v>
      </c>
      <c r="V157" s="189" t="s">
        <v>192</v>
      </c>
      <c r="W157" s="189" t="s">
        <v>139</v>
      </c>
      <c r="X157" s="189" t="s">
        <v>148</v>
      </c>
      <c r="Y157" s="189" t="s">
        <v>148</v>
      </c>
      <c r="Z157" s="189" t="s">
        <v>2120</v>
      </c>
      <c r="AG157" s="189" t="s">
        <v>2232</v>
      </c>
      <c r="AH157" s="189" t="s">
        <v>122</v>
      </c>
    </row>
    <row r="158" customFormat="false" ht="15" hidden="false" customHeight="false" outlineLevel="0" collapsed="false">
      <c r="A158" s="0" t="n">
        <v>157</v>
      </c>
      <c r="B158" s="188" t="n">
        <v>46210.876380226</v>
      </c>
      <c r="C158" s="188" t="n">
        <v>46210.8863223556</v>
      </c>
      <c r="D158" s="189" t="s">
        <v>1261</v>
      </c>
      <c r="E158" s="189" t="s">
        <v>1262</v>
      </c>
      <c r="F158" s="189" t="s">
        <v>1262</v>
      </c>
      <c r="G158" s="189" t="s">
        <v>1263</v>
      </c>
      <c r="H158" s="188" t="n">
        <v>46197</v>
      </c>
      <c r="I158" s="189" t="s">
        <v>132</v>
      </c>
      <c r="J158" s="189" t="s">
        <v>295</v>
      </c>
      <c r="K158" s="189" t="s">
        <v>1264</v>
      </c>
      <c r="L158" s="189" t="s">
        <v>346</v>
      </c>
      <c r="M158" s="189" t="s">
        <v>365</v>
      </c>
      <c r="N158" s="189" t="s">
        <v>625</v>
      </c>
      <c r="O158" s="189" t="s">
        <v>278</v>
      </c>
      <c r="P158" s="189" t="s">
        <v>111</v>
      </c>
      <c r="Q158" s="189" t="s">
        <v>145</v>
      </c>
      <c r="R158" s="189" t="s">
        <v>25</v>
      </c>
      <c r="S158" s="189" t="s">
        <v>120</v>
      </c>
      <c r="T158" s="189" t="s">
        <v>121</v>
      </c>
      <c r="U158" s="189" t="s">
        <v>1032</v>
      </c>
      <c r="V158" s="189" t="s">
        <v>192</v>
      </c>
      <c r="W158" s="189" t="s">
        <v>168</v>
      </c>
      <c r="X158" s="189" t="s">
        <v>327</v>
      </c>
      <c r="Y158" s="189" t="s">
        <v>327</v>
      </c>
      <c r="Z158" s="189" t="s">
        <v>2151</v>
      </c>
      <c r="AG158" s="189" t="s">
        <v>2184</v>
      </c>
    </row>
    <row r="159" customFormat="false" ht="15" hidden="false" customHeight="false" outlineLevel="0" collapsed="false">
      <c r="A159" s="0" t="n">
        <v>158</v>
      </c>
      <c r="B159" s="188" t="n">
        <v>46043.6915935519</v>
      </c>
      <c r="C159" s="188" t="n">
        <v>46043.7030981815</v>
      </c>
      <c r="D159" s="189" t="s">
        <v>1265</v>
      </c>
      <c r="E159" s="189" t="s">
        <v>1266</v>
      </c>
      <c r="F159" s="189" t="s">
        <v>1266</v>
      </c>
      <c r="G159" s="189" t="s">
        <v>1267</v>
      </c>
      <c r="H159" s="188" t="n">
        <v>46038</v>
      </c>
      <c r="I159" s="189" t="s">
        <v>1268</v>
      </c>
      <c r="J159" s="189" t="s">
        <v>108</v>
      </c>
      <c r="K159" s="189" t="s">
        <v>196</v>
      </c>
      <c r="L159" s="189" t="s">
        <v>491</v>
      </c>
      <c r="M159" s="189" t="s">
        <v>543</v>
      </c>
      <c r="N159" s="189" t="s">
        <v>227</v>
      </c>
      <c r="O159" s="189" t="s">
        <v>244</v>
      </c>
      <c r="P159" s="189" t="s">
        <v>211</v>
      </c>
      <c r="Q159" s="189" t="s">
        <v>112</v>
      </c>
      <c r="R159" s="189" t="s">
        <v>22</v>
      </c>
      <c r="S159" s="189" t="s">
        <v>152</v>
      </c>
      <c r="T159" s="189" t="s">
        <v>121</v>
      </c>
      <c r="U159" s="189" t="s">
        <v>853</v>
      </c>
      <c r="V159" s="189" t="s">
        <v>192</v>
      </c>
      <c r="W159" s="189" t="s">
        <v>124</v>
      </c>
      <c r="X159" s="189" t="s">
        <v>339</v>
      </c>
      <c r="Y159" s="189" t="s">
        <v>339</v>
      </c>
      <c r="Z159" s="189" t="s">
        <v>2213</v>
      </c>
      <c r="AA159" s="189" t="s">
        <v>2212</v>
      </c>
      <c r="AB159" s="189" t="s">
        <v>2243</v>
      </c>
      <c r="AG159" s="189" t="s">
        <v>2244</v>
      </c>
      <c r="AH159" s="189" t="s">
        <v>2188</v>
      </c>
    </row>
    <row r="160" customFormat="false" ht="15" hidden="false" customHeight="false" outlineLevel="0" collapsed="false">
      <c r="A160" s="0" t="n">
        <v>159</v>
      </c>
      <c r="B160" s="188" t="n">
        <v>46172.5117365307</v>
      </c>
      <c r="C160" s="188" t="n">
        <v>46172.5182064382</v>
      </c>
      <c r="D160" s="189" t="s">
        <v>1272</v>
      </c>
      <c r="E160" s="189" t="s">
        <v>1273</v>
      </c>
      <c r="F160" s="189" t="s">
        <v>1273</v>
      </c>
      <c r="G160" s="189" t="s">
        <v>1274</v>
      </c>
      <c r="H160" s="188" t="n">
        <v>46164</v>
      </c>
      <c r="I160" s="189" t="s">
        <v>113</v>
      </c>
      <c r="J160" s="189" t="s">
        <v>108</v>
      </c>
      <c r="K160" s="189" t="s">
        <v>364</v>
      </c>
      <c r="L160" s="189" t="s">
        <v>114</v>
      </c>
      <c r="M160" s="189" t="s">
        <v>501</v>
      </c>
      <c r="N160" s="189" t="s">
        <v>638</v>
      </c>
      <c r="O160" s="189" t="s">
        <v>713</v>
      </c>
      <c r="P160" s="189" t="s">
        <v>111</v>
      </c>
      <c r="Q160" s="189" t="s">
        <v>112</v>
      </c>
      <c r="R160" s="189" t="s">
        <v>22</v>
      </c>
      <c r="S160" s="189" t="s">
        <v>152</v>
      </c>
      <c r="T160" s="189" t="s">
        <v>264</v>
      </c>
      <c r="U160" s="189" t="s">
        <v>1278</v>
      </c>
      <c r="V160" s="189" t="s">
        <v>192</v>
      </c>
      <c r="W160" s="189" t="s">
        <v>124</v>
      </c>
      <c r="X160" s="189" t="s">
        <v>715</v>
      </c>
      <c r="Y160" s="189" t="s">
        <v>715</v>
      </c>
      <c r="Z160" s="189" t="s">
        <v>2296</v>
      </c>
      <c r="AA160" s="189" t="s">
        <v>2269</v>
      </c>
      <c r="AG160" s="189" t="s">
        <v>2331</v>
      </c>
      <c r="AH160" s="189" t="s">
        <v>2272</v>
      </c>
    </row>
    <row r="161" customFormat="false" ht="15" hidden="false" customHeight="false" outlineLevel="0" collapsed="false">
      <c r="A161" s="0" t="n">
        <v>160</v>
      </c>
      <c r="B161" s="188" t="n">
        <v>46203.1170961982</v>
      </c>
      <c r="C161" s="188" t="n">
        <v>46203.1198045316</v>
      </c>
      <c r="D161" s="189" t="s">
        <v>1279</v>
      </c>
      <c r="E161" s="189" t="s">
        <v>1280</v>
      </c>
      <c r="F161" s="189" t="s">
        <v>1280</v>
      </c>
      <c r="G161" s="189" t="s">
        <v>1281</v>
      </c>
      <c r="H161" s="188" t="n">
        <v>46190</v>
      </c>
      <c r="I161" s="189" t="s">
        <v>113</v>
      </c>
      <c r="J161" s="189" t="s">
        <v>128</v>
      </c>
      <c r="K161" s="189" t="s">
        <v>143</v>
      </c>
      <c r="L161" s="189" t="s">
        <v>246</v>
      </c>
      <c r="M161" s="189" t="s">
        <v>144</v>
      </c>
      <c r="N161" s="189" t="s">
        <v>1042</v>
      </c>
      <c r="O161" s="189" t="s">
        <v>172</v>
      </c>
      <c r="P161" s="189" t="s">
        <v>111</v>
      </c>
      <c r="Q161" s="189" t="s">
        <v>112</v>
      </c>
      <c r="R161" s="189" t="s">
        <v>22</v>
      </c>
      <c r="S161" s="189" t="s">
        <v>152</v>
      </c>
      <c r="T161" s="189" t="s">
        <v>121</v>
      </c>
      <c r="U161" s="189" t="s">
        <v>122</v>
      </c>
      <c r="V161" s="189" t="s">
        <v>123</v>
      </c>
      <c r="W161" s="189" t="s">
        <v>124</v>
      </c>
      <c r="X161" s="189" t="s">
        <v>298</v>
      </c>
      <c r="Y161" s="189" t="s">
        <v>298</v>
      </c>
      <c r="Z161" s="189" t="s">
        <v>2168</v>
      </c>
      <c r="AA161" s="189" t="s">
        <v>2252</v>
      </c>
      <c r="AG161" s="189" t="s">
        <v>2291</v>
      </c>
      <c r="AH161" s="189" t="s">
        <v>122</v>
      </c>
    </row>
    <row r="162" customFormat="false" ht="15" hidden="false" customHeight="false" outlineLevel="0" collapsed="false">
      <c r="A162" s="0" t="n">
        <v>161</v>
      </c>
      <c r="B162" s="188" t="n">
        <v>46039.0675145234</v>
      </c>
      <c r="C162" s="188" t="n">
        <v>46039.07511869</v>
      </c>
      <c r="D162" s="189" t="s">
        <v>1285</v>
      </c>
      <c r="E162" s="189" t="s">
        <v>1286</v>
      </c>
      <c r="F162" s="189" t="s">
        <v>1286</v>
      </c>
      <c r="G162" s="189" t="s">
        <v>1287</v>
      </c>
      <c r="H162" s="188" t="n">
        <v>46026</v>
      </c>
      <c r="I162" s="189" t="s">
        <v>113</v>
      </c>
      <c r="J162" s="189" t="s">
        <v>108</v>
      </c>
      <c r="K162" s="189" t="s">
        <v>1288</v>
      </c>
      <c r="L162" s="189" t="s">
        <v>286</v>
      </c>
      <c r="M162" s="189" t="s">
        <v>515</v>
      </c>
      <c r="N162" s="189" t="s">
        <v>893</v>
      </c>
      <c r="O162" s="189" t="s">
        <v>278</v>
      </c>
      <c r="P162" s="189" t="s">
        <v>111</v>
      </c>
      <c r="Q162" s="189" t="s">
        <v>112</v>
      </c>
      <c r="R162" s="189" t="s">
        <v>22</v>
      </c>
      <c r="S162" s="189" t="s">
        <v>152</v>
      </c>
      <c r="T162" s="189" t="s">
        <v>121</v>
      </c>
      <c r="V162" s="189" t="s">
        <v>192</v>
      </c>
      <c r="W162" s="189" t="s">
        <v>168</v>
      </c>
      <c r="X162" s="189" t="s">
        <v>176</v>
      </c>
      <c r="Y162" s="189" t="s">
        <v>176</v>
      </c>
      <c r="Z162" s="189" t="s">
        <v>2333</v>
      </c>
      <c r="AG162" s="189" t="s">
        <v>2132</v>
      </c>
    </row>
    <row r="163" customFormat="false" ht="15" hidden="false" customHeight="false" outlineLevel="0" collapsed="false">
      <c r="A163" s="0" t="n">
        <v>162</v>
      </c>
      <c r="B163" s="188" t="n">
        <v>46108.264724133</v>
      </c>
      <c r="C163" s="188" t="n">
        <v>46108.2851407997</v>
      </c>
      <c r="D163" s="189" t="s">
        <v>1291</v>
      </c>
      <c r="E163" s="189" t="s">
        <v>1292</v>
      </c>
      <c r="F163" s="189" t="s">
        <v>1292</v>
      </c>
      <c r="G163" s="189" t="s">
        <v>1293</v>
      </c>
      <c r="H163" s="188" t="n">
        <v>46094</v>
      </c>
      <c r="I163" s="189" t="s">
        <v>113</v>
      </c>
      <c r="J163" s="189" t="s">
        <v>295</v>
      </c>
      <c r="K163" s="189" t="s">
        <v>1294</v>
      </c>
      <c r="L163" s="189" t="s">
        <v>491</v>
      </c>
      <c r="M163" s="189" t="s">
        <v>357</v>
      </c>
      <c r="N163" s="189" t="s">
        <v>945</v>
      </c>
      <c r="O163" s="189" t="s">
        <v>107</v>
      </c>
      <c r="P163" s="189" t="s">
        <v>111</v>
      </c>
      <c r="Q163" s="189" t="s">
        <v>145</v>
      </c>
      <c r="R163" s="189" t="s">
        <v>22</v>
      </c>
      <c r="S163" s="189" t="s">
        <v>152</v>
      </c>
      <c r="T163" s="189" t="s">
        <v>352</v>
      </c>
      <c r="U163" s="189" t="s">
        <v>122</v>
      </c>
      <c r="V163" s="189" t="s">
        <v>192</v>
      </c>
      <c r="W163" s="189" t="s">
        <v>124</v>
      </c>
      <c r="X163" s="189" t="s">
        <v>298</v>
      </c>
      <c r="Y163" s="189" t="s">
        <v>298</v>
      </c>
      <c r="Z163" s="189" t="s">
        <v>2318</v>
      </c>
      <c r="AA163" s="189" t="s">
        <v>2251</v>
      </c>
      <c r="AG163" s="189" t="s">
        <v>2291</v>
      </c>
      <c r="AH163" s="189" t="s">
        <v>2317</v>
      </c>
    </row>
    <row r="164" customFormat="false" ht="15" hidden="false" customHeight="false" outlineLevel="0" collapsed="false">
      <c r="A164" s="0" t="n">
        <v>163</v>
      </c>
      <c r="B164" s="188" t="n">
        <v>46124.761761008</v>
      </c>
      <c r="C164" s="188" t="n">
        <v>46124.7789832303</v>
      </c>
      <c r="D164" s="189" t="s">
        <v>1297</v>
      </c>
      <c r="E164" s="189" t="s">
        <v>1298</v>
      </c>
      <c r="F164" s="189" t="s">
        <v>1298</v>
      </c>
      <c r="G164" s="189" t="s">
        <v>1299</v>
      </c>
      <c r="H164" s="188" t="n">
        <v>46108</v>
      </c>
      <c r="I164" s="189" t="s">
        <v>113</v>
      </c>
      <c r="J164" s="189" t="s">
        <v>108</v>
      </c>
      <c r="K164" s="189" t="s">
        <v>1300</v>
      </c>
      <c r="L164" s="189" t="s">
        <v>346</v>
      </c>
      <c r="M164" s="189" t="s">
        <v>212</v>
      </c>
      <c r="N164" s="189" t="s">
        <v>775</v>
      </c>
      <c r="O164" s="189" t="s">
        <v>107</v>
      </c>
      <c r="P164" s="189" t="s">
        <v>111</v>
      </c>
      <c r="Q164" s="189" t="s">
        <v>112</v>
      </c>
      <c r="R164" s="189" t="s">
        <v>22</v>
      </c>
      <c r="S164" s="189" t="s">
        <v>120</v>
      </c>
      <c r="T164" s="189" t="s">
        <v>121</v>
      </c>
      <c r="V164" s="189" t="s">
        <v>123</v>
      </c>
      <c r="W164" s="189" t="s">
        <v>139</v>
      </c>
      <c r="X164" s="189" t="s">
        <v>271</v>
      </c>
      <c r="Y164" s="189" t="s">
        <v>271</v>
      </c>
      <c r="Z164" s="189" t="s">
        <v>2159</v>
      </c>
      <c r="AG164" s="189" t="s">
        <v>122</v>
      </c>
      <c r="AH164" s="189" t="s">
        <v>2162</v>
      </c>
    </row>
    <row r="165" customFormat="false" ht="15" hidden="false" customHeight="false" outlineLevel="0" collapsed="false">
      <c r="A165" s="0" t="n">
        <v>164</v>
      </c>
      <c r="B165" s="188" t="n">
        <v>46212.7125142317</v>
      </c>
      <c r="C165" s="188" t="n">
        <v>46212.7264494168</v>
      </c>
      <c r="D165" s="189" t="s">
        <v>1303</v>
      </c>
      <c r="E165" s="189" t="s">
        <v>1304</v>
      </c>
      <c r="F165" s="189" t="s">
        <v>1304</v>
      </c>
      <c r="G165" s="189" t="s">
        <v>1305</v>
      </c>
      <c r="H165" s="188" t="n">
        <v>46200</v>
      </c>
      <c r="I165" s="189" t="s">
        <v>113</v>
      </c>
      <c r="J165" s="189" t="s">
        <v>108</v>
      </c>
      <c r="K165" s="189" t="s">
        <v>257</v>
      </c>
      <c r="L165" s="189" t="s">
        <v>130</v>
      </c>
      <c r="M165" s="189" t="s">
        <v>864</v>
      </c>
      <c r="N165" s="189" t="s">
        <v>1306</v>
      </c>
      <c r="O165" s="189" t="s">
        <v>278</v>
      </c>
      <c r="P165" s="189" t="s">
        <v>111</v>
      </c>
      <c r="Q165" s="189" t="s">
        <v>198</v>
      </c>
      <c r="R165" s="189" t="s">
        <v>22</v>
      </c>
      <c r="S165" s="189" t="s">
        <v>152</v>
      </c>
      <c r="T165" s="189" t="s">
        <v>121</v>
      </c>
      <c r="U165" s="189" t="s">
        <v>1174</v>
      </c>
      <c r="V165" s="189" t="s">
        <v>167</v>
      </c>
      <c r="W165" s="189" t="s">
        <v>124</v>
      </c>
      <c r="X165" s="189" t="s">
        <v>339</v>
      </c>
      <c r="Y165" s="189" t="s">
        <v>339</v>
      </c>
      <c r="Z165" s="189" t="s">
        <v>2212</v>
      </c>
      <c r="AG165" s="189" t="s">
        <v>2188</v>
      </c>
      <c r="AH165" s="189" t="s">
        <v>2261</v>
      </c>
    </row>
    <row r="166" customFormat="false" ht="15" hidden="false" customHeight="false" outlineLevel="0" collapsed="false">
      <c r="A166" s="0" t="n">
        <v>165</v>
      </c>
      <c r="B166" s="188" t="n">
        <v>46103.8103830268</v>
      </c>
      <c r="C166" s="188" t="n">
        <v>46103.819167749</v>
      </c>
      <c r="D166" s="189" t="s">
        <v>1310</v>
      </c>
      <c r="E166" s="189" t="s">
        <v>1311</v>
      </c>
      <c r="F166" s="189" t="s">
        <v>1311</v>
      </c>
      <c r="G166" s="189" t="s">
        <v>1312</v>
      </c>
      <c r="H166" s="188" t="n">
        <v>46086</v>
      </c>
      <c r="I166" s="189" t="s">
        <v>113</v>
      </c>
      <c r="J166" s="189" t="s">
        <v>295</v>
      </c>
      <c r="K166" s="189" t="s">
        <v>143</v>
      </c>
      <c r="L166" s="189" t="s">
        <v>431</v>
      </c>
      <c r="M166" s="189" t="s">
        <v>1313</v>
      </c>
      <c r="N166" s="189" t="s">
        <v>270</v>
      </c>
      <c r="O166" s="189" t="s">
        <v>107</v>
      </c>
      <c r="P166" s="189" t="s">
        <v>111</v>
      </c>
      <c r="Q166" s="189" t="s">
        <v>145</v>
      </c>
      <c r="R166" s="189" t="s">
        <v>25</v>
      </c>
      <c r="S166" s="189" t="s">
        <v>152</v>
      </c>
      <c r="T166" s="189" t="s">
        <v>264</v>
      </c>
      <c r="U166" s="189" t="s">
        <v>1314</v>
      </c>
      <c r="V166" s="189" t="s">
        <v>167</v>
      </c>
      <c r="W166" s="189" t="s">
        <v>124</v>
      </c>
      <c r="X166" s="189" t="s">
        <v>327</v>
      </c>
      <c r="Y166" s="189" t="s">
        <v>327</v>
      </c>
      <c r="Z166" s="189" t="s">
        <v>2109</v>
      </c>
      <c r="AA166" s="189" t="s">
        <v>2151</v>
      </c>
      <c r="AB166" s="189" t="s">
        <v>2139</v>
      </c>
      <c r="AG166" s="189" t="s">
        <v>2114</v>
      </c>
    </row>
    <row r="167" customFormat="false" ht="15" hidden="false" customHeight="true" outlineLevel="0" collapsed="false">
      <c r="A167" s="0" t="n">
        <v>166</v>
      </c>
      <c r="B167" s="191" t="n">
        <v>46174.8269291051</v>
      </c>
      <c r="C167" s="191" t="n">
        <v>46174.8434105866</v>
      </c>
      <c r="D167" s="189" t="s">
        <v>1315</v>
      </c>
      <c r="E167" s="189" t="s">
        <v>1316</v>
      </c>
      <c r="F167" s="189" t="s">
        <v>1316</v>
      </c>
      <c r="G167" s="189" t="s">
        <v>1317</v>
      </c>
      <c r="H167" s="191" t="n">
        <v>46168</v>
      </c>
      <c r="I167" s="189" t="s">
        <v>113</v>
      </c>
      <c r="J167" s="189" t="s">
        <v>108</v>
      </c>
      <c r="K167" s="189" t="s">
        <v>232</v>
      </c>
      <c r="L167" s="189" t="s">
        <v>184</v>
      </c>
      <c r="M167" s="189" t="s">
        <v>1120</v>
      </c>
      <c r="N167" s="189" t="s">
        <v>1036</v>
      </c>
      <c r="O167" s="189" t="s">
        <v>107</v>
      </c>
      <c r="P167" s="189" t="s">
        <v>111</v>
      </c>
      <c r="Q167" s="189" t="s">
        <v>112</v>
      </c>
      <c r="R167" s="189" t="s">
        <v>24</v>
      </c>
      <c r="S167" s="189" t="s">
        <v>152</v>
      </c>
      <c r="T167" s="189" t="s">
        <v>121</v>
      </c>
      <c r="U167" s="189" t="s">
        <v>122</v>
      </c>
      <c r="V167" s="189" t="s">
        <v>167</v>
      </c>
      <c r="W167" s="189" t="s">
        <v>139</v>
      </c>
      <c r="X167" s="189" t="s">
        <v>223</v>
      </c>
      <c r="Y167" s="189" t="s">
        <v>223</v>
      </c>
      <c r="Z167" s="189" t="s">
        <v>2148</v>
      </c>
      <c r="AA167" s="189" t="s">
        <v>2164</v>
      </c>
      <c r="AB167" s="189" t="s">
        <v>2165</v>
      </c>
      <c r="AG167" s="189" t="s">
        <v>2145</v>
      </c>
      <c r="AH167" s="189" t="s">
        <v>2194</v>
      </c>
    </row>
    <row r="168" customFormat="false" ht="15" hidden="false" customHeight="true" outlineLevel="0" collapsed="false">
      <c r="A168" s="0" t="n">
        <v>167</v>
      </c>
      <c r="B168" s="191" t="n">
        <v>46082.5626183519</v>
      </c>
      <c r="C168" s="191" t="n">
        <v>46082.5688452037</v>
      </c>
      <c r="D168" s="189" t="s">
        <v>1320</v>
      </c>
      <c r="E168" s="189" t="s">
        <v>1321</v>
      </c>
      <c r="F168" s="189" t="s">
        <v>1321</v>
      </c>
      <c r="G168" s="189" t="s">
        <v>1322</v>
      </c>
      <c r="H168" s="191" t="n">
        <v>46068</v>
      </c>
      <c r="I168" s="189" t="s">
        <v>113</v>
      </c>
      <c r="J168" s="189" t="s">
        <v>108</v>
      </c>
      <c r="K168" s="189" t="s">
        <v>196</v>
      </c>
      <c r="L168" s="189" t="s">
        <v>184</v>
      </c>
      <c r="M168" s="189" t="s">
        <v>484</v>
      </c>
      <c r="N168" s="189" t="s">
        <v>1323</v>
      </c>
      <c r="O168" s="189" t="s">
        <v>157</v>
      </c>
      <c r="P168" s="189" t="s">
        <v>111</v>
      </c>
      <c r="Q168" s="189" t="s">
        <v>145</v>
      </c>
      <c r="R168" s="189" t="s">
        <v>22</v>
      </c>
      <c r="S168" s="189" t="s">
        <v>152</v>
      </c>
      <c r="T168" s="189" t="s">
        <v>121</v>
      </c>
      <c r="U168" s="189" t="s">
        <v>1326</v>
      </c>
      <c r="V168" s="189" t="s">
        <v>123</v>
      </c>
      <c r="W168" s="189" t="s">
        <v>168</v>
      </c>
      <c r="X168" s="189" t="s">
        <v>339</v>
      </c>
      <c r="Y168" s="189" t="s">
        <v>339</v>
      </c>
      <c r="Z168" s="189" t="s">
        <v>2185</v>
      </c>
      <c r="AA168" s="189" t="s">
        <v>2212</v>
      </c>
      <c r="AB168" s="189" t="s">
        <v>2260</v>
      </c>
      <c r="AG168" s="189" t="s">
        <v>2279</v>
      </c>
      <c r="AH168" s="189" t="s">
        <v>2261</v>
      </c>
    </row>
    <row r="169" customFormat="false" ht="15" hidden="false" customHeight="true" outlineLevel="0" collapsed="false">
      <c r="A169" s="0" t="n">
        <v>168</v>
      </c>
      <c r="B169" s="191" t="n">
        <v>46186.654369283</v>
      </c>
      <c r="C169" s="191" t="n">
        <v>46186.6629688201</v>
      </c>
      <c r="D169" s="189" t="s">
        <v>1327</v>
      </c>
      <c r="E169" s="189" t="s">
        <v>1328</v>
      </c>
      <c r="F169" s="189" t="s">
        <v>1328</v>
      </c>
      <c r="G169" s="189" t="s">
        <v>1329</v>
      </c>
      <c r="H169" s="191" t="n">
        <v>46172</v>
      </c>
      <c r="I169" s="189" t="s">
        <v>325</v>
      </c>
      <c r="J169" s="189" t="s">
        <v>108</v>
      </c>
      <c r="K169" s="189" t="s">
        <v>364</v>
      </c>
      <c r="L169" s="189" t="s">
        <v>296</v>
      </c>
      <c r="M169" s="189" t="s">
        <v>566</v>
      </c>
      <c r="N169" s="189" t="s">
        <v>1255</v>
      </c>
      <c r="O169" s="189" t="s">
        <v>107</v>
      </c>
      <c r="P169" s="189" t="s">
        <v>131</v>
      </c>
      <c r="Q169" s="189" t="s">
        <v>112</v>
      </c>
      <c r="R169" s="189" t="s">
        <v>24</v>
      </c>
      <c r="S169" s="189" t="s">
        <v>152</v>
      </c>
      <c r="T169" s="189" t="s">
        <v>121</v>
      </c>
      <c r="V169" s="189" t="s">
        <v>167</v>
      </c>
      <c r="W169" s="189" t="s">
        <v>168</v>
      </c>
      <c r="X169" s="189" t="s">
        <v>19</v>
      </c>
      <c r="Y169" s="189" t="s">
        <v>19</v>
      </c>
      <c r="AK169" s="189" t="s">
        <v>880</v>
      </c>
    </row>
    <row r="170" customFormat="false" ht="15" hidden="false" customHeight="true" outlineLevel="0" collapsed="false">
      <c r="A170" s="0" t="n">
        <v>169</v>
      </c>
      <c r="B170" s="191" t="n">
        <v>46132.0999909314</v>
      </c>
      <c r="C170" s="191" t="n">
        <v>46132.1167501907</v>
      </c>
      <c r="D170" s="189" t="s">
        <v>1330</v>
      </c>
      <c r="E170" s="189" t="s">
        <v>1331</v>
      </c>
      <c r="F170" s="189" t="s">
        <v>1331</v>
      </c>
      <c r="G170" s="189" t="s">
        <v>1332</v>
      </c>
      <c r="H170" s="191" t="n">
        <v>46129</v>
      </c>
      <c r="I170" s="189" t="s">
        <v>1333</v>
      </c>
      <c r="J170" s="189" t="s">
        <v>295</v>
      </c>
      <c r="K170" s="189" t="s">
        <v>462</v>
      </c>
      <c r="L170" s="189" t="s">
        <v>233</v>
      </c>
      <c r="M170" s="189" t="s">
        <v>515</v>
      </c>
      <c r="N170" s="189" t="s">
        <v>259</v>
      </c>
      <c r="O170" s="189" t="s">
        <v>107</v>
      </c>
      <c r="P170" s="189" t="s">
        <v>111</v>
      </c>
      <c r="Q170" s="189" t="s">
        <v>145</v>
      </c>
      <c r="R170" s="189" t="s">
        <v>22</v>
      </c>
      <c r="S170" s="189" t="s">
        <v>152</v>
      </c>
      <c r="T170" s="189" t="s">
        <v>352</v>
      </c>
      <c r="V170" s="189" t="s">
        <v>192</v>
      </c>
      <c r="W170" s="189" t="s">
        <v>124</v>
      </c>
      <c r="X170" s="189" t="s">
        <v>339</v>
      </c>
      <c r="Y170" s="189" t="s">
        <v>339</v>
      </c>
      <c r="Z170" s="189" t="s">
        <v>2243</v>
      </c>
      <c r="AG170" s="189" t="s">
        <v>2261</v>
      </c>
    </row>
    <row r="171" customFormat="false" ht="15" hidden="false" customHeight="true" outlineLevel="0" collapsed="false">
      <c r="A171" s="0" t="n">
        <v>170</v>
      </c>
      <c r="B171" s="191" t="n">
        <v>46116.9077633594</v>
      </c>
      <c r="C171" s="191" t="n">
        <v>46116.913955489</v>
      </c>
      <c r="D171" s="189" t="s">
        <v>1336</v>
      </c>
      <c r="E171" s="189" t="s">
        <v>1337</v>
      </c>
      <c r="F171" s="189" t="s">
        <v>1337</v>
      </c>
      <c r="G171" s="189" t="s">
        <v>1338</v>
      </c>
      <c r="H171" s="191" t="n">
        <v>46108</v>
      </c>
      <c r="I171" s="189" t="s">
        <v>113</v>
      </c>
      <c r="J171" s="189" t="s">
        <v>108</v>
      </c>
      <c r="K171" s="189" t="s">
        <v>173</v>
      </c>
      <c r="L171" s="189" t="s">
        <v>389</v>
      </c>
      <c r="M171" s="189" t="s">
        <v>279</v>
      </c>
      <c r="N171" s="189" t="s">
        <v>1224</v>
      </c>
      <c r="O171" s="189" t="s">
        <v>107</v>
      </c>
      <c r="P171" s="189" t="s">
        <v>111</v>
      </c>
      <c r="Q171" s="189" t="s">
        <v>112</v>
      </c>
      <c r="R171" s="189" t="s">
        <v>21</v>
      </c>
      <c r="S171" s="189" t="s">
        <v>152</v>
      </c>
      <c r="T171" s="189" t="s">
        <v>180</v>
      </c>
      <c r="U171" s="189" t="s">
        <v>122</v>
      </c>
      <c r="V171" s="189" t="s">
        <v>192</v>
      </c>
      <c r="W171" s="189" t="s">
        <v>168</v>
      </c>
      <c r="X171" s="189" t="s">
        <v>457</v>
      </c>
      <c r="Y171" s="189" t="s">
        <v>457</v>
      </c>
      <c r="Z171" s="189" t="s">
        <v>2151</v>
      </c>
      <c r="AG171" s="189" t="s">
        <v>2114</v>
      </c>
    </row>
    <row r="172" customFormat="false" ht="15" hidden="false" customHeight="true" outlineLevel="0" collapsed="false">
      <c r="A172" s="0" t="n">
        <v>171</v>
      </c>
      <c r="B172" s="191" t="n">
        <v>46138.162769504</v>
      </c>
      <c r="C172" s="191" t="n">
        <v>46138.174031078</v>
      </c>
      <c r="D172" s="189" t="s">
        <v>1339</v>
      </c>
      <c r="E172" s="189" t="s">
        <v>1340</v>
      </c>
      <c r="F172" s="189" t="s">
        <v>1340</v>
      </c>
      <c r="G172" s="189" t="s">
        <v>1341</v>
      </c>
      <c r="H172" s="191" t="n">
        <v>46129</v>
      </c>
      <c r="I172" s="189" t="s">
        <v>113</v>
      </c>
      <c r="J172" s="189" t="s">
        <v>295</v>
      </c>
      <c r="K172" s="189" t="s">
        <v>364</v>
      </c>
      <c r="L172" s="189" t="s">
        <v>296</v>
      </c>
      <c r="M172" s="189" t="s">
        <v>326</v>
      </c>
      <c r="N172" s="189" t="s">
        <v>508</v>
      </c>
      <c r="O172" s="189" t="s">
        <v>244</v>
      </c>
      <c r="P172" s="189" t="s">
        <v>111</v>
      </c>
      <c r="Q172" s="189" t="s">
        <v>112</v>
      </c>
      <c r="R172" s="189" t="s">
        <v>22</v>
      </c>
      <c r="S172" s="189" t="s">
        <v>120</v>
      </c>
      <c r="T172" s="189" t="s">
        <v>121</v>
      </c>
      <c r="U172" s="189" t="s">
        <v>122</v>
      </c>
      <c r="V172" s="189" t="s">
        <v>192</v>
      </c>
      <c r="W172" s="189" t="s">
        <v>124</v>
      </c>
      <c r="X172" s="189" t="s">
        <v>339</v>
      </c>
      <c r="Y172" s="189" t="s">
        <v>339</v>
      </c>
      <c r="Z172" s="189" t="s">
        <v>2242</v>
      </c>
      <c r="AG172" s="189" t="s">
        <v>2261</v>
      </c>
      <c r="AH172" s="189" t="s">
        <v>2279</v>
      </c>
    </row>
    <row r="173" customFormat="false" ht="15" hidden="false" customHeight="true" outlineLevel="0" collapsed="false">
      <c r="A173" s="0" t="n">
        <v>172</v>
      </c>
      <c r="B173" s="191" t="n">
        <v>46091.8718071356</v>
      </c>
      <c r="C173" s="191" t="n">
        <v>46091.8752677838</v>
      </c>
      <c r="D173" s="189" t="s">
        <v>1344</v>
      </c>
      <c r="E173" s="189" t="s">
        <v>1345</v>
      </c>
      <c r="F173" s="189" t="s">
        <v>1345</v>
      </c>
      <c r="G173" s="189" t="s">
        <v>1346</v>
      </c>
      <c r="H173" s="191" t="n">
        <v>46072</v>
      </c>
      <c r="I173" s="189" t="s">
        <v>113</v>
      </c>
      <c r="J173" s="189" t="s">
        <v>128</v>
      </c>
      <c r="K173" s="189" t="s">
        <v>1347</v>
      </c>
      <c r="L173" s="189" t="s">
        <v>144</v>
      </c>
      <c r="M173" s="189" t="s">
        <v>1313</v>
      </c>
      <c r="N173" s="189" t="s">
        <v>1094</v>
      </c>
      <c r="O173" s="189" t="s">
        <v>750</v>
      </c>
      <c r="P173" s="189" t="s">
        <v>111</v>
      </c>
      <c r="Q173" s="189" t="s">
        <v>112</v>
      </c>
      <c r="R173" s="189" t="s">
        <v>22</v>
      </c>
      <c r="S173" s="189" t="s">
        <v>152</v>
      </c>
      <c r="T173" s="189" t="s">
        <v>121</v>
      </c>
      <c r="U173" s="189" t="s">
        <v>122</v>
      </c>
      <c r="V173" s="189" t="s">
        <v>192</v>
      </c>
      <c r="W173" s="189" t="s">
        <v>139</v>
      </c>
      <c r="X173" s="189" t="s">
        <v>116</v>
      </c>
      <c r="Y173" s="189" t="s">
        <v>116</v>
      </c>
      <c r="Z173" s="189" t="s">
        <v>2139</v>
      </c>
      <c r="AA173" s="189" t="s">
        <v>2109</v>
      </c>
      <c r="AB173" s="189" t="s">
        <v>2125</v>
      </c>
      <c r="AG173" s="189" t="s">
        <v>122</v>
      </c>
    </row>
    <row r="174" customFormat="false" ht="15" hidden="false" customHeight="true" outlineLevel="0" collapsed="false">
      <c r="A174" s="0" t="n">
        <v>173</v>
      </c>
      <c r="B174" s="191" t="n">
        <v>46209.8980203803</v>
      </c>
      <c r="C174" s="191" t="n">
        <v>46209.9145134359</v>
      </c>
      <c r="D174" s="189" t="s">
        <v>1349</v>
      </c>
      <c r="E174" s="189" t="s">
        <v>1350</v>
      </c>
      <c r="F174" s="189" t="s">
        <v>1351</v>
      </c>
      <c r="G174" s="189" t="s">
        <v>1352</v>
      </c>
      <c r="H174" s="191" t="n">
        <v>46203</v>
      </c>
      <c r="I174" s="189" t="s">
        <v>113</v>
      </c>
      <c r="J174" s="189" t="s">
        <v>108</v>
      </c>
      <c r="K174" s="189" t="s">
        <v>1353</v>
      </c>
      <c r="L174" s="189" t="s">
        <v>130</v>
      </c>
      <c r="M174" s="189" t="s">
        <v>594</v>
      </c>
      <c r="N174" s="189" t="s">
        <v>905</v>
      </c>
      <c r="O174" s="189" t="s">
        <v>244</v>
      </c>
      <c r="P174" s="189" t="s">
        <v>111</v>
      </c>
      <c r="Q174" s="189" t="s">
        <v>112</v>
      </c>
      <c r="R174" s="189" t="s">
        <v>22</v>
      </c>
      <c r="S174" s="189" t="s">
        <v>120</v>
      </c>
      <c r="T174" s="189" t="s">
        <v>121</v>
      </c>
      <c r="U174" s="189" t="s">
        <v>153</v>
      </c>
      <c r="V174" s="189" t="s">
        <v>167</v>
      </c>
      <c r="W174" s="189" t="s">
        <v>124</v>
      </c>
      <c r="X174" s="189" t="s">
        <v>135</v>
      </c>
      <c r="Y174" s="189" t="s">
        <v>135</v>
      </c>
      <c r="Z174" s="189" t="s">
        <v>2115</v>
      </c>
      <c r="AG174" s="189" t="s">
        <v>122</v>
      </c>
      <c r="AH174" s="189" t="s">
        <v>2247</v>
      </c>
    </row>
    <row r="175" customFormat="false" ht="15" hidden="false" customHeight="true" outlineLevel="0" collapsed="false">
      <c r="A175" s="0" t="n">
        <v>174</v>
      </c>
      <c r="B175" s="191" t="n">
        <v>46165.6587112971</v>
      </c>
      <c r="C175" s="191" t="n">
        <v>46165.672449723</v>
      </c>
      <c r="D175" s="189" t="s">
        <v>1356</v>
      </c>
      <c r="E175" s="189" t="s">
        <v>1357</v>
      </c>
      <c r="F175" s="189" t="s">
        <v>1357</v>
      </c>
      <c r="G175" s="189" t="s">
        <v>1358</v>
      </c>
      <c r="H175" s="191" t="n">
        <v>46155</v>
      </c>
      <c r="I175" s="189" t="s">
        <v>132</v>
      </c>
      <c r="J175" s="189" t="s">
        <v>108</v>
      </c>
      <c r="K175" s="189" t="s">
        <v>257</v>
      </c>
      <c r="L175" s="189" t="s">
        <v>491</v>
      </c>
      <c r="M175" s="189" t="s">
        <v>612</v>
      </c>
      <c r="N175" s="189" t="s">
        <v>1323</v>
      </c>
      <c r="O175" s="189" t="s">
        <v>244</v>
      </c>
      <c r="P175" s="189" t="s">
        <v>111</v>
      </c>
      <c r="Q175" s="189" t="s">
        <v>112</v>
      </c>
      <c r="R175" s="189" t="s">
        <v>22</v>
      </c>
      <c r="S175" s="189" t="s">
        <v>152</v>
      </c>
      <c r="T175" s="189" t="s">
        <v>121</v>
      </c>
      <c r="U175" s="189" t="s">
        <v>1361</v>
      </c>
      <c r="V175" s="189" t="s">
        <v>192</v>
      </c>
      <c r="W175" s="189" t="s">
        <v>139</v>
      </c>
      <c r="X175" s="189" t="s">
        <v>298</v>
      </c>
      <c r="Y175" s="189" t="s">
        <v>298</v>
      </c>
      <c r="Z175" s="189" t="s">
        <v>2239</v>
      </c>
      <c r="AA175" s="189" t="s">
        <v>2169</v>
      </c>
      <c r="AB175" s="189" t="s">
        <v>2238</v>
      </c>
      <c r="AG175" s="189" t="s">
        <v>2313</v>
      </c>
      <c r="AH175" s="189" t="s">
        <v>2317</v>
      </c>
    </row>
    <row r="176" customFormat="false" ht="15" hidden="false" customHeight="true" outlineLevel="0" collapsed="false">
      <c r="A176" s="0" t="n">
        <v>175</v>
      </c>
      <c r="B176" s="191" t="n">
        <v>46119.4896883806</v>
      </c>
      <c r="C176" s="191" t="n">
        <v>46119.5096768066</v>
      </c>
      <c r="D176" s="189" t="s">
        <v>1362</v>
      </c>
      <c r="E176" s="189" t="s">
        <v>1363</v>
      </c>
      <c r="F176" s="189" t="s">
        <v>1363</v>
      </c>
      <c r="G176" s="189" t="s">
        <v>1364</v>
      </c>
      <c r="H176" s="191" t="n">
        <v>46117</v>
      </c>
      <c r="I176" s="189" t="s">
        <v>305</v>
      </c>
      <c r="J176" s="189" t="s">
        <v>108</v>
      </c>
      <c r="K176" s="189" t="s">
        <v>364</v>
      </c>
      <c r="L176" s="189" t="s">
        <v>286</v>
      </c>
      <c r="M176" s="189" t="s">
        <v>477</v>
      </c>
      <c r="N176" s="189" t="s">
        <v>1050</v>
      </c>
      <c r="O176" s="189" t="s">
        <v>172</v>
      </c>
      <c r="P176" s="189" t="s">
        <v>111</v>
      </c>
      <c r="Q176" s="189" t="s">
        <v>112</v>
      </c>
      <c r="R176" s="189" t="s">
        <v>22</v>
      </c>
      <c r="S176" s="189" t="s">
        <v>152</v>
      </c>
      <c r="T176" s="189" t="s">
        <v>121</v>
      </c>
      <c r="U176" s="189" t="s">
        <v>122</v>
      </c>
      <c r="V176" s="189" t="s">
        <v>167</v>
      </c>
      <c r="W176" s="189" t="s">
        <v>124</v>
      </c>
      <c r="X176" s="189" t="s">
        <v>148</v>
      </c>
      <c r="Y176" s="189" t="s">
        <v>148</v>
      </c>
      <c r="Z176" s="189" t="s">
        <v>2136</v>
      </c>
      <c r="AA176" s="189" t="s">
        <v>2120</v>
      </c>
      <c r="AB176" s="189" t="s">
        <v>2230</v>
      </c>
      <c r="AG176" s="189" t="s">
        <v>2123</v>
      </c>
      <c r="AH176" s="189" t="s">
        <v>2327</v>
      </c>
    </row>
    <row r="177" customFormat="false" ht="15" hidden="false" customHeight="true" outlineLevel="0" collapsed="false">
      <c r="A177" s="0" t="n">
        <v>176</v>
      </c>
      <c r="B177" s="191" t="n">
        <v>46152.4064497177</v>
      </c>
      <c r="C177" s="191" t="n">
        <v>46152.4255006436</v>
      </c>
      <c r="D177" s="189" t="s">
        <v>1368</v>
      </c>
      <c r="E177" s="189" t="s">
        <v>1369</v>
      </c>
      <c r="F177" s="189" t="s">
        <v>1370</v>
      </c>
      <c r="G177" s="189" t="s">
        <v>1371</v>
      </c>
      <c r="H177" s="191" t="n">
        <v>46143</v>
      </c>
      <c r="I177" s="189" t="s">
        <v>113</v>
      </c>
      <c r="J177" s="189" t="s">
        <v>108</v>
      </c>
      <c r="K177" s="189" t="s">
        <v>1372</v>
      </c>
      <c r="L177" s="189" t="s">
        <v>130</v>
      </c>
      <c r="M177" s="189" t="s">
        <v>566</v>
      </c>
      <c r="N177" s="189" t="s">
        <v>357</v>
      </c>
      <c r="O177" s="189" t="s">
        <v>244</v>
      </c>
      <c r="P177" s="189" t="s">
        <v>111</v>
      </c>
      <c r="Q177" s="189" t="s">
        <v>112</v>
      </c>
      <c r="R177" s="189" t="s">
        <v>22</v>
      </c>
      <c r="S177" s="189" t="s">
        <v>152</v>
      </c>
      <c r="T177" s="189" t="s">
        <v>228</v>
      </c>
      <c r="U177" s="189" t="s">
        <v>1376</v>
      </c>
      <c r="V177" s="189" t="s">
        <v>123</v>
      </c>
      <c r="W177" s="189" t="s">
        <v>124</v>
      </c>
      <c r="X177" s="189" t="s">
        <v>715</v>
      </c>
      <c r="Y177" s="189" t="s">
        <v>715</v>
      </c>
      <c r="Z177" s="189" t="s">
        <v>2296</v>
      </c>
      <c r="AG177" s="189" t="s">
        <v>2276</v>
      </c>
      <c r="AH177" s="189" t="s">
        <v>2273</v>
      </c>
    </row>
    <row r="178" customFormat="false" ht="15" hidden="false" customHeight="true" outlineLevel="0" collapsed="false">
      <c r="A178" s="0" t="n">
        <v>177</v>
      </c>
      <c r="B178" s="191" t="n">
        <v>46215.8484433469</v>
      </c>
      <c r="C178" s="191" t="n">
        <v>46215.8529109394</v>
      </c>
      <c r="D178" s="189" t="s">
        <v>1377</v>
      </c>
      <c r="E178" s="189" t="s">
        <v>1378</v>
      </c>
      <c r="F178" s="189" t="s">
        <v>1378</v>
      </c>
      <c r="G178" s="189" t="s">
        <v>1379</v>
      </c>
      <c r="H178" s="191" t="n">
        <v>46214</v>
      </c>
      <c r="I178" s="189" t="s">
        <v>132</v>
      </c>
      <c r="J178" s="189" t="s">
        <v>108</v>
      </c>
      <c r="K178" s="189" t="s">
        <v>364</v>
      </c>
      <c r="L178" s="189" t="s">
        <v>296</v>
      </c>
      <c r="M178" s="189" t="s">
        <v>1380</v>
      </c>
      <c r="N178" s="189" t="s">
        <v>1381</v>
      </c>
      <c r="O178" s="189" t="s">
        <v>107</v>
      </c>
      <c r="P178" s="189" t="s">
        <v>111</v>
      </c>
      <c r="Q178" s="189" t="s">
        <v>112</v>
      </c>
      <c r="R178" s="189" t="s">
        <v>22</v>
      </c>
      <c r="S178" s="189" t="s">
        <v>152</v>
      </c>
      <c r="T178" s="189" t="s">
        <v>180</v>
      </c>
      <c r="U178" s="189" t="s">
        <v>562</v>
      </c>
      <c r="V178" s="189" t="s">
        <v>123</v>
      </c>
      <c r="W178" s="189" t="s">
        <v>124</v>
      </c>
      <c r="X178" s="189" t="s">
        <v>116</v>
      </c>
      <c r="Y178" s="189" t="s">
        <v>116</v>
      </c>
      <c r="Z178" s="189" t="s">
        <v>2139</v>
      </c>
      <c r="AG178" s="189" t="s">
        <v>122</v>
      </c>
      <c r="AH178" s="189" t="s">
        <v>2127</v>
      </c>
    </row>
    <row r="179" customFormat="false" ht="15" hidden="false" customHeight="true" outlineLevel="0" collapsed="false">
      <c r="A179" s="0" t="n">
        <v>178</v>
      </c>
      <c r="B179" s="191" t="n">
        <v>46172.5809402542</v>
      </c>
      <c r="C179" s="191" t="n">
        <v>46172.5916115505</v>
      </c>
      <c r="D179" s="189" t="s">
        <v>1382</v>
      </c>
      <c r="E179" s="189" t="s">
        <v>1383</v>
      </c>
      <c r="F179" s="189" t="s">
        <v>1383</v>
      </c>
      <c r="G179" s="189" t="s">
        <v>1384</v>
      </c>
      <c r="H179" s="191" t="n">
        <v>46162</v>
      </c>
      <c r="I179" s="189" t="s">
        <v>113</v>
      </c>
      <c r="J179" s="189" t="s">
        <v>128</v>
      </c>
      <c r="K179" s="189" t="s">
        <v>173</v>
      </c>
      <c r="L179" s="189" t="s">
        <v>110</v>
      </c>
      <c r="M179" s="189" t="s">
        <v>944</v>
      </c>
      <c r="N179" s="189" t="s">
        <v>440</v>
      </c>
      <c r="O179" s="189" t="s">
        <v>278</v>
      </c>
      <c r="P179" s="189" t="s">
        <v>111</v>
      </c>
      <c r="Q179" s="189" t="s">
        <v>112</v>
      </c>
      <c r="R179" s="189" t="s">
        <v>23</v>
      </c>
      <c r="S179" s="189" t="s">
        <v>152</v>
      </c>
      <c r="T179" s="189" t="s">
        <v>352</v>
      </c>
      <c r="U179" s="189" t="s">
        <v>122</v>
      </c>
      <c r="V179" s="189" t="s">
        <v>123</v>
      </c>
      <c r="W179" s="189" t="s">
        <v>124</v>
      </c>
      <c r="X179" s="189" t="s">
        <v>442</v>
      </c>
      <c r="Y179" s="189" t="s">
        <v>442</v>
      </c>
      <c r="AK179" s="189" t="s">
        <v>441</v>
      </c>
    </row>
    <row r="180" customFormat="false" ht="15" hidden="false" customHeight="true" outlineLevel="0" collapsed="false">
      <c r="A180" s="0" t="n">
        <v>179</v>
      </c>
      <c r="B180" s="191" t="n">
        <v>46160.4673561219</v>
      </c>
      <c r="C180" s="191" t="n">
        <v>46160.4745204738</v>
      </c>
      <c r="D180" s="189" t="s">
        <v>1385</v>
      </c>
      <c r="E180" s="189" t="s">
        <v>1386</v>
      </c>
      <c r="F180" s="189" t="s">
        <v>1386</v>
      </c>
      <c r="G180" s="189" t="s">
        <v>1387</v>
      </c>
      <c r="H180" s="191" t="n">
        <v>46145</v>
      </c>
      <c r="I180" s="189" t="s">
        <v>113</v>
      </c>
      <c r="J180" s="189" t="s">
        <v>108</v>
      </c>
      <c r="K180" s="189" t="s">
        <v>245</v>
      </c>
      <c r="L180" s="189" t="s">
        <v>159</v>
      </c>
      <c r="M180" s="189" t="s">
        <v>1388</v>
      </c>
      <c r="N180" s="189" t="s">
        <v>775</v>
      </c>
      <c r="O180" s="189" t="s">
        <v>172</v>
      </c>
      <c r="P180" s="189" t="s">
        <v>111</v>
      </c>
      <c r="Q180" s="189" t="s">
        <v>112</v>
      </c>
      <c r="R180" s="189" t="s">
        <v>22</v>
      </c>
      <c r="S180" s="189" t="s">
        <v>227</v>
      </c>
      <c r="T180" s="189" t="s">
        <v>121</v>
      </c>
      <c r="U180" s="189" t="s">
        <v>122</v>
      </c>
      <c r="V180" s="189" t="s">
        <v>192</v>
      </c>
      <c r="W180" s="189" t="s">
        <v>124</v>
      </c>
      <c r="X180" s="189" t="s">
        <v>381</v>
      </c>
      <c r="Y180" s="189" t="s">
        <v>381</v>
      </c>
      <c r="Z180" s="189" t="s">
        <v>2277</v>
      </c>
      <c r="AG180" s="189" t="s">
        <v>2278</v>
      </c>
      <c r="AH180" s="189" t="s">
        <v>2207</v>
      </c>
    </row>
    <row r="181" customFormat="false" ht="15" hidden="false" customHeight="true" outlineLevel="0" collapsed="false">
      <c r="A181" s="0" t="n">
        <v>180</v>
      </c>
      <c r="B181" s="191" t="n">
        <v>46179.1103691503</v>
      </c>
      <c r="C181" s="191" t="n">
        <v>46179.1311214651</v>
      </c>
      <c r="D181" s="189" t="s">
        <v>1391</v>
      </c>
      <c r="E181" s="189" t="s">
        <v>1392</v>
      </c>
      <c r="F181" s="189" t="s">
        <v>1392</v>
      </c>
      <c r="G181" s="189" t="s">
        <v>1393</v>
      </c>
      <c r="H181" s="191" t="n">
        <v>46159</v>
      </c>
      <c r="I181" s="189" t="s">
        <v>113</v>
      </c>
      <c r="J181" s="189" t="s">
        <v>295</v>
      </c>
      <c r="K181" s="189" t="s">
        <v>196</v>
      </c>
      <c r="L181" s="189" t="s">
        <v>130</v>
      </c>
      <c r="M181" s="189" t="s">
        <v>594</v>
      </c>
      <c r="N181" s="189" t="s">
        <v>147</v>
      </c>
      <c r="O181" s="189" t="s">
        <v>278</v>
      </c>
      <c r="P181" s="189" t="s">
        <v>111</v>
      </c>
      <c r="Q181" s="189" t="s">
        <v>112</v>
      </c>
      <c r="R181" s="189" t="s">
        <v>22</v>
      </c>
      <c r="S181" s="189" t="s">
        <v>152</v>
      </c>
      <c r="T181" s="189" t="s">
        <v>264</v>
      </c>
      <c r="U181" s="189" t="s">
        <v>1395</v>
      </c>
      <c r="V181" s="189" t="s">
        <v>192</v>
      </c>
      <c r="W181" s="189" t="s">
        <v>168</v>
      </c>
      <c r="X181" s="189" t="s">
        <v>715</v>
      </c>
      <c r="Y181" s="189" t="s">
        <v>715</v>
      </c>
      <c r="Z181" s="189" t="s">
        <v>2295</v>
      </c>
      <c r="AA181" s="189" t="s">
        <v>2296</v>
      </c>
      <c r="AG181" s="189" t="s">
        <v>2272</v>
      </c>
      <c r="AH181" s="189" t="s">
        <v>2273</v>
      </c>
    </row>
    <row r="182" customFormat="false" ht="15" hidden="false" customHeight="true" outlineLevel="0" collapsed="false">
      <c r="A182" s="0" t="n">
        <v>181</v>
      </c>
      <c r="B182" s="191" t="n">
        <v>46112.4072164083</v>
      </c>
      <c r="C182" s="191" t="n">
        <v>46112.4141724268</v>
      </c>
      <c r="D182" s="189" t="s">
        <v>1396</v>
      </c>
      <c r="E182" s="189" t="s">
        <v>1397</v>
      </c>
      <c r="F182" s="189" t="s">
        <v>1397</v>
      </c>
      <c r="G182" s="189" t="s">
        <v>1398</v>
      </c>
      <c r="H182" s="191" t="n">
        <v>46100</v>
      </c>
      <c r="I182" s="189" t="s">
        <v>113</v>
      </c>
      <c r="J182" s="189" t="s">
        <v>295</v>
      </c>
      <c r="K182" s="189" t="s">
        <v>245</v>
      </c>
      <c r="L182" s="189" t="s">
        <v>286</v>
      </c>
      <c r="M182" s="189" t="s">
        <v>212</v>
      </c>
      <c r="N182" s="189" t="s">
        <v>1144</v>
      </c>
      <c r="O182" s="189" t="s">
        <v>244</v>
      </c>
      <c r="P182" s="189" t="s">
        <v>111</v>
      </c>
      <c r="Q182" s="189" t="s">
        <v>112</v>
      </c>
      <c r="R182" s="189" t="s">
        <v>24</v>
      </c>
      <c r="S182" s="189" t="s">
        <v>120</v>
      </c>
      <c r="T182" s="189" t="s">
        <v>121</v>
      </c>
      <c r="U182" s="189" t="s">
        <v>994</v>
      </c>
      <c r="V182" s="189" t="s">
        <v>123</v>
      </c>
      <c r="W182" s="189" t="s">
        <v>139</v>
      </c>
      <c r="X182" s="189" t="s">
        <v>223</v>
      </c>
      <c r="Y182" s="189" t="s">
        <v>223</v>
      </c>
      <c r="Z182" s="189" t="s">
        <v>2148</v>
      </c>
      <c r="AA182" s="189" t="s">
        <v>2140</v>
      </c>
      <c r="AG182" s="189" t="s">
        <v>2194</v>
      </c>
    </row>
    <row r="183" customFormat="false" ht="15" hidden="false" customHeight="true" outlineLevel="0" collapsed="false">
      <c r="A183" s="0" t="n">
        <v>182</v>
      </c>
      <c r="B183" s="191" t="n">
        <v>46064.8236795168</v>
      </c>
      <c r="C183" s="191" t="n">
        <v>46064.8358670168</v>
      </c>
      <c r="D183" s="189" t="s">
        <v>1401</v>
      </c>
      <c r="E183" s="189" t="s">
        <v>1402</v>
      </c>
      <c r="F183" s="189" t="s">
        <v>1402</v>
      </c>
      <c r="G183" s="189" t="s">
        <v>1403</v>
      </c>
      <c r="H183" s="191" t="n">
        <v>46051</v>
      </c>
      <c r="I183" s="189" t="s">
        <v>113</v>
      </c>
      <c r="J183" s="189" t="s">
        <v>108</v>
      </c>
      <c r="K183" s="189" t="s">
        <v>196</v>
      </c>
      <c r="L183" s="189" t="s">
        <v>210</v>
      </c>
      <c r="M183" s="189" t="s">
        <v>133</v>
      </c>
      <c r="N183" s="189" t="s">
        <v>567</v>
      </c>
      <c r="O183" s="189" t="s">
        <v>244</v>
      </c>
      <c r="P183" s="189" t="s">
        <v>111</v>
      </c>
      <c r="Q183" s="189" t="s">
        <v>112</v>
      </c>
      <c r="R183" s="189" t="s">
        <v>24</v>
      </c>
      <c r="S183" s="189" t="s">
        <v>152</v>
      </c>
      <c r="T183" s="189" t="s">
        <v>1406</v>
      </c>
      <c r="U183" s="189" t="s">
        <v>122</v>
      </c>
      <c r="V183" s="189" t="s">
        <v>192</v>
      </c>
      <c r="W183" s="189" t="s">
        <v>168</v>
      </c>
      <c r="X183" s="189" t="s">
        <v>223</v>
      </c>
      <c r="Y183" s="189" t="s">
        <v>223</v>
      </c>
      <c r="Z183" s="189" t="s">
        <v>2164</v>
      </c>
      <c r="AA183" s="189" t="s">
        <v>2141</v>
      </c>
      <c r="AB183" s="189" t="s">
        <v>2165</v>
      </c>
      <c r="AG183" s="189" t="s">
        <v>2150</v>
      </c>
      <c r="AH183" s="189" t="s">
        <v>2194</v>
      </c>
    </row>
    <row r="184" customFormat="false" ht="15" hidden="false" customHeight="true" outlineLevel="0" collapsed="false">
      <c r="A184" s="0" t="n">
        <v>183</v>
      </c>
      <c r="B184" s="191" t="n">
        <v>46124.6324907911</v>
      </c>
      <c r="C184" s="191" t="n">
        <v>46124.6462755133</v>
      </c>
      <c r="D184" s="189" t="s">
        <v>1407</v>
      </c>
      <c r="E184" s="189" t="s">
        <v>1408</v>
      </c>
      <c r="F184" s="189" t="s">
        <v>1409</v>
      </c>
      <c r="G184" s="189" t="s">
        <v>1410</v>
      </c>
      <c r="H184" s="191" t="n">
        <v>46109</v>
      </c>
      <c r="I184" s="189" t="s">
        <v>113</v>
      </c>
      <c r="J184" s="189" t="s">
        <v>295</v>
      </c>
      <c r="K184" s="189" t="s">
        <v>232</v>
      </c>
      <c r="L184" s="189" t="s">
        <v>197</v>
      </c>
      <c r="M184" s="189" t="s">
        <v>160</v>
      </c>
      <c r="N184" s="189" t="s">
        <v>899</v>
      </c>
      <c r="O184" s="189" t="s">
        <v>244</v>
      </c>
      <c r="P184" s="189" t="s">
        <v>211</v>
      </c>
      <c r="Q184" s="189" t="s">
        <v>112</v>
      </c>
      <c r="R184" s="189" t="s">
        <v>24</v>
      </c>
      <c r="S184" s="189" t="s">
        <v>152</v>
      </c>
      <c r="T184" s="189" t="s">
        <v>165</v>
      </c>
      <c r="U184" s="189" t="s">
        <v>426</v>
      </c>
      <c r="V184" s="189" t="s">
        <v>123</v>
      </c>
      <c r="W184" s="189" t="s">
        <v>124</v>
      </c>
      <c r="X184" s="189" t="s">
        <v>19</v>
      </c>
      <c r="Y184" s="189" t="s">
        <v>19</v>
      </c>
      <c r="AK184" s="189" t="s">
        <v>880</v>
      </c>
    </row>
    <row r="185" customFormat="false" ht="15" hidden="false" customHeight="true" outlineLevel="0" collapsed="false">
      <c r="A185" s="0" t="n">
        <v>184</v>
      </c>
      <c r="B185" s="191" t="n">
        <v>46155.5100316044</v>
      </c>
      <c r="C185" s="191" t="n">
        <v>46155.5175894747</v>
      </c>
      <c r="D185" s="189" t="s">
        <v>1411</v>
      </c>
      <c r="E185" s="189" t="s">
        <v>1412</v>
      </c>
      <c r="F185" s="189" t="s">
        <v>1412</v>
      </c>
      <c r="G185" s="189" t="s">
        <v>1413</v>
      </c>
      <c r="H185" s="191" t="n">
        <v>46137</v>
      </c>
      <c r="I185" s="189" t="s">
        <v>113</v>
      </c>
      <c r="J185" s="189" t="s">
        <v>108</v>
      </c>
      <c r="K185" s="189" t="s">
        <v>173</v>
      </c>
      <c r="L185" s="189" t="s">
        <v>130</v>
      </c>
      <c r="M185" s="189" t="s">
        <v>447</v>
      </c>
      <c r="N185" s="189" t="s">
        <v>819</v>
      </c>
      <c r="O185" s="189" t="s">
        <v>107</v>
      </c>
      <c r="P185" s="189" t="s">
        <v>111</v>
      </c>
      <c r="Q185" s="189" t="s">
        <v>112</v>
      </c>
      <c r="R185" s="189" t="s">
        <v>22</v>
      </c>
      <c r="S185" s="189" t="s">
        <v>120</v>
      </c>
      <c r="T185" s="189" t="s">
        <v>180</v>
      </c>
      <c r="V185" s="189" t="s">
        <v>192</v>
      </c>
      <c r="W185" s="189" t="s">
        <v>124</v>
      </c>
      <c r="X185" s="189" t="s">
        <v>715</v>
      </c>
      <c r="Y185" s="189" t="s">
        <v>715</v>
      </c>
      <c r="Z185" s="189" t="s">
        <v>2295</v>
      </c>
      <c r="AA185" s="189" t="s">
        <v>2296</v>
      </c>
      <c r="AG185" s="189" t="s">
        <v>2276</v>
      </c>
    </row>
    <row r="186" customFormat="false" ht="15" hidden="false" customHeight="true" outlineLevel="0" collapsed="false">
      <c r="A186" s="0" t="n">
        <v>185</v>
      </c>
      <c r="B186" s="191" t="n">
        <v>46047.2795379285</v>
      </c>
      <c r="C186" s="191" t="n">
        <v>46047.2829175582</v>
      </c>
      <c r="D186" s="189" t="s">
        <v>1414</v>
      </c>
      <c r="E186" s="189" t="s">
        <v>1415</v>
      </c>
      <c r="F186" s="189" t="s">
        <v>1415</v>
      </c>
      <c r="G186" s="189" t="s">
        <v>1416</v>
      </c>
      <c r="H186" s="191" t="n">
        <v>46043</v>
      </c>
      <c r="I186" s="189" t="s">
        <v>113</v>
      </c>
      <c r="J186" s="189" t="s">
        <v>295</v>
      </c>
      <c r="K186" s="189" t="s">
        <v>245</v>
      </c>
      <c r="L186" s="189" t="s">
        <v>184</v>
      </c>
      <c r="M186" s="189" t="s">
        <v>133</v>
      </c>
      <c r="N186" s="189" t="s">
        <v>200</v>
      </c>
      <c r="O186" s="189" t="s">
        <v>157</v>
      </c>
      <c r="P186" s="189" t="s">
        <v>111</v>
      </c>
      <c r="Q186" s="189" t="s">
        <v>145</v>
      </c>
      <c r="R186" s="189" t="s">
        <v>24</v>
      </c>
      <c r="S186" s="189" t="s">
        <v>152</v>
      </c>
      <c r="T186" s="189" t="s">
        <v>228</v>
      </c>
      <c r="U186" s="189" t="s">
        <v>1420</v>
      </c>
      <c r="V186" s="189" t="s">
        <v>123</v>
      </c>
      <c r="W186" s="189" t="s">
        <v>124</v>
      </c>
      <c r="X186" s="189" t="s">
        <v>260</v>
      </c>
      <c r="Y186" s="189" t="s">
        <v>260</v>
      </c>
      <c r="Z186" s="189" t="s">
        <v>2334</v>
      </c>
      <c r="AA186" s="189" t="s">
        <v>2307</v>
      </c>
      <c r="AB186" s="189" t="s">
        <v>2153</v>
      </c>
      <c r="AG186" s="189" t="s">
        <v>2304</v>
      </c>
      <c r="AH186" s="189" t="s">
        <v>2157</v>
      </c>
    </row>
    <row r="187" customFormat="false" ht="15" hidden="false" customHeight="true" outlineLevel="0" collapsed="false">
      <c r="A187" s="0" t="n">
        <v>186</v>
      </c>
      <c r="B187" s="191" t="n">
        <v>46159.7942861831</v>
      </c>
      <c r="C187" s="191" t="n">
        <v>46159.7959528498</v>
      </c>
      <c r="D187" s="189" t="s">
        <v>1421</v>
      </c>
      <c r="E187" s="189" t="s">
        <v>1422</v>
      </c>
      <c r="F187" s="189" t="s">
        <v>1422</v>
      </c>
      <c r="G187" s="189" t="s">
        <v>1423</v>
      </c>
      <c r="H187" s="191" t="n">
        <v>46145</v>
      </c>
      <c r="I187" s="189" t="s">
        <v>336</v>
      </c>
      <c r="J187" s="189" t="s">
        <v>108</v>
      </c>
      <c r="K187" s="189" t="s">
        <v>173</v>
      </c>
      <c r="L187" s="189" t="s">
        <v>114</v>
      </c>
      <c r="M187" s="189" t="s">
        <v>1074</v>
      </c>
      <c r="N187" s="189" t="s">
        <v>1094</v>
      </c>
      <c r="O187" s="189" t="s">
        <v>172</v>
      </c>
      <c r="P187" s="189" t="s">
        <v>211</v>
      </c>
      <c r="Q187" s="189" t="s">
        <v>112</v>
      </c>
      <c r="R187" s="189" t="s">
        <v>24</v>
      </c>
      <c r="S187" s="189" t="s">
        <v>120</v>
      </c>
      <c r="T187" s="189" t="s">
        <v>180</v>
      </c>
      <c r="V187" s="189" t="s">
        <v>192</v>
      </c>
      <c r="W187" s="189" t="s">
        <v>124</v>
      </c>
      <c r="X187" s="189" t="s">
        <v>448</v>
      </c>
      <c r="Y187" s="189" t="s">
        <v>448</v>
      </c>
      <c r="Z187" s="189" t="s">
        <v>2218</v>
      </c>
      <c r="AA187" s="189" t="s">
        <v>2217</v>
      </c>
      <c r="AG187" s="189" t="s">
        <v>2223</v>
      </c>
      <c r="AH187" s="189" t="s">
        <v>2222</v>
      </c>
    </row>
    <row r="188" customFormat="false" ht="15" hidden="false" customHeight="true" outlineLevel="0" collapsed="false">
      <c r="A188" s="0" t="n">
        <v>187</v>
      </c>
      <c r="B188" s="191" t="n">
        <v>46216.203927064</v>
      </c>
      <c r="C188" s="191" t="n">
        <v>46216.2055937307</v>
      </c>
      <c r="D188" s="189" t="s">
        <v>1426</v>
      </c>
      <c r="E188" s="189" t="s">
        <v>1427</v>
      </c>
      <c r="F188" s="189" t="s">
        <v>1428</v>
      </c>
      <c r="G188" s="189" t="s">
        <v>1429</v>
      </c>
      <c r="H188" s="191" t="n">
        <v>46213</v>
      </c>
      <c r="I188" s="189" t="s">
        <v>113</v>
      </c>
      <c r="J188" s="189" t="s">
        <v>108</v>
      </c>
      <c r="K188" s="189" t="s">
        <v>232</v>
      </c>
      <c r="L188" s="189" t="s">
        <v>286</v>
      </c>
      <c r="M188" s="189" t="s">
        <v>269</v>
      </c>
      <c r="N188" s="189" t="s">
        <v>775</v>
      </c>
      <c r="O188" s="189" t="s">
        <v>244</v>
      </c>
      <c r="P188" s="189" t="s">
        <v>111</v>
      </c>
      <c r="Q188" s="189" t="s">
        <v>112</v>
      </c>
      <c r="R188" s="189" t="s">
        <v>24</v>
      </c>
      <c r="S188" s="189" t="s">
        <v>120</v>
      </c>
      <c r="T188" s="189" t="s">
        <v>264</v>
      </c>
      <c r="U188" s="189" t="s">
        <v>122</v>
      </c>
      <c r="V188" s="189" t="s">
        <v>167</v>
      </c>
      <c r="W188" s="189" t="s">
        <v>124</v>
      </c>
      <c r="X188" s="189" t="s">
        <v>223</v>
      </c>
      <c r="Y188" s="189" t="s">
        <v>223</v>
      </c>
      <c r="Z188" s="189" t="s">
        <v>2140</v>
      </c>
      <c r="AA188" s="189" t="s">
        <v>2147</v>
      </c>
      <c r="AB188" s="189" t="s">
        <v>2148</v>
      </c>
      <c r="AG188" s="189" t="s">
        <v>2145</v>
      </c>
    </row>
    <row r="189" customFormat="false" ht="15" hidden="false" customHeight="true" outlineLevel="0" collapsed="false">
      <c r="A189" s="0" t="n">
        <v>188</v>
      </c>
      <c r="B189" s="191" t="n">
        <v>46214.9844156917</v>
      </c>
      <c r="C189" s="191" t="n">
        <v>46215.0009434694</v>
      </c>
      <c r="D189" s="189" t="s">
        <v>1433</v>
      </c>
      <c r="E189" s="189" t="s">
        <v>1434</v>
      </c>
      <c r="F189" s="189" t="s">
        <v>1434</v>
      </c>
      <c r="G189" s="189" t="s">
        <v>1435</v>
      </c>
      <c r="H189" s="191" t="n">
        <v>46206</v>
      </c>
      <c r="I189" s="189" t="s">
        <v>325</v>
      </c>
      <c r="J189" s="189" t="s">
        <v>295</v>
      </c>
      <c r="K189" s="189" t="s">
        <v>257</v>
      </c>
      <c r="L189" s="189" t="s">
        <v>346</v>
      </c>
      <c r="M189" s="189" t="s">
        <v>212</v>
      </c>
      <c r="N189" s="189" t="s">
        <v>743</v>
      </c>
      <c r="O189" s="189" t="s">
        <v>278</v>
      </c>
      <c r="P189" s="189" t="s">
        <v>111</v>
      </c>
      <c r="Q189" s="189" t="s">
        <v>112</v>
      </c>
      <c r="R189" s="189" t="s">
        <v>22</v>
      </c>
      <c r="S189" s="189" t="s">
        <v>152</v>
      </c>
      <c r="T189" s="189" t="s">
        <v>180</v>
      </c>
      <c r="U189" s="189" t="s">
        <v>122</v>
      </c>
      <c r="V189" s="189" t="s">
        <v>123</v>
      </c>
      <c r="W189" s="189" t="s">
        <v>124</v>
      </c>
      <c r="X189" s="189" t="s">
        <v>135</v>
      </c>
      <c r="Y189" s="189" t="s">
        <v>135</v>
      </c>
      <c r="Z189" s="189" t="s">
        <v>2116</v>
      </c>
      <c r="AA189" s="189" t="s">
        <v>2115</v>
      </c>
      <c r="AG189" s="189" t="s">
        <v>2196</v>
      </c>
    </row>
    <row r="190" customFormat="false" ht="15" hidden="false" customHeight="true" outlineLevel="0" collapsed="false">
      <c r="A190" s="0" t="n">
        <v>189</v>
      </c>
      <c r="B190" s="191" t="n">
        <v>46083.896422879</v>
      </c>
      <c r="C190" s="191" t="n">
        <v>46083.8986335272</v>
      </c>
      <c r="D190" s="189" t="s">
        <v>1437</v>
      </c>
      <c r="E190" s="189" t="s">
        <v>1438</v>
      </c>
      <c r="F190" s="189" t="s">
        <v>1439</v>
      </c>
      <c r="G190" s="189" t="s">
        <v>1440</v>
      </c>
      <c r="H190" s="191" t="n">
        <v>46075</v>
      </c>
      <c r="I190" s="189" t="s">
        <v>325</v>
      </c>
      <c r="J190" s="189" t="s">
        <v>108</v>
      </c>
      <c r="K190" s="189" t="s">
        <v>173</v>
      </c>
      <c r="L190" s="189" t="s">
        <v>197</v>
      </c>
      <c r="M190" s="189" t="s">
        <v>439</v>
      </c>
      <c r="N190" s="189" t="s">
        <v>1441</v>
      </c>
      <c r="O190" s="189" t="s">
        <v>278</v>
      </c>
      <c r="P190" s="189" t="s">
        <v>111</v>
      </c>
      <c r="Q190" s="189" t="s">
        <v>112</v>
      </c>
      <c r="R190" s="189" t="s">
        <v>22</v>
      </c>
      <c r="S190" s="189" t="s">
        <v>227</v>
      </c>
      <c r="T190" s="189" t="s">
        <v>496</v>
      </c>
      <c r="U190" s="189" t="s">
        <v>122</v>
      </c>
      <c r="V190" s="189" t="s">
        <v>167</v>
      </c>
      <c r="W190" s="189" t="s">
        <v>124</v>
      </c>
      <c r="X190" s="189" t="s">
        <v>116</v>
      </c>
      <c r="Y190" s="189" t="s">
        <v>116</v>
      </c>
      <c r="Z190" s="189" t="s">
        <v>2139</v>
      </c>
      <c r="AA190" s="189" t="s">
        <v>2109</v>
      </c>
      <c r="AB190" s="189" t="s">
        <v>2151</v>
      </c>
      <c r="AG190" s="189" t="s">
        <v>2127</v>
      </c>
    </row>
    <row r="191" customFormat="false" ht="15" hidden="false" customHeight="true" outlineLevel="0" collapsed="false">
      <c r="A191" s="0" t="n">
        <v>190</v>
      </c>
      <c r="B191" s="191" t="n">
        <v>46149.9937589825</v>
      </c>
      <c r="C191" s="191" t="n">
        <v>46150.0104835196</v>
      </c>
      <c r="D191" s="189" t="s">
        <v>1443</v>
      </c>
      <c r="E191" s="189" t="s">
        <v>1444</v>
      </c>
      <c r="F191" s="189" t="s">
        <v>1444</v>
      </c>
      <c r="G191" s="189" t="s">
        <v>1445</v>
      </c>
      <c r="H191" s="191" t="n">
        <v>46139</v>
      </c>
      <c r="I191" s="189" t="s">
        <v>113</v>
      </c>
      <c r="J191" s="189" t="s">
        <v>108</v>
      </c>
      <c r="K191" s="189" t="s">
        <v>143</v>
      </c>
      <c r="L191" s="189" t="s">
        <v>268</v>
      </c>
      <c r="M191" s="189" t="s">
        <v>477</v>
      </c>
      <c r="N191" s="189" t="s">
        <v>306</v>
      </c>
      <c r="O191" s="189" t="s">
        <v>107</v>
      </c>
      <c r="P191" s="189" t="s">
        <v>111</v>
      </c>
      <c r="Q191" s="189" t="s">
        <v>247</v>
      </c>
      <c r="R191" s="189" t="s">
        <v>22</v>
      </c>
      <c r="S191" s="189" t="s">
        <v>152</v>
      </c>
      <c r="T191" s="189" t="s">
        <v>352</v>
      </c>
      <c r="V191" s="189" t="s">
        <v>123</v>
      </c>
      <c r="W191" s="189" t="s">
        <v>124</v>
      </c>
      <c r="X191" s="189" t="s">
        <v>148</v>
      </c>
      <c r="Y191" s="189" t="s">
        <v>148</v>
      </c>
      <c r="Z191" s="189" t="s">
        <v>2230</v>
      </c>
      <c r="AA191" s="189" t="s">
        <v>2166</v>
      </c>
      <c r="AB191" s="189" t="s">
        <v>2326</v>
      </c>
      <c r="AG191" s="189" t="s">
        <v>2232</v>
      </c>
    </row>
    <row r="192" customFormat="false" ht="15" hidden="false" customHeight="true" outlineLevel="0" collapsed="false">
      <c r="A192" s="0" t="n">
        <v>191</v>
      </c>
      <c r="B192" s="191" t="n">
        <v>46198.6875079563</v>
      </c>
      <c r="C192" s="191" t="n">
        <v>46198.6995449933</v>
      </c>
      <c r="D192" s="189" t="s">
        <v>1447</v>
      </c>
      <c r="E192" s="189" t="s">
        <v>1448</v>
      </c>
      <c r="F192" s="189" t="s">
        <v>1449</v>
      </c>
      <c r="G192" s="189" t="s">
        <v>1450</v>
      </c>
      <c r="H192" s="191" t="n">
        <v>46197</v>
      </c>
      <c r="I192" s="189" t="s">
        <v>305</v>
      </c>
      <c r="J192" s="189" t="s">
        <v>295</v>
      </c>
      <c r="K192" s="189" t="s">
        <v>143</v>
      </c>
      <c r="L192" s="189" t="s">
        <v>233</v>
      </c>
      <c r="M192" s="189" t="s">
        <v>248</v>
      </c>
      <c r="N192" s="189" t="s">
        <v>893</v>
      </c>
      <c r="O192" s="189" t="s">
        <v>172</v>
      </c>
      <c r="P192" s="189" t="s">
        <v>111</v>
      </c>
      <c r="Q192" s="189" t="s">
        <v>112</v>
      </c>
      <c r="R192" s="189" t="s">
        <v>22</v>
      </c>
      <c r="S192" s="189" t="s">
        <v>152</v>
      </c>
      <c r="T192" s="189" t="s">
        <v>180</v>
      </c>
      <c r="U192" s="189" t="s">
        <v>122</v>
      </c>
      <c r="V192" s="189" t="s">
        <v>167</v>
      </c>
      <c r="W192" s="189" t="s">
        <v>168</v>
      </c>
      <c r="X192" s="189" t="s">
        <v>148</v>
      </c>
      <c r="Y192" s="189" t="s">
        <v>148</v>
      </c>
      <c r="Z192" s="189" t="s">
        <v>2136</v>
      </c>
      <c r="AG192" s="189" t="s">
        <v>2327</v>
      </c>
      <c r="AH192" s="189" t="s">
        <v>2232</v>
      </c>
    </row>
    <row r="193" customFormat="false" ht="15" hidden="false" customHeight="true" outlineLevel="0" collapsed="false">
      <c r="A193" s="0" t="n">
        <v>192</v>
      </c>
      <c r="B193" s="191" t="n">
        <v>46050.2494076301</v>
      </c>
      <c r="C193" s="191" t="n">
        <v>46050.2523011486</v>
      </c>
      <c r="D193" s="189" t="s">
        <v>1453</v>
      </c>
      <c r="E193" s="189" t="s">
        <v>1454</v>
      </c>
      <c r="F193" s="189" t="s">
        <v>1454</v>
      </c>
      <c r="G193" s="189" t="s">
        <v>1455</v>
      </c>
      <c r="H193" s="191" t="n">
        <v>46047</v>
      </c>
      <c r="I193" s="189" t="s">
        <v>551</v>
      </c>
      <c r="J193" s="189" t="s">
        <v>295</v>
      </c>
      <c r="K193" s="189" t="s">
        <v>1456</v>
      </c>
      <c r="L193" s="189" t="s">
        <v>286</v>
      </c>
      <c r="M193" s="189" t="s">
        <v>594</v>
      </c>
      <c r="N193" s="189" t="s">
        <v>174</v>
      </c>
      <c r="O193" s="189" t="s">
        <v>172</v>
      </c>
      <c r="P193" s="189" t="s">
        <v>111</v>
      </c>
      <c r="Q193" s="189" t="s">
        <v>145</v>
      </c>
      <c r="R193" s="189" t="s">
        <v>22</v>
      </c>
      <c r="S193" s="189" t="s">
        <v>152</v>
      </c>
      <c r="T193" s="189" t="s">
        <v>121</v>
      </c>
      <c r="U193" s="189" t="s">
        <v>547</v>
      </c>
      <c r="V193" s="189" t="s">
        <v>192</v>
      </c>
      <c r="W193" s="189" t="s">
        <v>124</v>
      </c>
      <c r="X193" s="189" t="s">
        <v>116</v>
      </c>
      <c r="Y193" s="189" t="s">
        <v>116</v>
      </c>
      <c r="Z193" s="189" t="s">
        <v>2183</v>
      </c>
      <c r="AG193" s="189" t="s">
        <v>2152</v>
      </c>
    </row>
    <row r="194" customFormat="false" ht="15" hidden="false" customHeight="true" outlineLevel="0" collapsed="false">
      <c r="A194" s="0" t="n">
        <v>193</v>
      </c>
      <c r="B194" s="191" t="n">
        <v>46057.9200701736</v>
      </c>
      <c r="C194" s="191" t="n">
        <v>46057.9238201736</v>
      </c>
      <c r="D194" s="189" t="s">
        <v>1458</v>
      </c>
      <c r="E194" s="189" t="s">
        <v>1459</v>
      </c>
      <c r="F194" s="189" t="s">
        <v>1459</v>
      </c>
      <c r="G194" s="189" t="s">
        <v>1460</v>
      </c>
      <c r="H194" s="191" t="n">
        <v>46038</v>
      </c>
      <c r="I194" s="189" t="s">
        <v>325</v>
      </c>
      <c r="J194" s="189" t="s">
        <v>108</v>
      </c>
      <c r="K194" s="189" t="s">
        <v>462</v>
      </c>
      <c r="L194" s="189" t="s">
        <v>246</v>
      </c>
      <c r="M194" s="189" t="s">
        <v>185</v>
      </c>
      <c r="N194" s="189" t="s">
        <v>440</v>
      </c>
      <c r="O194" s="189" t="s">
        <v>172</v>
      </c>
      <c r="P194" s="189" t="s">
        <v>111</v>
      </c>
      <c r="Q194" s="189" t="s">
        <v>247</v>
      </c>
      <c r="R194" s="189" t="s">
        <v>22</v>
      </c>
      <c r="S194" s="189" t="s">
        <v>152</v>
      </c>
      <c r="T194" s="189" t="s">
        <v>121</v>
      </c>
      <c r="V194" s="189" t="s">
        <v>167</v>
      </c>
      <c r="W194" s="189" t="s">
        <v>124</v>
      </c>
      <c r="X194" s="189" t="s">
        <v>381</v>
      </c>
      <c r="Y194" s="189" t="s">
        <v>381</v>
      </c>
      <c r="Z194" s="189" t="s">
        <v>2293</v>
      </c>
      <c r="AA194" s="189" t="s">
        <v>2203</v>
      </c>
      <c r="AB194" s="189" t="s">
        <v>2224</v>
      </c>
      <c r="AG194" s="189" t="s">
        <v>2278</v>
      </c>
      <c r="AH194" s="189" t="s">
        <v>2206</v>
      </c>
    </row>
    <row r="195" customFormat="false" ht="15" hidden="false" customHeight="true" outlineLevel="0" collapsed="false">
      <c r="A195" s="0" t="n">
        <v>194</v>
      </c>
      <c r="B195" s="191" t="n">
        <v>46185.3761264123</v>
      </c>
      <c r="C195" s="191" t="n">
        <v>46185.3830940049</v>
      </c>
      <c r="D195" s="189" t="s">
        <v>1463</v>
      </c>
      <c r="E195" s="189" t="s">
        <v>1464</v>
      </c>
      <c r="F195" s="189" t="s">
        <v>1465</v>
      </c>
      <c r="G195" s="189" t="s">
        <v>1466</v>
      </c>
      <c r="H195" s="191" t="n">
        <v>46169</v>
      </c>
      <c r="I195" s="189" t="s">
        <v>113</v>
      </c>
      <c r="J195" s="189" t="s">
        <v>108</v>
      </c>
      <c r="K195" s="189" t="s">
        <v>143</v>
      </c>
      <c r="L195" s="189" t="s">
        <v>296</v>
      </c>
      <c r="M195" s="189" t="s">
        <v>797</v>
      </c>
      <c r="N195" s="189" t="s">
        <v>810</v>
      </c>
      <c r="O195" s="189" t="s">
        <v>405</v>
      </c>
      <c r="P195" s="189" t="s">
        <v>111</v>
      </c>
      <c r="Q195" s="189" t="s">
        <v>112</v>
      </c>
      <c r="R195" s="189" t="s">
        <v>24</v>
      </c>
      <c r="S195" s="189" t="s">
        <v>152</v>
      </c>
      <c r="T195" s="189" t="s">
        <v>121</v>
      </c>
      <c r="U195" s="189" t="s">
        <v>1063</v>
      </c>
      <c r="V195" s="189" t="s">
        <v>123</v>
      </c>
      <c r="W195" s="189" t="s">
        <v>124</v>
      </c>
      <c r="X195" s="189" t="s">
        <v>214</v>
      </c>
      <c r="Y195" s="189" t="s">
        <v>214</v>
      </c>
      <c r="Z195" s="189" t="s">
        <v>2151</v>
      </c>
      <c r="AA195" s="189" t="s">
        <v>2109</v>
      </c>
      <c r="AG195" s="189" t="s">
        <v>2152</v>
      </c>
      <c r="AH195" s="189" t="s">
        <v>2114</v>
      </c>
    </row>
    <row r="196" customFormat="false" ht="15" hidden="false" customHeight="true" outlineLevel="0" collapsed="false">
      <c r="A196" s="0" t="n">
        <v>195</v>
      </c>
      <c r="B196" s="191" t="n">
        <v>46209.5455477033</v>
      </c>
      <c r="C196" s="191" t="n">
        <v>46209.5591356663</v>
      </c>
      <c r="D196" s="189" t="s">
        <v>1467</v>
      </c>
      <c r="E196" s="189" t="s">
        <v>1468</v>
      </c>
      <c r="F196" s="189" t="s">
        <v>1469</v>
      </c>
      <c r="G196" s="189" t="s">
        <v>1470</v>
      </c>
      <c r="H196" s="191" t="n">
        <v>46202</v>
      </c>
      <c r="I196" s="189" t="s">
        <v>113</v>
      </c>
      <c r="J196" s="189" t="s">
        <v>108</v>
      </c>
      <c r="K196" s="189" t="s">
        <v>143</v>
      </c>
      <c r="L196" s="189" t="s">
        <v>144</v>
      </c>
      <c r="M196" s="189" t="s">
        <v>286</v>
      </c>
      <c r="N196" s="189" t="s">
        <v>893</v>
      </c>
      <c r="O196" s="189" t="s">
        <v>278</v>
      </c>
      <c r="P196" s="189" t="s">
        <v>111</v>
      </c>
      <c r="Q196" s="189" t="s">
        <v>112</v>
      </c>
      <c r="R196" s="189" t="s">
        <v>22</v>
      </c>
      <c r="S196" s="189" t="s">
        <v>227</v>
      </c>
      <c r="T196" s="189" t="s">
        <v>121</v>
      </c>
      <c r="V196" s="189" t="s">
        <v>192</v>
      </c>
      <c r="W196" s="189" t="s">
        <v>124</v>
      </c>
      <c r="X196" s="189" t="s">
        <v>176</v>
      </c>
      <c r="Y196" s="189" t="s">
        <v>176</v>
      </c>
      <c r="Z196" s="189" t="s">
        <v>2336</v>
      </c>
      <c r="AA196" s="189" t="s">
        <v>2129</v>
      </c>
      <c r="AG196" s="189" t="s">
        <v>2315</v>
      </c>
      <c r="AH196" s="189" t="s">
        <v>2286</v>
      </c>
    </row>
    <row r="197" customFormat="false" ht="15" hidden="false" customHeight="true" outlineLevel="0" collapsed="false">
      <c r="A197" s="0" t="n">
        <v>196</v>
      </c>
      <c r="B197" s="191" t="n">
        <v>46036.3386968179</v>
      </c>
      <c r="C197" s="191" t="n">
        <v>46036.353557929</v>
      </c>
      <c r="D197" s="189" t="s">
        <v>1474</v>
      </c>
      <c r="E197" s="189" t="s">
        <v>1475</v>
      </c>
      <c r="F197" s="189" t="s">
        <v>1475</v>
      </c>
      <c r="G197" s="189" t="s">
        <v>1476</v>
      </c>
      <c r="H197" s="191" t="n">
        <v>46033</v>
      </c>
      <c r="I197" s="189" t="s">
        <v>113</v>
      </c>
      <c r="J197" s="189" t="s">
        <v>108</v>
      </c>
      <c r="K197" s="189" t="s">
        <v>1477</v>
      </c>
      <c r="L197" s="189" t="s">
        <v>144</v>
      </c>
      <c r="M197" s="189" t="s">
        <v>447</v>
      </c>
      <c r="N197" s="189" t="s">
        <v>990</v>
      </c>
      <c r="O197" s="189" t="s">
        <v>157</v>
      </c>
      <c r="P197" s="189" t="s">
        <v>111</v>
      </c>
      <c r="Q197" s="189" t="s">
        <v>112</v>
      </c>
      <c r="R197" s="189" t="s">
        <v>24</v>
      </c>
      <c r="S197" s="189" t="s">
        <v>152</v>
      </c>
      <c r="T197" s="189" t="s">
        <v>121</v>
      </c>
      <c r="V197" s="189" t="s">
        <v>167</v>
      </c>
      <c r="W197" s="189" t="s">
        <v>124</v>
      </c>
      <c r="X197" s="189" t="s">
        <v>223</v>
      </c>
      <c r="Y197" s="189" t="s">
        <v>223</v>
      </c>
      <c r="Z197" s="189" t="s">
        <v>2164</v>
      </c>
      <c r="AA197" s="189" t="s">
        <v>2142</v>
      </c>
      <c r="AB197" s="189" t="s">
        <v>2147</v>
      </c>
      <c r="AG197" s="189" t="s">
        <v>2146</v>
      </c>
      <c r="AH197" s="189" t="s">
        <v>2150</v>
      </c>
    </row>
    <row r="198" customFormat="false" ht="15" hidden="false" customHeight="true" outlineLevel="0" collapsed="false">
      <c r="A198" s="0" t="n">
        <v>197</v>
      </c>
      <c r="B198" s="191" t="n">
        <v>46103.3430380161</v>
      </c>
      <c r="C198" s="191" t="n">
        <v>46103.3479569976</v>
      </c>
      <c r="D198" s="189" t="s">
        <v>1480</v>
      </c>
      <c r="E198" s="189" t="s">
        <v>1481</v>
      </c>
      <c r="F198" s="189" t="s">
        <v>1481</v>
      </c>
      <c r="G198" s="189" t="s">
        <v>1482</v>
      </c>
      <c r="H198" s="191" t="n">
        <v>46090</v>
      </c>
      <c r="I198" s="189" t="s">
        <v>325</v>
      </c>
      <c r="J198" s="189" t="s">
        <v>108</v>
      </c>
      <c r="K198" s="189" t="s">
        <v>173</v>
      </c>
      <c r="L198" s="189" t="s">
        <v>159</v>
      </c>
      <c r="M198" s="189" t="s">
        <v>484</v>
      </c>
      <c r="N198" s="189" t="s">
        <v>849</v>
      </c>
      <c r="O198" s="189" t="s">
        <v>405</v>
      </c>
      <c r="P198" s="189" t="s">
        <v>111</v>
      </c>
      <c r="Q198" s="189" t="s">
        <v>112</v>
      </c>
      <c r="R198" s="189" t="s">
        <v>22</v>
      </c>
      <c r="S198" s="189" t="s">
        <v>120</v>
      </c>
      <c r="T198" s="189" t="s">
        <v>121</v>
      </c>
      <c r="V198" s="189" t="s">
        <v>192</v>
      </c>
      <c r="W198" s="189" t="s">
        <v>168</v>
      </c>
      <c r="X198" s="189" t="s">
        <v>176</v>
      </c>
      <c r="Y198" s="189" t="s">
        <v>176</v>
      </c>
      <c r="Z198" s="189" t="s">
        <v>2338</v>
      </c>
      <c r="AG198" s="189" t="s">
        <v>2340</v>
      </c>
      <c r="AH198" s="189" t="s">
        <v>2286</v>
      </c>
    </row>
    <row r="199" customFormat="false" ht="15" hidden="false" customHeight="true" outlineLevel="0" collapsed="false">
      <c r="A199" s="0" t="n">
        <v>198</v>
      </c>
      <c r="B199" s="191" t="n">
        <v>46119.8522218329</v>
      </c>
      <c r="C199" s="191" t="n">
        <v>46119.8718977588</v>
      </c>
      <c r="D199" s="189" t="s">
        <v>1486</v>
      </c>
      <c r="E199" s="189" t="s">
        <v>1487</v>
      </c>
      <c r="F199" s="189" t="s">
        <v>1487</v>
      </c>
      <c r="G199" s="189" t="s">
        <v>1488</v>
      </c>
      <c r="H199" s="191" t="n">
        <v>46107</v>
      </c>
      <c r="I199" s="189" t="s">
        <v>113</v>
      </c>
      <c r="J199" s="189" t="s">
        <v>128</v>
      </c>
      <c r="K199" s="189" t="s">
        <v>173</v>
      </c>
      <c r="L199" s="189" t="s">
        <v>110</v>
      </c>
      <c r="M199" s="189" t="s">
        <v>652</v>
      </c>
      <c r="N199" s="189" t="s">
        <v>841</v>
      </c>
      <c r="O199" s="189" t="s">
        <v>107</v>
      </c>
      <c r="P199" s="189" t="s">
        <v>111</v>
      </c>
      <c r="Q199" s="189" t="s">
        <v>145</v>
      </c>
      <c r="R199" s="189" t="s">
        <v>23</v>
      </c>
      <c r="S199" s="189" t="s">
        <v>120</v>
      </c>
      <c r="T199" s="189" t="s">
        <v>121</v>
      </c>
      <c r="U199" s="189" t="s">
        <v>1489</v>
      </c>
      <c r="V199" s="189" t="s">
        <v>167</v>
      </c>
      <c r="W199" s="189" t="s">
        <v>124</v>
      </c>
      <c r="X199" s="189" t="s">
        <v>442</v>
      </c>
      <c r="Y199" s="189" t="s">
        <v>442</v>
      </c>
      <c r="AK199" s="189" t="s">
        <v>441</v>
      </c>
    </row>
    <row r="200" customFormat="false" ht="15" hidden="false" customHeight="true" outlineLevel="0" collapsed="false">
      <c r="A200" s="0" t="n">
        <v>199</v>
      </c>
      <c r="B200" s="191" t="n">
        <v>46149.7721878013</v>
      </c>
      <c r="C200" s="191" t="n">
        <v>46149.7882410421</v>
      </c>
      <c r="D200" s="189" t="s">
        <v>1490</v>
      </c>
      <c r="E200" s="189" t="s">
        <v>1491</v>
      </c>
      <c r="F200" s="189" t="s">
        <v>1491</v>
      </c>
      <c r="G200" s="189" t="s">
        <v>1492</v>
      </c>
      <c r="H200" s="191" t="n">
        <v>46144</v>
      </c>
      <c r="I200" s="189" t="s">
        <v>113</v>
      </c>
      <c r="J200" s="189" t="s">
        <v>295</v>
      </c>
      <c r="K200" s="189" t="s">
        <v>143</v>
      </c>
      <c r="L200" s="189" t="s">
        <v>431</v>
      </c>
      <c r="M200" s="189" t="s">
        <v>492</v>
      </c>
      <c r="N200" s="189" t="s">
        <v>893</v>
      </c>
      <c r="O200" s="189" t="s">
        <v>244</v>
      </c>
      <c r="P200" s="189" t="s">
        <v>390</v>
      </c>
      <c r="Q200" s="189" t="s">
        <v>112</v>
      </c>
      <c r="R200" s="189" t="s">
        <v>24</v>
      </c>
      <c r="S200" s="189" t="s">
        <v>120</v>
      </c>
      <c r="T200" s="189" t="s">
        <v>352</v>
      </c>
      <c r="U200" s="189" t="s">
        <v>122</v>
      </c>
      <c r="V200" s="189" t="s">
        <v>192</v>
      </c>
      <c r="W200" s="189" t="s">
        <v>124</v>
      </c>
      <c r="X200" s="189" t="s">
        <v>19</v>
      </c>
      <c r="Y200" s="189" t="s">
        <v>19</v>
      </c>
      <c r="AK200" s="189" t="s">
        <v>880</v>
      </c>
    </row>
    <row r="201" customFormat="false" ht="15" hidden="false" customHeight="true" outlineLevel="0" collapsed="false">
      <c r="A201" s="0" t="n">
        <v>200</v>
      </c>
      <c r="B201" s="191" t="n">
        <v>46055.0939558603</v>
      </c>
      <c r="C201" s="191" t="n">
        <v>46055.1072197492</v>
      </c>
      <c r="D201" s="189" t="s">
        <v>1493</v>
      </c>
      <c r="E201" s="189" t="s">
        <v>1494</v>
      </c>
      <c r="F201" s="189" t="s">
        <v>1494</v>
      </c>
      <c r="G201" s="189" t="s">
        <v>1495</v>
      </c>
      <c r="H201" s="191" t="n">
        <v>46040</v>
      </c>
      <c r="I201" s="189" t="s">
        <v>336</v>
      </c>
      <c r="J201" s="189" t="s">
        <v>295</v>
      </c>
      <c r="K201" s="189" t="s">
        <v>232</v>
      </c>
      <c r="L201" s="189" t="s">
        <v>296</v>
      </c>
      <c r="M201" s="189" t="s">
        <v>864</v>
      </c>
      <c r="N201" s="189" t="s">
        <v>407</v>
      </c>
      <c r="O201" s="189" t="s">
        <v>278</v>
      </c>
      <c r="P201" s="189" t="s">
        <v>111</v>
      </c>
      <c r="Q201" s="189" t="s">
        <v>145</v>
      </c>
      <c r="R201" s="189" t="s">
        <v>22</v>
      </c>
      <c r="S201" s="189" t="s">
        <v>152</v>
      </c>
      <c r="T201" s="189" t="s">
        <v>121</v>
      </c>
      <c r="V201" s="189" t="s">
        <v>123</v>
      </c>
      <c r="W201" s="189" t="s">
        <v>139</v>
      </c>
      <c r="X201" s="189" t="s">
        <v>381</v>
      </c>
      <c r="Y201" s="189" t="s">
        <v>381</v>
      </c>
      <c r="Z201" s="189" t="s">
        <v>2203</v>
      </c>
      <c r="AG201" s="189" t="s">
        <v>2206</v>
      </c>
    </row>
    <row r="202" customFormat="false" ht="15" hidden="false" customHeight="true" outlineLevel="0" collapsed="false">
      <c r="A202" s="0" t="n">
        <v>201</v>
      </c>
      <c r="B202" s="191" t="n">
        <v>46215.5749283292</v>
      </c>
      <c r="C202" s="191" t="n">
        <v>46215.5794422181</v>
      </c>
      <c r="D202" s="189" t="s">
        <v>1497</v>
      </c>
      <c r="E202" s="189" t="s">
        <v>1498</v>
      </c>
      <c r="F202" s="189" t="s">
        <v>1498</v>
      </c>
      <c r="G202" s="189" t="s">
        <v>1499</v>
      </c>
      <c r="H202" s="191" t="n">
        <v>46201</v>
      </c>
      <c r="I202" s="189" t="s">
        <v>336</v>
      </c>
      <c r="J202" s="189" t="s">
        <v>108</v>
      </c>
      <c r="K202" s="189" t="s">
        <v>1500</v>
      </c>
      <c r="L202" s="189" t="s">
        <v>246</v>
      </c>
      <c r="M202" s="189" t="s">
        <v>789</v>
      </c>
      <c r="N202" s="189" t="s">
        <v>905</v>
      </c>
      <c r="O202" s="189" t="s">
        <v>278</v>
      </c>
      <c r="P202" s="189" t="s">
        <v>131</v>
      </c>
      <c r="Q202" s="189" t="s">
        <v>112</v>
      </c>
      <c r="R202" s="189" t="s">
        <v>22</v>
      </c>
      <c r="S202" s="189" t="s">
        <v>152</v>
      </c>
      <c r="T202" s="189" t="s">
        <v>121</v>
      </c>
      <c r="U202" s="189" t="s">
        <v>122</v>
      </c>
      <c r="V202" s="189" t="s">
        <v>192</v>
      </c>
      <c r="W202" s="189" t="s">
        <v>124</v>
      </c>
      <c r="X202" s="189" t="s">
        <v>271</v>
      </c>
      <c r="Y202" s="189" t="s">
        <v>271</v>
      </c>
      <c r="Z202" s="189" t="s">
        <v>2180</v>
      </c>
      <c r="AA202" s="189" t="s">
        <v>2179</v>
      </c>
      <c r="AB202" s="189" t="s">
        <v>2158</v>
      </c>
      <c r="AG202" s="189" t="s">
        <v>2163</v>
      </c>
    </row>
    <row r="203" customFormat="false" ht="15" hidden="false" customHeight="true" outlineLevel="0" collapsed="false">
      <c r="A203" s="0" t="n">
        <v>202</v>
      </c>
      <c r="B203" s="191" t="n">
        <v>46116.5973223963</v>
      </c>
      <c r="C203" s="191" t="n">
        <v>46116.6025191555</v>
      </c>
      <c r="D203" s="189" t="s">
        <v>1503</v>
      </c>
      <c r="E203" s="189" t="s">
        <v>1504</v>
      </c>
      <c r="F203" s="189" t="s">
        <v>1504</v>
      </c>
      <c r="G203" s="189" t="s">
        <v>1505</v>
      </c>
      <c r="H203" s="191" t="n">
        <v>46111</v>
      </c>
      <c r="I203" s="189" t="s">
        <v>113</v>
      </c>
      <c r="J203" s="189" t="s">
        <v>295</v>
      </c>
      <c r="K203" s="189" t="s">
        <v>364</v>
      </c>
      <c r="L203" s="189" t="s">
        <v>268</v>
      </c>
      <c r="M203" s="189" t="s">
        <v>1313</v>
      </c>
      <c r="N203" s="189" t="s">
        <v>1224</v>
      </c>
      <c r="O203" s="189" t="s">
        <v>1506</v>
      </c>
      <c r="P203" s="189" t="s">
        <v>111</v>
      </c>
      <c r="Q203" s="189" t="s">
        <v>112</v>
      </c>
      <c r="R203" s="189" t="s">
        <v>22</v>
      </c>
      <c r="S203" s="189" t="s">
        <v>152</v>
      </c>
      <c r="T203" s="189" t="s">
        <v>121</v>
      </c>
      <c r="V203" s="189" t="s">
        <v>167</v>
      </c>
      <c r="W203" s="189" t="s">
        <v>124</v>
      </c>
      <c r="X203" s="189" t="s">
        <v>298</v>
      </c>
      <c r="Y203" s="189" t="s">
        <v>298</v>
      </c>
      <c r="Z203" s="189" t="s">
        <v>2168</v>
      </c>
      <c r="AG203" s="189" t="s">
        <v>2341</v>
      </c>
      <c r="AH203" s="189" t="s">
        <v>2259</v>
      </c>
    </row>
    <row r="204" customFormat="false" ht="15" hidden="false" customHeight="true" outlineLevel="0" collapsed="false">
      <c r="A204" s="0" t="n">
        <v>203</v>
      </c>
      <c r="B204" s="191" t="n">
        <v>46153.3346086194</v>
      </c>
      <c r="C204" s="191" t="n">
        <v>46153.3435785268</v>
      </c>
      <c r="D204" s="189" t="s">
        <v>1509</v>
      </c>
      <c r="E204" s="189" t="s">
        <v>1510</v>
      </c>
      <c r="F204" s="189" t="s">
        <v>1511</v>
      </c>
      <c r="G204" s="189" t="s">
        <v>1512</v>
      </c>
      <c r="H204" s="191" t="n">
        <v>46136</v>
      </c>
      <c r="I204" s="189" t="s">
        <v>1268</v>
      </c>
      <c r="J204" s="189" t="s">
        <v>108</v>
      </c>
      <c r="K204" s="189" t="s">
        <v>196</v>
      </c>
      <c r="L204" s="189" t="s">
        <v>130</v>
      </c>
      <c r="M204" s="189" t="s">
        <v>234</v>
      </c>
      <c r="N204" s="189" t="s">
        <v>337</v>
      </c>
      <c r="O204" s="189" t="s">
        <v>405</v>
      </c>
      <c r="P204" s="189" t="s">
        <v>390</v>
      </c>
      <c r="Q204" s="189" t="s">
        <v>145</v>
      </c>
      <c r="R204" s="189" t="s">
        <v>24</v>
      </c>
      <c r="S204" s="189" t="s">
        <v>152</v>
      </c>
      <c r="T204" s="189" t="s">
        <v>180</v>
      </c>
      <c r="V204" s="189" t="s">
        <v>123</v>
      </c>
      <c r="W204" s="189" t="s">
        <v>124</v>
      </c>
      <c r="X204" s="189" t="s">
        <v>214</v>
      </c>
      <c r="Y204" s="189" t="s">
        <v>214</v>
      </c>
      <c r="Z204" s="189" t="s">
        <v>2125</v>
      </c>
      <c r="AA204" s="189" t="s">
        <v>2139</v>
      </c>
      <c r="AG204" s="189" t="s">
        <v>2152</v>
      </c>
    </row>
    <row r="205" customFormat="false" ht="15" hidden="false" customHeight="true" outlineLevel="0" collapsed="false">
      <c r="A205" s="0" t="n">
        <v>204</v>
      </c>
      <c r="B205" s="191" t="n">
        <v>46114.7245447567</v>
      </c>
      <c r="C205" s="191" t="n">
        <v>46114.744116516</v>
      </c>
      <c r="D205" s="189" t="s">
        <v>1514</v>
      </c>
      <c r="E205" s="189" t="s">
        <v>1515</v>
      </c>
      <c r="F205" s="189" t="s">
        <v>1515</v>
      </c>
      <c r="G205" s="189" t="s">
        <v>1516</v>
      </c>
      <c r="H205" s="191" t="n">
        <v>46112</v>
      </c>
      <c r="I205" s="189" t="s">
        <v>113</v>
      </c>
      <c r="J205" s="189" t="s">
        <v>108</v>
      </c>
      <c r="K205" s="189" t="s">
        <v>462</v>
      </c>
      <c r="L205" s="189" t="s">
        <v>233</v>
      </c>
      <c r="M205" s="189" t="s">
        <v>809</v>
      </c>
      <c r="N205" s="189" t="s">
        <v>1306</v>
      </c>
      <c r="O205" s="189" t="s">
        <v>244</v>
      </c>
      <c r="P205" s="189" t="s">
        <v>111</v>
      </c>
      <c r="Q205" s="189" t="s">
        <v>112</v>
      </c>
      <c r="R205" s="189" t="s">
        <v>24</v>
      </c>
      <c r="S205" s="189" t="s">
        <v>152</v>
      </c>
      <c r="T205" s="189" t="s">
        <v>121</v>
      </c>
      <c r="U205" s="189" t="s">
        <v>122</v>
      </c>
      <c r="V205" s="189" t="s">
        <v>123</v>
      </c>
      <c r="W205" s="189" t="s">
        <v>168</v>
      </c>
      <c r="X205" s="189" t="s">
        <v>448</v>
      </c>
      <c r="Y205" s="189" t="s">
        <v>448</v>
      </c>
      <c r="Z205" s="189" t="s">
        <v>2233</v>
      </c>
      <c r="AA205" s="189" t="s">
        <v>2235</v>
      </c>
      <c r="AG205" s="189" t="s">
        <v>2223</v>
      </c>
    </row>
    <row r="206" customFormat="false" ht="15" hidden="false" customHeight="true" outlineLevel="0" collapsed="false">
      <c r="A206" s="0" t="n">
        <v>205</v>
      </c>
      <c r="B206" s="191" t="n">
        <v>46212.8371910374</v>
      </c>
      <c r="C206" s="191" t="n">
        <v>46212.8424572411</v>
      </c>
      <c r="D206" s="189" t="s">
        <v>1518</v>
      </c>
      <c r="E206" s="189" t="s">
        <v>1519</v>
      </c>
      <c r="F206" s="189" t="s">
        <v>1519</v>
      </c>
      <c r="G206" s="189" t="s">
        <v>1520</v>
      </c>
      <c r="H206" s="191" t="n">
        <v>46199</v>
      </c>
      <c r="I206" s="189" t="s">
        <v>305</v>
      </c>
      <c r="J206" s="189" t="s">
        <v>108</v>
      </c>
      <c r="K206" s="189" t="s">
        <v>462</v>
      </c>
      <c r="L206" s="189" t="s">
        <v>431</v>
      </c>
      <c r="M206" s="189" t="s">
        <v>612</v>
      </c>
      <c r="N206" s="189" t="s">
        <v>407</v>
      </c>
      <c r="O206" s="189" t="s">
        <v>278</v>
      </c>
      <c r="P206" s="189" t="s">
        <v>111</v>
      </c>
      <c r="Q206" s="189" t="s">
        <v>112</v>
      </c>
      <c r="R206" s="189" t="s">
        <v>24</v>
      </c>
      <c r="S206" s="189" t="s">
        <v>152</v>
      </c>
      <c r="T206" s="189" t="s">
        <v>121</v>
      </c>
      <c r="U206" s="189" t="s">
        <v>1032</v>
      </c>
      <c r="V206" s="189" t="s">
        <v>123</v>
      </c>
      <c r="W206" s="189" t="s">
        <v>124</v>
      </c>
      <c r="X206" s="189" t="s">
        <v>19</v>
      </c>
      <c r="Y206" s="189" t="s">
        <v>19</v>
      </c>
      <c r="AK206" s="189" t="s">
        <v>880</v>
      </c>
    </row>
    <row r="207" customFormat="false" ht="15" hidden="false" customHeight="true" outlineLevel="0" collapsed="false">
      <c r="A207" s="0" t="n">
        <v>206</v>
      </c>
      <c r="B207" s="191" t="n">
        <v>46106.4667114826</v>
      </c>
      <c r="C207" s="191" t="n">
        <v>46106.4771397233</v>
      </c>
      <c r="D207" s="189" t="s">
        <v>1521</v>
      </c>
      <c r="E207" s="189" t="s">
        <v>1522</v>
      </c>
      <c r="F207" s="189" t="s">
        <v>1522</v>
      </c>
      <c r="G207" s="189" t="s">
        <v>1523</v>
      </c>
      <c r="H207" s="191" t="n">
        <v>46105</v>
      </c>
      <c r="I207" s="189" t="s">
        <v>113</v>
      </c>
      <c r="J207" s="189" t="s">
        <v>108</v>
      </c>
      <c r="K207" s="189" t="s">
        <v>196</v>
      </c>
      <c r="L207" s="189" t="s">
        <v>296</v>
      </c>
      <c r="M207" s="189" t="s">
        <v>477</v>
      </c>
      <c r="N207" s="189" t="s">
        <v>990</v>
      </c>
      <c r="O207" s="189" t="s">
        <v>278</v>
      </c>
      <c r="P207" s="189" t="s">
        <v>111</v>
      </c>
      <c r="Q207" s="189" t="s">
        <v>145</v>
      </c>
      <c r="R207" s="189" t="s">
        <v>24</v>
      </c>
      <c r="S207" s="189" t="s">
        <v>152</v>
      </c>
      <c r="T207" s="189" t="s">
        <v>121</v>
      </c>
      <c r="U207" s="189" t="s">
        <v>831</v>
      </c>
      <c r="V207" s="189" t="s">
        <v>192</v>
      </c>
      <c r="W207" s="189" t="s">
        <v>124</v>
      </c>
      <c r="X207" s="189" t="s">
        <v>214</v>
      </c>
      <c r="Y207" s="189" t="s">
        <v>214</v>
      </c>
      <c r="Z207" s="189" t="s">
        <v>2183</v>
      </c>
      <c r="AG207" s="189" t="s">
        <v>122</v>
      </c>
    </row>
    <row r="208" customFormat="false" ht="15" hidden="false" customHeight="true" outlineLevel="0" collapsed="false">
      <c r="A208" s="0" t="n">
        <v>207</v>
      </c>
      <c r="B208" s="191" t="n">
        <v>46050.5304972041</v>
      </c>
      <c r="C208" s="191" t="n">
        <v>46050.548136093</v>
      </c>
      <c r="D208" s="189" t="s">
        <v>1524</v>
      </c>
      <c r="E208" s="189" t="s">
        <v>1525</v>
      </c>
      <c r="F208" s="189" t="s">
        <v>1525</v>
      </c>
      <c r="G208" s="189" t="s">
        <v>1526</v>
      </c>
      <c r="H208" s="191" t="n">
        <v>46047</v>
      </c>
      <c r="I208" s="189" t="s">
        <v>113</v>
      </c>
      <c r="J208" s="189" t="s">
        <v>295</v>
      </c>
      <c r="K208" s="189" t="s">
        <v>1527</v>
      </c>
      <c r="L208" s="189" t="s">
        <v>346</v>
      </c>
      <c r="M208" s="189" t="s">
        <v>870</v>
      </c>
      <c r="N208" s="189" t="s">
        <v>1036</v>
      </c>
      <c r="O208" s="189" t="s">
        <v>172</v>
      </c>
      <c r="P208" s="189" t="s">
        <v>111</v>
      </c>
      <c r="Q208" s="189" t="s">
        <v>112</v>
      </c>
      <c r="R208" s="189" t="s">
        <v>22</v>
      </c>
      <c r="S208" s="189" t="s">
        <v>152</v>
      </c>
      <c r="T208" s="189" t="s">
        <v>180</v>
      </c>
      <c r="V208" s="189" t="s">
        <v>192</v>
      </c>
      <c r="W208" s="189" t="s">
        <v>168</v>
      </c>
      <c r="X208" s="189" t="s">
        <v>298</v>
      </c>
      <c r="Y208" s="189" t="s">
        <v>298</v>
      </c>
      <c r="Z208" s="189" t="s">
        <v>2238</v>
      </c>
      <c r="AG208" s="189" t="s">
        <v>2317</v>
      </c>
      <c r="AH208" s="189" t="s">
        <v>2241</v>
      </c>
    </row>
    <row r="209" customFormat="false" ht="15" hidden="false" customHeight="true" outlineLevel="0" collapsed="false">
      <c r="A209" s="0" t="n">
        <v>208</v>
      </c>
      <c r="B209" s="191" t="n">
        <v>46214.2778552763</v>
      </c>
      <c r="C209" s="191" t="n">
        <v>46214.2867325911</v>
      </c>
      <c r="D209" s="189" t="s">
        <v>1530</v>
      </c>
      <c r="E209" s="189" t="s">
        <v>1531</v>
      </c>
      <c r="F209" s="189" t="s">
        <v>1531</v>
      </c>
      <c r="G209" s="189" t="s">
        <v>1532</v>
      </c>
      <c r="H209" s="191" t="n">
        <v>46205</v>
      </c>
      <c r="I209" s="189" t="s">
        <v>113</v>
      </c>
      <c r="J209" s="189" t="s">
        <v>295</v>
      </c>
      <c r="K209" s="189" t="s">
        <v>257</v>
      </c>
      <c r="L209" s="189" t="s">
        <v>431</v>
      </c>
      <c r="M209" s="189" t="s">
        <v>973</v>
      </c>
      <c r="N209" s="189" t="s">
        <v>701</v>
      </c>
      <c r="O209" s="189" t="s">
        <v>107</v>
      </c>
      <c r="P209" s="189" t="s">
        <v>111</v>
      </c>
      <c r="Q209" s="189" t="s">
        <v>112</v>
      </c>
      <c r="R209" s="189" t="s">
        <v>22</v>
      </c>
      <c r="S209" s="189" t="s">
        <v>120</v>
      </c>
      <c r="T209" s="189" t="s">
        <v>180</v>
      </c>
      <c r="U209" s="189" t="s">
        <v>1015</v>
      </c>
      <c r="V209" s="189" t="s">
        <v>167</v>
      </c>
      <c r="W209" s="189" t="s">
        <v>124</v>
      </c>
      <c r="X209" s="189" t="s">
        <v>298</v>
      </c>
      <c r="Y209" s="189" t="s">
        <v>298</v>
      </c>
      <c r="Z209" s="189" t="s">
        <v>2252</v>
      </c>
      <c r="AG209" s="189" t="s">
        <v>2292</v>
      </c>
    </row>
    <row r="210" customFormat="false" ht="15" hidden="false" customHeight="true" outlineLevel="0" collapsed="false">
      <c r="A210" s="0" t="n">
        <v>209</v>
      </c>
      <c r="B210" s="191" t="n">
        <v>46140.8249043042</v>
      </c>
      <c r="C210" s="191" t="n">
        <v>46140.8280987486</v>
      </c>
      <c r="D210" s="189" t="s">
        <v>1536</v>
      </c>
      <c r="E210" s="189" t="s">
        <v>1537</v>
      </c>
      <c r="F210" s="189" t="s">
        <v>1537</v>
      </c>
      <c r="G210" s="189" t="s">
        <v>1538</v>
      </c>
      <c r="H210" s="191" t="n">
        <v>46140</v>
      </c>
      <c r="I210" s="189" t="s">
        <v>325</v>
      </c>
      <c r="J210" s="189" t="s">
        <v>108</v>
      </c>
      <c r="K210" s="189" t="s">
        <v>196</v>
      </c>
      <c r="L210" s="189" t="s">
        <v>233</v>
      </c>
      <c r="M210" s="189" t="s">
        <v>1151</v>
      </c>
      <c r="N210" s="189" t="s">
        <v>1539</v>
      </c>
      <c r="O210" s="189" t="s">
        <v>172</v>
      </c>
      <c r="P210" s="189" t="s">
        <v>111</v>
      </c>
      <c r="Q210" s="189" t="s">
        <v>112</v>
      </c>
      <c r="R210" s="189" t="s">
        <v>24</v>
      </c>
      <c r="S210" s="189" t="s">
        <v>152</v>
      </c>
      <c r="T210" s="189" t="s">
        <v>121</v>
      </c>
      <c r="U210" s="189" t="s">
        <v>122</v>
      </c>
      <c r="V210" s="189" t="s">
        <v>192</v>
      </c>
      <c r="W210" s="189" t="s">
        <v>124</v>
      </c>
      <c r="X210" s="189" t="s">
        <v>223</v>
      </c>
      <c r="Y210" s="189" t="s">
        <v>223</v>
      </c>
      <c r="Z210" s="189" t="s">
        <v>2148</v>
      </c>
      <c r="AG210" s="189" t="s">
        <v>2150</v>
      </c>
    </row>
    <row r="211" customFormat="false" ht="15" hidden="false" customHeight="true" outlineLevel="0" collapsed="false">
      <c r="A211" s="0" t="n">
        <v>210</v>
      </c>
      <c r="B211" s="191" t="n">
        <v>46177.7415219196</v>
      </c>
      <c r="C211" s="191" t="n">
        <v>46177.7454571048</v>
      </c>
      <c r="D211" s="189" t="s">
        <v>1542</v>
      </c>
      <c r="E211" s="189" t="s">
        <v>1543</v>
      </c>
      <c r="F211" s="189" t="s">
        <v>1543</v>
      </c>
      <c r="G211" s="189" t="s">
        <v>1544</v>
      </c>
      <c r="H211" s="191" t="n">
        <v>46161</v>
      </c>
      <c r="I211" s="189" t="s">
        <v>113</v>
      </c>
      <c r="J211" s="189" t="s">
        <v>108</v>
      </c>
      <c r="K211" s="189" t="s">
        <v>173</v>
      </c>
      <c r="L211" s="189" t="s">
        <v>110</v>
      </c>
      <c r="M211" s="189" t="s">
        <v>566</v>
      </c>
      <c r="N211" s="189" t="s">
        <v>586</v>
      </c>
      <c r="O211" s="189" t="s">
        <v>244</v>
      </c>
      <c r="P211" s="189" t="s">
        <v>111</v>
      </c>
      <c r="Q211" s="189" t="s">
        <v>112</v>
      </c>
      <c r="R211" s="189" t="s">
        <v>22</v>
      </c>
      <c r="S211" s="189" t="s">
        <v>227</v>
      </c>
      <c r="T211" s="189" t="s">
        <v>165</v>
      </c>
      <c r="V211" s="189" t="s">
        <v>192</v>
      </c>
      <c r="W211" s="189" t="s">
        <v>124</v>
      </c>
      <c r="X211" s="189" t="s">
        <v>176</v>
      </c>
      <c r="Y211" s="189" t="s">
        <v>176</v>
      </c>
      <c r="Z211" s="189" t="s">
        <v>2130</v>
      </c>
      <c r="AG211" s="189" t="s">
        <v>2342</v>
      </c>
    </row>
    <row r="212" customFormat="false" ht="15" hidden="false" customHeight="true" outlineLevel="0" collapsed="false">
      <c r="A212" s="0" t="n">
        <v>211</v>
      </c>
      <c r="B212" s="191" t="n">
        <v>46214.0417474818</v>
      </c>
      <c r="C212" s="191" t="n">
        <v>46214.0568400744</v>
      </c>
      <c r="D212" s="189" t="s">
        <v>1548</v>
      </c>
      <c r="E212" s="189" t="s">
        <v>1549</v>
      </c>
      <c r="F212" s="189" t="s">
        <v>1550</v>
      </c>
      <c r="G212" s="189" t="s">
        <v>1551</v>
      </c>
      <c r="H212" s="191" t="n">
        <v>46208</v>
      </c>
      <c r="I212" s="189" t="s">
        <v>113</v>
      </c>
      <c r="J212" s="189" t="s">
        <v>128</v>
      </c>
      <c r="K212" s="189" t="s">
        <v>1552</v>
      </c>
      <c r="L212" s="189" t="s">
        <v>246</v>
      </c>
      <c r="M212" s="189" t="s">
        <v>809</v>
      </c>
      <c r="N212" s="189" t="s">
        <v>1553</v>
      </c>
      <c r="O212" s="189" t="s">
        <v>278</v>
      </c>
      <c r="P212" s="189" t="s">
        <v>390</v>
      </c>
      <c r="Q212" s="189" t="s">
        <v>112</v>
      </c>
      <c r="R212" s="189" t="s">
        <v>22</v>
      </c>
      <c r="S212" s="189" t="s">
        <v>152</v>
      </c>
      <c r="T212" s="189" t="s">
        <v>121</v>
      </c>
      <c r="U212" s="189" t="s">
        <v>1557</v>
      </c>
      <c r="V212" s="189" t="s">
        <v>192</v>
      </c>
      <c r="W212" s="189" t="s">
        <v>124</v>
      </c>
      <c r="X212" s="189" t="s">
        <v>298</v>
      </c>
      <c r="Y212" s="189" t="s">
        <v>298</v>
      </c>
      <c r="Z212" s="189" t="s">
        <v>2280</v>
      </c>
      <c r="AA212" s="189" t="s">
        <v>2169</v>
      </c>
      <c r="AG212" s="189" t="s">
        <v>2172</v>
      </c>
    </row>
    <row r="213" customFormat="false" ht="15" hidden="false" customHeight="true" outlineLevel="0" collapsed="false">
      <c r="A213" s="0" t="n">
        <v>212</v>
      </c>
      <c r="B213" s="191" t="n">
        <v>46141.2756992215</v>
      </c>
      <c r="C213" s="191" t="n">
        <v>46141.2941945919</v>
      </c>
      <c r="D213" s="189" t="s">
        <v>1558</v>
      </c>
      <c r="E213" s="189" t="s">
        <v>1559</v>
      </c>
      <c r="F213" s="189" t="s">
        <v>1560</v>
      </c>
      <c r="G213" s="189" t="s">
        <v>1561</v>
      </c>
      <c r="H213" s="191" t="n">
        <v>46126</v>
      </c>
      <c r="I213" s="189" t="s">
        <v>551</v>
      </c>
      <c r="J213" s="189" t="s">
        <v>108</v>
      </c>
      <c r="K213" s="189" t="s">
        <v>232</v>
      </c>
      <c r="L213" s="189" t="s">
        <v>296</v>
      </c>
      <c r="M213" s="189" t="s">
        <v>1074</v>
      </c>
      <c r="N213" s="189" t="s">
        <v>134</v>
      </c>
      <c r="O213" s="189" t="s">
        <v>107</v>
      </c>
      <c r="P213" s="189" t="s">
        <v>111</v>
      </c>
      <c r="Q213" s="189" t="s">
        <v>112</v>
      </c>
      <c r="R213" s="189" t="s">
        <v>24</v>
      </c>
      <c r="S213" s="189" t="s">
        <v>152</v>
      </c>
      <c r="T213" s="189" t="s">
        <v>121</v>
      </c>
      <c r="U213" s="189" t="s">
        <v>291</v>
      </c>
      <c r="V213" s="189" t="s">
        <v>192</v>
      </c>
      <c r="W213" s="189" t="s">
        <v>168</v>
      </c>
      <c r="X213" s="189" t="s">
        <v>214</v>
      </c>
      <c r="Y213" s="189" t="s">
        <v>214</v>
      </c>
      <c r="Z213" s="189" t="s">
        <v>2183</v>
      </c>
      <c r="AA213" s="189" t="s">
        <v>2151</v>
      </c>
      <c r="AB213" s="189" t="s">
        <v>2125</v>
      </c>
      <c r="AG213" s="189" t="s">
        <v>2184</v>
      </c>
      <c r="AH213" s="189" t="s">
        <v>122</v>
      </c>
    </row>
    <row r="214" customFormat="false" ht="15" hidden="false" customHeight="true" outlineLevel="0" collapsed="false">
      <c r="A214" s="0" t="n">
        <v>213</v>
      </c>
      <c r="B214" s="191" t="n">
        <v>46129.8193942035</v>
      </c>
      <c r="C214" s="191" t="n">
        <v>46129.8255284628</v>
      </c>
      <c r="D214" s="189" t="s">
        <v>1565</v>
      </c>
      <c r="E214" s="189" t="s">
        <v>1566</v>
      </c>
      <c r="F214" s="189" t="s">
        <v>1566</v>
      </c>
      <c r="G214" s="189" t="s">
        <v>1567</v>
      </c>
      <c r="H214" s="191" t="n">
        <v>46117</v>
      </c>
      <c r="I214" s="189" t="s">
        <v>863</v>
      </c>
      <c r="J214" s="189" t="s">
        <v>295</v>
      </c>
      <c r="K214" s="189" t="s">
        <v>232</v>
      </c>
      <c r="L214" s="189" t="s">
        <v>346</v>
      </c>
      <c r="M214" s="189" t="s">
        <v>694</v>
      </c>
      <c r="N214" s="189" t="s">
        <v>287</v>
      </c>
      <c r="O214" s="189" t="s">
        <v>107</v>
      </c>
      <c r="P214" s="189" t="s">
        <v>111</v>
      </c>
      <c r="Q214" s="189" t="s">
        <v>145</v>
      </c>
      <c r="R214" s="189" t="s">
        <v>22</v>
      </c>
      <c r="S214" s="189" t="s">
        <v>152</v>
      </c>
      <c r="T214" s="189" t="s">
        <v>121</v>
      </c>
      <c r="U214" s="189" t="s">
        <v>1568</v>
      </c>
      <c r="V214" s="189" t="s">
        <v>123</v>
      </c>
      <c r="W214" s="189" t="s">
        <v>124</v>
      </c>
      <c r="X214" s="189" t="s">
        <v>339</v>
      </c>
      <c r="Y214" s="189" t="s">
        <v>339</v>
      </c>
      <c r="Z214" s="189" t="s">
        <v>2212</v>
      </c>
      <c r="AA214" s="189" t="s">
        <v>2213</v>
      </c>
      <c r="AG214" s="189" t="s">
        <v>2279</v>
      </c>
    </row>
    <row r="215" customFormat="false" ht="15" hidden="false" customHeight="true" outlineLevel="0" collapsed="false">
      <c r="A215" s="0" t="n">
        <v>214</v>
      </c>
      <c r="B215" s="191" t="n">
        <v>46175.8019339045</v>
      </c>
      <c r="C215" s="191" t="n">
        <v>46175.8075589045</v>
      </c>
      <c r="D215" s="189" t="s">
        <v>1569</v>
      </c>
      <c r="E215" s="189" t="s">
        <v>1570</v>
      </c>
      <c r="F215" s="189" t="s">
        <v>1570</v>
      </c>
      <c r="G215" s="189" t="s">
        <v>1571</v>
      </c>
      <c r="H215" s="191" t="n">
        <v>46165</v>
      </c>
      <c r="I215" s="189" t="s">
        <v>113</v>
      </c>
      <c r="J215" s="189" t="s">
        <v>108</v>
      </c>
      <c r="K215" s="189" t="s">
        <v>1572</v>
      </c>
      <c r="L215" s="189" t="s">
        <v>110</v>
      </c>
      <c r="M215" s="189" t="s">
        <v>160</v>
      </c>
      <c r="N215" s="189" t="s">
        <v>1573</v>
      </c>
      <c r="O215" s="189" t="s">
        <v>107</v>
      </c>
      <c r="P215" s="189" t="s">
        <v>111</v>
      </c>
      <c r="Q215" s="189" t="s">
        <v>112</v>
      </c>
      <c r="R215" s="189" t="s">
        <v>22</v>
      </c>
      <c r="S215" s="189" t="s">
        <v>120</v>
      </c>
      <c r="T215" s="189" t="s">
        <v>121</v>
      </c>
      <c r="U215" s="189" t="s">
        <v>122</v>
      </c>
      <c r="V215" s="189" t="s">
        <v>123</v>
      </c>
      <c r="W215" s="189" t="s">
        <v>124</v>
      </c>
      <c r="X215" s="189" t="s">
        <v>381</v>
      </c>
      <c r="Y215" s="189" t="s">
        <v>381</v>
      </c>
      <c r="Z215" s="189" t="s">
        <v>2224</v>
      </c>
      <c r="AA215" s="189" t="s">
        <v>2277</v>
      </c>
      <c r="AG215" s="189" t="s">
        <v>2207</v>
      </c>
    </row>
    <row r="216" customFormat="false" ht="15" hidden="false" customHeight="true" outlineLevel="0" collapsed="false">
      <c r="A216" s="0" t="n">
        <v>215</v>
      </c>
      <c r="B216" s="191" t="n">
        <v>46041.7132504237</v>
      </c>
      <c r="C216" s="191" t="n">
        <v>46041.7313754237</v>
      </c>
      <c r="D216" s="189" t="s">
        <v>1575</v>
      </c>
      <c r="E216" s="189" t="s">
        <v>1576</v>
      </c>
      <c r="F216" s="189" t="s">
        <v>1576</v>
      </c>
      <c r="G216" s="189" t="s">
        <v>1577</v>
      </c>
      <c r="H216" s="191" t="n">
        <v>46037</v>
      </c>
      <c r="I216" s="189" t="s">
        <v>113</v>
      </c>
      <c r="J216" s="189" t="s">
        <v>108</v>
      </c>
      <c r="K216" s="189" t="s">
        <v>196</v>
      </c>
      <c r="L216" s="189" t="s">
        <v>389</v>
      </c>
      <c r="M216" s="189" t="s">
        <v>199</v>
      </c>
      <c r="N216" s="189" t="s">
        <v>213</v>
      </c>
      <c r="O216" s="189" t="s">
        <v>172</v>
      </c>
      <c r="P216" s="189" t="s">
        <v>111</v>
      </c>
      <c r="Q216" s="189" t="s">
        <v>145</v>
      </c>
      <c r="R216" s="189" t="s">
        <v>22</v>
      </c>
      <c r="S216" s="189" t="s">
        <v>120</v>
      </c>
      <c r="T216" s="189" t="s">
        <v>121</v>
      </c>
      <c r="U216" s="189" t="s">
        <v>1229</v>
      </c>
      <c r="V216" s="189" t="s">
        <v>192</v>
      </c>
      <c r="W216" s="189" t="s">
        <v>124</v>
      </c>
      <c r="X216" s="189" t="s">
        <v>339</v>
      </c>
      <c r="Y216" s="189" t="s">
        <v>339</v>
      </c>
      <c r="Z216" s="189" t="s">
        <v>2185</v>
      </c>
      <c r="AA216" s="189" t="s">
        <v>2213</v>
      </c>
      <c r="AB216" s="189" t="s">
        <v>2212</v>
      </c>
      <c r="AG216" s="189" t="s">
        <v>2261</v>
      </c>
    </row>
    <row r="217" customFormat="false" ht="15" hidden="false" customHeight="true" outlineLevel="0" collapsed="false">
      <c r="A217" s="0" t="n">
        <v>216</v>
      </c>
      <c r="B217" s="191" t="n">
        <v>46044.9001172648</v>
      </c>
      <c r="C217" s="191" t="n">
        <v>46044.9112630981</v>
      </c>
      <c r="D217" s="189" t="s">
        <v>1580</v>
      </c>
      <c r="E217" s="189" t="s">
        <v>1581</v>
      </c>
      <c r="F217" s="189" t="s">
        <v>1582</v>
      </c>
      <c r="G217" s="189" t="s">
        <v>1583</v>
      </c>
      <c r="H217" s="191" t="n">
        <v>46037</v>
      </c>
      <c r="I217" s="189" t="s">
        <v>113</v>
      </c>
      <c r="J217" s="189" t="s">
        <v>295</v>
      </c>
      <c r="K217" s="189" t="s">
        <v>462</v>
      </c>
      <c r="L217" s="189" t="s">
        <v>130</v>
      </c>
      <c r="M217" s="189" t="s">
        <v>146</v>
      </c>
      <c r="N217" s="189" t="s">
        <v>338</v>
      </c>
      <c r="O217" s="189" t="s">
        <v>107</v>
      </c>
      <c r="P217" s="189" t="s">
        <v>111</v>
      </c>
      <c r="Q217" s="189" t="s">
        <v>112</v>
      </c>
      <c r="R217" s="189" t="s">
        <v>22</v>
      </c>
      <c r="S217" s="189" t="s">
        <v>227</v>
      </c>
      <c r="T217" s="189" t="s">
        <v>121</v>
      </c>
      <c r="U217" s="189" t="s">
        <v>122</v>
      </c>
      <c r="V217" s="189" t="s">
        <v>167</v>
      </c>
      <c r="W217" s="189" t="s">
        <v>124</v>
      </c>
      <c r="X217" s="189" t="s">
        <v>339</v>
      </c>
      <c r="Y217" s="189" t="s">
        <v>339</v>
      </c>
      <c r="Z217" s="189" t="s">
        <v>2212</v>
      </c>
      <c r="AA217" s="189" t="s">
        <v>2242</v>
      </c>
      <c r="AB217" s="189" t="s">
        <v>2213</v>
      </c>
      <c r="AG217" s="189" t="s">
        <v>122</v>
      </c>
      <c r="AH217" s="189" t="s">
        <v>2279</v>
      </c>
    </row>
    <row r="218" customFormat="false" ht="15" hidden="false" customHeight="true" outlineLevel="0" collapsed="false">
      <c r="A218" s="0" t="n">
        <v>217</v>
      </c>
      <c r="B218" s="191" t="n">
        <v>46047.2117893306</v>
      </c>
      <c r="C218" s="191" t="n">
        <v>46047.2313032195</v>
      </c>
      <c r="D218" s="189" t="s">
        <v>1586</v>
      </c>
      <c r="E218" s="189" t="s">
        <v>1587</v>
      </c>
      <c r="F218" s="189" t="s">
        <v>1587</v>
      </c>
      <c r="G218" s="189" t="s">
        <v>1588</v>
      </c>
      <c r="H218" s="191" t="n">
        <v>46028</v>
      </c>
      <c r="I218" s="189" t="s">
        <v>113</v>
      </c>
      <c r="J218" s="189" t="s">
        <v>128</v>
      </c>
      <c r="K218" s="189" t="s">
        <v>1589</v>
      </c>
      <c r="L218" s="189" t="s">
        <v>110</v>
      </c>
      <c r="M218" s="189" t="s">
        <v>686</v>
      </c>
      <c r="N218" s="189" t="s">
        <v>508</v>
      </c>
      <c r="O218" s="189" t="s">
        <v>172</v>
      </c>
      <c r="P218" s="189" t="s">
        <v>131</v>
      </c>
      <c r="Q218" s="189" t="s">
        <v>112</v>
      </c>
      <c r="R218" s="189" t="s">
        <v>25</v>
      </c>
      <c r="S218" s="189" t="s">
        <v>152</v>
      </c>
      <c r="T218" s="189" t="s">
        <v>121</v>
      </c>
      <c r="U218" s="189" t="s">
        <v>122</v>
      </c>
      <c r="V218" s="189" t="s">
        <v>192</v>
      </c>
      <c r="W218" s="189" t="s">
        <v>124</v>
      </c>
      <c r="X218" s="189" t="s">
        <v>687</v>
      </c>
      <c r="Y218" s="189" t="s">
        <v>687</v>
      </c>
      <c r="Z218" s="189" t="s">
        <v>2343</v>
      </c>
      <c r="AG218" s="189" t="s">
        <v>2266</v>
      </c>
      <c r="AH218" s="189" t="s">
        <v>2265</v>
      </c>
    </row>
    <row r="219" customFormat="false" ht="15" hidden="false" customHeight="true" outlineLevel="0" collapsed="false">
      <c r="A219" s="0" t="n">
        <v>218</v>
      </c>
      <c r="B219" s="191" t="n">
        <v>46083.9941841282</v>
      </c>
      <c r="C219" s="191" t="n">
        <v>46084.0015220912</v>
      </c>
      <c r="D219" s="189" t="s">
        <v>1593</v>
      </c>
      <c r="E219" s="189" t="s">
        <v>1594</v>
      </c>
      <c r="F219" s="189" t="s">
        <v>1594</v>
      </c>
      <c r="G219" s="189" t="s">
        <v>1595</v>
      </c>
      <c r="H219" s="191" t="n">
        <v>46066</v>
      </c>
      <c r="I219" s="189" t="s">
        <v>325</v>
      </c>
      <c r="J219" s="189" t="s">
        <v>108</v>
      </c>
      <c r="K219" s="189" t="s">
        <v>364</v>
      </c>
      <c r="L219" s="189" t="s">
        <v>389</v>
      </c>
      <c r="M219" s="189" t="s">
        <v>160</v>
      </c>
      <c r="N219" s="189" t="s">
        <v>357</v>
      </c>
      <c r="O219" s="189" t="s">
        <v>107</v>
      </c>
      <c r="P219" s="189" t="s">
        <v>111</v>
      </c>
      <c r="Q219" s="189" t="s">
        <v>247</v>
      </c>
      <c r="R219" s="189" t="s">
        <v>24</v>
      </c>
      <c r="S219" s="189" t="s">
        <v>227</v>
      </c>
      <c r="T219" s="189" t="s">
        <v>352</v>
      </c>
      <c r="V219" s="189" t="s">
        <v>192</v>
      </c>
      <c r="W219" s="189" t="s">
        <v>124</v>
      </c>
      <c r="X219" s="189" t="s">
        <v>19</v>
      </c>
      <c r="Y219" s="189" t="s">
        <v>19</v>
      </c>
      <c r="AK219" s="189" t="s">
        <v>880</v>
      </c>
    </row>
    <row r="220" customFormat="false" ht="15" hidden="false" customHeight="true" outlineLevel="0" collapsed="false">
      <c r="A220" s="0" t="n">
        <v>219</v>
      </c>
      <c r="B220" s="191" t="n">
        <v>46087.6230004797</v>
      </c>
      <c r="C220" s="191" t="n">
        <v>46087.6341115908</v>
      </c>
      <c r="D220" s="189" t="s">
        <v>1596</v>
      </c>
      <c r="E220" s="189" t="s">
        <v>1597</v>
      </c>
      <c r="F220" s="189" t="s">
        <v>1597</v>
      </c>
      <c r="G220" s="189" t="s">
        <v>1598</v>
      </c>
      <c r="H220" s="191" t="n">
        <v>46085</v>
      </c>
      <c r="I220" s="189" t="s">
        <v>113</v>
      </c>
      <c r="J220" s="189" t="s">
        <v>295</v>
      </c>
      <c r="K220" s="189" t="s">
        <v>818</v>
      </c>
      <c r="L220" s="189" t="s">
        <v>130</v>
      </c>
      <c r="M220" s="189" t="s">
        <v>199</v>
      </c>
      <c r="N220" s="189" t="s">
        <v>1243</v>
      </c>
      <c r="O220" s="189" t="s">
        <v>244</v>
      </c>
      <c r="P220" s="189" t="s">
        <v>111</v>
      </c>
      <c r="Q220" s="189" t="s">
        <v>112</v>
      </c>
      <c r="R220" s="189" t="s">
        <v>21</v>
      </c>
      <c r="S220" s="189" t="s">
        <v>152</v>
      </c>
      <c r="T220" s="189" t="s">
        <v>264</v>
      </c>
      <c r="V220" s="189" t="s">
        <v>123</v>
      </c>
      <c r="W220" s="189" t="s">
        <v>168</v>
      </c>
      <c r="X220" s="189" t="s">
        <v>348</v>
      </c>
      <c r="Y220" s="189" t="s">
        <v>348</v>
      </c>
      <c r="Z220" s="189" t="s">
        <v>2190</v>
      </c>
      <c r="AG220" s="189" t="s">
        <v>2192</v>
      </c>
      <c r="AH220" s="189" t="s">
        <v>2210</v>
      </c>
    </row>
    <row r="221" customFormat="false" ht="15" hidden="false" customHeight="true" outlineLevel="0" collapsed="false">
      <c r="A221" s="0" t="n">
        <v>220</v>
      </c>
      <c r="B221" s="191" t="n">
        <v>46116.2160671509</v>
      </c>
      <c r="C221" s="191" t="n">
        <v>46116.2184514101</v>
      </c>
      <c r="D221" s="189" t="s">
        <v>1600</v>
      </c>
      <c r="E221" s="189" t="s">
        <v>1601</v>
      </c>
      <c r="F221" s="189" t="s">
        <v>1601</v>
      </c>
      <c r="G221" s="189" t="s">
        <v>1602</v>
      </c>
      <c r="H221" s="191" t="n">
        <v>46116</v>
      </c>
      <c r="I221" s="189" t="s">
        <v>113</v>
      </c>
      <c r="J221" s="189" t="s">
        <v>128</v>
      </c>
      <c r="K221" s="189" t="s">
        <v>232</v>
      </c>
      <c r="L221" s="189" t="s">
        <v>110</v>
      </c>
      <c r="M221" s="189" t="s">
        <v>234</v>
      </c>
      <c r="N221" s="189" t="s">
        <v>827</v>
      </c>
      <c r="O221" s="189" t="s">
        <v>107</v>
      </c>
      <c r="P221" s="189" t="s">
        <v>211</v>
      </c>
      <c r="Q221" s="189" t="s">
        <v>112</v>
      </c>
      <c r="R221" s="189" t="s">
        <v>22</v>
      </c>
      <c r="S221" s="189" t="s">
        <v>152</v>
      </c>
      <c r="T221" s="189" t="s">
        <v>121</v>
      </c>
      <c r="U221" s="189" t="s">
        <v>1605</v>
      </c>
      <c r="V221" s="189" t="s">
        <v>167</v>
      </c>
      <c r="W221" s="189" t="s">
        <v>124</v>
      </c>
      <c r="X221" s="189" t="s">
        <v>298</v>
      </c>
      <c r="Y221" s="189" t="s">
        <v>298</v>
      </c>
      <c r="Z221" s="189" t="s">
        <v>2280</v>
      </c>
      <c r="AG221" s="189" t="s">
        <v>2291</v>
      </c>
      <c r="AH221" s="189" t="s">
        <v>2282</v>
      </c>
    </row>
    <row r="222" customFormat="false" ht="15" hidden="false" customHeight="true" outlineLevel="0" collapsed="false">
      <c r="A222" s="0" t="n">
        <v>221</v>
      </c>
      <c r="B222" s="191" t="n">
        <v>46184.8188207957</v>
      </c>
      <c r="C222" s="191" t="n">
        <v>46184.8253717217</v>
      </c>
      <c r="D222" s="189" t="s">
        <v>1606</v>
      </c>
      <c r="E222" s="189" t="s">
        <v>1607</v>
      </c>
      <c r="F222" s="189" t="s">
        <v>1608</v>
      </c>
      <c r="G222" s="189" t="s">
        <v>1609</v>
      </c>
      <c r="H222" s="191" t="n">
        <v>46178</v>
      </c>
      <c r="I222" s="189" t="s">
        <v>336</v>
      </c>
      <c r="J222" s="189" t="s">
        <v>108</v>
      </c>
      <c r="K222" s="189" t="s">
        <v>1610</v>
      </c>
      <c r="L222" s="189" t="s">
        <v>197</v>
      </c>
      <c r="M222" s="189" t="s">
        <v>391</v>
      </c>
      <c r="N222" s="189" t="s">
        <v>249</v>
      </c>
      <c r="O222" s="189" t="s">
        <v>1506</v>
      </c>
      <c r="P222" s="189" t="s">
        <v>111</v>
      </c>
      <c r="Q222" s="189" t="s">
        <v>112</v>
      </c>
      <c r="R222" s="189" t="s">
        <v>22</v>
      </c>
      <c r="S222" s="189" t="s">
        <v>227</v>
      </c>
      <c r="T222" s="189" t="s">
        <v>180</v>
      </c>
      <c r="U222" s="189" t="s">
        <v>994</v>
      </c>
      <c r="V222" s="189" t="s">
        <v>192</v>
      </c>
      <c r="W222" s="189" t="s">
        <v>124</v>
      </c>
      <c r="X222" s="189" t="s">
        <v>176</v>
      </c>
      <c r="Y222" s="189" t="s">
        <v>176</v>
      </c>
      <c r="Z222" s="189" t="s">
        <v>2345</v>
      </c>
      <c r="AA222" s="189" t="s">
        <v>2346</v>
      </c>
      <c r="AG222" s="189" t="s">
        <v>2132</v>
      </c>
    </row>
    <row r="223" customFormat="false" ht="15" hidden="false" customHeight="true" outlineLevel="0" collapsed="false">
      <c r="A223" s="0" t="n">
        <v>222</v>
      </c>
      <c r="B223" s="191" t="n">
        <v>46207.8479702047</v>
      </c>
      <c r="C223" s="191" t="n">
        <v>46207.8566854825</v>
      </c>
      <c r="D223" s="189" t="s">
        <v>1613</v>
      </c>
      <c r="E223" s="189" t="s">
        <v>1614</v>
      </c>
      <c r="F223" s="189" t="s">
        <v>1614</v>
      </c>
      <c r="G223" s="189" t="s">
        <v>1615</v>
      </c>
      <c r="H223" s="191" t="n">
        <v>46196</v>
      </c>
      <c r="I223" s="189" t="s">
        <v>113</v>
      </c>
      <c r="J223" s="189" t="s">
        <v>295</v>
      </c>
      <c r="K223" s="189" t="s">
        <v>143</v>
      </c>
      <c r="L223" s="189" t="s">
        <v>296</v>
      </c>
      <c r="M223" s="189" t="s">
        <v>774</v>
      </c>
      <c r="N223" s="189" t="s">
        <v>508</v>
      </c>
      <c r="O223" s="189" t="s">
        <v>713</v>
      </c>
      <c r="P223" s="189" t="s">
        <v>111</v>
      </c>
      <c r="Q223" s="189" t="s">
        <v>145</v>
      </c>
      <c r="R223" s="189" t="s">
        <v>21</v>
      </c>
      <c r="S223" s="189" t="s">
        <v>120</v>
      </c>
      <c r="T223" s="189" t="s">
        <v>121</v>
      </c>
      <c r="U223" s="189" t="s">
        <v>122</v>
      </c>
      <c r="V223" s="189" t="s">
        <v>192</v>
      </c>
      <c r="W223" s="189" t="s">
        <v>124</v>
      </c>
      <c r="X223" s="189" t="s">
        <v>307</v>
      </c>
      <c r="Y223" s="189" t="s">
        <v>307</v>
      </c>
      <c r="Z223" s="189" t="s">
        <v>2173</v>
      </c>
      <c r="AG223" s="189" t="s">
        <v>2178</v>
      </c>
      <c r="AH223" s="189" t="s">
        <v>2177</v>
      </c>
    </row>
    <row r="224" customFormat="false" ht="15" hidden="false" customHeight="true" outlineLevel="0" collapsed="false">
      <c r="A224" s="0" t="n">
        <v>223</v>
      </c>
      <c r="B224" s="191" t="n">
        <v>46185.6132689733</v>
      </c>
      <c r="C224" s="191" t="n">
        <v>46185.6340907326</v>
      </c>
      <c r="D224" s="189" t="s">
        <v>1619</v>
      </c>
      <c r="E224" s="189" t="s">
        <v>1620</v>
      </c>
      <c r="F224" s="189" t="s">
        <v>1620</v>
      </c>
      <c r="G224" s="189" t="s">
        <v>1621</v>
      </c>
      <c r="H224" s="191" t="n">
        <v>46177</v>
      </c>
      <c r="I224" s="189" t="s">
        <v>113</v>
      </c>
      <c r="J224" s="189" t="s">
        <v>108</v>
      </c>
      <c r="K224" s="189" t="s">
        <v>257</v>
      </c>
      <c r="L224" s="189" t="s">
        <v>296</v>
      </c>
      <c r="M224" s="189" t="s">
        <v>1388</v>
      </c>
      <c r="N224" s="189" t="s">
        <v>1622</v>
      </c>
      <c r="O224" s="189" t="s">
        <v>172</v>
      </c>
      <c r="P224" s="189" t="s">
        <v>111</v>
      </c>
      <c r="Q224" s="189" t="s">
        <v>145</v>
      </c>
      <c r="R224" s="189" t="s">
        <v>22</v>
      </c>
      <c r="S224" s="189" t="s">
        <v>152</v>
      </c>
      <c r="T224" s="189" t="s">
        <v>121</v>
      </c>
      <c r="U224" s="189" t="s">
        <v>122</v>
      </c>
      <c r="V224" s="189" t="s">
        <v>167</v>
      </c>
      <c r="W224" s="189" t="s">
        <v>168</v>
      </c>
      <c r="X224" s="189" t="s">
        <v>298</v>
      </c>
      <c r="Y224" s="189" t="s">
        <v>298</v>
      </c>
      <c r="Z224" s="189" t="s">
        <v>2239</v>
      </c>
      <c r="AG224" s="189" t="s">
        <v>2341</v>
      </c>
      <c r="AH224" s="189" t="s">
        <v>122</v>
      </c>
    </row>
    <row r="225" customFormat="false" ht="15" hidden="false" customHeight="true" outlineLevel="0" collapsed="false">
      <c r="A225" s="0" t="n">
        <v>224</v>
      </c>
      <c r="B225" s="191" t="n">
        <v>46169.7006425458</v>
      </c>
      <c r="C225" s="191" t="n">
        <v>46169.7096008791</v>
      </c>
      <c r="D225" s="189" t="s">
        <v>1625</v>
      </c>
      <c r="E225" s="189" t="s">
        <v>1626</v>
      </c>
      <c r="F225" s="189" t="s">
        <v>1626</v>
      </c>
      <c r="G225" s="189" t="s">
        <v>1627</v>
      </c>
      <c r="H225" s="191" t="n">
        <v>46165</v>
      </c>
      <c r="I225" s="189" t="s">
        <v>113</v>
      </c>
      <c r="J225" s="189" t="s">
        <v>295</v>
      </c>
      <c r="K225" s="189" t="s">
        <v>232</v>
      </c>
      <c r="L225" s="189" t="s">
        <v>286</v>
      </c>
      <c r="M225" s="189" t="s">
        <v>212</v>
      </c>
      <c r="N225" s="189" t="s">
        <v>1628</v>
      </c>
      <c r="O225" s="189" t="s">
        <v>107</v>
      </c>
      <c r="P225" s="189" t="s">
        <v>111</v>
      </c>
      <c r="Q225" s="189" t="s">
        <v>112</v>
      </c>
      <c r="R225" s="189" t="s">
        <v>22</v>
      </c>
      <c r="S225" s="189" t="s">
        <v>120</v>
      </c>
      <c r="T225" s="189" t="s">
        <v>121</v>
      </c>
      <c r="V225" s="189" t="s">
        <v>123</v>
      </c>
      <c r="W225" s="189" t="s">
        <v>124</v>
      </c>
      <c r="X225" s="189" t="s">
        <v>135</v>
      </c>
      <c r="Y225" s="189" t="s">
        <v>135</v>
      </c>
      <c r="Z225" s="189" t="s">
        <v>2246</v>
      </c>
      <c r="AA225" s="189" t="s">
        <v>2245</v>
      </c>
      <c r="AB225" s="189" t="s">
        <v>2115</v>
      </c>
      <c r="AG225" s="189" t="s">
        <v>2119</v>
      </c>
    </row>
    <row r="226" customFormat="false" ht="15" hidden="false" customHeight="true" outlineLevel="0" collapsed="false">
      <c r="A226" s="0" t="n">
        <v>225</v>
      </c>
      <c r="B226" s="191" t="n">
        <v>46140.8398707905</v>
      </c>
      <c r="C226" s="191" t="n">
        <v>46140.8582851424</v>
      </c>
      <c r="D226" s="189" t="s">
        <v>1630</v>
      </c>
      <c r="E226" s="189" t="s">
        <v>1631</v>
      </c>
      <c r="F226" s="189" t="s">
        <v>1631</v>
      </c>
      <c r="G226" s="189" t="s">
        <v>1632</v>
      </c>
      <c r="H226" s="191" t="n">
        <v>46126</v>
      </c>
      <c r="I226" s="189" t="s">
        <v>325</v>
      </c>
      <c r="J226" s="189" t="s">
        <v>108</v>
      </c>
      <c r="K226" s="189" t="s">
        <v>1633</v>
      </c>
      <c r="L226" s="189" t="s">
        <v>286</v>
      </c>
      <c r="M226" s="189" t="s">
        <v>652</v>
      </c>
      <c r="N226" s="189" t="s">
        <v>1539</v>
      </c>
      <c r="O226" s="189" t="s">
        <v>278</v>
      </c>
      <c r="P226" s="189" t="s">
        <v>111</v>
      </c>
      <c r="Q226" s="189" t="s">
        <v>145</v>
      </c>
      <c r="R226" s="189" t="s">
        <v>22</v>
      </c>
      <c r="S226" s="189" t="s">
        <v>152</v>
      </c>
      <c r="T226" s="189" t="s">
        <v>352</v>
      </c>
      <c r="U226" s="189" t="s">
        <v>122</v>
      </c>
      <c r="V226" s="189" t="s">
        <v>123</v>
      </c>
      <c r="W226" s="189" t="s">
        <v>124</v>
      </c>
      <c r="X226" s="189" t="s">
        <v>298</v>
      </c>
      <c r="Y226" s="189" t="s">
        <v>298</v>
      </c>
      <c r="Z226" s="189" t="s">
        <v>2252</v>
      </c>
      <c r="AA226" s="189" t="s">
        <v>2168</v>
      </c>
      <c r="AG226" s="189" t="s">
        <v>2254</v>
      </c>
    </row>
    <row r="227" customFormat="false" ht="15" hidden="false" customHeight="true" outlineLevel="0" collapsed="false">
      <c r="A227" s="0" t="n">
        <v>226</v>
      </c>
      <c r="B227" s="191" t="n">
        <v>46192.2424429005</v>
      </c>
      <c r="C227" s="191" t="n">
        <v>46192.2458572523</v>
      </c>
      <c r="D227" s="189" t="s">
        <v>1637</v>
      </c>
      <c r="E227" s="189" t="s">
        <v>1638</v>
      </c>
      <c r="F227" s="189" t="s">
        <v>1638</v>
      </c>
      <c r="G227" s="189" t="s">
        <v>1639</v>
      </c>
      <c r="H227" s="191" t="n">
        <v>46182</v>
      </c>
      <c r="I227" s="189" t="s">
        <v>113</v>
      </c>
      <c r="J227" s="189" t="s">
        <v>108</v>
      </c>
      <c r="K227" s="189" t="s">
        <v>1640</v>
      </c>
      <c r="L227" s="189" t="s">
        <v>210</v>
      </c>
      <c r="M227" s="189" t="s">
        <v>1112</v>
      </c>
      <c r="N227" s="189" t="s">
        <v>347</v>
      </c>
      <c r="O227" s="189" t="s">
        <v>1506</v>
      </c>
      <c r="P227" s="189" t="s">
        <v>111</v>
      </c>
      <c r="Q227" s="189" t="s">
        <v>145</v>
      </c>
      <c r="R227" s="189" t="s">
        <v>21</v>
      </c>
      <c r="S227" s="189" t="s">
        <v>152</v>
      </c>
      <c r="T227" s="189" t="s">
        <v>121</v>
      </c>
      <c r="U227" s="189" t="s">
        <v>1641</v>
      </c>
      <c r="V227" s="189" t="s">
        <v>123</v>
      </c>
      <c r="W227" s="189" t="s">
        <v>139</v>
      </c>
      <c r="X227" s="189" t="s">
        <v>250</v>
      </c>
      <c r="Y227" s="189" t="s">
        <v>250</v>
      </c>
      <c r="Z227" s="189" t="s">
        <v>2139</v>
      </c>
      <c r="AG227" s="189" t="s">
        <v>2152</v>
      </c>
    </row>
    <row r="228" customFormat="false" ht="15" hidden="false" customHeight="true" outlineLevel="0" collapsed="false">
      <c r="A228" s="0" t="n">
        <v>227</v>
      </c>
      <c r="B228" s="191" t="n">
        <v>46139.2799518654</v>
      </c>
      <c r="C228" s="191" t="n">
        <v>46139.2932736247</v>
      </c>
      <c r="D228" s="189" t="s">
        <v>1642</v>
      </c>
      <c r="E228" s="189" t="s">
        <v>1643</v>
      </c>
      <c r="F228" s="189" t="s">
        <v>1643</v>
      </c>
      <c r="G228" s="189" t="s">
        <v>1644</v>
      </c>
      <c r="H228" s="191" t="n">
        <v>46125</v>
      </c>
      <c r="I228" s="189" t="s">
        <v>113</v>
      </c>
      <c r="J228" s="189" t="s">
        <v>108</v>
      </c>
      <c r="K228" s="189" t="s">
        <v>364</v>
      </c>
      <c r="L228" s="189" t="s">
        <v>346</v>
      </c>
      <c r="M228" s="189" t="s">
        <v>406</v>
      </c>
      <c r="N228" s="189" t="s">
        <v>819</v>
      </c>
      <c r="O228" s="189" t="s">
        <v>107</v>
      </c>
      <c r="P228" s="189" t="s">
        <v>111</v>
      </c>
      <c r="Q228" s="189" t="s">
        <v>112</v>
      </c>
      <c r="R228" s="189" t="s">
        <v>23</v>
      </c>
      <c r="S228" s="189" t="s">
        <v>152</v>
      </c>
      <c r="T228" s="189" t="s">
        <v>264</v>
      </c>
      <c r="U228" s="189" t="s">
        <v>166</v>
      </c>
      <c r="V228" s="189" t="s">
        <v>192</v>
      </c>
      <c r="W228" s="189" t="s">
        <v>124</v>
      </c>
      <c r="X228" s="189" t="s">
        <v>1645</v>
      </c>
      <c r="Y228" s="189" t="s">
        <v>1645</v>
      </c>
    </row>
    <row r="229" customFormat="false" ht="15" hidden="false" customHeight="true" outlineLevel="0" collapsed="false">
      <c r="A229" s="0" t="n">
        <v>228</v>
      </c>
      <c r="B229" s="191" t="n">
        <v>46074.7274373984</v>
      </c>
      <c r="C229" s="191" t="n">
        <v>46074.7324026762</v>
      </c>
      <c r="D229" s="189" t="s">
        <v>1646</v>
      </c>
      <c r="E229" s="189" t="s">
        <v>1647</v>
      </c>
      <c r="F229" s="189" t="s">
        <v>1647</v>
      </c>
      <c r="G229" s="189" t="s">
        <v>1648</v>
      </c>
      <c r="H229" s="191" t="n">
        <v>46054</v>
      </c>
      <c r="I229" s="189" t="s">
        <v>113</v>
      </c>
      <c r="J229" s="189" t="s">
        <v>108</v>
      </c>
      <c r="K229" s="189" t="s">
        <v>500</v>
      </c>
      <c r="L229" s="189" t="s">
        <v>184</v>
      </c>
      <c r="M229" s="189" t="s">
        <v>160</v>
      </c>
      <c r="N229" s="189" t="s">
        <v>270</v>
      </c>
      <c r="O229" s="189" t="s">
        <v>278</v>
      </c>
      <c r="P229" s="189" t="s">
        <v>111</v>
      </c>
      <c r="Q229" s="189" t="s">
        <v>112</v>
      </c>
      <c r="R229" s="189" t="s">
        <v>21</v>
      </c>
      <c r="S229" s="189" t="s">
        <v>120</v>
      </c>
      <c r="T229" s="189" t="s">
        <v>264</v>
      </c>
      <c r="V229" s="189" t="s">
        <v>167</v>
      </c>
      <c r="W229" s="189" t="s">
        <v>124</v>
      </c>
      <c r="X229" s="189" t="s">
        <v>374</v>
      </c>
      <c r="Y229" s="189" t="s">
        <v>374</v>
      </c>
      <c r="Z229" s="189" t="s">
        <v>2198</v>
      </c>
      <c r="AG229" s="189" t="s">
        <v>2201</v>
      </c>
      <c r="AH229" s="189" t="s">
        <v>2202</v>
      </c>
    </row>
    <row r="230" customFormat="false" ht="15" hidden="false" customHeight="true" outlineLevel="0" collapsed="false">
      <c r="A230" s="0" t="n">
        <v>229</v>
      </c>
      <c r="B230" s="191" t="n">
        <v>46138.5829966795</v>
      </c>
      <c r="C230" s="191" t="n">
        <v>46138.600103161</v>
      </c>
      <c r="D230" s="189" t="s">
        <v>1650</v>
      </c>
      <c r="E230" s="189" t="s">
        <v>1651</v>
      </c>
      <c r="F230" s="189" t="s">
        <v>1651</v>
      </c>
      <c r="G230" s="189" t="s">
        <v>1652</v>
      </c>
      <c r="H230" s="191" t="n">
        <v>46138</v>
      </c>
      <c r="I230" s="189" t="s">
        <v>305</v>
      </c>
      <c r="J230" s="189" t="s">
        <v>108</v>
      </c>
      <c r="K230" s="189" t="s">
        <v>462</v>
      </c>
      <c r="L230" s="189" t="s">
        <v>184</v>
      </c>
      <c r="M230" s="189" t="s">
        <v>1151</v>
      </c>
      <c r="N230" s="189" t="s">
        <v>440</v>
      </c>
      <c r="O230" s="189" t="s">
        <v>244</v>
      </c>
      <c r="P230" s="189" t="s">
        <v>111</v>
      </c>
      <c r="Q230" s="189" t="s">
        <v>112</v>
      </c>
      <c r="R230" s="189" t="s">
        <v>22</v>
      </c>
      <c r="S230" s="189" t="s">
        <v>120</v>
      </c>
      <c r="T230" s="189" t="s">
        <v>180</v>
      </c>
      <c r="U230" s="189" t="s">
        <v>122</v>
      </c>
      <c r="V230" s="189" t="s">
        <v>192</v>
      </c>
      <c r="W230" s="189" t="s">
        <v>124</v>
      </c>
      <c r="X230" s="189" t="s">
        <v>148</v>
      </c>
      <c r="Y230" s="189" t="s">
        <v>148</v>
      </c>
      <c r="Z230" s="189" t="s">
        <v>2230</v>
      </c>
      <c r="AA230" s="189" t="s">
        <v>2326</v>
      </c>
      <c r="AG230" s="189" t="s">
        <v>2124</v>
      </c>
    </row>
    <row r="231" customFormat="false" ht="15" hidden="false" customHeight="true" outlineLevel="0" collapsed="false">
      <c r="A231" s="0" t="n">
        <v>230</v>
      </c>
      <c r="B231" s="191" t="n">
        <v>46039.0827984962</v>
      </c>
      <c r="C231" s="191" t="n">
        <v>46039.101525348</v>
      </c>
      <c r="D231" s="189" t="s">
        <v>1655</v>
      </c>
      <c r="E231" s="189" t="s">
        <v>1656</v>
      </c>
      <c r="F231" s="189" t="s">
        <v>1656</v>
      </c>
      <c r="G231" s="189" t="s">
        <v>1657</v>
      </c>
      <c r="H231" s="191" t="n">
        <v>46021</v>
      </c>
      <c r="I231" s="189" t="s">
        <v>113</v>
      </c>
      <c r="J231" s="189" t="s">
        <v>128</v>
      </c>
      <c r="K231" s="189" t="s">
        <v>232</v>
      </c>
      <c r="L231" s="189" t="s">
        <v>144</v>
      </c>
      <c r="M231" s="189" t="s">
        <v>269</v>
      </c>
      <c r="N231" s="189" t="s">
        <v>1323</v>
      </c>
      <c r="O231" s="189" t="s">
        <v>107</v>
      </c>
      <c r="P231" s="189" t="s">
        <v>131</v>
      </c>
      <c r="Q231" s="189" t="s">
        <v>145</v>
      </c>
      <c r="R231" s="189" t="s">
        <v>21</v>
      </c>
      <c r="S231" s="189" t="s">
        <v>152</v>
      </c>
      <c r="T231" s="189" t="s">
        <v>121</v>
      </c>
      <c r="U231" s="189" t="s">
        <v>321</v>
      </c>
      <c r="V231" s="189" t="s">
        <v>123</v>
      </c>
      <c r="W231" s="189" t="s">
        <v>124</v>
      </c>
      <c r="X231" s="189" t="s">
        <v>250</v>
      </c>
      <c r="Y231" s="189" t="s">
        <v>250</v>
      </c>
      <c r="Z231" s="189" t="s">
        <v>2151</v>
      </c>
      <c r="AG231" s="189" t="s">
        <v>2114</v>
      </c>
    </row>
    <row r="232" customFormat="false" ht="15" hidden="false" customHeight="true" outlineLevel="0" collapsed="false">
      <c r="A232" s="0" t="n">
        <v>231</v>
      </c>
      <c r="B232" s="191" t="n">
        <v>46097.8670586418</v>
      </c>
      <c r="C232" s="191" t="n">
        <v>46097.8846743826</v>
      </c>
      <c r="D232" s="189" t="s">
        <v>1659</v>
      </c>
      <c r="E232" s="189" t="s">
        <v>1660</v>
      </c>
      <c r="F232" s="189" t="s">
        <v>1661</v>
      </c>
      <c r="G232" s="189" t="s">
        <v>1662</v>
      </c>
      <c r="H232" s="191" t="n">
        <v>46094</v>
      </c>
      <c r="I232" s="189" t="s">
        <v>113</v>
      </c>
      <c r="J232" s="189" t="s">
        <v>108</v>
      </c>
      <c r="K232" s="189" t="s">
        <v>245</v>
      </c>
      <c r="L232" s="189" t="s">
        <v>389</v>
      </c>
      <c r="M232" s="189" t="s">
        <v>1074</v>
      </c>
      <c r="N232" s="189" t="s">
        <v>227</v>
      </c>
      <c r="O232" s="189" t="s">
        <v>278</v>
      </c>
      <c r="P232" s="189" t="s">
        <v>111</v>
      </c>
      <c r="Q232" s="189" t="s">
        <v>112</v>
      </c>
      <c r="R232" s="189" t="s">
        <v>22</v>
      </c>
      <c r="S232" s="189" t="s">
        <v>152</v>
      </c>
      <c r="T232" s="189" t="s">
        <v>180</v>
      </c>
      <c r="V232" s="189" t="s">
        <v>123</v>
      </c>
      <c r="W232" s="189" t="s">
        <v>168</v>
      </c>
      <c r="X232" s="189" t="s">
        <v>339</v>
      </c>
      <c r="Y232" s="189" t="s">
        <v>339</v>
      </c>
      <c r="Z232" s="189" t="s">
        <v>2242</v>
      </c>
      <c r="AA232" s="189" t="s">
        <v>2260</v>
      </c>
      <c r="AB232" s="189" t="s">
        <v>2212</v>
      </c>
      <c r="AG232" s="189" t="s">
        <v>2188</v>
      </c>
    </row>
    <row r="233" customFormat="false" ht="15" hidden="false" customHeight="true" outlineLevel="0" collapsed="false">
      <c r="A233" s="0" t="n">
        <v>232</v>
      </c>
      <c r="B233" s="191" t="n">
        <v>46050.5458762</v>
      </c>
      <c r="C233" s="191" t="n">
        <v>46050.5543831444</v>
      </c>
      <c r="D233" s="189" t="s">
        <v>1666</v>
      </c>
      <c r="E233" s="189" t="s">
        <v>1667</v>
      </c>
      <c r="F233" s="189" t="s">
        <v>1667</v>
      </c>
      <c r="G233" s="189" t="s">
        <v>1668</v>
      </c>
      <c r="H233" s="191" t="n">
        <v>46037</v>
      </c>
      <c r="I233" s="189" t="s">
        <v>113</v>
      </c>
      <c r="J233" s="189" t="s">
        <v>108</v>
      </c>
      <c r="K233" s="189" t="s">
        <v>158</v>
      </c>
      <c r="L233" s="189" t="s">
        <v>197</v>
      </c>
      <c r="M233" s="189" t="s">
        <v>160</v>
      </c>
      <c r="N233" s="189" t="s">
        <v>775</v>
      </c>
      <c r="O233" s="189" t="s">
        <v>172</v>
      </c>
      <c r="P233" s="189" t="s">
        <v>111</v>
      </c>
      <c r="Q233" s="189" t="s">
        <v>112</v>
      </c>
      <c r="R233" s="189" t="s">
        <v>22</v>
      </c>
      <c r="S233" s="189" t="s">
        <v>120</v>
      </c>
      <c r="T233" s="189" t="s">
        <v>121</v>
      </c>
      <c r="U233" s="189" t="s">
        <v>122</v>
      </c>
      <c r="V233" s="189" t="s">
        <v>123</v>
      </c>
      <c r="W233" s="189" t="s">
        <v>124</v>
      </c>
      <c r="X233" s="189" t="s">
        <v>715</v>
      </c>
      <c r="Y233" s="189" t="s">
        <v>715</v>
      </c>
      <c r="Z233" s="189" t="s">
        <v>2295</v>
      </c>
      <c r="AA233" s="189" t="s">
        <v>2296</v>
      </c>
      <c r="AG233" s="189" t="s">
        <v>2272</v>
      </c>
      <c r="AH233" s="189" t="s">
        <v>2301</v>
      </c>
    </row>
    <row r="234" customFormat="false" ht="15" hidden="false" customHeight="true" outlineLevel="0" collapsed="false">
      <c r="A234" s="0" t="n">
        <v>233</v>
      </c>
      <c r="B234" s="191" t="n">
        <v>46062.5286049161</v>
      </c>
      <c r="C234" s="191" t="n">
        <v>46062.5380840828</v>
      </c>
      <c r="D234" s="189" t="s">
        <v>1670</v>
      </c>
      <c r="E234" s="189" t="s">
        <v>1671</v>
      </c>
      <c r="F234" s="189" t="s">
        <v>1671</v>
      </c>
      <c r="G234" s="189" t="s">
        <v>1672</v>
      </c>
      <c r="H234" s="191" t="n">
        <v>46057</v>
      </c>
      <c r="I234" s="189" t="s">
        <v>113</v>
      </c>
      <c r="J234" s="189" t="s">
        <v>128</v>
      </c>
      <c r="K234" s="189" t="s">
        <v>1673</v>
      </c>
      <c r="L234" s="189" t="s">
        <v>114</v>
      </c>
      <c r="M234" s="189" t="s">
        <v>736</v>
      </c>
      <c r="N234" s="189" t="s">
        <v>939</v>
      </c>
      <c r="O234" s="189" t="s">
        <v>107</v>
      </c>
      <c r="P234" s="189" t="s">
        <v>111</v>
      </c>
      <c r="Q234" s="189" t="s">
        <v>112</v>
      </c>
      <c r="R234" s="189" t="s">
        <v>22</v>
      </c>
      <c r="S234" s="189" t="s">
        <v>152</v>
      </c>
      <c r="T234" s="189" t="s">
        <v>121</v>
      </c>
      <c r="V234" s="189" t="s">
        <v>167</v>
      </c>
      <c r="W234" s="189" t="s">
        <v>168</v>
      </c>
      <c r="X234" s="189" t="s">
        <v>381</v>
      </c>
      <c r="Y234" s="189" t="s">
        <v>381</v>
      </c>
      <c r="Z234" s="189" t="s">
        <v>2277</v>
      </c>
      <c r="AA234" s="189" t="s">
        <v>2224</v>
      </c>
      <c r="AB234" s="189" t="s">
        <v>2293</v>
      </c>
      <c r="AG234" s="189" t="s">
        <v>2225</v>
      </c>
      <c r="AH234" s="189" t="s">
        <v>2206</v>
      </c>
    </row>
    <row r="235" customFormat="false" ht="15" hidden="false" customHeight="true" outlineLevel="0" collapsed="false">
      <c r="A235" s="0" t="n">
        <v>234</v>
      </c>
      <c r="B235" s="191" t="n">
        <v>46062.5287183089</v>
      </c>
      <c r="C235" s="191" t="n">
        <v>46062.5404312719</v>
      </c>
      <c r="D235" s="189" t="s">
        <v>1675</v>
      </c>
      <c r="E235" s="189" t="s">
        <v>1676</v>
      </c>
      <c r="F235" s="189" t="s">
        <v>1676</v>
      </c>
      <c r="G235" s="189" t="s">
        <v>1677</v>
      </c>
      <c r="H235" s="191" t="n">
        <v>46045</v>
      </c>
      <c r="I235" s="189" t="s">
        <v>113</v>
      </c>
      <c r="J235" s="189" t="s">
        <v>108</v>
      </c>
      <c r="K235" s="189" t="s">
        <v>196</v>
      </c>
      <c r="L235" s="189" t="s">
        <v>159</v>
      </c>
      <c r="M235" s="189" t="s">
        <v>397</v>
      </c>
      <c r="N235" s="189" t="s">
        <v>1224</v>
      </c>
      <c r="O235" s="189" t="s">
        <v>107</v>
      </c>
      <c r="P235" s="189" t="s">
        <v>111</v>
      </c>
      <c r="Q235" s="189" t="s">
        <v>112</v>
      </c>
      <c r="R235" s="189" t="s">
        <v>25</v>
      </c>
      <c r="S235" s="189" t="s">
        <v>152</v>
      </c>
      <c r="T235" s="189" t="s">
        <v>121</v>
      </c>
      <c r="U235" s="189" t="s">
        <v>961</v>
      </c>
      <c r="V235" s="189" t="s">
        <v>167</v>
      </c>
      <c r="W235" s="189" t="s">
        <v>168</v>
      </c>
      <c r="X235" s="189" t="s">
        <v>687</v>
      </c>
      <c r="Y235" s="189" t="s">
        <v>687</v>
      </c>
      <c r="Z235" s="189" t="s">
        <v>2348</v>
      </c>
      <c r="AG235" s="189" t="s">
        <v>2265</v>
      </c>
      <c r="AH235" s="189" t="s">
        <v>2266</v>
      </c>
    </row>
    <row r="236" customFormat="false" ht="15" hidden="false" customHeight="true" outlineLevel="0" collapsed="false">
      <c r="A236" s="0" t="n">
        <v>235</v>
      </c>
      <c r="B236" s="191" t="n">
        <v>46114.6752439637</v>
      </c>
      <c r="C236" s="191" t="n">
        <v>46114.6835194266</v>
      </c>
      <c r="D236" s="189" t="s">
        <v>1680</v>
      </c>
      <c r="E236" s="189" t="s">
        <v>1681</v>
      </c>
      <c r="F236" s="189" t="s">
        <v>1681</v>
      </c>
      <c r="G236" s="189" t="s">
        <v>1682</v>
      </c>
      <c r="H236" s="191" t="n">
        <v>46099</v>
      </c>
      <c r="I236" s="189" t="s">
        <v>113</v>
      </c>
      <c r="J236" s="189" t="s">
        <v>295</v>
      </c>
      <c r="K236" s="189" t="s">
        <v>196</v>
      </c>
      <c r="L236" s="189" t="s">
        <v>184</v>
      </c>
      <c r="M236" s="189" t="s">
        <v>391</v>
      </c>
      <c r="N236" s="189" t="s">
        <v>297</v>
      </c>
      <c r="O236" s="189" t="s">
        <v>244</v>
      </c>
      <c r="P236" s="189" t="s">
        <v>111</v>
      </c>
      <c r="Q236" s="189" t="s">
        <v>112</v>
      </c>
      <c r="R236" s="189" t="s">
        <v>21</v>
      </c>
      <c r="S236" s="189" t="s">
        <v>120</v>
      </c>
      <c r="T236" s="189" t="s">
        <v>121</v>
      </c>
      <c r="V236" s="189" t="s">
        <v>123</v>
      </c>
      <c r="W236" s="189" t="s">
        <v>124</v>
      </c>
      <c r="X236" s="189" t="s">
        <v>187</v>
      </c>
      <c r="Y236" s="189" t="s">
        <v>187</v>
      </c>
      <c r="Z236" s="189" t="s">
        <v>2133</v>
      </c>
      <c r="AG236" s="189" t="s">
        <v>2135</v>
      </c>
    </row>
    <row r="237" customFormat="false" ht="15" hidden="false" customHeight="true" outlineLevel="0" collapsed="false">
      <c r="A237" s="0" t="n">
        <v>236</v>
      </c>
      <c r="B237" s="191" t="n">
        <v>46109.3950797273</v>
      </c>
      <c r="C237" s="191" t="n">
        <v>46109.4107394495</v>
      </c>
      <c r="D237" s="189" t="s">
        <v>1683</v>
      </c>
      <c r="E237" s="189" t="s">
        <v>1684</v>
      </c>
      <c r="F237" s="189" t="s">
        <v>1684</v>
      </c>
      <c r="G237" s="189" t="s">
        <v>1685</v>
      </c>
      <c r="H237" s="191" t="n">
        <v>46095</v>
      </c>
      <c r="I237" s="189" t="s">
        <v>132</v>
      </c>
      <c r="J237" s="189" t="s">
        <v>108</v>
      </c>
      <c r="K237" s="189" t="s">
        <v>245</v>
      </c>
      <c r="L237" s="189" t="s">
        <v>491</v>
      </c>
      <c r="M237" s="189" t="s">
        <v>515</v>
      </c>
      <c r="N237" s="189" t="s">
        <v>1078</v>
      </c>
      <c r="O237" s="189" t="s">
        <v>107</v>
      </c>
      <c r="P237" s="189" t="s">
        <v>131</v>
      </c>
      <c r="Q237" s="189" t="s">
        <v>145</v>
      </c>
      <c r="R237" s="189" t="s">
        <v>22</v>
      </c>
      <c r="S237" s="189" t="s">
        <v>227</v>
      </c>
      <c r="T237" s="189" t="s">
        <v>121</v>
      </c>
      <c r="U237" s="189" t="s">
        <v>122</v>
      </c>
      <c r="V237" s="189" t="s">
        <v>167</v>
      </c>
      <c r="W237" s="189" t="s">
        <v>124</v>
      </c>
      <c r="X237" s="189" t="s">
        <v>148</v>
      </c>
      <c r="Y237" s="189" t="s">
        <v>148</v>
      </c>
      <c r="Z237" s="189" t="s">
        <v>2166</v>
      </c>
      <c r="AA237" s="189" t="s">
        <v>2136</v>
      </c>
      <c r="AB237" s="189" t="s">
        <v>2326</v>
      </c>
      <c r="AG237" s="189" t="s">
        <v>2232</v>
      </c>
      <c r="AH237" s="189" t="s">
        <v>2124</v>
      </c>
    </row>
    <row r="238" customFormat="false" ht="15" hidden="false" customHeight="true" outlineLevel="0" collapsed="false">
      <c r="A238" s="0" t="n">
        <v>237</v>
      </c>
      <c r="B238" s="191" t="n">
        <v>46096.7992134713</v>
      </c>
      <c r="C238" s="191" t="n">
        <v>46096.8125352305</v>
      </c>
      <c r="D238" s="189" t="s">
        <v>1688</v>
      </c>
      <c r="E238" s="189" t="s">
        <v>1689</v>
      </c>
      <c r="F238" s="189" t="s">
        <v>1689</v>
      </c>
      <c r="G238" s="189" t="s">
        <v>1690</v>
      </c>
      <c r="H238" s="191" t="n">
        <v>46086</v>
      </c>
      <c r="I238" s="189" t="s">
        <v>325</v>
      </c>
      <c r="J238" s="189" t="s">
        <v>108</v>
      </c>
      <c r="K238" s="189" t="s">
        <v>848</v>
      </c>
      <c r="L238" s="189" t="s">
        <v>184</v>
      </c>
      <c r="M238" s="189" t="s">
        <v>326</v>
      </c>
      <c r="N238" s="189" t="s">
        <v>1042</v>
      </c>
      <c r="O238" s="189" t="s">
        <v>172</v>
      </c>
      <c r="P238" s="189" t="s">
        <v>111</v>
      </c>
      <c r="Q238" s="189" t="s">
        <v>198</v>
      </c>
      <c r="R238" s="189" t="s">
        <v>23</v>
      </c>
      <c r="S238" s="189" t="s">
        <v>120</v>
      </c>
      <c r="T238" s="189" t="s">
        <v>496</v>
      </c>
      <c r="U238" s="189" t="s">
        <v>1691</v>
      </c>
      <c r="V238" s="189" t="s">
        <v>192</v>
      </c>
      <c r="W238" s="189" t="s">
        <v>124</v>
      </c>
      <c r="X238" s="189" t="s">
        <v>122</v>
      </c>
      <c r="Y238" s="189" t="s">
        <v>122</v>
      </c>
    </row>
    <row r="239" customFormat="false" ht="15" hidden="false" customHeight="true" outlineLevel="0" collapsed="false">
      <c r="A239" s="0" t="n">
        <v>238</v>
      </c>
      <c r="B239" s="191" t="n">
        <v>46074.0472887368</v>
      </c>
      <c r="C239" s="191" t="n">
        <v>46074.0665827183</v>
      </c>
      <c r="D239" s="189" t="s">
        <v>1692</v>
      </c>
      <c r="E239" s="189" t="s">
        <v>1693</v>
      </c>
      <c r="F239" s="189" t="s">
        <v>1693</v>
      </c>
      <c r="G239" s="189" t="s">
        <v>1694</v>
      </c>
      <c r="H239" s="191" t="n">
        <v>46055</v>
      </c>
      <c r="I239" s="189" t="s">
        <v>113</v>
      </c>
      <c r="J239" s="189" t="s">
        <v>128</v>
      </c>
      <c r="K239" s="189" t="s">
        <v>413</v>
      </c>
      <c r="L239" s="189" t="s">
        <v>197</v>
      </c>
      <c r="M239" s="189" t="s">
        <v>507</v>
      </c>
      <c r="N239" s="189" t="s">
        <v>1144</v>
      </c>
      <c r="O239" s="189" t="s">
        <v>244</v>
      </c>
      <c r="P239" s="189" t="s">
        <v>111</v>
      </c>
      <c r="Q239" s="189" t="s">
        <v>112</v>
      </c>
      <c r="R239" s="189" t="s">
        <v>22</v>
      </c>
      <c r="S239" s="189" t="s">
        <v>152</v>
      </c>
      <c r="T239" s="189" t="s">
        <v>121</v>
      </c>
      <c r="U239" s="189" t="s">
        <v>1395</v>
      </c>
      <c r="V239" s="189" t="s">
        <v>123</v>
      </c>
      <c r="W239" s="189" t="s">
        <v>168</v>
      </c>
      <c r="X239" s="189" t="s">
        <v>715</v>
      </c>
      <c r="Y239" s="189" t="s">
        <v>715</v>
      </c>
      <c r="Z239" s="189" t="s">
        <v>2269</v>
      </c>
      <c r="AA239" s="189" t="s">
        <v>2268</v>
      </c>
      <c r="AB239" s="189" t="s">
        <v>2295</v>
      </c>
      <c r="AG239" s="189" t="s">
        <v>2273</v>
      </c>
      <c r="AH239" s="189" t="s">
        <v>2272</v>
      </c>
    </row>
    <row r="240" customFormat="false" ht="15" hidden="false" customHeight="true" outlineLevel="0" collapsed="false">
      <c r="A240" s="0" t="n">
        <v>239</v>
      </c>
      <c r="B240" s="191" t="n">
        <v>46173.8548996133</v>
      </c>
      <c r="C240" s="191" t="n">
        <v>46173.8651079466</v>
      </c>
      <c r="D240" s="189" t="s">
        <v>1697</v>
      </c>
      <c r="E240" s="189" t="s">
        <v>1698</v>
      </c>
      <c r="F240" s="189" t="s">
        <v>1698</v>
      </c>
      <c r="G240" s="189" t="s">
        <v>1699</v>
      </c>
      <c r="H240" s="191" t="n">
        <v>46162</v>
      </c>
      <c r="I240" s="189" t="s">
        <v>305</v>
      </c>
      <c r="J240" s="189" t="s">
        <v>108</v>
      </c>
      <c r="K240" s="189" t="s">
        <v>245</v>
      </c>
      <c r="L240" s="189" t="s">
        <v>184</v>
      </c>
      <c r="M240" s="189" t="s">
        <v>439</v>
      </c>
      <c r="N240" s="189" t="s">
        <v>338</v>
      </c>
      <c r="O240" s="189" t="s">
        <v>244</v>
      </c>
      <c r="P240" s="189" t="s">
        <v>111</v>
      </c>
      <c r="Q240" s="189" t="s">
        <v>112</v>
      </c>
      <c r="R240" s="189" t="s">
        <v>24</v>
      </c>
      <c r="S240" s="189" t="s">
        <v>227</v>
      </c>
      <c r="T240" s="189" t="s">
        <v>121</v>
      </c>
      <c r="U240" s="189" t="s">
        <v>1700</v>
      </c>
      <c r="V240" s="189" t="s">
        <v>167</v>
      </c>
      <c r="W240" s="189" t="s">
        <v>124</v>
      </c>
      <c r="X240" s="189" t="s">
        <v>19</v>
      </c>
      <c r="Y240" s="189" t="s">
        <v>19</v>
      </c>
      <c r="AK240" s="189" t="s">
        <v>880</v>
      </c>
    </row>
    <row r="241" customFormat="false" ht="15" hidden="false" customHeight="true" outlineLevel="0" collapsed="false">
      <c r="A241" s="0" t="n">
        <v>240</v>
      </c>
      <c r="B241" s="191" t="n">
        <v>46055.697806302</v>
      </c>
      <c r="C241" s="191" t="n">
        <v>46055.7006419502</v>
      </c>
      <c r="D241" s="189" t="s">
        <v>1701</v>
      </c>
      <c r="E241" s="189" t="s">
        <v>1702</v>
      </c>
      <c r="F241" s="189" t="s">
        <v>1702</v>
      </c>
      <c r="G241" s="189" t="s">
        <v>1703</v>
      </c>
      <c r="H241" s="191" t="n">
        <v>46035</v>
      </c>
      <c r="I241" s="189" t="s">
        <v>113</v>
      </c>
      <c r="J241" s="189" t="s">
        <v>108</v>
      </c>
      <c r="K241" s="189" t="s">
        <v>232</v>
      </c>
      <c r="L241" s="189" t="s">
        <v>159</v>
      </c>
      <c r="M241" s="189" t="s">
        <v>477</v>
      </c>
      <c r="N241" s="189" t="s">
        <v>389</v>
      </c>
      <c r="O241" s="189" t="s">
        <v>107</v>
      </c>
      <c r="P241" s="189" t="s">
        <v>111</v>
      </c>
      <c r="Q241" s="189" t="s">
        <v>145</v>
      </c>
      <c r="R241" s="189" t="s">
        <v>23</v>
      </c>
      <c r="S241" s="189" t="s">
        <v>152</v>
      </c>
      <c r="T241" s="189" t="s">
        <v>121</v>
      </c>
      <c r="U241" s="189" t="s">
        <v>122</v>
      </c>
      <c r="V241" s="189" t="s">
        <v>192</v>
      </c>
      <c r="W241" s="189" t="s">
        <v>124</v>
      </c>
      <c r="X241" s="189" t="s">
        <v>122</v>
      </c>
      <c r="Y241" s="189" t="s">
        <v>122</v>
      </c>
    </row>
    <row r="242" customFormat="false" ht="15" hidden="false" customHeight="true" outlineLevel="0" collapsed="false">
      <c r="A242" s="0" t="n">
        <v>241</v>
      </c>
      <c r="B242" s="191" t="n">
        <v>46057.377238174</v>
      </c>
      <c r="C242" s="191" t="n">
        <v>46057.3940784518</v>
      </c>
      <c r="D242" s="189" t="s">
        <v>1704</v>
      </c>
      <c r="E242" s="189" t="s">
        <v>1705</v>
      </c>
      <c r="F242" s="189" t="s">
        <v>1705</v>
      </c>
      <c r="G242" s="189" t="s">
        <v>1706</v>
      </c>
      <c r="H242" s="191" t="n">
        <v>46037</v>
      </c>
      <c r="I242" s="189" t="s">
        <v>305</v>
      </c>
      <c r="J242" s="189" t="s">
        <v>108</v>
      </c>
      <c r="K242" s="189" t="s">
        <v>173</v>
      </c>
      <c r="L242" s="189" t="s">
        <v>144</v>
      </c>
      <c r="M242" s="189" t="s">
        <v>144</v>
      </c>
      <c r="N242" s="189" t="s">
        <v>249</v>
      </c>
      <c r="O242" s="189" t="s">
        <v>172</v>
      </c>
      <c r="P242" s="189" t="s">
        <v>111</v>
      </c>
      <c r="Q242" s="189" t="s">
        <v>145</v>
      </c>
      <c r="R242" s="189" t="s">
        <v>22</v>
      </c>
      <c r="S242" s="189" t="s">
        <v>120</v>
      </c>
      <c r="T242" s="189" t="s">
        <v>121</v>
      </c>
      <c r="U242" s="189" t="s">
        <v>122</v>
      </c>
      <c r="V242" s="189" t="s">
        <v>123</v>
      </c>
      <c r="W242" s="189" t="s">
        <v>124</v>
      </c>
      <c r="X242" s="189" t="s">
        <v>148</v>
      </c>
      <c r="Y242" s="189" t="s">
        <v>148</v>
      </c>
      <c r="Z242" s="189" t="s">
        <v>2120</v>
      </c>
      <c r="AA242" s="189" t="s">
        <v>2230</v>
      </c>
      <c r="AB242" s="189" t="s">
        <v>2166</v>
      </c>
      <c r="AG242" s="189" t="s">
        <v>2232</v>
      </c>
    </row>
    <row r="243" customFormat="false" ht="15" hidden="false" customHeight="true" outlineLevel="0" collapsed="false">
      <c r="A243" s="0" t="n">
        <v>242</v>
      </c>
      <c r="B243" s="191" t="n">
        <v>46046.9534835269</v>
      </c>
      <c r="C243" s="191" t="n">
        <v>46046.9610182491</v>
      </c>
      <c r="D243" s="189" t="s">
        <v>1708</v>
      </c>
      <c r="E243" s="189" t="s">
        <v>1709</v>
      </c>
      <c r="F243" s="189" t="s">
        <v>1709</v>
      </c>
      <c r="G243" s="189" t="s">
        <v>1710</v>
      </c>
      <c r="H243" s="191" t="n">
        <v>46043</v>
      </c>
      <c r="I243" s="189" t="s">
        <v>113</v>
      </c>
      <c r="J243" s="189" t="s">
        <v>295</v>
      </c>
      <c r="K243" s="189" t="s">
        <v>1711</v>
      </c>
      <c r="L243" s="189" t="s">
        <v>130</v>
      </c>
      <c r="M243" s="189" t="s">
        <v>286</v>
      </c>
      <c r="N243" s="189" t="s">
        <v>1539</v>
      </c>
      <c r="O243" s="189" t="s">
        <v>107</v>
      </c>
      <c r="P243" s="189" t="s">
        <v>111</v>
      </c>
      <c r="Q243" s="189" t="s">
        <v>112</v>
      </c>
      <c r="R243" s="189" t="s">
        <v>25</v>
      </c>
      <c r="S243" s="189" t="s">
        <v>152</v>
      </c>
      <c r="T243" s="189" t="s">
        <v>180</v>
      </c>
      <c r="U243" s="189" t="s">
        <v>770</v>
      </c>
      <c r="V243" s="189" t="s">
        <v>192</v>
      </c>
      <c r="W243" s="189" t="s">
        <v>124</v>
      </c>
      <c r="X243" s="189" t="s">
        <v>1712</v>
      </c>
      <c r="Y243" s="189" t="s">
        <v>1712</v>
      </c>
      <c r="Z243" s="189" t="s">
        <v>2349</v>
      </c>
      <c r="AA243" s="189" t="s">
        <v>2350</v>
      </c>
      <c r="AB243" s="189" t="s">
        <v>2351</v>
      </c>
      <c r="AG243" s="189" t="s">
        <v>2354</v>
      </c>
      <c r="AH243" s="189" t="s">
        <v>2355</v>
      </c>
    </row>
    <row r="244" customFormat="false" ht="15" hidden="false" customHeight="true" outlineLevel="0" collapsed="false">
      <c r="A244" s="0" t="n">
        <v>243</v>
      </c>
      <c r="B244" s="191" t="n">
        <v>46191.1505835734</v>
      </c>
      <c r="C244" s="191" t="n">
        <v>46191.1620419067</v>
      </c>
      <c r="D244" s="189" t="s">
        <v>1716</v>
      </c>
      <c r="E244" s="189" t="s">
        <v>1717</v>
      </c>
      <c r="F244" s="189" t="s">
        <v>1717</v>
      </c>
      <c r="G244" s="189" t="s">
        <v>1718</v>
      </c>
      <c r="H244" s="191" t="n">
        <v>46177</v>
      </c>
      <c r="I244" s="189" t="s">
        <v>1268</v>
      </c>
      <c r="J244" s="189" t="s">
        <v>295</v>
      </c>
      <c r="K244" s="189" t="s">
        <v>245</v>
      </c>
      <c r="L244" s="189" t="s">
        <v>346</v>
      </c>
      <c r="M244" s="189" t="s">
        <v>397</v>
      </c>
      <c r="N244" s="189" t="s">
        <v>398</v>
      </c>
      <c r="O244" s="189" t="s">
        <v>107</v>
      </c>
      <c r="P244" s="189" t="s">
        <v>111</v>
      </c>
      <c r="Q244" s="189" t="s">
        <v>112</v>
      </c>
      <c r="R244" s="189" t="s">
        <v>23</v>
      </c>
      <c r="S244" s="189" t="s">
        <v>120</v>
      </c>
      <c r="T244" s="189" t="s">
        <v>121</v>
      </c>
      <c r="U244" s="189" t="s">
        <v>122</v>
      </c>
      <c r="V244" s="189" t="s">
        <v>123</v>
      </c>
      <c r="W244" s="189" t="s">
        <v>124</v>
      </c>
      <c r="X244" s="189" t="s">
        <v>1645</v>
      </c>
      <c r="Y244" s="189" t="s">
        <v>1645</v>
      </c>
    </row>
    <row r="245" customFormat="false" ht="15" hidden="false" customHeight="true" outlineLevel="0" collapsed="false">
      <c r="A245" s="0" t="n">
        <v>244</v>
      </c>
      <c r="B245" s="191" t="n">
        <v>46086.6405792124</v>
      </c>
      <c r="C245" s="191" t="n">
        <v>46086.6531833791</v>
      </c>
      <c r="D245" s="189" t="s">
        <v>1719</v>
      </c>
      <c r="E245" s="189" t="s">
        <v>1720</v>
      </c>
      <c r="F245" s="189" t="s">
        <v>1720</v>
      </c>
      <c r="G245" s="189" t="s">
        <v>1721</v>
      </c>
      <c r="H245" s="191" t="n">
        <v>46069</v>
      </c>
      <c r="I245" s="189" t="s">
        <v>113</v>
      </c>
      <c r="J245" s="189" t="s">
        <v>128</v>
      </c>
      <c r="K245" s="189" t="s">
        <v>245</v>
      </c>
      <c r="L245" s="189" t="s">
        <v>114</v>
      </c>
      <c r="M245" s="189" t="s">
        <v>248</v>
      </c>
      <c r="N245" s="189" t="s">
        <v>757</v>
      </c>
      <c r="O245" s="189" t="s">
        <v>172</v>
      </c>
      <c r="P245" s="189" t="s">
        <v>111</v>
      </c>
      <c r="Q245" s="189" t="s">
        <v>112</v>
      </c>
      <c r="R245" s="189" t="s">
        <v>22</v>
      </c>
      <c r="S245" s="189" t="s">
        <v>152</v>
      </c>
      <c r="T245" s="189" t="s">
        <v>228</v>
      </c>
      <c r="V245" s="189" t="s">
        <v>123</v>
      </c>
      <c r="W245" s="189" t="s">
        <v>124</v>
      </c>
      <c r="X245" s="189" t="s">
        <v>271</v>
      </c>
      <c r="Y245" s="189" t="s">
        <v>271</v>
      </c>
      <c r="Z245" s="189" t="s">
        <v>2180</v>
      </c>
      <c r="AA245" s="189" t="s">
        <v>2179</v>
      </c>
      <c r="AG245" s="189" t="s">
        <v>122</v>
      </c>
    </row>
    <row r="246" customFormat="false" ht="15" hidden="false" customHeight="true" outlineLevel="0" collapsed="false">
      <c r="A246" s="0" t="n">
        <v>245</v>
      </c>
      <c r="B246" s="191" t="n">
        <v>46065.168556808</v>
      </c>
      <c r="C246" s="191" t="n">
        <v>46065.1709989376</v>
      </c>
      <c r="D246" s="189" t="s">
        <v>1723</v>
      </c>
      <c r="E246" s="189" t="s">
        <v>1724</v>
      </c>
      <c r="F246" s="189" t="s">
        <v>1724</v>
      </c>
      <c r="G246" s="189" t="s">
        <v>1725</v>
      </c>
      <c r="H246" s="191" t="n">
        <v>46056</v>
      </c>
      <c r="I246" s="189" t="s">
        <v>113</v>
      </c>
      <c r="J246" s="189" t="s">
        <v>128</v>
      </c>
      <c r="K246" s="189" t="s">
        <v>196</v>
      </c>
      <c r="L246" s="189" t="s">
        <v>431</v>
      </c>
      <c r="M246" s="189" t="s">
        <v>130</v>
      </c>
      <c r="N246" s="189" t="s">
        <v>280</v>
      </c>
      <c r="O246" s="189" t="s">
        <v>244</v>
      </c>
      <c r="P246" s="189" t="s">
        <v>111</v>
      </c>
      <c r="Q246" s="189" t="s">
        <v>112</v>
      </c>
      <c r="R246" s="189" t="s">
        <v>22</v>
      </c>
      <c r="S246" s="189" t="s">
        <v>227</v>
      </c>
      <c r="T246" s="189" t="s">
        <v>264</v>
      </c>
      <c r="U246" s="189" t="s">
        <v>1129</v>
      </c>
      <c r="V246" s="189" t="s">
        <v>123</v>
      </c>
      <c r="W246" s="189" t="s">
        <v>124</v>
      </c>
      <c r="X246" s="189" t="s">
        <v>271</v>
      </c>
      <c r="Y246" s="189" t="s">
        <v>271</v>
      </c>
      <c r="Z246" s="189" t="s">
        <v>2158</v>
      </c>
      <c r="AG246" s="189" t="s">
        <v>2163</v>
      </c>
      <c r="AH246" s="189" t="s">
        <v>2162</v>
      </c>
    </row>
    <row r="247" customFormat="false" ht="15" hidden="false" customHeight="true" outlineLevel="0" collapsed="false">
      <c r="A247" s="0" t="n">
        <v>246</v>
      </c>
      <c r="B247" s="191" t="n">
        <v>46113.5068978957</v>
      </c>
      <c r="C247" s="191" t="n">
        <v>46113.5156015994</v>
      </c>
      <c r="D247" s="189" t="s">
        <v>1728</v>
      </c>
      <c r="E247" s="189" t="s">
        <v>1729</v>
      </c>
      <c r="F247" s="189" t="s">
        <v>1729</v>
      </c>
      <c r="G247" s="189" t="s">
        <v>1730</v>
      </c>
      <c r="H247" s="191" t="n">
        <v>46093</v>
      </c>
      <c r="I247" s="189" t="s">
        <v>305</v>
      </c>
      <c r="J247" s="189" t="s">
        <v>108</v>
      </c>
      <c r="K247" s="189" t="s">
        <v>173</v>
      </c>
      <c r="L247" s="189" t="s">
        <v>233</v>
      </c>
      <c r="M247" s="189" t="s">
        <v>566</v>
      </c>
      <c r="N247" s="189" t="s">
        <v>775</v>
      </c>
      <c r="O247" s="189" t="s">
        <v>244</v>
      </c>
      <c r="P247" s="189" t="s">
        <v>111</v>
      </c>
      <c r="Q247" s="189" t="s">
        <v>112</v>
      </c>
      <c r="R247" s="189" t="s">
        <v>24</v>
      </c>
      <c r="S247" s="189" t="s">
        <v>152</v>
      </c>
      <c r="T247" s="189" t="s">
        <v>121</v>
      </c>
      <c r="U247" s="189" t="s">
        <v>122</v>
      </c>
      <c r="V247" s="189" t="s">
        <v>123</v>
      </c>
      <c r="W247" s="189" t="s">
        <v>124</v>
      </c>
      <c r="X247" s="189" t="s">
        <v>223</v>
      </c>
      <c r="Y247" s="189" t="s">
        <v>223</v>
      </c>
      <c r="Z247" s="189" t="s">
        <v>2141</v>
      </c>
      <c r="AG247" s="189" t="s">
        <v>2194</v>
      </c>
      <c r="AH247" s="189" t="s">
        <v>2150</v>
      </c>
    </row>
    <row r="248" customFormat="false" ht="15" hidden="false" customHeight="true" outlineLevel="0" collapsed="false">
      <c r="A248" s="0" t="n">
        <v>247</v>
      </c>
      <c r="B248" s="191" t="n">
        <v>46141.2790514299</v>
      </c>
      <c r="C248" s="191" t="n">
        <v>46141.2865282818</v>
      </c>
      <c r="D248" s="189" t="s">
        <v>1732</v>
      </c>
      <c r="E248" s="189" t="s">
        <v>1733</v>
      </c>
      <c r="F248" s="189" t="s">
        <v>1734</v>
      </c>
      <c r="G248" s="189" t="s">
        <v>1735</v>
      </c>
      <c r="H248" s="191" t="n">
        <v>46138</v>
      </c>
      <c r="I248" s="189" t="s">
        <v>113</v>
      </c>
      <c r="J248" s="189" t="s">
        <v>108</v>
      </c>
      <c r="K248" s="189" t="s">
        <v>1711</v>
      </c>
      <c r="L248" s="189" t="s">
        <v>110</v>
      </c>
      <c r="M248" s="189" t="s">
        <v>686</v>
      </c>
      <c r="N248" s="189" t="s">
        <v>1094</v>
      </c>
      <c r="O248" s="189" t="s">
        <v>244</v>
      </c>
      <c r="P248" s="189" t="s">
        <v>111</v>
      </c>
      <c r="Q248" s="189" t="s">
        <v>247</v>
      </c>
      <c r="R248" s="189" t="s">
        <v>25</v>
      </c>
      <c r="S248" s="189" t="s">
        <v>120</v>
      </c>
      <c r="T248" s="189" t="s">
        <v>121</v>
      </c>
      <c r="U248" s="189" t="s">
        <v>1557</v>
      </c>
      <c r="V248" s="189" t="s">
        <v>123</v>
      </c>
      <c r="W248" s="189" t="s">
        <v>124</v>
      </c>
      <c r="X248" s="189" t="s">
        <v>327</v>
      </c>
      <c r="Y248" s="189" t="s">
        <v>327</v>
      </c>
      <c r="Z248" s="189" t="s">
        <v>2125</v>
      </c>
      <c r="AG248" s="189" t="s">
        <v>2114</v>
      </c>
      <c r="AH248" s="189" t="s">
        <v>2127</v>
      </c>
    </row>
    <row r="249" customFormat="false" ht="15" hidden="false" customHeight="true" outlineLevel="0" collapsed="false">
      <c r="A249" s="0" t="n">
        <v>248</v>
      </c>
      <c r="B249" s="191" t="n">
        <v>46126.9716729835</v>
      </c>
      <c r="C249" s="191" t="n">
        <v>46126.9850178909</v>
      </c>
      <c r="D249" s="189" t="s">
        <v>1738</v>
      </c>
      <c r="E249" s="189" t="s">
        <v>1739</v>
      </c>
      <c r="F249" s="189" t="s">
        <v>1739</v>
      </c>
      <c r="G249" s="189" t="s">
        <v>1740</v>
      </c>
      <c r="H249" s="191" t="n">
        <v>46118</v>
      </c>
      <c r="I249" s="189" t="s">
        <v>305</v>
      </c>
      <c r="J249" s="189" t="s">
        <v>108</v>
      </c>
      <c r="K249" s="189" t="s">
        <v>196</v>
      </c>
      <c r="L249" s="189" t="s">
        <v>246</v>
      </c>
      <c r="M249" s="189" t="s">
        <v>258</v>
      </c>
      <c r="N249" s="189" t="s">
        <v>297</v>
      </c>
      <c r="O249" s="189" t="s">
        <v>107</v>
      </c>
      <c r="P249" s="189" t="s">
        <v>111</v>
      </c>
      <c r="Q249" s="189" t="s">
        <v>112</v>
      </c>
      <c r="R249" s="189" t="s">
        <v>25</v>
      </c>
      <c r="S249" s="189" t="s">
        <v>120</v>
      </c>
      <c r="T249" s="189" t="s">
        <v>121</v>
      </c>
      <c r="U249" s="132" t="s">
        <v>641</v>
      </c>
      <c r="V249" s="189" t="s">
        <v>123</v>
      </c>
      <c r="W249" s="189" t="s">
        <v>139</v>
      </c>
      <c r="X249" s="189" t="s">
        <v>1712</v>
      </c>
      <c r="Y249" s="189" t="s">
        <v>1712</v>
      </c>
      <c r="Z249" s="189" t="s">
        <v>2350</v>
      </c>
      <c r="AG249" s="189" t="s">
        <v>2355</v>
      </c>
      <c r="AH249" s="189" t="s">
        <v>2354</v>
      </c>
    </row>
    <row r="250" customFormat="false" ht="15" hidden="false" customHeight="true" outlineLevel="0" collapsed="false">
      <c r="A250" s="0" t="n">
        <v>249</v>
      </c>
      <c r="B250" s="191" t="n">
        <v>46199.1472808569</v>
      </c>
      <c r="C250" s="191" t="n">
        <v>46199.1618178939</v>
      </c>
      <c r="D250" s="189" t="s">
        <v>1744</v>
      </c>
      <c r="E250" s="189" t="s">
        <v>1745</v>
      </c>
      <c r="F250" s="189" t="s">
        <v>1746</v>
      </c>
      <c r="G250" s="189" t="s">
        <v>1747</v>
      </c>
      <c r="H250" s="191" t="n">
        <v>46185</v>
      </c>
      <c r="I250" s="189" t="s">
        <v>113</v>
      </c>
      <c r="J250" s="189" t="s">
        <v>108</v>
      </c>
      <c r="K250" s="189" t="s">
        <v>364</v>
      </c>
      <c r="L250" s="189" t="s">
        <v>246</v>
      </c>
      <c r="M250" s="189" t="s">
        <v>774</v>
      </c>
      <c r="N250" s="189" t="s">
        <v>422</v>
      </c>
      <c r="O250" s="189" t="s">
        <v>260</v>
      </c>
      <c r="P250" s="189" t="s">
        <v>111</v>
      </c>
      <c r="Q250" s="189" t="s">
        <v>247</v>
      </c>
      <c r="R250" s="189" t="s">
        <v>22</v>
      </c>
      <c r="S250" s="189" t="s">
        <v>152</v>
      </c>
      <c r="T250" s="189" t="s">
        <v>352</v>
      </c>
      <c r="U250" s="189" t="s">
        <v>1326</v>
      </c>
      <c r="V250" s="189" t="s">
        <v>167</v>
      </c>
      <c r="W250" s="189" t="s">
        <v>168</v>
      </c>
      <c r="X250" s="189" t="s">
        <v>271</v>
      </c>
      <c r="Y250" s="189" t="s">
        <v>271</v>
      </c>
      <c r="Z250" s="189" t="s">
        <v>2274</v>
      </c>
      <c r="AA250" s="189" t="s">
        <v>2180</v>
      </c>
      <c r="AB250" s="189" t="s">
        <v>2159</v>
      </c>
      <c r="AG250" s="189" t="s">
        <v>2163</v>
      </c>
    </row>
    <row r="251" customFormat="false" ht="15" hidden="false" customHeight="true" outlineLevel="0" collapsed="false">
      <c r="A251" s="0" t="n">
        <v>250</v>
      </c>
      <c r="B251" s="191" t="n">
        <v>46080.5175837687</v>
      </c>
      <c r="C251" s="191" t="n">
        <v>46080.5351300649</v>
      </c>
      <c r="D251" s="189" t="s">
        <v>1750</v>
      </c>
      <c r="E251" s="189" t="s">
        <v>1751</v>
      </c>
      <c r="F251" s="189" t="s">
        <v>1751</v>
      </c>
      <c r="G251" s="189" t="s">
        <v>1752</v>
      </c>
      <c r="H251" s="191" t="n">
        <v>46066</v>
      </c>
      <c r="I251" s="189" t="s">
        <v>305</v>
      </c>
      <c r="J251" s="189" t="s">
        <v>295</v>
      </c>
      <c r="K251" s="189" t="s">
        <v>143</v>
      </c>
      <c r="L251" s="189" t="s">
        <v>296</v>
      </c>
      <c r="M251" s="189" t="s">
        <v>1313</v>
      </c>
      <c r="N251" s="189" t="s">
        <v>665</v>
      </c>
      <c r="O251" s="189" t="s">
        <v>107</v>
      </c>
      <c r="P251" s="189" t="s">
        <v>211</v>
      </c>
      <c r="Q251" s="189" t="s">
        <v>112</v>
      </c>
      <c r="R251" s="189" t="s">
        <v>24</v>
      </c>
      <c r="S251" s="189" t="s">
        <v>152</v>
      </c>
      <c r="T251" s="189" t="s">
        <v>121</v>
      </c>
      <c r="U251" s="189" t="s">
        <v>122</v>
      </c>
      <c r="V251" s="189" t="s">
        <v>192</v>
      </c>
      <c r="W251" s="189" t="s">
        <v>124</v>
      </c>
      <c r="X251" s="189" t="s">
        <v>19</v>
      </c>
      <c r="Y251" s="189" t="s">
        <v>19</v>
      </c>
      <c r="AK251" s="189" t="s">
        <v>880</v>
      </c>
    </row>
    <row r="252" customFormat="false" ht="15" hidden="false" customHeight="true" outlineLevel="0" collapsed="false">
      <c r="A252" s="0" t="n">
        <v>251</v>
      </c>
      <c r="B252" s="191" t="n">
        <v>46066.1309753443</v>
      </c>
      <c r="C252" s="191" t="n">
        <v>46066.147792474</v>
      </c>
      <c r="D252" s="189" t="s">
        <v>1753</v>
      </c>
      <c r="E252" s="189" t="s">
        <v>1754</v>
      </c>
      <c r="F252" s="189" t="s">
        <v>1754</v>
      </c>
      <c r="G252" s="189" t="s">
        <v>1755</v>
      </c>
      <c r="H252" s="191" t="n">
        <v>46052</v>
      </c>
      <c r="I252" s="189" t="s">
        <v>113</v>
      </c>
      <c r="J252" s="189" t="s">
        <v>108</v>
      </c>
      <c r="K252" s="189" t="s">
        <v>257</v>
      </c>
      <c r="L252" s="189" t="s">
        <v>210</v>
      </c>
      <c r="M252" s="189" t="s">
        <v>736</v>
      </c>
      <c r="N252" s="189" t="s">
        <v>757</v>
      </c>
      <c r="O252" s="189" t="s">
        <v>244</v>
      </c>
      <c r="P252" s="189" t="s">
        <v>111</v>
      </c>
      <c r="Q252" s="189" t="s">
        <v>145</v>
      </c>
      <c r="R252" s="189" t="s">
        <v>22</v>
      </c>
      <c r="S252" s="189" t="s">
        <v>120</v>
      </c>
      <c r="T252" s="189" t="s">
        <v>180</v>
      </c>
      <c r="U252" s="189" t="s">
        <v>369</v>
      </c>
      <c r="V252" s="189" t="s">
        <v>123</v>
      </c>
      <c r="W252" s="189" t="s">
        <v>124</v>
      </c>
      <c r="X252" s="189" t="s">
        <v>176</v>
      </c>
      <c r="Y252" s="189" t="s">
        <v>176</v>
      </c>
      <c r="Z252" s="189" t="s">
        <v>2338</v>
      </c>
      <c r="AA252" s="189" t="s">
        <v>2314</v>
      </c>
      <c r="AG252" s="189" t="s">
        <v>2286</v>
      </c>
      <c r="AH252" s="189" t="s">
        <v>2250</v>
      </c>
    </row>
    <row r="253" customFormat="false" ht="15" hidden="false" customHeight="true" outlineLevel="0" collapsed="false">
      <c r="A253" s="0" t="n">
        <v>252</v>
      </c>
      <c r="B253" s="191" t="n">
        <v>46158.1187463509</v>
      </c>
      <c r="C253" s="191" t="n">
        <v>46158.136882925</v>
      </c>
      <c r="D253" s="189" t="s">
        <v>1759</v>
      </c>
      <c r="E253" s="189" t="s">
        <v>1760</v>
      </c>
      <c r="F253" s="189" t="s">
        <v>1760</v>
      </c>
      <c r="G253" s="189" t="s">
        <v>1761</v>
      </c>
      <c r="H253" s="191" t="n">
        <v>46152</v>
      </c>
      <c r="I253" s="189" t="s">
        <v>113</v>
      </c>
      <c r="J253" s="189" t="s">
        <v>295</v>
      </c>
      <c r="K253" s="189" t="s">
        <v>1762</v>
      </c>
      <c r="L253" s="189" t="s">
        <v>346</v>
      </c>
      <c r="M253" s="189" t="s">
        <v>234</v>
      </c>
      <c r="N253" s="189" t="s">
        <v>893</v>
      </c>
      <c r="O253" s="189" t="s">
        <v>781</v>
      </c>
      <c r="P253" s="189" t="s">
        <v>111</v>
      </c>
      <c r="Q253" s="189" t="s">
        <v>112</v>
      </c>
      <c r="R253" s="189" t="s">
        <v>22</v>
      </c>
      <c r="S253" s="189" t="s">
        <v>120</v>
      </c>
      <c r="T253" s="189" t="s">
        <v>352</v>
      </c>
      <c r="U253" s="189" t="s">
        <v>122</v>
      </c>
      <c r="V253" s="189" t="s">
        <v>123</v>
      </c>
      <c r="W253" s="189" t="s">
        <v>139</v>
      </c>
      <c r="X253" s="189" t="s">
        <v>298</v>
      </c>
      <c r="Y253" s="189" t="s">
        <v>298</v>
      </c>
      <c r="Z253" s="189" t="s">
        <v>2169</v>
      </c>
      <c r="AG253" s="189" t="s">
        <v>122</v>
      </c>
      <c r="AH253" s="189" t="s">
        <v>2292</v>
      </c>
    </row>
    <row r="254" customFormat="false" ht="15" hidden="false" customHeight="true" outlineLevel="0" collapsed="false">
      <c r="A254" s="0" t="n">
        <v>253</v>
      </c>
      <c r="B254" s="191" t="n">
        <v>46119.3857400541</v>
      </c>
      <c r="C254" s="191" t="n">
        <v>46119.3978812578</v>
      </c>
      <c r="D254" s="189" t="s">
        <v>1765</v>
      </c>
      <c r="E254" s="189" t="s">
        <v>1766</v>
      </c>
      <c r="F254" s="189" t="s">
        <v>1766</v>
      </c>
      <c r="G254" s="189" t="s">
        <v>1767</v>
      </c>
      <c r="H254" s="191" t="n">
        <v>46099</v>
      </c>
      <c r="I254" s="189" t="s">
        <v>113</v>
      </c>
      <c r="J254" s="189" t="s">
        <v>295</v>
      </c>
      <c r="K254" s="189" t="s">
        <v>257</v>
      </c>
      <c r="L254" s="189" t="s">
        <v>159</v>
      </c>
      <c r="M254" s="189" t="s">
        <v>144</v>
      </c>
      <c r="N254" s="189" t="s">
        <v>672</v>
      </c>
      <c r="O254" s="189" t="s">
        <v>244</v>
      </c>
      <c r="P254" s="189" t="s">
        <v>131</v>
      </c>
      <c r="Q254" s="189" t="s">
        <v>112</v>
      </c>
      <c r="R254" s="189" t="s">
        <v>22</v>
      </c>
      <c r="S254" s="189" t="s">
        <v>152</v>
      </c>
      <c r="T254" s="189" t="s">
        <v>121</v>
      </c>
      <c r="U254" s="189" t="s">
        <v>122</v>
      </c>
      <c r="V254" s="189" t="s">
        <v>167</v>
      </c>
      <c r="W254" s="189" t="s">
        <v>139</v>
      </c>
      <c r="X254" s="189" t="s">
        <v>116</v>
      </c>
      <c r="Y254" s="189" t="s">
        <v>116</v>
      </c>
      <c r="Z254" s="189" t="s">
        <v>2151</v>
      </c>
      <c r="AG254" s="189" t="s">
        <v>2184</v>
      </c>
      <c r="AH254" s="189" t="s">
        <v>2127</v>
      </c>
    </row>
    <row r="255" customFormat="false" ht="15" hidden="false" customHeight="true" outlineLevel="0" collapsed="false">
      <c r="A255" s="0" t="n">
        <v>254</v>
      </c>
      <c r="B255" s="191" t="n">
        <v>46098.0347583615</v>
      </c>
      <c r="C255" s="191" t="n">
        <v>46098.0420616023</v>
      </c>
      <c r="D255" s="189" t="s">
        <v>1768</v>
      </c>
      <c r="E255" s="189" t="s">
        <v>1769</v>
      </c>
      <c r="F255" s="189" t="s">
        <v>1769</v>
      </c>
      <c r="G255" s="189" t="s">
        <v>1770</v>
      </c>
      <c r="H255" s="191" t="n">
        <v>46089</v>
      </c>
      <c r="I255" s="189" t="s">
        <v>113</v>
      </c>
      <c r="J255" s="189" t="s">
        <v>108</v>
      </c>
      <c r="K255" s="189" t="s">
        <v>1771</v>
      </c>
      <c r="L255" s="189" t="s">
        <v>159</v>
      </c>
      <c r="M255" s="189" t="s">
        <v>612</v>
      </c>
      <c r="N255" s="189" t="s">
        <v>1028</v>
      </c>
      <c r="O255" s="189" t="s">
        <v>107</v>
      </c>
      <c r="P255" s="189" t="s">
        <v>131</v>
      </c>
      <c r="Q255" s="189" t="s">
        <v>112</v>
      </c>
      <c r="R255" s="189" t="s">
        <v>22</v>
      </c>
      <c r="S255" s="189" t="s">
        <v>120</v>
      </c>
      <c r="T255" s="189" t="s">
        <v>180</v>
      </c>
      <c r="U255" s="189" t="s">
        <v>1773</v>
      </c>
      <c r="V255" s="189" t="s">
        <v>123</v>
      </c>
      <c r="W255" s="189" t="s">
        <v>124</v>
      </c>
      <c r="X255" s="189" t="s">
        <v>381</v>
      </c>
      <c r="Y255" s="189" t="s">
        <v>381</v>
      </c>
      <c r="Z255" s="189" t="s">
        <v>2224</v>
      </c>
      <c r="AG255" s="189" t="s">
        <v>2206</v>
      </c>
    </row>
    <row r="256" customFormat="false" ht="15" hidden="false" customHeight="true" outlineLevel="0" collapsed="false">
      <c r="A256" s="0" t="n">
        <v>255</v>
      </c>
      <c r="B256" s="191" t="n">
        <v>46044.1818359671</v>
      </c>
      <c r="C256" s="191" t="n">
        <v>46044.1996600412</v>
      </c>
      <c r="D256" s="189" t="s">
        <v>1774</v>
      </c>
      <c r="E256" s="189" t="s">
        <v>1775</v>
      </c>
      <c r="F256" s="189" t="s">
        <v>1775</v>
      </c>
      <c r="G256" s="189" t="s">
        <v>1776</v>
      </c>
      <c r="H256" s="191" t="n">
        <v>46043</v>
      </c>
      <c r="I256" s="189" t="s">
        <v>113</v>
      </c>
      <c r="J256" s="189" t="s">
        <v>108</v>
      </c>
      <c r="K256" s="189" t="s">
        <v>245</v>
      </c>
      <c r="L256" s="189" t="s">
        <v>110</v>
      </c>
      <c r="M256" s="189" t="s">
        <v>543</v>
      </c>
      <c r="N256" s="189" t="s">
        <v>1323</v>
      </c>
      <c r="O256" s="189" t="s">
        <v>713</v>
      </c>
      <c r="P256" s="189" t="s">
        <v>111</v>
      </c>
      <c r="Q256" s="189" t="s">
        <v>112</v>
      </c>
      <c r="R256" s="189" t="s">
        <v>22</v>
      </c>
      <c r="S256" s="189" t="s">
        <v>120</v>
      </c>
      <c r="T256" s="189" t="s">
        <v>180</v>
      </c>
      <c r="U256" s="189" t="s">
        <v>122</v>
      </c>
      <c r="V256" s="189" t="s">
        <v>192</v>
      </c>
      <c r="W256" s="189" t="s">
        <v>124</v>
      </c>
      <c r="X256" s="189" t="s">
        <v>339</v>
      </c>
      <c r="Y256" s="189" t="s">
        <v>339</v>
      </c>
      <c r="Z256" s="189" t="s">
        <v>2212</v>
      </c>
      <c r="AG256" s="189" t="s">
        <v>2188</v>
      </c>
      <c r="AH256" s="189" t="s">
        <v>2189</v>
      </c>
    </row>
    <row r="257" customFormat="false" ht="15" hidden="false" customHeight="true" outlineLevel="0" collapsed="false">
      <c r="A257" s="0" t="n">
        <v>256</v>
      </c>
      <c r="B257" s="191" t="n">
        <v>46146.0495949425</v>
      </c>
      <c r="C257" s="191" t="n">
        <v>46146.0650810536</v>
      </c>
      <c r="D257" s="189" t="s">
        <v>1777</v>
      </c>
      <c r="E257" s="189" t="s">
        <v>1778</v>
      </c>
      <c r="F257" s="189" t="s">
        <v>1779</v>
      </c>
      <c r="G257" s="189" t="s">
        <v>1780</v>
      </c>
      <c r="H257" s="191" t="n">
        <v>46140</v>
      </c>
      <c r="I257" s="189" t="s">
        <v>113</v>
      </c>
      <c r="J257" s="189" t="s">
        <v>108</v>
      </c>
      <c r="K257" s="189" t="s">
        <v>257</v>
      </c>
      <c r="L257" s="189" t="s">
        <v>159</v>
      </c>
      <c r="M257" s="189" t="s">
        <v>1313</v>
      </c>
      <c r="N257" s="189" t="s">
        <v>1781</v>
      </c>
      <c r="O257" s="189" t="s">
        <v>713</v>
      </c>
      <c r="P257" s="189" t="s">
        <v>111</v>
      </c>
      <c r="Q257" s="189" t="s">
        <v>112</v>
      </c>
      <c r="R257" s="189" t="s">
        <v>21</v>
      </c>
      <c r="S257" s="189" t="s">
        <v>152</v>
      </c>
      <c r="T257" s="189" t="s">
        <v>180</v>
      </c>
      <c r="U257" s="189" t="s">
        <v>122</v>
      </c>
      <c r="V257" s="189" t="s">
        <v>192</v>
      </c>
      <c r="W257" s="189" t="s">
        <v>124</v>
      </c>
      <c r="X257" s="189" t="s">
        <v>348</v>
      </c>
      <c r="Y257" s="189" t="s">
        <v>348</v>
      </c>
      <c r="Z257" s="189" t="s">
        <v>2356</v>
      </c>
      <c r="AA257" s="189" t="s">
        <v>2208</v>
      </c>
      <c r="AG257" s="189" t="s">
        <v>2308</v>
      </c>
    </row>
    <row r="258" customFormat="false" ht="15" hidden="false" customHeight="true" outlineLevel="0" collapsed="false">
      <c r="A258" s="0" t="n">
        <v>257</v>
      </c>
      <c r="B258" s="191" t="n">
        <v>46144.2239287234</v>
      </c>
      <c r="C258" s="191" t="n">
        <v>46144.2385699271</v>
      </c>
      <c r="D258" s="189" t="s">
        <v>1784</v>
      </c>
      <c r="E258" s="189" t="s">
        <v>1785</v>
      </c>
      <c r="F258" s="189" t="s">
        <v>1785</v>
      </c>
      <c r="G258" s="189" t="s">
        <v>1786</v>
      </c>
      <c r="H258" s="191" t="n">
        <v>46138</v>
      </c>
      <c r="I258" s="189" t="s">
        <v>113</v>
      </c>
      <c r="J258" s="189" t="s">
        <v>295</v>
      </c>
      <c r="K258" s="189" t="s">
        <v>1787</v>
      </c>
      <c r="L258" s="189" t="s">
        <v>110</v>
      </c>
      <c r="M258" s="189" t="s">
        <v>160</v>
      </c>
      <c r="N258" s="189" t="s">
        <v>469</v>
      </c>
      <c r="O258" s="189" t="s">
        <v>405</v>
      </c>
      <c r="P258" s="189" t="s">
        <v>111</v>
      </c>
      <c r="Q258" s="189" t="s">
        <v>112</v>
      </c>
      <c r="R258" s="189" t="s">
        <v>22</v>
      </c>
      <c r="S258" s="189" t="s">
        <v>152</v>
      </c>
      <c r="T258" s="189" t="s">
        <v>121</v>
      </c>
      <c r="V258" s="189" t="s">
        <v>192</v>
      </c>
      <c r="W258" s="189" t="s">
        <v>124</v>
      </c>
      <c r="X258" s="189" t="s">
        <v>271</v>
      </c>
      <c r="Y258" s="189" t="s">
        <v>271</v>
      </c>
      <c r="Z258" s="189" t="s">
        <v>2180</v>
      </c>
      <c r="AA258" s="189" t="s">
        <v>2179</v>
      </c>
      <c r="AB258" s="189" t="s">
        <v>2274</v>
      </c>
      <c r="AG258" s="189" t="s">
        <v>2162</v>
      </c>
      <c r="AH258" s="189" t="s">
        <v>2163</v>
      </c>
    </row>
    <row r="259" customFormat="false" ht="15" hidden="false" customHeight="true" outlineLevel="0" collapsed="false">
      <c r="A259" s="0" t="n">
        <v>258</v>
      </c>
      <c r="B259" s="191" t="n">
        <v>46213.1032801501</v>
      </c>
      <c r="C259" s="191" t="n">
        <v>46213.1222037612</v>
      </c>
      <c r="D259" s="189" t="s">
        <v>1789</v>
      </c>
      <c r="E259" s="189" t="s">
        <v>1790</v>
      </c>
      <c r="F259" s="189" t="s">
        <v>1790</v>
      </c>
      <c r="G259" s="189" t="s">
        <v>1791</v>
      </c>
      <c r="H259" s="191" t="n">
        <v>46208</v>
      </c>
      <c r="I259" s="189" t="s">
        <v>113</v>
      </c>
      <c r="J259" s="189" t="s">
        <v>108</v>
      </c>
      <c r="K259" s="189" t="s">
        <v>1792</v>
      </c>
      <c r="L259" s="189" t="s">
        <v>491</v>
      </c>
      <c r="M259" s="189" t="s">
        <v>797</v>
      </c>
      <c r="N259" s="189" t="s">
        <v>1622</v>
      </c>
      <c r="O259" s="189" t="s">
        <v>278</v>
      </c>
      <c r="P259" s="189" t="s">
        <v>111</v>
      </c>
      <c r="Q259" s="189" t="s">
        <v>112</v>
      </c>
      <c r="R259" s="189" t="s">
        <v>22</v>
      </c>
      <c r="S259" s="189" t="s">
        <v>120</v>
      </c>
      <c r="T259" s="189" t="s">
        <v>352</v>
      </c>
      <c r="U259" s="189" t="s">
        <v>122</v>
      </c>
      <c r="V259" s="189" t="s">
        <v>123</v>
      </c>
      <c r="W259" s="189" t="s">
        <v>124</v>
      </c>
      <c r="X259" s="189" t="s">
        <v>271</v>
      </c>
      <c r="Y259" s="189" t="s">
        <v>271</v>
      </c>
      <c r="Z259" s="189" t="s">
        <v>2159</v>
      </c>
      <c r="AG259" s="189" t="s">
        <v>2162</v>
      </c>
      <c r="AH259" s="189" t="s">
        <v>122</v>
      </c>
    </row>
    <row r="260" customFormat="false" ht="15" hidden="false" customHeight="true" outlineLevel="0" collapsed="false">
      <c r="A260" s="0" t="n">
        <v>259</v>
      </c>
      <c r="B260" s="191" t="n">
        <v>46162.953377362</v>
      </c>
      <c r="C260" s="191" t="n">
        <v>46162.9708194916</v>
      </c>
      <c r="D260" s="189" t="s">
        <v>1793</v>
      </c>
      <c r="E260" s="189" t="s">
        <v>1794</v>
      </c>
      <c r="F260" s="189" t="s">
        <v>1794</v>
      </c>
      <c r="G260" s="189" t="s">
        <v>1795</v>
      </c>
      <c r="H260" s="191" t="n">
        <v>46159</v>
      </c>
      <c r="I260" s="189" t="s">
        <v>1333</v>
      </c>
      <c r="J260" s="189" t="s">
        <v>108</v>
      </c>
      <c r="K260" s="189" t="s">
        <v>257</v>
      </c>
      <c r="L260" s="189" t="s">
        <v>491</v>
      </c>
      <c r="M260" s="189" t="s">
        <v>515</v>
      </c>
      <c r="N260" s="189" t="s">
        <v>270</v>
      </c>
      <c r="O260" s="189" t="s">
        <v>172</v>
      </c>
      <c r="P260" s="189" t="s">
        <v>111</v>
      </c>
      <c r="Q260" s="189" t="s">
        <v>247</v>
      </c>
      <c r="R260" s="189" t="s">
        <v>24</v>
      </c>
      <c r="S260" s="189" t="s">
        <v>120</v>
      </c>
      <c r="T260" s="189" t="s">
        <v>121</v>
      </c>
      <c r="U260" s="189" t="s">
        <v>122</v>
      </c>
      <c r="V260" s="189" t="s">
        <v>167</v>
      </c>
      <c r="W260" s="189" t="s">
        <v>168</v>
      </c>
      <c r="X260" s="189" t="s">
        <v>260</v>
      </c>
      <c r="Y260" s="189" t="s">
        <v>260</v>
      </c>
      <c r="Z260" s="189" t="s">
        <v>2303</v>
      </c>
      <c r="AG260" s="189" t="s">
        <v>606</v>
      </c>
    </row>
    <row r="261" customFormat="false" ht="15" hidden="false" customHeight="true" outlineLevel="0" collapsed="false">
      <c r="A261" s="0" t="n">
        <v>260</v>
      </c>
      <c r="B261" s="191" t="n">
        <v>46101.851207662</v>
      </c>
      <c r="C261" s="191" t="n">
        <v>46101.8561150694</v>
      </c>
      <c r="D261" s="189" t="s">
        <v>1797</v>
      </c>
      <c r="E261" s="189" t="s">
        <v>1798</v>
      </c>
      <c r="F261" s="189" t="s">
        <v>1798</v>
      </c>
      <c r="G261" s="189" t="s">
        <v>1799</v>
      </c>
      <c r="H261" s="191" t="n">
        <v>46081</v>
      </c>
      <c r="I261" s="189" t="s">
        <v>325</v>
      </c>
      <c r="J261" s="189" t="s">
        <v>128</v>
      </c>
      <c r="K261" s="189" t="s">
        <v>196</v>
      </c>
      <c r="L261" s="189" t="s">
        <v>286</v>
      </c>
      <c r="M261" s="189" t="s">
        <v>515</v>
      </c>
      <c r="N261" s="189" t="s">
        <v>407</v>
      </c>
      <c r="O261" s="189" t="s">
        <v>278</v>
      </c>
      <c r="P261" s="189" t="s">
        <v>111</v>
      </c>
      <c r="Q261" s="189" t="s">
        <v>145</v>
      </c>
      <c r="R261" s="189" t="s">
        <v>22</v>
      </c>
      <c r="S261" s="189" t="s">
        <v>120</v>
      </c>
      <c r="T261" s="189" t="s">
        <v>121</v>
      </c>
      <c r="V261" s="189" t="s">
        <v>167</v>
      </c>
      <c r="W261" s="189" t="s">
        <v>124</v>
      </c>
      <c r="X261" s="189" t="s">
        <v>339</v>
      </c>
      <c r="Y261" s="189" t="s">
        <v>339</v>
      </c>
      <c r="Z261" s="189" t="s">
        <v>2212</v>
      </c>
      <c r="AA261" s="189" t="s">
        <v>2213</v>
      </c>
      <c r="AB261" s="189" t="s">
        <v>2242</v>
      </c>
      <c r="AG261" s="189" t="s">
        <v>122</v>
      </c>
      <c r="AH261" s="189" t="s">
        <v>2188</v>
      </c>
    </row>
    <row r="262" customFormat="false" ht="15" hidden="false" customHeight="true" outlineLevel="0" collapsed="false">
      <c r="A262" s="0" t="n">
        <v>261</v>
      </c>
      <c r="B262" s="191" t="n">
        <v>46175.1535770994</v>
      </c>
      <c r="C262" s="191" t="n">
        <v>46175.1605215438</v>
      </c>
      <c r="D262" s="189" t="s">
        <v>1802</v>
      </c>
      <c r="E262" s="189" t="s">
        <v>1803</v>
      </c>
      <c r="F262" s="189" t="s">
        <v>1803</v>
      </c>
      <c r="G262" s="189" t="s">
        <v>1804</v>
      </c>
      <c r="H262" s="191" t="n">
        <v>46162</v>
      </c>
      <c r="I262" s="189" t="s">
        <v>113</v>
      </c>
      <c r="J262" s="189" t="s">
        <v>108</v>
      </c>
      <c r="K262" s="189" t="s">
        <v>257</v>
      </c>
      <c r="L262" s="189" t="s">
        <v>346</v>
      </c>
      <c r="M262" s="189" t="s">
        <v>130</v>
      </c>
      <c r="N262" s="189" t="s">
        <v>606</v>
      </c>
      <c r="O262" s="189" t="s">
        <v>157</v>
      </c>
      <c r="P262" s="189" t="s">
        <v>111</v>
      </c>
      <c r="Q262" s="189" t="s">
        <v>112</v>
      </c>
      <c r="R262" s="189" t="s">
        <v>22</v>
      </c>
      <c r="S262" s="189" t="s">
        <v>152</v>
      </c>
      <c r="T262" s="189" t="s">
        <v>121</v>
      </c>
      <c r="V262" s="189" t="s">
        <v>123</v>
      </c>
      <c r="W262" s="189" t="s">
        <v>124</v>
      </c>
      <c r="X262" s="189" t="s">
        <v>135</v>
      </c>
      <c r="Y262" s="189" t="s">
        <v>135</v>
      </c>
      <c r="Z262" s="189" t="s">
        <v>2245</v>
      </c>
      <c r="AA262" s="189" t="s">
        <v>2246</v>
      </c>
      <c r="AG262" s="189" t="s">
        <v>122</v>
      </c>
      <c r="AH262" s="189" t="s">
        <v>2256</v>
      </c>
    </row>
    <row r="263" customFormat="false" ht="15" hidden="false" customHeight="true" outlineLevel="0" collapsed="false">
      <c r="A263" s="0" t="n">
        <v>262</v>
      </c>
      <c r="B263" s="191" t="n">
        <v>46093.973420513</v>
      </c>
      <c r="C263" s="191" t="n">
        <v>46093.9866959759</v>
      </c>
      <c r="D263" s="189" t="s">
        <v>1808</v>
      </c>
      <c r="E263" s="189" t="s">
        <v>1809</v>
      </c>
      <c r="F263" s="189" t="s">
        <v>1809</v>
      </c>
      <c r="G263" s="189" t="s">
        <v>1810</v>
      </c>
      <c r="H263" s="191" t="n">
        <v>46091</v>
      </c>
      <c r="I263" s="189" t="s">
        <v>113</v>
      </c>
      <c r="J263" s="189" t="s">
        <v>128</v>
      </c>
      <c r="K263" s="189" t="s">
        <v>1811</v>
      </c>
      <c r="L263" s="189" t="s">
        <v>110</v>
      </c>
      <c r="M263" s="189" t="s">
        <v>594</v>
      </c>
      <c r="N263" s="189" t="s">
        <v>905</v>
      </c>
      <c r="O263" s="189" t="s">
        <v>278</v>
      </c>
      <c r="P263" s="189" t="s">
        <v>111</v>
      </c>
      <c r="Q263" s="189" t="s">
        <v>112</v>
      </c>
      <c r="R263" s="189" t="s">
        <v>22</v>
      </c>
      <c r="S263" s="189" t="s">
        <v>152</v>
      </c>
      <c r="T263" s="189" t="s">
        <v>121</v>
      </c>
      <c r="U263" s="189" t="s">
        <v>1813</v>
      </c>
      <c r="V263" s="189" t="s">
        <v>167</v>
      </c>
      <c r="W263" s="189" t="s">
        <v>168</v>
      </c>
      <c r="X263" s="189" t="s">
        <v>715</v>
      </c>
      <c r="Y263" s="189" t="s">
        <v>715</v>
      </c>
      <c r="Z263" s="189" t="s">
        <v>2268</v>
      </c>
      <c r="AG263" s="189" t="s">
        <v>2298</v>
      </c>
      <c r="AH263" s="189" t="s">
        <v>2273</v>
      </c>
    </row>
    <row r="264" customFormat="false" ht="15" hidden="false" customHeight="true" outlineLevel="0" collapsed="false">
      <c r="A264" s="0" t="n">
        <v>263</v>
      </c>
      <c r="B264" s="191" t="n">
        <v>46048.6740066379</v>
      </c>
      <c r="C264" s="191" t="n">
        <v>46048.6789256194</v>
      </c>
      <c r="D264" s="189" t="s">
        <v>1814</v>
      </c>
      <c r="E264" s="189" t="s">
        <v>1815</v>
      </c>
      <c r="F264" s="189" t="s">
        <v>1815</v>
      </c>
      <c r="G264" s="189" t="s">
        <v>1816</v>
      </c>
      <c r="H264" s="191" t="n">
        <v>46042</v>
      </c>
      <c r="I264" s="189" t="s">
        <v>132</v>
      </c>
      <c r="J264" s="189" t="s">
        <v>108</v>
      </c>
      <c r="K264" s="189" t="s">
        <v>196</v>
      </c>
      <c r="L264" s="189" t="s">
        <v>296</v>
      </c>
      <c r="M264" s="189" t="s">
        <v>1074</v>
      </c>
      <c r="N264" s="189" t="s">
        <v>552</v>
      </c>
      <c r="O264" s="189" t="s">
        <v>172</v>
      </c>
      <c r="P264" s="189" t="s">
        <v>111</v>
      </c>
      <c r="Q264" s="189" t="s">
        <v>112</v>
      </c>
      <c r="R264" s="189" t="s">
        <v>24</v>
      </c>
      <c r="S264" s="189" t="s">
        <v>152</v>
      </c>
      <c r="T264" s="189" t="s">
        <v>352</v>
      </c>
      <c r="U264" s="189" t="s">
        <v>122</v>
      </c>
      <c r="V264" s="189" t="s">
        <v>123</v>
      </c>
      <c r="W264" s="189" t="s">
        <v>124</v>
      </c>
      <c r="X264" s="189" t="s">
        <v>214</v>
      </c>
      <c r="Y264" s="189" t="s">
        <v>214</v>
      </c>
      <c r="Z264" s="189" t="s">
        <v>2139</v>
      </c>
      <c r="AG264" s="189" t="s">
        <v>2114</v>
      </c>
      <c r="AH264" s="189" t="s">
        <v>2184</v>
      </c>
    </row>
    <row r="265" customFormat="false" ht="15" hidden="false" customHeight="true" outlineLevel="0" collapsed="false">
      <c r="A265" s="0" t="n">
        <v>264</v>
      </c>
      <c r="B265" s="191" t="n">
        <v>46210.422230473</v>
      </c>
      <c r="C265" s="191" t="n">
        <v>46210.4399851026</v>
      </c>
      <c r="D265" s="189" t="s">
        <v>1818</v>
      </c>
      <c r="E265" s="189" t="s">
        <v>1819</v>
      </c>
      <c r="F265" s="189" t="s">
        <v>1819</v>
      </c>
      <c r="G265" s="189" t="s">
        <v>1820</v>
      </c>
      <c r="H265" s="191" t="n">
        <v>46192</v>
      </c>
      <c r="I265" s="189" t="s">
        <v>305</v>
      </c>
      <c r="J265" s="189" t="s">
        <v>295</v>
      </c>
      <c r="K265" s="189" t="s">
        <v>364</v>
      </c>
      <c r="L265" s="189" t="s">
        <v>144</v>
      </c>
      <c r="M265" s="189" t="s">
        <v>133</v>
      </c>
      <c r="N265" s="189" t="s">
        <v>1441</v>
      </c>
      <c r="O265" s="189" t="s">
        <v>107</v>
      </c>
      <c r="P265" s="189" t="s">
        <v>111</v>
      </c>
      <c r="Q265" s="189" t="s">
        <v>145</v>
      </c>
      <c r="R265" s="189" t="s">
        <v>25</v>
      </c>
      <c r="S265" s="189" t="s">
        <v>152</v>
      </c>
      <c r="T265" s="189" t="s">
        <v>121</v>
      </c>
      <c r="U265" s="189" t="s">
        <v>1821</v>
      </c>
      <c r="V265" s="189" t="s">
        <v>123</v>
      </c>
      <c r="W265" s="189" t="s">
        <v>124</v>
      </c>
      <c r="X265" s="189" t="s">
        <v>327</v>
      </c>
      <c r="Y265" s="189" t="s">
        <v>327</v>
      </c>
      <c r="Z265" s="189" t="s">
        <v>2125</v>
      </c>
      <c r="AA265" s="189" t="s">
        <v>2139</v>
      </c>
      <c r="AG265" s="189" t="s">
        <v>2152</v>
      </c>
    </row>
    <row r="266" customFormat="false" ht="15" hidden="false" customHeight="true" outlineLevel="0" collapsed="false">
      <c r="A266" s="0" t="n">
        <v>265</v>
      </c>
      <c r="B266" s="191" t="n">
        <v>46090.3031499801</v>
      </c>
      <c r="C266" s="191" t="n">
        <v>46090.3051638689</v>
      </c>
      <c r="D266" s="189" t="s">
        <v>1822</v>
      </c>
      <c r="E266" s="189" t="s">
        <v>1823</v>
      </c>
      <c r="F266" s="189" t="s">
        <v>1823</v>
      </c>
      <c r="G266" s="189" t="s">
        <v>1824</v>
      </c>
      <c r="H266" s="191" t="n">
        <v>46078</v>
      </c>
      <c r="I266" s="189" t="s">
        <v>113</v>
      </c>
      <c r="J266" s="189" t="s">
        <v>108</v>
      </c>
      <c r="K266" s="189" t="s">
        <v>462</v>
      </c>
      <c r="L266" s="189" t="s">
        <v>296</v>
      </c>
      <c r="M266" s="189" t="s">
        <v>406</v>
      </c>
      <c r="N266" s="189" t="s">
        <v>701</v>
      </c>
      <c r="O266" s="189" t="s">
        <v>107</v>
      </c>
      <c r="P266" s="189" t="s">
        <v>111</v>
      </c>
      <c r="Q266" s="189" t="s">
        <v>112</v>
      </c>
      <c r="R266" s="189" t="s">
        <v>22</v>
      </c>
      <c r="S266" s="189" t="s">
        <v>120</v>
      </c>
      <c r="T266" s="189" t="s">
        <v>121</v>
      </c>
      <c r="U266" s="189" t="s">
        <v>1641</v>
      </c>
      <c r="V266" s="189" t="s">
        <v>192</v>
      </c>
      <c r="W266" s="189" t="s">
        <v>124</v>
      </c>
      <c r="X266" s="189" t="s">
        <v>148</v>
      </c>
      <c r="Y266" s="189" t="s">
        <v>148</v>
      </c>
      <c r="Z266" s="189" t="s">
        <v>2120</v>
      </c>
      <c r="AG266" s="189" t="s">
        <v>2138</v>
      </c>
      <c r="AH266" s="189" t="s">
        <v>2123</v>
      </c>
    </row>
    <row r="267" customFormat="false" ht="15" hidden="false" customHeight="true" outlineLevel="0" collapsed="false">
      <c r="A267" s="0" t="n">
        <v>266</v>
      </c>
      <c r="B267" s="191" t="n">
        <v>46156.1079092159</v>
      </c>
      <c r="C267" s="191" t="n">
        <v>46156.1201661604</v>
      </c>
      <c r="D267" s="189" t="s">
        <v>1827</v>
      </c>
      <c r="E267" s="189" t="s">
        <v>1828</v>
      </c>
      <c r="F267" s="189" t="s">
        <v>1828</v>
      </c>
      <c r="G267" s="189" t="s">
        <v>1829</v>
      </c>
      <c r="H267" s="191" t="n">
        <v>46152</v>
      </c>
      <c r="I267" s="189" t="s">
        <v>113</v>
      </c>
      <c r="J267" s="189" t="s">
        <v>295</v>
      </c>
      <c r="K267" s="189" t="s">
        <v>143</v>
      </c>
      <c r="L267" s="189" t="s">
        <v>233</v>
      </c>
      <c r="M267" s="189" t="s">
        <v>160</v>
      </c>
      <c r="N267" s="189" t="s">
        <v>1628</v>
      </c>
      <c r="O267" s="189" t="s">
        <v>172</v>
      </c>
      <c r="P267" s="189" t="s">
        <v>111</v>
      </c>
      <c r="Q267" s="189" t="s">
        <v>112</v>
      </c>
      <c r="R267" s="189" t="s">
        <v>21</v>
      </c>
      <c r="S267" s="189" t="s">
        <v>152</v>
      </c>
      <c r="T267" s="189" t="s">
        <v>264</v>
      </c>
      <c r="U267" s="189" t="s">
        <v>1063</v>
      </c>
      <c r="V267" s="189" t="s">
        <v>123</v>
      </c>
      <c r="W267" s="189" t="s">
        <v>124</v>
      </c>
      <c r="X267" s="189" t="s">
        <v>1830</v>
      </c>
      <c r="Y267" s="189" t="s">
        <v>1830</v>
      </c>
      <c r="Z267" s="189" t="s">
        <v>2357</v>
      </c>
      <c r="AA267" s="189" t="s">
        <v>2358</v>
      </c>
      <c r="AG267" s="189" t="s">
        <v>2361</v>
      </c>
    </row>
    <row r="268" customFormat="false" ht="15" hidden="false" customHeight="true" outlineLevel="0" collapsed="false">
      <c r="A268" s="0" t="n">
        <v>267</v>
      </c>
      <c r="B268" s="191" t="n">
        <v>46099.8391280341</v>
      </c>
      <c r="C268" s="191" t="n">
        <v>46099.8415470156</v>
      </c>
      <c r="D268" s="189" t="s">
        <v>1834</v>
      </c>
      <c r="E268" s="189" t="s">
        <v>1835</v>
      </c>
      <c r="F268" s="189" t="s">
        <v>1835</v>
      </c>
      <c r="G268" s="189" t="s">
        <v>1836</v>
      </c>
      <c r="H268" s="191" t="n">
        <v>46094</v>
      </c>
      <c r="I268" s="189" t="s">
        <v>113</v>
      </c>
      <c r="J268" s="189" t="s">
        <v>108</v>
      </c>
      <c r="K268" s="189" t="s">
        <v>158</v>
      </c>
      <c r="L268" s="189" t="s">
        <v>110</v>
      </c>
      <c r="M268" s="189" t="s">
        <v>973</v>
      </c>
      <c r="N268" s="189" t="s">
        <v>701</v>
      </c>
      <c r="O268" s="189" t="s">
        <v>107</v>
      </c>
      <c r="P268" s="189" t="s">
        <v>111</v>
      </c>
      <c r="Q268" s="189" t="s">
        <v>145</v>
      </c>
      <c r="R268" s="189" t="s">
        <v>25</v>
      </c>
      <c r="S268" s="189" t="s">
        <v>152</v>
      </c>
      <c r="T268" s="189" t="s">
        <v>121</v>
      </c>
      <c r="V268" s="189" t="s">
        <v>192</v>
      </c>
      <c r="W268" s="189" t="s">
        <v>124</v>
      </c>
      <c r="X268" s="189" t="s">
        <v>1712</v>
      </c>
      <c r="Y268" s="189" t="s">
        <v>1712</v>
      </c>
      <c r="Z268" s="189" t="s">
        <v>2351</v>
      </c>
      <c r="AG268" s="189" t="s">
        <v>2355</v>
      </c>
      <c r="AH268" s="189" t="s">
        <v>2354</v>
      </c>
    </row>
    <row r="269" customFormat="false" ht="15" hidden="false" customHeight="true" outlineLevel="0" collapsed="false">
      <c r="A269" s="0" t="n">
        <v>268</v>
      </c>
      <c r="B269" s="191" t="n">
        <v>46206.7666760793</v>
      </c>
      <c r="C269" s="191" t="n">
        <v>46206.7726714496</v>
      </c>
      <c r="D269" s="189" t="s">
        <v>1839</v>
      </c>
      <c r="E269" s="189" t="s">
        <v>1840</v>
      </c>
      <c r="F269" s="189" t="s">
        <v>1841</v>
      </c>
      <c r="G269" s="189" t="s">
        <v>1842</v>
      </c>
      <c r="H269" s="191" t="n">
        <v>46198</v>
      </c>
      <c r="I269" s="189" t="s">
        <v>113</v>
      </c>
      <c r="J269" s="189" t="s">
        <v>128</v>
      </c>
      <c r="K269" s="189" t="s">
        <v>196</v>
      </c>
      <c r="L269" s="189" t="s">
        <v>389</v>
      </c>
      <c r="M269" s="189" t="s">
        <v>1380</v>
      </c>
      <c r="N269" s="189" t="s">
        <v>1224</v>
      </c>
      <c r="O269" s="189" t="s">
        <v>107</v>
      </c>
      <c r="P269" s="189" t="s">
        <v>111</v>
      </c>
      <c r="Q269" s="189" t="s">
        <v>112</v>
      </c>
      <c r="R269" s="189" t="s">
        <v>22</v>
      </c>
      <c r="S269" s="189" t="s">
        <v>152</v>
      </c>
      <c r="T269" s="189" t="s">
        <v>121</v>
      </c>
      <c r="V269" s="189" t="s">
        <v>192</v>
      </c>
      <c r="W269" s="189" t="s">
        <v>124</v>
      </c>
      <c r="X269" s="189" t="s">
        <v>715</v>
      </c>
      <c r="Y269" s="189" t="s">
        <v>715</v>
      </c>
      <c r="Z269" s="189" t="s">
        <v>2300</v>
      </c>
      <c r="AG269" s="189" t="s">
        <v>2272</v>
      </c>
    </row>
    <row r="270" customFormat="false" ht="15" hidden="false" customHeight="true" outlineLevel="0" collapsed="false">
      <c r="A270" s="0" t="n">
        <v>269</v>
      </c>
      <c r="B270" s="191" t="n">
        <v>46087.7862382829</v>
      </c>
      <c r="C270" s="191" t="n">
        <v>46087.788437357</v>
      </c>
      <c r="D270" s="189" t="s">
        <v>1845</v>
      </c>
      <c r="E270" s="189" t="s">
        <v>1846</v>
      </c>
      <c r="F270" s="189" t="s">
        <v>1846</v>
      </c>
      <c r="G270" s="189" t="s">
        <v>1847</v>
      </c>
      <c r="H270" s="191" t="n">
        <v>46073</v>
      </c>
      <c r="I270" s="189" t="s">
        <v>113</v>
      </c>
      <c r="J270" s="189" t="s">
        <v>295</v>
      </c>
      <c r="K270" s="189" t="s">
        <v>462</v>
      </c>
      <c r="L270" s="189" t="s">
        <v>210</v>
      </c>
      <c r="M270" s="189" t="s">
        <v>686</v>
      </c>
      <c r="N270" s="189" t="s">
        <v>552</v>
      </c>
      <c r="O270" s="189" t="s">
        <v>244</v>
      </c>
      <c r="P270" s="189" t="s">
        <v>111</v>
      </c>
      <c r="Q270" s="189" t="s">
        <v>112</v>
      </c>
      <c r="R270" s="189" t="s">
        <v>22</v>
      </c>
      <c r="S270" s="189" t="s">
        <v>152</v>
      </c>
      <c r="T270" s="189" t="s">
        <v>400</v>
      </c>
      <c r="V270" s="189" t="s">
        <v>192</v>
      </c>
      <c r="W270" s="189" t="s">
        <v>124</v>
      </c>
      <c r="X270" s="189" t="s">
        <v>176</v>
      </c>
      <c r="Y270" s="189" t="s">
        <v>176</v>
      </c>
      <c r="Z270" s="189" t="s">
        <v>2130</v>
      </c>
      <c r="AG270" s="189" t="s">
        <v>2128</v>
      </c>
    </row>
    <row r="271" customFormat="false" ht="15" hidden="false" customHeight="true" outlineLevel="0" collapsed="false">
      <c r="A271" s="0" t="n">
        <v>270</v>
      </c>
      <c r="B271" s="191" t="n">
        <v>46186.2243346462</v>
      </c>
      <c r="C271" s="191" t="n">
        <v>46186.2296934425</v>
      </c>
      <c r="D271" s="189" t="s">
        <v>1850</v>
      </c>
      <c r="E271" s="189" t="s">
        <v>1851</v>
      </c>
      <c r="F271" s="189" t="s">
        <v>1851</v>
      </c>
      <c r="G271" s="189" t="s">
        <v>1852</v>
      </c>
      <c r="H271" s="191" t="n">
        <v>46173</v>
      </c>
      <c r="I271" s="189" t="s">
        <v>113</v>
      </c>
      <c r="J271" s="189" t="s">
        <v>295</v>
      </c>
      <c r="K271" s="189" t="s">
        <v>143</v>
      </c>
      <c r="L271" s="189" t="s">
        <v>286</v>
      </c>
      <c r="M271" s="189" t="s">
        <v>114</v>
      </c>
      <c r="N271" s="189" t="s">
        <v>625</v>
      </c>
      <c r="O271" s="189" t="s">
        <v>244</v>
      </c>
      <c r="P271" s="189" t="s">
        <v>211</v>
      </c>
      <c r="Q271" s="189" t="s">
        <v>112</v>
      </c>
      <c r="R271" s="189" t="s">
        <v>21</v>
      </c>
      <c r="S271" s="189" t="s">
        <v>152</v>
      </c>
      <c r="T271" s="189" t="s">
        <v>180</v>
      </c>
      <c r="U271" s="189" t="s">
        <v>122</v>
      </c>
      <c r="V271" s="189" t="s">
        <v>123</v>
      </c>
      <c r="W271" s="189" t="s">
        <v>168</v>
      </c>
      <c r="X271" s="189" t="s">
        <v>250</v>
      </c>
      <c r="Y271" s="189" t="s">
        <v>250</v>
      </c>
      <c r="Z271" s="189" t="s">
        <v>2125</v>
      </c>
      <c r="AG271" s="189" t="s">
        <v>2114</v>
      </c>
      <c r="AH271" s="189" t="s">
        <v>2127</v>
      </c>
    </row>
    <row r="272" customFormat="false" ht="15" hidden="false" customHeight="true" outlineLevel="0" collapsed="false">
      <c r="A272" s="0" t="n">
        <v>271</v>
      </c>
      <c r="B272" s="191" t="n">
        <v>46142.8076843133</v>
      </c>
      <c r="C272" s="191" t="n">
        <v>46142.8114806096</v>
      </c>
      <c r="D272" s="189" t="s">
        <v>1853</v>
      </c>
      <c r="E272" s="189" t="s">
        <v>1854</v>
      </c>
      <c r="F272" s="189" t="s">
        <v>1854</v>
      </c>
      <c r="G272" s="189" t="s">
        <v>1855</v>
      </c>
      <c r="H272" s="191" t="n">
        <v>46124</v>
      </c>
      <c r="I272" s="189" t="s">
        <v>305</v>
      </c>
      <c r="J272" s="189" t="s">
        <v>128</v>
      </c>
      <c r="K272" s="189" t="s">
        <v>245</v>
      </c>
      <c r="L272" s="189" t="s">
        <v>431</v>
      </c>
      <c r="M272" s="189" t="s">
        <v>391</v>
      </c>
      <c r="N272" s="189" t="s">
        <v>280</v>
      </c>
      <c r="O272" s="189" t="s">
        <v>107</v>
      </c>
      <c r="P272" s="189" t="s">
        <v>111</v>
      </c>
      <c r="Q272" s="189" t="s">
        <v>112</v>
      </c>
      <c r="R272" s="189" t="s">
        <v>22</v>
      </c>
      <c r="S272" s="189" t="s">
        <v>152</v>
      </c>
      <c r="T272" s="189" t="s">
        <v>352</v>
      </c>
      <c r="V272" s="189" t="s">
        <v>123</v>
      </c>
      <c r="W272" s="189" t="s">
        <v>124</v>
      </c>
      <c r="X272" s="189" t="s">
        <v>271</v>
      </c>
      <c r="Y272" s="189" t="s">
        <v>271</v>
      </c>
      <c r="Z272" s="189" t="s">
        <v>2158</v>
      </c>
      <c r="AG272" s="189" t="s">
        <v>2162</v>
      </c>
    </row>
    <row r="273" customFormat="false" ht="15" hidden="false" customHeight="true" outlineLevel="0" collapsed="false">
      <c r="A273" s="0" t="n">
        <v>272</v>
      </c>
      <c r="B273" s="191" t="n">
        <v>46185.5353636358</v>
      </c>
      <c r="C273" s="191" t="n">
        <v>46185.5415326173</v>
      </c>
      <c r="D273" s="189" t="s">
        <v>1856</v>
      </c>
      <c r="E273" s="189" t="s">
        <v>1857</v>
      </c>
      <c r="F273" s="189" t="s">
        <v>1857</v>
      </c>
      <c r="G273" s="189" t="s">
        <v>1858</v>
      </c>
      <c r="H273" s="191" t="n">
        <v>46165</v>
      </c>
      <c r="I273" s="189" t="s">
        <v>325</v>
      </c>
      <c r="J273" s="189" t="s">
        <v>128</v>
      </c>
      <c r="K273" s="189" t="s">
        <v>196</v>
      </c>
      <c r="L273" s="189" t="s">
        <v>144</v>
      </c>
      <c r="M273" s="189" t="s">
        <v>146</v>
      </c>
      <c r="N273" s="189" t="s">
        <v>606</v>
      </c>
      <c r="O273" s="189" t="s">
        <v>107</v>
      </c>
      <c r="P273" s="189" t="s">
        <v>111</v>
      </c>
      <c r="Q273" s="189" t="s">
        <v>112</v>
      </c>
      <c r="R273" s="189" t="s">
        <v>24</v>
      </c>
      <c r="S273" s="189" t="s">
        <v>152</v>
      </c>
      <c r="T273" s="189" t="s">
        <v>228</v>
      </c>
      <c r="U273" s="189" t="s">
        <v>369</v>
      </c>
      <c r="V273" s="189" t="s">
        <v>192</v>
      </c>
      <c r="W273" s="189" t="s">
        <v>124</v>
      </c>
      <c r="X273" s="189" t="s">
        <v>214</v>
      </c>
      <c r="Y273" s="189" t="s">
        <v>214</v>
      </c>
      <c r="Z273" s="189" t="s">
        <v>2183</v>
      </c>
      <c r="AA273" s="189" t="s">
        <v>2125</v>
      </c>
      <c r="AB273" s="189" t="s">
        <v>2139</v>
      </c>
      <c r="AG273" s="189" t="s">
        <v>2184</v>
      </c>
    </row>
    <row r="274" customFormat="false" ht="15" hidden="false" customHeight="true" outlineLevel="0" collapsed="false">
      <c r="A274" s="0" t="n">
        <v>273</v>
      </c>
      <c r="B274" s="191" t="n">
        <v>46108.7881776592</v>
      </c>
      <c r="C274" s="191" t="n">
        <v>46108.8012100667</v>
      </c>
      <c r="D274" s="189" t="s">
        <v>1860</v>
      </c>
      <c r="E274" s="189" t="s">
        <v>1861</v>
      </c>
      <c r="F274" s="189" t="s">
        <v>1861</v>
      </c>
      <c r="G274" s="189" t="s">
        <v>1862</v>
      </c>
      <c r="H274" s="191" t="n">
        <v>46107</v>
      </c>
      <c r="I274" s="189" t="s">
        <v>325</v>
      </c>
      <c r="J274" s="189" t="s">
        <v>108</v>
      </c>
      <c r="K274" s="189" t="s">
        <v>1863</v>
      </c>
      <c r="L274" s="189" t="s">
        <v>110</v>
      </c>
      <c r="M274" s="189" t="s">
        <v>507</v>
      </c>
      <c r="N274" s="189" t="s">
        <v>1243</v>
      </c>
      <c r="O274" s="189" t="s">
        <v>244</v>
      </c>
      <c r="P274" s="189" t="s">
        <v>111</v>
      </c>
      <c r="Q274" s="189" t="s">
        <v>112</v>
      </c>
      <c r="R274" s="189" t="s">
        <v>22</v>
      </c>
      <c r="S274" s="189" t="s">
        <v>152</v>
      </c>
      <c r="T274" s="189" t="s">
        <v>121</v>
      </c>
      <c r="U274" s="189" t="s">
        <v>122</v>
      </c>
      <c r="V274" s="189" t="s">
        <v>123</v>
      </c>
      <c r="W274" s="189" t="s">
        <v>168</v>
      </c>
      <c r="X274" s="189" t="s">
        <v>339</v>
      </c>
      <c r="Y274" s="189" t="s">
        <v>339</v>
      </c>
      <c r="Z274" s="189" t="s">
        <v>2242</v>
      </c>
      <c r="AA274" s="189" t="s">
        <v>2213</v>
      </c>
      <c r="AB274" s="189" t="s">
        <v>2243</v>
      </c>
      <c r="AG274" s="189" t="s">
        <v>2261</v>
      </c>
      <c r="AH274" s="189" t="s">
        <v>122</v>
      </c>
    </row>
    <row r="275" customFormat="false" ht="15" hidden="false" customHeight="true" outlineLevel="0" collapsed="false">
      <c r="A275" s="0" t="n">
        <v>274</v>
      </c>
      <c r="B275" s="191" t="n">
        <v>46131.2659789318</v>
      </c>
      <c r="C275" s="191" t="n">
        <v>46131.2713377281</v>
      </c>
      <c r="D275" s="189" t="s">
        <v>1867</v>
      </c>
      <c r="E275" s="189" t="s">
        <v>1868</v>
      </c>
      <c r="F275" s="189" t="s">
        <v>1868</v>
      </c>
      <c r="G275" s="189" t="s">
        <v>1869</v>
      </c>
      <c r="H275" s="191" t="n">
        <v>46115</v>
      </c>
      <c r="I275" s="189" t="s">
        <v>132</v>
      </c>
      <c r="J275" s="189" t="s">
        <v>108</v>
      </c>
      <c r="K275" s="189" t="s">
        <v>1870</v>
      </c>
      <c r="L275" s="189" t="s">
        <v>389</v>
      </c>
      <c r="M275" s="189" t="s">
        <v>905</v>
      </c>
      <c r="N275" s="189" t="s">
        <v>508</v>
      </c>
      <c r="O275" s="189" t="s">
        <v>244</v>
      </c>
      <c r="P275" s="189" t="s">
        <v>111</v>
      </c>
      <c r="Q275" s="189" t="s">
        <v>112</v>
      </c>
      <c r="R275" s="189" t="s">
        <v>22</v>
      </c>
      <c r="S275" s="189" t="s">
        <v>152</v>
      </c>
      <c r="T275" s="189" t="s">
        <v>121</v>
      </c>
      <c r="V275" s="189" t="s">
        <v>123</v>
      </c>
      <c r="W275" s="189" t="s">
        <v>124</v>
      </c>
      <c r="X275" s="189" t="s">
        <v>298</v>
      </c>
      <c r="Y275" s="189" t="s">
        <v>298</v>
      </c>
      <c r="Z275" s="189" t="s">
        <v>2169</v>
      </c>
      <c r="AA275" s="189" t="s">
        <v>2238</v>
      </c>
      <c r="AB275" s="189" t="s">
        <v>2252</v>
      </c>
      <c r="AG275" s="189" t="s">
        <v>2254</v>
      </c>
      <c r="AH275" s="189" t="s">
        <v>2172</v>
      </c>
    </row>
    <row r="276" customFormat="false" ht="15" hidden="false" customHeight="true" outlineLevel="0" collapsed="false">
      <c r="A276" s="0" t="n">
        <v>275</v>
      </c>
      <c r="B276" s="191" t="n">
        <v>46213.4782150043</v>
      </c>
      <c r="C276" s="191" t="n">
        <v>46213.4912474117</v>
      </c>
      <c r="D276" s="189" t="s">
        <v>1874</v>
      </c>
      <c r="E276" s="189" t="s">
        <v>1875</v>
      </c>
      <c r="F276" s="189" t="s">
        <v>1875</v>
      </c>
      <c r="G276" s="189" t="s">
        <v>1876</v>
      </c>
      <c r="H276" s="191" t="n">
        <v>46201</v>
      </c>
      <c r="I276" s="189" t="s">
        <v>113</v>
      </c>
      <c r="J276" s="189" t="s">
        <v>108</v>
      </c>
      <c r="K276" s="189" t="s">
        <v>462</v>
      </c>
      <c r="L276" s="189" t="s">
        <v>159</v>
      </c>
      <c r="M276" s="189" t="s">
        <v>133</v>
      </c>
      <c r="N276" s="189" t="s">
        <v>259</v>
      </c>
      <c r="O276" s="189" t="s">
        <v>1506</v>
      </c>
      <c r="P276" s="189" t="s">
        <v>131</v>
      </c>
      <c r="Q276" s="189" t="s">
        <v>198</v>
      </c>
      <c r="R276" s="189" t="s">
        <v>22</v>
      </c>
      <c r="S276" s="189" t="s">
        <v>152</v>
      </c>
      <c r="T276" s="189" t="s">
        <v>121</v>
      </c>
      <c r="V276" s="189" t="s">
        <v>167</v>
      </c>
      <c r="W276" s="189" t="s">
        <v>124</v>
      </c>
      <c r="X276" s="189" t="s">
        <v>339</v>
      </c>
      <c r="Y276" s="189" t="s">
        <v>339</v>
      </c>
      <c r="Z276" s="189" t="s">
        <v>2185</v>
      </c>
      <c r="AA276" s="189" t="s">
        <v>2213</v>
      </c>
      <c r="AG276" s="189" t="s">
        <v>2189</v>
      </c>
    </row>
    <row r="277" customFormat="false" ht="15" hidden="false" customHeight="true" outlineLevel="0" collapsed="false">
      <c r="A277" s="0" t="n">
        <v>276</v>
      </c>
      <c r="B277" s="191" t="n">
        <v>46125.5887932192</v>
      </c>
      <c r="C277" s="191" t="n">
        <v>46125.5936774785</v>
      </c>
      <c r="D277" s="189" t="s">
        <v>1880</v>
      </c>
      <c r="E277" s="189" t="s">
        <v>1881</v>
      </c>
      <c r="F277" s="189" t="s">
        <v>1881</v>
      </c>
      <c r="G277" s="189" t="s">
        <v>1882</v>
      </c>
      <c r="H277" s="191" t="n">
        <v>46121</v>
      </c>
      <c r="I277" s="189" t="s">
        <v>325</v>
      </c>
      <c r="J277" s="189" t="s">
        <v>108</v>
      </c>
      <c r="K277" s="189" t="s">
        <v>364</v>
      </c>
      <c r="L277" s="189" t="s">
        <v>246</v>
      </c>
      <c r="M277" s="189" t="s">
        <v>212</v>
      </c>
      <c r="N277" s="189" t="s">
        <v>1441</v>
      </c>
      <c r="O277" s="189" t="s">
        <v>107</v>
      </c>
      <c r="P277" s="189" t="s">
        <v>111</v>
      </c>
      <c r="Q277" s="189" t="s">
        <v>112</v>
      </c>
      <c r="R277" s="189" t="s">
        <v>22</v>
      </c>
      <c r="S277" s="189" t="s">
        <v>120</v>
      </c>
      <c r="T277" s="189" t="s">
        <v>352</v>
      </c>
      <c r="U277" s="189" t="s">
        <v>1821</v>
      </c>
      <c r="V277" s="189" t="s">
        <v>123</v>
      </c>
      <c r="W277" s="189" t="s">
        <v>124</v>
      </c>
      <c r="X277" s="189" t="s">
        <v>148</v>
      </c>
      <c r="Y277" s="189" t="s">
        <v>148</v>
      </c>
      <c r="Z277" s="189" t="s">
        <v>2136</v>
      </c>
      <c r="AA277" s="189" t="s">
        <v>2166</v>
      </c>
      <c r="AB277" s="189" t="s">
        <v>2326</v>
      </c>
      <c r="AG277" s="189" t="s">
        <v>2327</v>
      </c>
      <c r="AH277" s="189" t="s">
        <v>122</v>
      </c>
    </row>
    <row r="278" customFormat="false" ht="15" hidden="false" customHeight="true" outlineLevel="0" collapsed="false">
      <c r="A278" s="0" t="n">
        <v>277</v>
      </c>
      <c r="B278" s="191" t="n">
        <v>46180.044097481</v>
      </c>
      <c r="C278" s="191" t="n">
        <v>46180.0504516477</v>
      </c>
      <c r="D278" s="189" t="s">
        <v>1885</v>
      </c>
      <c r="E278" s="189" t="s">
        <v>1886</v>
      </c>
      <c r="F278" s="189" t="s">
        <v>1886</v>
      </c>
      <c r="G278" s="189" t="s">
        <v>1887</v>
      </c>
      <c r="H278" s="191" t="n">
        <v>46171</v>
      </c>
      <c r="I278" s="189" t="s">
        <v>113</v>
      </c>
      <c r="J278" s="189" t="s">
        <v>108</v>
      </c>
      <c r="K278" s="189" t="s">
        <v>462</v>
      </c>
      <c r="L278" s="189" t="s">
        <v>110</v>
      </c>
      <c r="M278" s="189" t="s">
        <v>652</v>
      </c>
      <c r="N278" s="189" t="s">
        <v>200</v>
      </c>
      <c r="O278" s="189" t="s">
        <v>107</v>
      </c>
      <c r="P278" s="189" t="s">
        <v>111</v>
      </c>
      <c r="Q278" s="189" t="s">
        <v>112</v>
      </c>
      <c r="R278" s="189" t="s">
        <v>22</v>
      </c>
      <c r="S278" s="189" t="s">
        <v>227</v>
      </c>
      <c r="T278" s="189" t="s">
        <v>121</v>
      </c>
      <c r="U278" s="189" t="s">
        <v>1002</v>
      </c>
      <c r="V278" s="189" t="s">
        <v>123</v>
      </c>
      <c r="W278" s="189" t="s">
        <v>124</v>
      </c>
      <c r="X278" s="189" t="s">
        <v>298</v>
      </c>
      <c r="Y278" s="189" t="s">
        <v>298</v>
      </c>
      <c r="Z278" s="189" t="s">
        <v>2169</v>
      </c>
      <c r="AA278" s="189" t="s">
        <v>2168</v>
      </c>
      <c r="AG278" s="189" t="s">
        <v>2172</v>
      </c>
    </row>
    <row r="279" customFormat="false" ht="15" hidden="false" customHeight="true" outlineLevel="0" collapsed="false">
      <c r="A279" s="0" t="n">
        <v>278</v>
      </c>
      <c r="B279" s="191" t="n">
        <v>46150.8262615769</v>
      </c>
      <c r="C279" s="191" t="n">
        <v>46150.8373379658</v>
      </c>
      <c r="D279" s="189" t="s">
        <v>1889</v>
      </c>
      <c r="E279" s="189" t="s">
        <v>1890</v>
      </c>
      <c r="F279" s="189" t="s">
        <v>1890</v>
      </c>
      <c r="G279" s="189" t="s">
        <v>1891</v>
      </c>
      <c r="H279" s="191" t="n">
        <v>46131</v>
      </c>
      <c r="I279" s="189" t="s">
        <v>113</v>
      </c>
      <c r="J279" s="189" t="s">
        <v>295</v>
      </c>
      <c r="K279" s="189" t="s">
        <v>1892</v>
      </c>
      <c r="L279" s="189" t="s">
        <v>110</v>
      </c>
      <c r="M279" s="189" t="s">
        <v>185</v>
      </c>
      <c r="N279" s="189" t="s">
        <v>1243</v>
      </c>
      <c r="O279" s="189" t="s">
        <v>107</v>
      </c>
      <c r="P279" s="189" t="s">
        <v>111</v>
      </c>
      <c r="Q279" s="189" t="s">
        <v>112</v>
      </c>
      <c r="R279" s="189" t="s">
        <v>22</v>
      </c>
      <c r="S279" s="189" t="s">
        <v>152</v>
      </c>
      <c r="T279" s="189" t="s">
        <v>352</v>
      </c>
      <c r="U279" s="189" t="s">
        <v>122</v>
      </c>
      <c r="V279" s="189" t="s">
        <v>167</v>
      </c>
      <c r="W279" s="189" t="s">
        <v>124</v>
      </c>
      <c r="X279" s="189" t="s">
        <v>148</v>
      </c>
      <c r="Y279" s="189" t="s">
        <v>148</v>
      </c>
      <c r="Z279" s="189" t="s">
        <v>2326</v>
      </c>
      <c r="AG279" s="189" t="s">
        <v>2232</v>
      </c>
    </row>
    <row r="280" customFormat="false" ht="15" hidden="false" customHeight="true" outlineLevel="0" collapsed="false">
      <c r="A280" s="0" t="n">
        <v>279</v>
      </c>
      <c r="B280" s="191" t="n">
        <v>46049.1071517718</v>
      </c>
      <c r="C280" s="191" t="n">
        <v>46049.1165151977</v>
      </c>
      <c r="D280" s="189" t="s">
        <v>1894</v>
      </c>
      <c r="E280" s="189" t="s">
        <v>1895</v>
      </c>
      <c r="F280" s="189" t="s">
        <v>1895</v>
      </c>
      <c r="G280" s="189" t="s">
        <v>1896</v>
      </c>
      <c r="H280" s="191" t="n">
        <v>46039</v>
      </c>
      <c r="I280" s="189" t="s">
        <v>305</v>
      </c>
      <c r="J280" s="189" t="s">
        <v>295</v>
      </c>
      <c r="K280" s="189" t="s">
        <v>245</v>
      </c>
      <c r="L280" s="189" t="s">
        <v>210</v>
      </c>
      <c r="M280" s="189" t="s">
        <v>864</v>
      </c>
      <c r="N280" s="189" t="s">
        <v>849</v>
      </c>
      <c r="O280" s="189" t="s">
        <v>1897</v>
      </c>
      <c r="P280" s="189" t="s">
        <v>111</v>
      </c>
      <c r="Q280" s="189" t="s">
        <v>247</v>
      </c>
      <c r="R280" s="189" t="s">
        <v>21</v>
      </c>
      <c r="S280" s="189" t="s">
        <v>152</v>
      </c>
      <c r="T280" s="189" t="s">
        <v>180</v>
      </c>
      <c r="U280" s="189" t="s">
        <v>1489</v>
      </c>
      <c r="V280" s="189" t="s">
        <v>123</v>
      </c>
      <c r="W280" s="189" t="s">
        <v>124</v>
      </c>
      <c r="X280" s="189" t="s">
        <v>307</v>
      </c>
      <c r="Y280" s="189" t="s">
        <v>307</v>
      </c>
      <c r="Z280" s="189" t="s">
        <v>2173</v>
      </c>
      <c r="AA280" s="189" t="s">
        <v>2175</v>
      </c>
      <c r="AB280" s="189" t="s">
        <v>2174</v>
      </c>
      <c r="AG280" s="189" t="s">
        <v>2177</v>
      </c>
      <c r="AH280" s="189" t="s">
        <v>2178</v>
      </c>
    </row>
    <row r="281" customFormat="false" ht="15" hidden="false" customHeight="true" outlineLevel="0" collapsed="false">
      <c r="A281" s="0" t="n">
        <v>280</v>
      </c>
      <c r="B281" s="191" t="n">
        <v>46199.0347531516</v>
      </c>
      <c r="C281" s="191" t="n">
        <v>46199.0372184294</v>
      </c>
      <c r="D281" s="189" t="s">
        <v>1899</v>
      </c>
      <c r="E281" s="189" t="s">
        <v>1900</v>
      </c>
      <c r="F281" s="189" t="s">
        <v>1900</v>
      </c>
      <c r="G281" s="189" t="s">
        <v>1901</v>
      </c>
      <c r="H281" s="191" t="n">
        <v>46185</v>
      </c>
      <c r="I281" s="189" t="s">
        <v>863</v>
      </c>
      <c r="J281" s="189" t="s">
        <v>108</v>
      </c>
      <c r="K281" s="189" t="s">
        <v>462</v>
      </c>
      <c r="L281" s="189" t="s">
        <v>491</v>
      </c>
      <c r="M281" s="189" t="s">
        <v>234</v>
      </c>
      <c r="N281" s="189" t="s">
        <v>306</v>
      </c>
      <c r="O281" s="189" t="s">
        <v>107</v>
      </c>
      <c r="P281" s="189" t="s">
        <v>111</v>
      </c>
      <c r="Q281" s="189" t="s">
        <v>247</v>
      </c>
      <c r="R281" s="189" t="s">
        <v>24</v>
      </c>
      <c r="S281" s="189" t="s">
        <v>152</v>
      </c>
      <c r="T281" s="189" t="s">
        <v>121</v>
      </c>
      <c r="U281" s="189" t="s">
        <v>1902</v>
      </c>
      <c r="V281" s="189" t="s">
        <v>167</v>
      </c>
      <c r="W281" s="189" t="s">
        <v>124</v>
      </c>
      <c r="X281" s="189" t="s">
        <v>214</v>
      </c>
      <c r="Y281" s="189" t="s">
        <v>214</v>
      </c>
      <c r="Z281" s="189" t="s">
        <v>2109</v>
      </c>
      <c r="AA281" s="189" t="s">
        <v>2151</v>
      </c>
      <c r="AG281" s="189" t="s">
        <v>2114</v>
      </c>
    </row>
    <row r="282" customFormat="false" ht="15" hidden="false" customHeight="true" outlineLevel="0" collapsed="false">
      <c r="A282" s="0" t="n">
        <v>281</v>
      </c>
      <c r="B282" s="191" t="n">
        <v>46206.5376126538</v>
      </c>
      <c r="C282" s="191" t="n">
        <v>46206.5518140427</v>
      </c>
      <c r="D282" s="189" t="s">
        <v>1903</v>
      </c>
      <c r="E282" s="189" t="s">
        <v>1904</v>
      </c>
      <c r="F282" s="189" t="s">
        <v>1904</v>
      </c>
      <c r="G282" s="189" t="s">
        <v>1905</v>
      </c>
      <c r="H282" s="191" t="n">
        <v>46201</v>
      </c>
      <c r="I282" s="189" t="s">
        <v>863</v>
      </c>
      <c r="J282" s="189" t="s">
        <v>295</v>
      </c>
      <c r="K282" s="189" t="s">
        <v>1906</v>
      </c>
      <c r="L282" s="189" t="s">
        <v>159</v>
      </c>
      <c r="M282" s="189" t="s">
        <v>391</v>
      </c>
      <c r="N282" s="189" t="s">
        <v>743</v>
      </c>
      <c r="O282" s="189" t="s">
        <v>278</v>
      </c>
      <c r="P282" s="189" t="s">
        <v>390</v>
      </c>
      <c r="Q282" s="189" t="s">
        <v>112</v>
      </c>
      <c r="R282" s="189" t="s">
        <v>23</v>
      </c>
      <c r="S282" s="189" t="s">
        <v>120</v>
      </c>
      <c r="T282" s="189" t="s">
        <v>165</v>
      </c>
      <c r="U282" s="189" t="s">
        <v>1641</v>
      </c>
      <c r="V282" s="189" t="s">
        <v>123</v>
      </c>
      <c r="W282" s="189" t="s">
        <v>124</v>
      </c>
      <c r="X282" s="189" t="s">
        <v>442</v>
      </c>
      <c r="Y282" s="189" t="s">
        <v>442</v>
      </c>
      <c r="AK282" s="189" t="s">
        <v>441</v>
      </c>
    </row>
    <row r="283" customFormat="false" ht="15" hidden="false" customHeight="true" outlineLevel="0" collapsed="false">
      <c r="A283" s="0" t="n">
        <v>282</v>
      </c>
      <c r="B283" s="191" t="n">
        <v>46043.5187109354</v>
      </c>
      <c r="C283" s="191" t="n">
        <v>46043.5254007502</v>
      </c>
      <c r="D283" s="189" t="s">
        <v>1907</v>
      </c>
      <c r="E283" s="189" t="s">
        <v>1908</v>
      </c>
      <c r="F283" s="189" t="s">
        <v>1908</v>
      </c>
      <c r="G283" s="189" t="s">
        <v>1909</v>
      </c>
      <c r="H283" s="191" t="n">
        <v>46024</v>
      </c>
      <c r="I283" s="189" t="s">
        <v>113</v>
      </c>
      <c r="J283" s="189" t="s">
        <v>108</v>
      </c>
      <c r="K283" s="189" t="s">
        <v>245</v>
      </c>
      <c r="L283" s="189" t="s">
        <v>159</v>
      </c>
      <c r="M283" s="189" t="s">
        <v>1120</v>
      </c>
      <c r="N283" s="189" t="s">
        <v>810</v>
      </c>
      <c r="O283" s="189" t="s">
        <v>107</v>
      </c>
      <c r="P283" s="189" t="s">
        <v>131</v>
      </c>
      <c r="Q283" s="189" t="s">
        <v>112</v>
      </c>
      <c r="R283" s="189" t="s">
        <v>21</v>
      </c>
      <c r="S283" s="189" t="s">
        <v>227</v>
      </c>
      <c r="T283" s="189" t="s">
        <v>180</v>
      </c>
      <c r="V283" s="189" t="s">
        <v>192</v>
      </c>
      <c r="W283" s="189" t="s">
        <v>168</v>
      </c>
      <c r="X283" s="189" t="s">
        <v>187</v>
      </c>
      <c r="Y283" s="189" t="s">
        <v>187</v>
      </c>
      <c r="Z283" s="189" t="s">
        <v>2133</v>
      </c>
      <c r="AG283" s="189" t="s">
        <v>2135</v>
      </c>
    </row>
    <row r="284" customFormat="false" ht="15" hidden="false" customHeight="true" outlineLevel="0" collapsed="false">
      <c r="A284" s="0" t="n">
        <v>283</v>
      </c>
      <c r="B284" s="191" t="n">
        <v>46215.3190309969</v>
      </c>
      <c r="C284" s="191" t="n">
        <v>46215.3392972006</v>
      </c>
      <c r="D284" s="189" t="s">
        <v>1910</v>
      </c>
      <c r="E284" s="189" t="s">
        <v>1911</v>
      </c>
      <c r="F284" s="189" t="s">
        <v>1911</v>
      </c>
      <c r="G284" s="189" t="s">
        <v>1912</v>
      </c>
      <c r="H284" s="191" t="n">
        <v>46196</v>
      </c>
      <c r="I284" s="189" t="s">
        <v>113</v>
      </c>
      <c r="J284" s="189" t="s">
        <v>108</v>
      </c>
      <c r="K284" s="189" t="s">
        <v>1913</v>
      </c>
      <c r="L284" s="189" t="s">
        <v>296</v>
      </c>
      <c r="M284" s="189" t="s">
        <v>114</v>
      </c>
      <c r="N284" s="189" t="s">
        <v>567</v>
      </c>
      <c r="O284" s="189" t="s">
        <v>244</v>
      </c>
      <c r="P284" s="189" t="s">
        <v>111</v>
      </c>
      <c r="Q284" s="189" t="s">
        <v>145</v>
      </c>
      <c r="R284" s="189" t="s">
        <v>22</v>
      </c>
      <c r="S284" s="189" t="s">
        <v>320</v>
      </c>
      <c r="T284" s="189" t="s">
        <v>121</v>
      </c>
      <c r="U284" s="189" t="s">
        <v>1376</v>
      </c>
      <c r="V284" s="189" t="s">
        <v>192</v>
      </c>
      <c r="W284" s="189" t="s">
        <v>168</v>
      </c>
      <c r="X284" s="189" t="s">
        <v>298</v>
      </c>
      <c r="Y284" s="189" t="s">
        <v>298</v>
      </c>
      <c r="Z284" s="189" t="s">
        <v>2238</v>
      </c>
      <c r="AA284" s="189" t="s">
        <v>2169</v>
      </c>
      <c r="AB284" s="189" t="s">
        <v>2251</v>
      </c>
      <c r="AG284" s="189" t="s">
        <v>2241</v>
      </c>
      <c r="AH284" s="189" t="s">
        <v>2172</v>
      </c>
    </row>
    <row r="285" customFormat="false" ht="15" hidden="false" customHeight="true" outlineLevel="0" collapsed="false">
      <c r="A285" s="0" t="n">
        <v>284</v>
      </c>
      <c r="B285" s="191" t="n">
        <v>46186.9647199038</v>
      </c>
      <c r="C285" s="191" t="n">
        <v>46186.9853101815</v>
      </c>
      <c r="D285" s="189" t="s">
        <v>1916</v>
      </c>
      <c r="E285" s="189" t="s">
        <v>1917</v>
      </c>
      <c r="F285" s="189" t="s">
        <v>1917</v>
      </c>
      <c r="G285" s="189" t="s">
        <v>1918</v>
      </c>
      <c r="H285" s="191" t="n">
        <v>46180</v>
      </c>
      <c r="I285" s="189" t="s">
        <v>132</v>
      </c>
      <c r="J285" s="189" t="s">
        <v>128</v>
      </c>
      <c r="K285" s="189" t="s">
        <v>1919</v>
      </c>
      <c r="L285" s="189" t="s">
        <v>197</v>
      </c>
      <c r="M285" s="189" t="s">
        <v>885</v>
      </c>
      <c r="N285" s="189" t="s">
        <v>1441</v>
      </c>
      <c r="O285" s="189" t="s">
        <v>157</v>
      </c>
      <c r="P285" s="189" t="s">
        <v>211</v>
      </c>
      <c r="Q285" s="189" t="s">
        <v>145</v>
      </c>
      <c r="R285" s="189" t="s">
        <v>22</v>
      </c>
      <c r="S285" s="189" t="s">
        <v>152</v>
      </c>
      <c r="T285" s="189" t="s">
        <v>121</v>
      </c>
      <c r="U285" s="189" t="s">
        <v>122</v>
      </c>
      <c r="V285" s="189" t="s">
        <v>123</v>
      </c>
      <c r="W285" s="189" t="s">
        <v>168</v>
      </c>
      <c r="X285" s="189" t="s">
        <v>298</v>
      </c>
      <c r="Y285" s="189" t="s">
        <v>298</v>
      </c>
      <c r="Z285" s="189" t="s">
        <v>2168</v>
      </c>
      <c r="AG285" s="189" t="s">
        <v>2341</v>
      </c>
      <c r="AH285" s="189" t="s">
        <v>2254</v>
      </c>
    </row>
    <row r="286" customFormat="false" ht="15" hidden="false" customHeight="true" outlineLevel="0" collapsed="false">
      <c r="A286" s="0" t="n">
        <v>285</v>
      </c>
      <c r="B286" s="191" t="n">
        <v>46201.2414131316</v>
      </c>
      <c r="C286" s="191" t="n">
        <v>46201.2565520205</v>
      </c>
      <c r="D286" s="189" t="s">
        <v>1922</v>
      </c>
      <c r="E286" s="189" t="s">
        <v>1923</v>
      </c>
      <c r="F286" s="189" t="s">
        <v>1924</v>
      </c>
      <c r="G286" s="189" t="s">
        <v>1925</v>
      </c>
      <c r="H286" s="191" t="n">
        <v>46192</v>
      </c>
      <c r="I286" s="189" t="s">
        <v>113</v>
      </c>
      <c r="J286" s="189" t="s">
        <v>108</v>
      </c>
      <c r="K286" s="189" t="s">
        <v>1926</v>
      </c>
      <c r="L286" s="189" t="s">
        <v>389</v>
      </c>
      <c r="M286" s="189" t="s">
        <v>357</v>
      </c>
      <c r="N286" s="189" t="s">
        <v>1573</v>
      </c>
      <c r="O286" s="189" t="s">
        <v>172</v>
      </c>
      <c r="P286" s="189" t="s">
        <v>111</v>
      </c>
      <c r="Q286" s="189" t="s">
        <v>112</v>
      </c>
      <c r="R286" s="189" t="s">
        <v>23</v>
      </c>
      <c r="S286" s="189" t="s">
        <v>120</v>
      </c>
      <c r="T286" s="189" t="s">
        <v>180</v>
      </c>
      <c r="U286" s="132" t="s">
        <v>641</v>
      </c>
      <c r="V286" s="189" t="s">
        <v>123</v>
      </c>
      <c r="W286" s="189" t="s">
        <v>139</v>
      </c>
      <c r="X286" s="189" t="s">
        <v>503</v>
      </c>
      <c r="Y286" s="189" t="s">
        <v>503</v>
      </c>
      <c r="AK286" s="189" t="s">
        <v>871</v>
      </c>
    </row>
    <row r="287" customFormat="false" ht="15" hidden="false" customHeight="true" outlineLevel="0" collapsed="false">
      <c r="A287" s="0" t="n">
        <v>286</v>
      </c>
      <c r="B287" s="191" t="n">
        <v>46073.1595678492</v>
      </c>
      <c r="C287" s="191" t="n">
        <v>46073.1693826641</v>
      </c>
      <c r="D287" s="189" t="s">
        <v>1927</v>
      </c>
      <c r="E287" s="189" t="s">
        <v>1928</v>
      </c>
      <c r="F287" s="189" t="s">
        <v>1928</v>
      </c>
      <c r="G287" s="189" t="s">
        <v>1929</v>
      </c>
      <c r="H287" s="191" t="n">
        <v>46072</v>
      </c>
      <c r="I287" s="189" t="s">
        <v>113</v>
      </c>
      <c r="J287" s="189" t="s">
        <v>108</v>
      </c>
      <c r="K287" s="189" t="s">
        <v>245</v>
      </c>
      <c r="L287" s="189" t="s">
        <v>431</v>
      </c>
      <c r="M287" s="189" t="s">
        <v>286</v>
      </c>
      <c r="N287" s="189" t="s">
        <v>1441</v>
      </c>
      <c r="O287" s="189" t="s">
        <v>107</v>
      </c>
      <c r="P287" s="189" t="s">
        <v>111</v>
      </c>
      <c r="Q287" s="189" t="s">
        <v>112</v>
      </c>
      <c r="R287" s="189" t="s">
        <v>22</v>
      </c>
      <c r="S287" s="189" t="s">
        <v>152</v>
      </c>
      <c r="T287" s="189" t="s">
        <v>121</v>
      </c>
      <c r="V287" s="189" t="s">
        <v>192</v>
      </c>
      <c r="W287" s="189" t="s">
        <v>168</v>
      </c>
      <c r="X287" s="189" t="s">
        <v>298</v>
      </c>
      <c r="Y287" s="189" t="s">
        <v>298</v>
      </c>
      <c r="Z287" s="189" t="s">
        <v>2239</v>
      </c>
      <c r="AA287" s="189" t="s">
        <v>2280</v>
      </c>
      <c r="AB287" s="189" t="s">
        <v>2168</v>
      </c>
      <c r="AG287" s="189" t="s">
        <v>2320</v>
      </c>
      <c r="AH287" s="189" t="s">
        <v>2171</v>
      </c>
    </row>
    <row r="288" customFormat="false" ht="15" hidden="false" customHeight="true" outlineLevel="0" collapsed="false">
      <c r="A288" s="0" t="n">
        <v>287</v>
      </c>
      <c r="B288" s="191" t="n">
        <v>46175.4652927975</v>
      </c>
      <c r="C288" s="191" t="n">
        <v>46175.4780474271</v>
      </c>
      <c r="D288" s="189" t="s">
        <v>1933</v>
      </c>
      <c r="E288" s="189" t="s">
        <v>1018</v>
      </c>
      <c r="F288" s="189" t="s">
        <v>1018</v>
      </c>
      <c r="G288" s="189" t="s">
        <v>1934</v>
      </c>
      <c r="H288" s="191" t="n">
        <v>46172</v>
      </c>
      <c r="I288" s="189" t="s">
        <v>113</v>
      </c>
      <c r="J288" s="189" t="s">
        <v>108</v>
      </c>
      <c r="K288" s="189" t="s">
        <v>245</v>
      </c>
      <c r="L288" s="189" t="s">
        <v>130</v>
      </c>
      <c r="M288" s="189" t="s">
        <v>406</v>
      </c>
      <c r="N288" s="189" t="s">
        <v>414</v>
      </c>
      <c r="O288" s="189" t="s">
        <v>278</v>
      </c>
      <c r="P288" s="189" t="s">
        <v>111</v>
      </c>
      <c r="Q288" s="189" t="s">
        <v>112</v>
      </c>
      <c r="R288" s="189" t="s">
        <v>22</v>
      </c>
      <c r="S288" s="189" t="s">
        <v>227</v>
      </c>
      <c r="T288" s="189" t="s">
        <v>264</v>
      </c>
      <c r="U288" s="189" t="s">
        <v>122</v>
      </c>
      <c r="V288" s="189" t="s">
        <v>123</v>
      </c>
      <c r="W288" s="189" t="s">
        <v>124</v>
      </c>
      <c r="X288" s="189" t="s">
        <v>339</v>
      </c>
      <c r="Y288" s="189" t="s">
        <v>339</v>
      </c>
      <c r="Z288" s="189" t="s">
        <v>2260</v>
      </c>
      <c r="AA288" s="189" t="s">
        <v>2242</v>
      </c>
      <c r="AB288" s="189" t="s">
        <v>2212</v>
      </c>
      <c r="AG288" s="189" t="s">
        <v>2261</v>
      </c>
    </row>
    <row r="289" customFormat="false" ht="15" hidden="false" customHeight="true" outlineLevel="0" collapsed="false">
      <c r="A289" s="0" t="n">
        <v>288</v>
      </c>
      <c r="B289" s="191" t="n">
        <v>46042.5134928858</v>
      </c>
      <c r="C289" s="191" t="n">
        <v>46042.5197660339</v>
      </c>
      <c r="D289" s="189" t="s">
        <v>1936</v>
      </c>
      <c r="E289" s="189" t="s">
        <v>1937</v>
      </c>
      <c r="F289" s="189" t="s">
        <v>1937</v>
      </c>
      <c r="G289" s="189" t="s">
        <v>1938</v>
      </c>
      <c r="H289" s="191" t="n">
        <v>46025</v>
      </c>
      <c r="I289" s="189" t="s">
        <v>113</v>
      </c>
      <c r="J289" s="189" t="s">
        <v>295</v>
      </c>
      <c r="K289" s="189" t="s">
        <v>1939</v>
      </c>
      <c r="L289" s="189" t="s">
        <v>114</v>
      </c>
      <c r="M289" s="189" t="s">
        <v>1074</v>
      </c>
      <c r="N289" s="189" t="s">
        <v>775</v>
      </c>
      <c r="O289" s="189" t="s">
        <v>107</v>
      </c>
      <c r="P289" s="189" t="s">
        <v>111</v>
      </c>
      <c r="Q289" s="189" t="s">
        <v>112</v>
      </c>
      <c r="R289" s="189" t="s">
        <v>21</v>
      </c>
      <c r="S289" s="189" t="s">
        <v>152</v>
      </c>
      <c r="T289" s="189" t="s">
        <v>121</v>
      </c>
      <c r="U289" s="189" t="s">
        <v>1940</v>
      </c>
      <c r="V289" s="189" t="s">
        <v>192</v>
      </c>
      <c r="W289" s="189" t="s">
        <v>124</v>
      </c>
      <c r="X289" s="189" t="s">
        <v>250</v>
      </c>
      <c r="Y289" s="189" t="s">
        <v>250</v>
      </c>
      <c r="Z289" s="189" t="s">
        <v>2109</v>
      </c>
      <c r="AG289" s="189" t="s">
        <v>2184</v>
      </c>
    </row>
    <row r="290" customFormat="false" ht="15" hidden="false" customHeight="true" outlineLevel="0" collapsed="false">
      <c r="A290" s="0" t="n">
        <v>289</v>
      </c>
      <c r="B290" s="191" t="n">
        <v>46142.7150739842</v>
      </c>
      <c r="C290" s="191" t="n">
        <v>46142.7173309286</v>
      </c>
      <c r="D290" s="189" t="s">
        <v>1941</v>
      </c>
      <c r="E290" s="189" t="s">
        <v>1942</v>
      </c>
      <c r="F290" s="189" t="s">
        <v>1943</v>
      </c>
      <c r="G290" s="189" t="s">
        <v>1944</v>
      </c>
      <c r="H290" s="191" t="n">
        <v>46136</v>
      </c>
      <c r="I290" s="189" t="s">
        <v>113</v>
      </c>
      <c r="J290" s="189" t="s">
        <v>108</v>
      </c>
      <c r="K290" s="189" t="s">
        <v>1572</v>
      </c>
      <c r="L290" s="189" t="s">
        <v>491</v>
      </c>
      <c r="M290" s="189" t="s">
        <v>757</v>
      </c>
      <c r="N290" s="189" t="s">
        <v>1028</v>
      </c>
      <c r="O290" s="189" t="s">
        <v>260</v>
      </c>
      <c r="P290" s="189" t="s">
        <v>111</v>
      </c>
      <c r="Q290" s="189" t="s">
        <v>145</v>
      </c>
      <c r="R290" s="189" t="s">
        <v>22</v>
      </c>
      <c r="S290" s="189" t="s">
        <v>152</v>
      </c>
      <c r="T290" s="189" t="s">
        <v>180</v>
      </c>
      <c r="U290" s="189" t="s">
        <v>122</v>
      </c>
      <c r="V290" s="189" t="s">
        <v>192</v>
      </c>
      <c r="W290" s="189" t="s">
        <v>124</v>
      </c>
      <c r="X290" s="189" t="s">
        <v>298</v>
      </c>
      <c r="Y290" s="189" t="s">
        <v>298</v>
      </c>
      <c r="Z290" s="189" t="s">
        <v>2167</v>
      </c>
      <c r="AA290" s="189" t="s">
        <v>2280</v>
      </c>
      <c r="AG290" s="189" t="s">
        <v>2172</v>
      </c>
    </row>
    <row r="291" customFormat="false" ht="15" hidden="false" customHeight="true" outlineLevel="0" collapsed="false">
      <c r="A291" s="0" t="n">
        <v>290</v>
      </c>
      <c r="B291" s="191" t="n">
        <v>46098.1942474414</v>
      </c>
      <c r="C291" s="191" t="n">
        <v>46098.1995136451</v>
      </c>
      <c r="D291" s="189" t="s">
        <v>1946</v>
      </c>
      <c r="E291" s="189" t="s">
        <v>1947</v>
      </c>
      <c r="F291" s="189" t="s">
        <v>1947</v>
      </c>
      <c r="G291" s="189" t="s">
        <v>1948</v>
      </c>
      <c r="H291" s="191" t="n">
        <v>46088</v>
      </c>
      <c r="I291" s="189" t="s">
        <v>113</v>
      </c>
      <c r="J291" s="189" t="s">
        <v>108</v>
      </c>
      <c r="K291" s="189" t="s">
        <v>1762</v>
      </c>
      <c r="L291" s="189" t="s">
        <v>184</v>
      </c>
      <c r="M291" s="189" t="s">
        <v>757</v>
      </c>
      <c r="N291" s="189" t="s">
        <v>701</v>
      </c>
      <c r="O291" s="189" t="s">
        <v>1949</v>
      </c>
      <c r="P291" s="189" t="s">
        <v>111</v>
      </c>
      <c r="Q291" s="189" t="s">
        <v>112</v>
      </c>
      <c r="R291" s="189" t="s">
        <v>21</v>
      </c>
      <c r="S291" s="189" t="s">
        <v>152</v>
      </c>
      <c r="T291" s="189" t="s">
        <v>121</v>
      </c>
      <c r="U291" s="189" t="s">
        <v>1950</v>
      </c>
      <c r="V291" s="189" t="s">
        <v>167</v>
      </c>
      <c r="W291" s="189" t="s">
        <v>168</v>
      </c>
      <c r="X291" s="189" t="s">
        <v>187</v>
      </c>
      <c r="Y291" s="189" t="s">
        <v>187</v>
      </c>
      <c r="Z291" s="189" t="s">
        <v>2133</v>
      </c>
      <c r="AG291" s="189" t="s">
        <v>2135</v>
      </c>
    </row>
    <row r="292" customFormat="false" ht="15" hidden="false" customHeight="true" outlineLevel="0" collapsed="false">
      <c r="A292" s="0" t="n">
        <v>291</v>
      </c>
      <c r="B292" s="191" t="n">
        <v>46207.8135031948</v>
      </c>
      <c r="C292" s="191" t="n">
        <v>46207.828838843</v>
      </c>
      <c r="D292" s="189" t="s">
        <v>1951</v>
      </c>
      <c r="E292" s="189" t="s">
        <v>1952</v>
      </c>
      <c r="F292" s="189" t="s">
        <v>1952</v>
      </c>
      <c r="G292" s="189" t="s">
        <v>1953</v>
      </c>
      <c r="H292" s="191" t="n">
        <v>46204</v>
      </c>
      <c r="I292" s="189" t="s">
        <v>336</v>
      </c>
      <c r="J292" s="189" t="s">
        <v>295</v>
      </c>
      <c r="K292" s="189" t="s">
        <v>232</v>
      </c>
      <c r="L292" s="189" t="s">
        <v>114</v>
      </c>
      <c r="M292" s="189" t="s">
        <v>212</v>
      </c>
      <c r="N292" s="189" t="s">
        <v>1255</v>
      </c>
      <c r="O292" s="189" t="s">
        <v>244</v>
      </c>
      <c r="P292" s="189" t="s">
        <v>131</v>
      </c>
      <c r="Q292" s="189" t="s">
        <v>112</v>
      </c>
      <c r="R292" s="189" t="s">
        <v>22</v>
      </c>
      <c r="S292" s="189" t="s">
        <v>120</v>
      </c>
      <c r="T292" s="189" t="s">
        <v>180</v>
      </c>
      <c r="U292" s="189" t="s">
        <v>122</v>
      </c>
      <c r="V292" s="189" t="s">
        <v>123</v>
      </c>
      <c r="W292" s="189" t="s">
        <v>139</v>
      </c>
      <c r="X292" s="189" t="s">
        <v>116</v>
      </c>
      <c r="Y292" s="189" t="s">
        <v>116</v>
      </c>
      <c r="Z292" s="189" t="s">
        <v>2109</v>
      </c>
      <c r="AA292" s="189" t="s">
        <v>2139</v>
      </c>
      <c r="AB292" s="189" t="s">
        <v>2151</v>
      </c>
      <c r="AG292" s="189" t="s">
        <v>2184</v>
      </c>
    </row>
    <row r="293" customFormat="false" ht="15" hidden="false" customHeight="true" outlineLevel="0" collapsed="false">
      <c r="A293" s="0" t="n">
        <v>292</v>
      </c>
      <c r="B293" s="191" t="n">
        <v>46041.7441671703</v>
      </c>
      <c r="C293" s="191" t="n">
        <v>46041.761620874</v>
      </c>
      <c r="D293" s="189" t="s">
        <v>1955</v>
      </c>
      <c r="E293" s="189" t="s">
        <v>1956</v>
      </c>
      <c r="F293" s="189" t="s">
        <v>1956</v>
      </c>
      <c r="G293" s="189" t="s">
        <v>1957</v>
      </c>
      <c r="H293" s="191" t="n">
        <v>46027</v>
      </c>
      <c r="I293" s="189" t="s">
        <v>325</v>
      </c>
      <c r="J293" s="189" t="s">
        <v>128</v>
      </c>
      <c r="K293" s="189" t="s">
        <v>232</v>
      </c>
      <c r="L293" s="189" t="s">
        <v>346</v>
      </c>
      <c r="M293" s="189" t="s">
        <v>484</v>
      </c>
      <c r="N293" s="189" t="s">
        <v>1958</v>
      </c>
      <c r="O293" s="189" t="s">
        <v>107</v>
      </c>
      <c r="P293" s="189" t="s">
        <v>211</v>
      </c>
      <c r="Q293" s="189" t="s">
        <v>112</v>
      </c>
      <c r="R293" s="189" t="s">
        <v>22</v>
      </c>
      <c r="S293" s="189" t="s">
        <v>120</v>
      </c>
      <c r="T293" s="189" t="s">
        <v>228</v>
      </c>
      <c r="V293" s="189" t="s">
        <v>192</v>
      </c>
      <c r="W293" s="189" t="s">
        <v>124</v>
      </c>
      <c r="X293" s="189" t="s">
        <v>148</v>
      </c>
      <c r="Y293" s="189" t="s">
        <v>148</v>
      </c>
      <c r="Z293" s="189" t="s">
        <v>2166</v>
      </c>
      <c r="AA293" s="189" t="s">
        <v>2230</v>
      </c>
      <c r="AG293" s="189" t="s">
        <v>2232</v>
      </c>
    </row>
    <row r="294" customFormat="false" ht="15" hidden="false" customHeight="true" outlineLevel="0" collapsed="false">
      <c r="A294" s="0" t="n">
        <v>293</v>
      </c>
      <c r="B294" s="191" t="n">
        <v>46170.1984881809</v>
      </c>
      <c r="C294" s="191" t="n">
        <v>46170.2099233661</v>
      </c>
      <c r="D294" s="189" t="s">
        <v>1959</v>
      </c>
      <c r="E294" s="189" t="s">
        <v>1960</v>
      </c>
      <c r="F294" s="189" t="s">
        <v>1960</v>
      </c>
      <c r="G294" s="189" t="s">
        <v>1961</v>
      </c>
      <c r="H294" s="191" t="n">
        <v>46166</v>
      </c>
      <c r="I294" s="189" t="s">
        <v>132</v>
      </c>
      <c r="J294" s="189" t="s">
        <v>108</v>
      </c>
      <c r="K294" s="189" t="s">
        <v>462</v>
      </c>
      <c r="L294" s="189" t="s">
        <v>210</v>
      </c>
      <c r="M294" s="189" t="s">
        <v>736</v>
      </c>
      <c r="N294" s="189" t="s">
        <v>653</v>
      </c>
      <c r="O294" s="189" t="s">
        <v>172</v>
      </c>
      <c r="P294" s="189" t="s">
        <v>111</v>
      </c>
      <c r="Q294" s="189" t="s">
        <v>112</v>
      </c>
      <c r="R294" s="189" t="s">
        <v>22</v>
      </c>
      <c r="S294" s="189" t="s">
        <v>152</v>
      </c>
      <c r="T294" s="189" t="s">
        <v>121</v>
      </c>
      <c r="V294" s="189" t="s">
        <v>123</v>
      </c>
      <c r="W294" s="189" t="s">
        <v>124</v>
      </c>
      <c r="X294" s="189" t="s">
        <v>116</v>
      </c>
      <c r="Y294" s="189" t="s">
        <v>116</v>
      </c>
      <c r="Z294" s="189" t="s">
        <v>2183</v>
      </c>
      <c r="AA294" s="189" t="s">
        <v>2151</v>
      </c>
      <c r="AB294" s="189" t="s">
        <v>2109</v>
      </c>
      <c r="AG294" s="189" t="s">
        <v>2114</v>
      </c>
      <c r="AH294" s="189" t="s">
        <v>2184</v>
      </c>
    </row>
    <row r="295" customFormat="false" ht="15" hidden="false" customHeight="true" outlineLevel="0" collapsed="false">
      <c r="A295" s="0" t="n">
        <v>294</v>
      </c>
      <c r="B295" s="191" t="n">
        <v>46077.8085676078</v>
      </c>
      <c r="C295" s="191" t="n">
        <v>46077.8260444596</v>
      </c>
      <c r="D295" s="189" t="s">
        <v>1963</v>
      </c>
      <c r="E295" s="189" t="s">
        <v>1964</v>
      </c>
      <c r="F295" s="189" t="s">
        <v>1964</v>
      </c>
      <c r="G295" s="189" t="s">
        <v>1965</v>
      </c>
      <c r="H295" s="191" t="n">
        <v>46074</v>
      </c>
      <c r="I295" s="189" t="s">
        <v>113</v>
      </c>
      <c r="J295" s="189" t="s">
        <v>108</v>
      </c>
      <c r="K295" s="189" t="s">
        <v>1966</v>
      </c>
      <c r="L295" s="189" t="s">
        <v>246</v>
      </c>
      <c r="M295" s="189" t="s">
        <v>477</v>
      </c>
      <c r="N295" s="189" t="s">
        <v>665</v>
      </c>
      <c r="O295" s="189" t="s">
        <v>172</v>
      </c>
      <c r="P295" s="189" t="s">
        <v>111</v>
      </c>
      <c r="Q295" s="189" t="s">
        <v>112</v>
      </c>
      <c r="R295" s="189" t="s">
        <v>22</v>
      </c>
      <c r="S295" s="189" t="s">
        <v>152</v>
      </c>
      <c r="T295" s="189" t="s">
        <v>121</v>
      </c>
      <c r="V295" s="189" t="s">
        <v>192</v>
      </c>
      <c r="W295" s="189" t="s">
        <v>124</v>
      </c>
      <c r="X295" s="189" t="s">
        <v>135</v>
      </c>
      <c r="Y295" s="189" t="s">
        <v>135</v>
      </c>
      <c r="Z295" s="189" t="s">
        <v>2245</v>
      </c>
      <c r="AA295" s="189" t="s">
        <v>2227</v>
      </c>
      <c r="AG295" s="189" t="s">
        <v>2196</v>
      </c>
    </row>
    <row r="296" customFormat="false" ht="15" hidden="false" customHeight="true" outlineLevel="0" collapsed="false">
      <c r="A296" s="0" t="n">
        <v>295</v>
      </c>
      <c r="B296" s="191" t="n">
        <v>46133.4566926642</v>
      </c>
      <c r="C296" s="191" t="n">
        <v>46133.4706162753</v>
      </c>
      <c r="D296" s="189" t="s">
        <v>1969</v>
      </c>
      <c r="E296" s="189" t="s">
        <v>1970</v>
      </c>
      <c r="F296" s="189" t="s">
        <v>1970</v>
      </c>
      <c r="G296" s="189" t="s">
        <v>1971</v>
      </c>
      <c r="H296" s="191" t="n">
        <v>46120</v>
      </c>
      <c r="I296" s="189" t="s">
        <v>113</v>
      </c>
      <c r="J296" s="189" t="s">
        <v>108</v>
      </c>
      <c r="K296" s="189" t="s">
        <v>1972</v>
      </c>
      <c r="L296" s="189" t="s">
        <v>346</v>
      </c>
      <c r="M296" s="189" t="s">
        <v>1074</v>
      </c>
      <c r="N296" s="189" t="s">
        <v>1255</v>
      </c>
      <c r="O296" s="189" t="s">
        <v>107</v>
      </c>
      <c r="P296" s="189" t="s">
        <v>111</v>
      </c>
      <c r="Q296" s="189" t="s">
        <v>112</v>
      </c>
      <c r="R296" s="189" t="s">
        <v>22</v>
      </c>
      <c r="S296" s="189" t="s">
        <v>152</v>
      </c>
      <c r="T296" s="189" t="s">
        <v>264</v>
      </c>
      <c r="U296" s="189" t="s">
        <v>785</v>
      </c>
      <c r="V296" s="189" t="s">
        <v>123</v>
      </c>
      <c r="W296" s="189" t="s">
        <v>124</v>
      </c>
      <c r="X296" s="189" t="s">
        <v>715</v>
      </c>
      <c r="Y296" s="189" t="s">
        <v>715</v>
      </c>
      <c r="Z296" s="189" t="s">
        <v>2269</v>
      </c>
      <c r="AG296" s="189" t="s">
        <v>2301</v>
      </c>
      <c r="AH296" s="189" t="s">
        <v>2331</v>
      </c>
    </row>
    <row r="297" customFormat="false" ht="15" hidden="false" customHeight="true" outlineLevel="0" collapsed="false">
      <c r="A297" s="0" t="n">
        <v>296</v>
      </c>
      <c r="B297" s="191" t="n">
        <v>46045.315373908</v>
      </c>
      <c r="C297" s="191" t="n">
        <v>46045.3205590932</v>
      </c>
      <c r="D297" s="189" t="s">
        <v>1976</v>
      </c>
      <c r="E297" s="189" t="s">
        <v>1977</v>
      </c>
      <c r="F297" s="189" t="s">
        <v>1977</v>
      </c>
      <c r="G297" s="189" t="s">
        <v>1978</v>
      </c>
      <c r="H297" s="191" t="n">
        <v>46030</v>
      </c>
      <c r="I297" s="189" t="s">
        <v>325</v>
      </c>
      <c r="J297" s="189" t="s">
        <v>128</v>
      </c>
      <c r="K297" s="189" t="s">
        <v>1979</v>
      </c>
      <c r="L297" s="189" t="s">
        <v>389</v>
      </c>
      <c r="M297" s="189" t="s">
        <v>391</v>
      </c>
      <c r="N297" s="189" t="s">
        <v>1140</v>
      </c>
      <c r="O297" s="189" t="s">
        <v>260</v>
      </c>
      <c r="P297" s="189" t="s">
        <v>111</v>
      </c>
      <c r="Q297" s="189" t="s">
        <v>145</v>
      </c>
      <c r="R297" s="189" t="s">
        <v>23</v>
      </c>
      <c r="S297" s="189" t="s">
        <v>152</v>
      </c>
      <c r="T297" s="189" t="s">
        <v>228</v>
      </c>
      <c r="U297" s="189" t="s">
        <v>1980</v>
      </c>
      <c r="V297" s="189" t="s">
        <v>123</v>
      </c>
      <c r="W297" s="189" t="s">
        <v>139</v>
      </c>
      <c r="X297" s="189" t="s">
        <v>1645</v>
      </c>
      <c r="Y297" s="189" t="s">
        <v>1645</v>
      </c>
    </row>
    <row r="298" customFormat="false" ht="15" hidden="false" customHeight="true" outlineLevel="0" collapsed="false">
      <c r="A298" s="0" t="n">
        <v>297</v>
      </c>
      <c r="B298" s="191" t="n">
        <v>46178.1915174875</v>
      </c>
      <c r="C298" s="191" t="n">
        <v>46178.1932188764</v>
      </c>
      <c r="D298" s="189" t="s">
        <v>1981</v>
      </c>
      <c r="E298" s="189" t="s">
        <v>1982</v>
      </c>
      <c r="F298" s="189" t="s">
        <v>1982</v>
      </c>
      <c r="G298" s="189" t="s">
        <v>1983</v>
      </c>
      <c r="H298" s="191" t="n">
        <v>46177</v>
      </c>
      <c r="I298" s="189" t="s">
        <v>113</v>
      </c>
      <c r="J298" s="189" t="s">
        <v>108</v>
      </c>
      <c r="K298" s="189" t="s">
        <v>173</v>
      </c>
      <c r="L298" s="189" t="s">
        <v>159</v>
      </c>
      <c r="M298" s="189" t="s">
        <v>1074</v>
      </c>
      <c r="N298" s="189" t="s">
        <v>758</v>
      </c>
      <c r="O298" s="189" t="s">
        <v>244</v>
      </c>
      <c r="P298" s="189" t="s">
        <v>111</v>
      </c>
      <c r="Q298" s="189" t="s">
        <v>112</v>
      </c>
      <c r="R298" s="189" t="s">
        <v>22</v>
      </c>
      <c r="S298" s="189" t="s">
        <v>152</v>
      </c>
      <c r="T298" s="189" t="s">
        <v>352</v>
      </c>
      <c r="U298" s="189" t="s">
        <v>239</v>
      </c>
      <c r="V298" s="189" t="s">
        <v>192</v>
      </c>
      <c r="W298" s="189" t="s">
        <v>124</v>
      </c>
      <c r="X298" s="189" t="s">
        <v>116</v>
      </c>
      <c r="Y298" s="189" t="s">
        <v>116</v>
      </c>
      <c r="Z298" s="189" t="s">
        <v>2151</v>
      </c>
      <c r="AG298" s="189" t="s">
        <v>2127</v>
      </c>
    </row>
    <row r="299" customFormat="false" ht="15" hidden="false" customHeight="true" outlineLevel="0" collapsed="false">
      <c r="A299" s="0" t="n">
        <v>298</v>
      </c>
      <c r="B299" s="191" t="n">
        <v>46127.8660765996</v>
      </c>
      <c r="C299" s="191" t="n">
        <v>46127.8703127107</v>
      </c>
      <c r="D299" s="189" t="s">
        <v>1985</v>
      </c>
      <c r="E299" s="189" t="s">
        <v>1986</v>
      </c>
      <c r="F299" s="189" t="s">
        <v>1986</v>
      </c>
      <c r="G299" s="189" t="s">
        <v>1987</v>
      </c>
      <c r="H299" s="191" t="n">
        <v>46119</v>
      </c>
      <c r="I299" s="189" t="s">
        <v>113</v>
      </c>
      <c r="J299" s="189" t="s">
        <v>128</v>
      </c>
      <c r="K299" s="189" t="s">
        <v>143</v>
      </c>
      <c r="L299" s="189" t="s">
        <v>110</v>
      </c>
      <c r="M299" s="189" t="s">
        <v>397</v>
      </c>
      <c r="N299" s="189" t="s">
        <v>990</v>
      </c>
      <c r="O299" s="189" t="s">
        <v>1949</v>
      </c>
      <c r="P299" s="189" t="s">
        <v>131</v>
      </c>
      <c r="Q299" s="189" t="s">
        <v>112</v>
      </c>
      <c r="R299" s="189" t="s">
        <v>25</v>
      </c>
      <c r="S299" s="189" t="s">
        <v>152</v>
      </c>
      <c r="T299" s="189" t="s">
        <v>121</v>
      </c>
      <c r="U299" s="189" t="s">
        <v>1032</v>
      </c>
      <c r="V299" s="189" t="s">
        <v>123</v>
      </c>
      <c r="W299" s="189" t="s">
        <v>168</v>
      </c>
      <c r="X299" s="189" t="s">
        <v>327</v>
      </c>
      <c r="Y299" s="189" t="s">
        <v>327</v>
      </c>
      <c r="Z299" s="189" t="s">
        <v>2139</v>
      </c>
      <c r="AA299" s="189" t="s">
        <v>2109</v>
      </c>
      <c r="AG299" s="189" t="s">
        <v>122</v>
      </c>
      <c r="AH299" s="189" t="s">
        <v>2152</v>
      </c>
    </row>
    <row r="300" customFormat="false" ht="15" hidden="false" customHeight="true" outlineLevel="0" collapsed="false">
      <c r="A300" s="0" t="n">
        <v>299</v>
      </c>
      <c r="B300" s="191" t="n">
        <v>46171.2889223917</v>
      </c>
      <c r="C300" s="191" t="n">
        <v>46171.2979270213</v>
      </c>
      <c r="D300" s="189" t="s">
        <v>1988</v>
      </c>
      <c r="E300" s="189" t="s">
        <v>1989</v>
      </c>
      <c r="F300" s="189" t="s">
        <v>1989</v>
      </c>
      <c r="G300" s="189" t="s">
        <v>1990</v>
      </c>
      <c r="H300" s="191" t="n">
        <v>46163</v>
      </c>
      <c r="I300" s="189" t="s">
        <v>113</v>
      </c>
      <c r="J300" s="189" t="s">
        <v>108</v>
      </c>
      <c r="K300" s="189" t="s">
        <v>446</v>
      </c>
      <c r="L300" s="189" t="s">
        <v>389</v>
      </c>
      <c r="M300" s="189" t="s">
        <v>736</v>
      </c>
      <c r="N300" s="189" t="s">
        <v>422</v>
      </c>
      <c r="O300" s="189" t="s">
        <v>713</v>
      </c>
      <c r="P300" s="189" t="s">
        <v>111</v>
      </c>
      <c r="Q300" s="189" t="s">
        <v>112</v>
      </c>
      <c r="R300" s="189" t="s">
        <v>22</v>
      </c>
      <c r="S300" s="189" t="s">
        <v>152</v>
      </c>
      <c r="T300" s="189" t="s">
        <v>264</v>
      </c>
      <c r="U300" s="189" t="s">
        <v>122</v>
      </c>
      <c r="V300" s="189" t="s">
        <v>123</v>
      </c>
      <c r="W300" s="189" t="s">
        <v>124</v>
      </c>
      <c r="X300" s="189" t="s">
        <v>298</v>
      </c>
      <c r="Y300" s="189" t="s">
        <v>298</v>
      </c>
      <c r="Z300" s="189" t="s">
        <v>2251</v>
      </c>
      <c r="AA300" s="189" t="s">
        <v>2168</v>
      </c>
      <c r="AG300" s="189" t="s">
        <v>2292</v>
      </c>
      <c r="AH300" s="189" t="s">
        <v>122</v>
      </c>
    </row>
    <row r="301" customFormat="false" ht="15" hidden="false" customHeight="true" outlineLevel="0" collapsed="false">
      <c r="A301" s="0" t="n">
        <v>300</v>
      </c>
      <c r="B301" s="191" t="n">
        <v>46083.6657588368</v>
      </c>
      <c r="C301" s="191" t="n">
        <v>46083.6777032812</v>
      </c>
      <c r="D301" s="189" t="s">
        <v>1993</v>
      </c>
      <c r="E301" s="189" t="s">
        <v>1994</v>
      </c>
      <c r="F301" s="189" t="s">
        <v>1995</v>
      </c>
      <c r="G301" s="189" t="s">
        <v>1996</v>
      </c>
      <c r="H301" s="191" t="n">
        <v>46066</v>
      </c>
      <c r="I301" s="189" t="s">
        <v>113</v>
      </c>
      <c r="J301" s="189" t="s">
        <v>108</v>
      </c>
      <c r="K301" s="189" t="s">
        <v>143</v>
      </c>
      <c r="L301" s="189" t="s">
        <v>431</v>
      </c>
      <c r="M301" s="189" t="s">
        <v>774</v>
      </c>
      <c r="N301" s="189" t="s">
        <v>1381</v>
      </c>
      <c r="O301" s="189" t="s">
        <v>244</v>
      </c>
      <c r="P301" s="189" t="s">
        <v>111</v>
      </c>
      <c r="Q301" s="189" t="s">
        <v>112</v>
      </c>
      <c r="R301" s="189" t="s">
        <v>24</v>
      </c>
      <c r="S301" s="189" t="s">
        <v>120</v>
      </c>
      <c r="T301" s="189" t="s">
        <v>121</v>
      </c>
      <c r="U301" s="189" t="s">
        <v>961</v>
      </c>
      <c r="V301" s="189" t="s">
        <v>123</v>
      </c>
      <c r="W301" s="189" t="s">
        <v>124</v>
      </c>
      <c r="X301" s="189" t="s">
        <v>19</v>
      </c>
      <c r="Y301" s="189" t="s">
        <v>19</v>
      </c>
      <c r="AK301" s="189" t="s">
        <v>880</v>
      </c>
    </row>
    <row r="1048576" customFormat="false" ht="1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5" activeCellId="0" sqref="B25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7"/>
  </cols>
  <sheetData>
    <row r="1" customFormat="false" ht="15" hidden="false" customHeight="true" outlineLevel="0" collapsed="false">
      <c r="A1" s="186" t="s">
        <v>0</v>
      </c>
      <c r="B1" s="186" t="s">
        <v>2363</v>
      </c>
      <c r="C1" s="186" t="s">
        <v>99</v>
      </c>
    </row>
    <row r="2" customFormat="false" ht="15" hidden="false" customHeight="true" outlineLevel="0" collapsed="false"/>
    <row r="3" customFormat="false" ht="15" hidden="false" customHeight="true" outlineLevel="0" collapsed="false"/>
    <row r="4" customFormat="false" ht="15" hidden="false" customHeight="true" outlineLevel="0" collapsed="false"/>
    <row r="5" customFormat="false" ht="15" hidden="false" customHeight="true" outlineLevel="0" collapsed="false"/>
    <row r="6" customFormat="false" ht="15" hidden="false" customHeight="true" outlineLevel="0" collapsed="false"/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2026-06-01T05:46:00Z</dcterms:created>
  <dc:creator>openpyxl</dc:creator>
  <dc:description/>
  <dc:language>en-US</dc:language>
  <cp:lastModifiedBy/>
  <dcterms:modified xsi:type="dcterms:W3CDTF">2026-07-13T07:39:09Z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331f486-f8b5-456b-a19a-dbe0d296c5fd_ActionId">
    <vt:lpwstr>e3ced5c8-bb89-4474-9030-ccfadc4373c8</vt:lpwstr>
  </property>
  <property fmtid="{D5CDD505-2E9C-101B-9397-08002B2CF9AE}" pid="3" name="MSIP_Label_7331f486-f8b5-456b-a19a-dbe0d296c5fd_ContentBits">
    <vt:lpwstr>0</vt:lpwstr>
  </property>
  <property fmtid="{D5CDD505-2E9C-101B-9397-08002B2CF9AE}" pid="4" name="MSIP_Label_7331f486-f8b5-456b-a19a-dbe0d296c5fd_Enabled">
    <vt:lpwstr>true</vt:lpwstr>
  </property>
  <property fmtid="{D5CDD505-2E9C-101B-9397-08002B2CF9AE}" pid="5" name="MSIP_Label_7331f486-f8b5-456b-a19a-dbe0d296c5fd_Method">
    <vt:lpwstr>Standard</vt:lpwstr>
  </property>
  <property fmtid="{D5CDD505-2E9C-101B-9397-08002B2CF9AE}" pid="6" name="MSIP_Label_7331f486-f8b5-456b-a19a-dbe0d296c5fd_Name">
    <vt:lpwstr>Company Confidential Internal Use</vt:lpwstr>
  </property>
  <property fmtid="{D5CDD505-2E9C-101B-9397-08002B2CF9AE}" pid="7" name="MSIP_Label_7331f486-f8b5-456b-a19a-dbe0d296c5fd_SetDate">
    <vt:lpwstr>2026-06-01T11:56:56Z</vt:lpwstr>
  </property>
  <property fmtid="{D5CDD505-2E9C-101B-9397-08002B2CF9AE}" pid="8" name="MSIP_Label_7331f486-f8b5-456b-a19a-dbe0d296c5fd_SiteId">
    <vt:lpwstr>edf442f5-b994-4c86-a131-b42b03a16c95</vt:lpwstr>
  </property>
  <property fmtid="{D5CDD505-2E9C-101B-9397-08002B2CF9AE}" pid="9" name="MSIP_Label_7331f486-f8b5-456b-a19a-dbe0d296c5fd_Tag">
    <vt:lpwstr>10, 3, 0, 1</vt:lpwstr>
  </property>
</Properties>
</file>